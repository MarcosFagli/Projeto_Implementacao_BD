
<file path=[Content_Types].xml><?xml version="1.0" encoding="utf-8"?>
<Types xmlns="http://schemas.openxmlformats.org/package/2006/content-types">
  <Override PartName="/xl/_rels/workbook.xml.rels" ContentType="application/vnd.openxmlformats-package.relationships+xml"/>
  <Override PartName="/xl/pivotCache/_rels/pivotCacheDefinition2.xml.rels" ContentType="application/vnd.openxmlformats-package.relationships+xml"/>
  <Override PartName="/xl/pivotCache/_rels/pivotCacheDefinition1.xml.rels" ContentType="application/vnd.openxmlformats-package.relationships+xml"/>
  <Override PartName="/xl/pivotCache/pivotCacheRecords2.xml" ContentType="application/vnd.openxmlformats-officedocument.spreadsheetml.pivotCacheRecords+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charts/chart12.xml" ContentType="application/vnd.openxmlformats-officedocument.drawingml.chart+xml"/>
  <Override PartName="/xl/charts/chart11.xml" ContentType="application/vnd.openxmlformats-officedocument.drawingml.chart+xml"/>
  <Override PartName="/xl/tables/table2.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4.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1.xml" ContentType="application/vnd.openxmlformats-officedocument.spreadsheetml.table+xml"/>
  <Override PartName="/xl/tables/table3.xml" ContentType="application/vnd.openxmlformats-officedocument.spreadsheetml.table+xml"/>
  <Override PartName="/xl/media/image48.jpeg" ContentType="image/jpeg"/>
  <Override PartName="/xl/media/image47.jpeg" ContentType="image/jpeg"/>
  <Override PartName="/xl/media/image42.jpeg" ContentType="image/jpeg"/>
  <Override PartName="/xl/media/image41.jpeg" ContentType="image/jpeg"/>
  <Override PartName="/xl/media/image45.jpeg" ContentType="image/jpeg"/>
  <Override PartName="/xl/media/image46.png" ContentType="image/png"/>
  <Override PartName="/xl/media/image43.jpeg" ContentType="image/jpeg"/>
  <Override PartName="/xl/media/image44.png" ContentType="image/png"/>
  <Override PartName="/xl/vbaProject.bin" ContentType="application/vnd.ms-office.vbaProject"/>
  <Override PartName="/xl/worksheets/_rels/sheet6.xml.rels" ContentType="application/vnd.openxmlformats-package.relationships+xml"/>
  <Override PartName="/xl/worksheets/_rels/sheet5.xml.rels" ContentType="application/vnd.openxmlformats-package.relationships+xml"/>
  <Override PartName="/xl/worksheets/_rels/sheet4.xml.rels" ContentType="application/vnd.openxmlformats-package.relationships+xml"/>
  <Override PartName="/xl/worksheets/_rels/sheet3.xml.rels" ContentType="application/vnd.openxmlformats-package.relationships+xml"/>
  <Override PartName="/xl/worksheets/_rels/sheet1.xml.rels" ContentType="application/vnd.openxmlformats-package.relationships+xml"/>
  <Override PartName="/xl/worksheets/_rels/sheet2.xml.rels" ContentType="application/vnd.openxmlformats-package.relationships+xml"/>
  <Override PartName="/xl/worksheets/sheet2.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Tables/_rels/pivotTable2.xml.rels" ContentType="application/vnd.openxmlformats-package.relationships+xml"/>
  <Override PartName="/xl/pivotTables/_rels/pivotTable1.xml.rels" ContentType="application/vnd.openxmlformats-package.relationships+xml"/>
  <Override PartName="/xl/pivotTables/pivotTable1.xml" ContentType="application/vnd.openxmlformats-officedocument.spreadsheetml.pivotTable+xml"/>
  <Override PartName="/xl/pivotTables/pivotTable2.xml" ContentType="application/vnd.openxmlformats-officedocument.spreadsheetml.pivotTable+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_rels/drawing6.xml.rels" ContentType="application/vnd.openxmlformats-package.relationships+xml"/>
  <Override PartName="/xl/drawings/_rels/drawing5.xml.rels" ContentType="application/vnd.openxmlformats-package.relationships+xml"/>
  <Override PartName="/xl/drawings/_rels/drawing4.xml.rels" ContentType="application/vnd.openxmlformats-package.relationships+xml"/>
  <Override PartName="/xl/drawings/_rels/drawing1.xml.rels" ContentType="application/vnd.openxmlformats-package.relationships+xml"/>
  <Override PartName="/xl/drawings/_rels/drawing3.xml.rels" ContentType="application/vnd.openxmlformats-package.relationships+xml"/>
  <Override PartName="/xl/drawings/_rels/drawing2.xml.rels" ContentType="application/vnd.openxmlformats-package.relationships+xml"/>
  <Override PartName="/xl/drawings/drawing2.xml" ContentType="application/vnd.openxmlformats-officedocument.drawing+xml"/>
  <Override PartName="/xl/drawings/drawing1.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5"/>
  </bookViews>
  <sheets>
    <sheet name="Cadastro" sheetId="1" state="visible" r:id="rId3"/>
    <sheet name="CadastroCB" sheetId="2" state="visible" r:id="rId4"/>
    <sheet name="Resumo total" sheetId="3" state="visible" r:id="rId5"/>
    <sheet name="Pivot tables e charts" sheetId="4" state="hidden" r:id="rId6"/>
    <sheet name="Categorias" sheetId="5" state="visible" r:id="rId7"/>
    <sheet name="Base de dados" sheetId="6" state="visible" r:id="rId8"/>
  </sheets>
  <definedNames>
    <definedName function="false" hidden="false" name="Codigo_barras" vbProcedure="false">CadastroCB!$D$5</definedName>
    <definedName function="false" hidden="false" name="Codigo_barras_unidade" vbProcedure="false">CadastroCB!$D$8</definedName>
    <definedName function="false" hidden="false" name="extras" vbProcedure="false">Categorias!$M$27</definedName>
    <definedName function="false" hidden="false" name="frase" vbProcedure="false">CadastroCB!$D$10</definedName>
    <definedName function="false" hidden="false" name="lista" vbProcedure="false">Categorias!$Q$4:$Q$367</definedName>
    <definedName function="false" hidden="false" name="mercado1" vbProcedure="false">Categorias!$M$9</definedName>
    <definedName function="false" hidden="false" name="mercado10" vbProcedure="false">Categorias!$M$18</definedName>
    <definedName function="false" hidden="false" name="mercado11" vbProcedure="false">Categorias!$M$19</definedName>
    <definedName function="false" hidden="false" name="mercado12" vbProcedure="false">Categorias!$M$20</definedName>
    <definedName function="false" hidden="false" name="mercado13" vbProcedure="false">Categorias!$M$21</definedName>
    <definedName function="false" hidden="false" name="mercado14" vbProcedure="false">Categorias!$M$22</definedName>
    <definedName function="false" hidden="false" name="mercado15" vbProcedure="false">Categorias!$M$23</definedName>
    <definedName function="false" hidden="false" name="mercado16" vbProcedure="false">Categorias!$M$24</definedName>
    <definedName function="false" hidden="false" name="mercado17" vbProcedure="false">Categorias!$M$25</definedName>
    <definedName function="false" hidden="false" name="mercado18" vbProcedure="false">Categorias!$M$26</definedName>
    <definedName function="false" hidden="false" name="mercado2" vbProcedure="false">Categorias!$M$10</definedName>
    <definedName function="false" hidden="false" name="mercado3" vbProcedure="false">Categorias!$M$11</definedName>
    <definedName function="false" hidden="false" name="mercado4" vbProcedure="false">Categorias!$M$12</definedName>
    <definedName function="false" hidden="false" name="mercado5" vbProcedure="false">Categorias!$M$13</definedName>
    <definedName function="false" hidden="false" name="mercado6" vbProcedure="false">Categorias!$M$14</definedName>
    <definedName function="false" hidden="false" name="mercado7" vbProcedure="false">Categorias!$M$15</definedName>
    <definedName function="false" hidden="false" name="mercado8" vbProcedure="false">Categorias!$M$16</definedName>
    <definedName function="false" hidden="false" name="mercado9" vbProcedure="false">Categorias!$M$17</definedName>
    <definedName function="false" hidden="false" name="nome_mercado" vbProcedure="false">Cadastro!$A$7</definedName>
    <definedName function="false" hidden="false" name="nome_mercado_cb" vbProcedure="false">CadastroCB!$A$7</definedName>
    <definedName function="false" hidden="false" name="PM" vbProcedure="false">'resumo total'!#ref!</definedName>
    <definedName function="false" hidden="false" name="PMA" vbProcedure="false">'Resumo total'!$A$38</definedName>
    <definedName function="false" hidden="false" name="Slicer_Qtde__tot" vbProcedure="false">#N/A</definedName>
    <definedName function="false" hidden="false" name="Slicer_Qtde__tot1" vbProcedure="false">#N/A</definedName>
    <definedName function="false" hidden="false" name="topo1" vbProcedure="false">Cadastro!$C$3</definedName>
    <definedName function="false" hidden="false" name="topo10" vbProcedure="false">#REF!</definedName>
    <definedName function="false" hidden="false" name="topo11" vbProcedure="false">#REF!</definedName>
    <definedName function="false" hidden="false" name="topo12" vbProcedure="false">#REF!</definedName>
    <definedName function="false" hidden="false" name="topo13" vbProcedure="false">#REF!</definedName>
    <definedName function="false" hidden="false" name="topo2" vbProcedure="false">#REF!</definedName>
    <definedName function="false" hidden="false" name="topo3" vbProcedure="false">#REF!</definedName>
    <definedName function="false" hidden="false" name="topo4" vbProcedure="false">#REF!</definedName>
    <definedName function="false" hidden="false" name="topo5" vbProcedure="false">#REF!</definedName>
    <definedName function="false" hidden="false" name="topo6" vbProcedure="false">#REF!</definedName>
    <definedName function="false" hidden="false" name="topo7" vbProcedure="false">#REF!</definedName>
    <definedName function="false" hidden="false" name="topo8" vbProcedure="false">#REF!</definedName>
    <definedName function="false" hidden="false" name="topo9" vbProcedure="false">#REF!</definedName>
    <definedName function="false" hidden="false" name="topocategorias" vbProcedure="false">Categorias!$C$3</definedName>
    <definedName function="false" hidden="false" name="topoextras" vbProcedure="false">#REF!</definedName>
    <definedName function="false" hidden="false" name="toporesumo" vbProcedure="false">'Resumo total'!$H$3</definedName>
    <definedName function="false" hidden="false" name="topo_basedados" vbProcedure="false">'Base de dados'!$C$3</definedName>
    <definedName function="false" hidden="false" name="topo_cb" vbProcedure="false">CadastroCB!$C$3</definedName>
  </definedNames>
  <calcPr iterateCount="100" refMode="A1" iterate="false" iterateDelta="0.0001"/>
  <pivotCaches>
    <pivotCache cacheId="1" r:id="rId10"/>
    <pivotCache cacheId="2" r:id="rId11"/>
  </pivotCaches>
  <extLst>
    <ext xmlns:loext="http://schemas.libreoffice.org/" uri="{7626C862-2A13-11E5-B345-FEFF819CDC9F}">
      <loext:extCalcPr stringRefSyntax="ExcelA1"/>
    </ext>
  </extLst>
</workbook>
</file>

<file path=xl/sharedStrings.xml><?xml version="1.0" encoding="utf-8"?>
<sst xmlns="http://schemas.openxmlformats.org/spreadsheetml/2006/main" count="7495" uniqueCount="1872">
  <si>
    <t xml:space="preserve">Topo</t>
  </si>
  <si>
    <t xml:space="preserve">Categorias</t>
  </si>
  <si>
    <t xml:space="preserve">Alimentos</t>
  </si>
  <si>
    <t xml:space="preserve">Higiene</t>
  </si>
  <si>
    <t xml:space="preserve">Item</t>
  </si>
  <si>
    <t xml:space="preserve">Qtde</t>
  </si>
  <si>
    <t xml:space="preserve">Bairro</t>
  </si>
  <si>
    <t xml:space="preserve">Data</t>
  </si>
  <si>
    <t xml:space="preserve">CadastroCB</t>
  </si>
  <si>
    <t xml:space="preserve">VILA PRADO S2</t>
  </si>
  <si>
    <t xml:space="preserve">Resumo</t>
  </si>
  <si>
    <t xml:space="preserve">CB</t>
  </si>
  <si>
    <t xml:space="preserve">Sabão em Pó (1kg)</t>
  </si>
  <si>
    <t xml:space="preserve">Abordagem contínua</t>
  </si>
  <si>
    <t xml:space="preserve">Cadastro</t>
  </si>
  <si>
    <t xml:space="preserve">Açúcar (1kg)</t>
  </si>
  <si>
    <t xml:space="preserve">Savegnago Maffei</t>
  </si>
  <si>
    <t xml:space="preserve">CB (item único)</t>
  </si>
  <si>
    <t xml:space="preserve">Sal (1kg)</t>
  </si>
  <si>
    <t xml:space="preserve">Multiuso (500mL)</t>
  </si>
  <si>
    <t xml:space="preserve">Voa logistica</t>
  </si>
  <si>
    <t xml:space="preserve">Leite (caixa)</t>
  </si>
  <si>
    <t xml:space="preserve">Desinfetante(500mL)</t>
  </si>
  <si>
    <t xml:space="preserve">Água Sanitária (2L)</t>
  </si>
  <si>
    <t xml:space="preserve">Amaciante(2L)</t>
  </si>
  <si>
    <t xml:space="preserve">Macarrão (500g)</t>
  </si>
  <si>
    <t xml:space="preserve">Óleo</t>
  </si>
  <si>
    <t xml:space="preserve">Detergente</t>
  </si>
  <si>
    <t xml:space="preserve">Miojo (80g)</t>
  </si>
  <si>
    <t xml:space="preserve">Papel Higiênico (04un)</t>
  </si>
  <si>
    <t xml:space="preserve">Papel Higiênico (16un)</t>
  </si>
  <si>
    <t xml:space="preserve">Sabonete (84g)</t>
  </si>
  <si>
    <t xml:space="preserve">Pasta de Dente (70g)</t>
  </si>
  <si>
    <t xml:space="preserve">Açúcar (2kg)</t>
  </si>
  <si>
    <t xml:space="preserve">Feijão (1kg)</t>
  </si>
  <si>
    <t xml:space="preserve">Leite em pó (400g)</t>
  </si>
  <si>
    <t xml:space="preserve">Arroz (1kg)</t>
  </si>
  <si>
    <t xml:space="preserve">Arroz (5kg)</t>
  </si>
  <si>
    <t xml:space="preserve">Savegnago Passeio</t>
  </si>
  <si>
    <t xml:space="preserve">Ervilha conserva (Lata)</t>
  </si>
  <si>
    <t xml:space="preserve">Milho conserva(Lata)</t>
  </si>
  <si>
    <t xml:space="preserve">Molho de Tomate (340g)</t>
  </si>
  <si>
    <t xml:space="preserve">Molho de tomate (520g)</t>
  </si>
  <si>
    <t xml:space="preserve">Esponja (4un)</t>
  </si>
  <si>
    <t xml:space="preserve">Caixa de Bombons</t>
  </si>
  <si>
    <t xml:space="preserve">Sardinha (125g)</t>
  </si>
  <si>
    <t xml:space="preserve">Bolacha (130g)</t>
  </si>
  <si>
    <t xml:space="preserve">Absorvente (08un)</t>
  </si>
  <si>
    <t xml:space="preserve">Desinfetante (1L)</t>
  </si>
  <si>
    <t xml:space="preserve">Limpador(1L)</t>
  </si>
  <si>
    <t xml:space="preserve">Lâmina de Barbear (7un)</t>
  </si>
  <si>
    <t xml:space="preserve">Lâmina de Barbear (5un)</t>
  </si>
  <si>
    <t xml:space="preserve">Lâmina de barbear (2un)</t>
  </si>
  <si>
    <t xml:space="preserve">Escova de dente (1un)</t>
  </si>
  <si>
    <t xml:space="preserve">Escova de dente (3 un)</t>
  </si>
  <si>
    <t xml:space="preserve">Escova de Dentes (4un)</t>
  </si>
  <si>
    <t xml:space="preserve">Escova de dente (2un)</t>
  </si>
  <si>
    <t xml:space="preserve">Pasta de Dente (90g)</t>
  </si>
  <si>
    <t xml:space="preserve">Shampoo (400mL) </t>
  </si>
  <si>
    <t xml:space="preserve">Farinha de trigo</t>
  </si>
  <si>
    <t xml:space="preserve">Polenta (500g)</t>
  </si>
  <si>
    <t xml:space="preserve">Café (500g)</t>
  </si>
  <si>
    <t xml:space="preserve">Sabonete (125g)</t>
  </si>
  <si>
    <t xml:space="preserve">Sabonete (85g)</t>
  </si>
  <si>
    <t xml:space="preserve">Achocolatado (800g)</t>
  </si>
  <si>
    <t xml:space="preserve">Sabonete (3 in)</t>
  </si>
  <si>
    <t xml:space="preserve">Água Sanitária (5L)</t>
  </si>
  <si>
    <t xml:space="preserve">Bolacha (375g)</t>
  </si>
  <si>
    <t xml:space="preserve">Bolacha (135g)</t>
  </si>
  <si>
    <t xml:space="preserve">Pasta de dente 4 un</t>
  </si>
  <si>
    <t xml:space="preserve">Achocolatado (1kg)</t>
  </si>
  <si>
    <t xml:space="preserve">Fraldas Geriátricas (08un)</t>
  </si>
  <si>
    <t xml:space="preserve">Arroz (2kg)</t>
  </si>
  <si>
    <t xml:space="preserve">Fraldas Geriátricas (20un)</t>
  </si>
  <si>
    <t xml:space="preserve">Açúcar (5kg)</t>
  </si>
  <si>
    <t xml:space="preserve">Savegnago Praça Itália</t>
  </si>
  <si>
    <t xml:space="preserve">Achocolatado (400g)</t>
  </si>
  <si>
    <t xml:space="preserve">Fuba (500g)</t>
  </si>
  <si>
    <t xml:space="preserve">Esponja (3un)</t>
  </si>
  <si>
    <t xml:space="preserve">Jaú Rodoviária</t>
  </si>
  <si>
    <t xml:space="preserve">Bolacha (400g)</t>
  </si>
  <si>
    <t xml:space="preserve">Vinagre (750ml)</t>
  </si>
  <si>
    <t xml:space="preserve">Shampoo ou condicionador (350ml)</t>
  </si>
  <si>
    <t xml:space="preserve">Esponja de aço</t>
  </si>
  <si>
    <t xml:space="preserve">Pasta de Dente (50g)</t>
  </si>
  <si>
    <t xml:space="preserve">Leite condensado</t>
  </si>
  <si>
    <t xml:space="preserve">Desinfetante (2L)</t>
  </si>
  <si>
    <t xml:space="preserve">Papel Higiênico (24un)</t>
  </si>
  <si>
    <t xml:space="preserve">Bolacha (200g)</t>
  </si>
  <si>
    <t xml:space="preserve">Feijão (2kg)</t>
  </si>
  <si>
    <t xml:space="preserve">Fraldas Geriátricas (07un)</t>
  </si>
  <si>
    <t xml:space="preserve">Jaú Redenção</t>
  </si>
  <si>
    <t xml:space="preserve">Desinfetante (750mL)</t>
  </si>
  <si>
    <t xml:space="preserve">Amaciante (2L)</t>
  </si>
  <si>
    <t xml:space="preserve">Bolacha (170g)</t>
  </si>
  <si>
    <t xml:space="preserve">Molho de tomate(390g)</t>
  </si>
  <si>
    <t xml:space="preserve">Bolacha (140g)</t>
  </si>
  <si>
    <t xml:space="preserve">Bolacha (110g)</t>
  </si>
  <si>
    <t xml:space="preserve">Saco de Lixo (10un) 30l/50l</t>
  </si>
  <si>
    <t xml:space="preserve">Saco de lixo (5un - 100L)</t>
  </si>
  <si>
    <t xml:space="preserve">Tempero pronto(300g)</t>
  </si>
  <si>
    <t xml:space="preserve">Bolacha (300g)</t>
  </si>
  <si>
    <t xml:space="preserve">Limpador(500ml)</t>
  </si>
  <si>
    <t xml:space="preserve">Jaú Vila Nery</t>
  </si>
  <si>
    <t xml:space="preserve">Achocolatado (700g)</t>
  </si>
  <si>
    <t xml:space="preserve">Saco de Lixo (10un)</t>
  </si>
  <si>
    <t xml:space="preserve">Papel Higiênico (08un)</t>
  </si>
  <si>
    <t xml:space="preserve">Sabonetes (90g)</t>
  </si>
  <si>
    <t xml:space="preserve">Milho de pipoca</t>
  </si>
  <si>
    <t xml:space="preserve">Jaú Vila Prado</t>
  </si>
  <si>
    <t xml:space="preserve">Farinha de trigo (1kg)</t>
  </si>
  <si>
    <t xml:space="preserve">Bolacha (500g)</t>
  </si>
  <si>
    <t xml:space="preserve">sabonete (6un)</t>
  </si>
  <si>
    <t xml:space="preserve">Bolacha (160g)</t>
  </si>
  <si>
    <t xml:space="preserve">Cotonete</t>
  </si>
  <si>
    <t xml:space="preserve">Lâmina de barbear (4un)</t>
  </si>
  <si>
    <t xml:space="preserve">sabonete (150g)</t>
  </si>
  <si>
    <t xml:space="preserve">Sabão em Pó (2kg)</t>
  </si>
  <si>
    <t xml:space="preserve">sabao em barra 5un</t>
  </si>
  <si>
    <t xml:space="preserve">Guardanapo</t>
  </si>
  <si>
    <t xml:space="preserve">Papel Toalha (12un)</t>
  </si>
  <si>
    <t xml:space="preserve">Papel Higiênico (12un)</t>
  </si>
  <si>
    <t xml:space="preserve">Gelatina (30g)</t>
  </si>
  <si>
    <t xml:space="preserve">Cereal (120g)</t>
  </si>
  <si>
    <t xml:space="preserve">Jaú Padre Teixeira</t>
  </si>
  <si>
    <t xml:space="preserve">Sardinha </t>
  </si>
  <si>
    <t xml:space="preserve">Extrato de tomate (340g)</t>
  </si>
  <si>
    <t xml:space="preserve">Farofa (500g)</t>
  </si>
  <si>
    <t xml:space="preserve">Milho conserva (Lata)</t>
  </si>
  <si>
    <t xml:space="preserve">Pasta de Dente (180g)</t>
  </si>
  <si>
    <t xml:space="preserve">Fraldas Geriátricas (10un)</t>
  </si>
  <si>
    <t xml:space="preserve">Fraldas Infantis (20un)</t>
  </si>
  <si>
    <t xml:space="preserve">Massa lasanha (500g)</t>
  </si>
  <si>
    <t xml:space="preserve">Suco (1,5L)</t>
  </si>
  <si>
    <t xml:space="preserve">Pipoca doce (100g)</t>
  </si>
  <si>
    <t xml:space="preserve">Saco de Lixo (5un) 100l</t>
  </si>
  <si>
    <t xml:space="preserve">Multiuso (3un 500ml)</t>
  </si>
  <si>
    <t xml:space="preserve">Shampoo e Condicionador 325ml</t>
  </si>
  <si>
    <t xml:space="preserve">Shampoo</t>
  </si>
  <si>
    <t xml:space="preserve">Desodorante</t>
  </si>
  <si>
    <t xml:space="preserve">Jaú Raimundo Correa</t>
  </si>
  <si>
    <t xml:space="preserve">Arroz integral (1kg)</t>
  </si>
  <si>
    <t xml:space="preserve">Pão de Forma (500g)</t>
  </si>
  <si>
    <t xml:space="preserve">Bebida Láctea Chocolate (180mL)</t>
  </si>
  <si>
    <t xml:space="preserve">sabonete (4un)</t>
  </si>
  <si>
    <t xml:space="preserve">Sabonete (3un)</t>
  </si>
  <si>
    <t xml:space="preserve">Jaú Visconde</t>
  </si>
  <si>
    <t xml:space="preserve">Suco (Caixa)</t>
  </si>
  <si>
    <t xml:space="preserve">achocolatado (1kg)</t>
  </si>
  <si>
    <t xml:space="preserve">Bolacha (090g)</t>
  </si>
  <si>
    <t xml:space="preserve">Farinha de mandioca (500g)</t>
  </si>
  <si>
    <t xml:space="preserve">Sabão Líquido (1L)</t>
  </si>
  <si>
    <t xml:space="preserve">Feijão (500g)</t>
  </si>
  <si>
    <t xml:space="preserve">Bisnaguinha (300g)</t>
  </si>
  <si>
    <t xml:space="preserve">Esponja (1un)</t>
  </si>
  <si>
    <t xml:space="preserve">Desinfetante(2L)</t>
  </si>
  <si>
    <t xml:space="preserve">Bolacha (360g)</t>
  </si>
  <si>
    <t xml:space="preserve">Jaú Cidade Jardim</t>
  </si>
  <si>
    <t xml:space="preserve">Sopão (200g)</t>
  </si>
  <si>
    <t xml:space="preserve">detergente 6un</t>
  </si>
  <si>
    <t xml:space="preserve">Desengordurante(500ml)</t>
  </si>
  <si>
    <t xml:space="preserve">Sabão em Barra (1un)</t>
  </si>
  <si>
    <t xml:space="preserve">Saco de Lixo (100un) 15L</t>
  </si>
  <si>
    <t xml:space="preserve">Sabonete (8un)</t>
  </si>
  <si>
    <t xml:space="preserve">Torrada</t>
  </si>
  <si>
    <t xml:space="preserve">Lenços Umidecidos (1pcte)</t>
  </si>
  <si>
    <t xml:space="preserve">Barra de Cereal (4un)</t>
  </si>
  <si>
    <t xml:space="preserve">Bolacha (120g)</t>
  </si>
  <si>
    <t xml:space="preserve">Goiabada (400g)</t>
  </si>
  <si>
    <t xml:space="preserve">Bolacha (145g)</t>
  </si>
  <si>
    <t xml:space="preserve">Água Sanitária (1L)</t>
  </si>
  <si>
    <t xml:space="preserve">Salsicha (lata)</t>
  </si>
  <si>
    <t xml:space="preserve">Detergente(500ml)</t>
  </si>
  <si>
    <t xml:space="preserve">Molho de tomate (130g)</t>
  </si>
  <si>
    <t xml:space="preserve">Jaú Raimundo Corres</t>
  </si>
  <si>
    <t xml:space="preserve">Leite em pó (800g)</t>
  </si>
  <si>
    <t xml:space="preserve">Milho conserva (Sache)</t>
  </si>
  <si>
    <t xml:space="preserve">Suco (Saquinho)</t>
  </si>
  <si>
    <t xml:space="preserve">Fraldas Infantis (22un)</t>
  </si>
  <si>
    <t xml:space="preserve">Absorvente (15un)</t>
  </si>
  <si>
    <t xml:space="preserve">Leite (caixa com 12)</t>
  </si>
  <si>
    <t xml:space="preserve">Absorvente (32un)</t>
  </si>
  <si>
    <t xml:space="preserve">Fraldas Infantis (40un)</t>
  </si>
  <si>
    <t xml:space="preserve">Fraldas Infantis (32un)</t>
  </si>
  <si>
    <t xml:space="preserve">Gelatina (35g)</t>
  </si>
  <si>
    <t xml:space="preserve">Fuba (1kg)</t>
  </si>
  <si>
    <t xml:space="preserve">Fraldas Infantis (36un)</t>
  </si>
  <si>
    <t xml:space="preserve">Fraldas Geriátricas (09un)</t>
  </si>
  <si>
    <t xml:space="preserve">Doces (bala-200g)</t>
  </si>
  <si>
    <t xml:space="preserve">Mistura de Bolo</t>
  </si>
  <si>
    <t xml:space="preserve">Maionese (500g)</t>
  </si>
  <si>
    <t xml:space="preserve">multiuso</t>
  </si>
  <si>
    <t xml:space="preserve">Lâmina refil (2un)</t>
  </si>
  <si>
    <t xml:space="preserve">Pêssego em calda</t>
  </si>
  <si>
    <t xml:space="preserve">bolo</t>
  </si>
  <si>
    <t xml:space="preserve">Alcool (1L)</t>
  </si>
  <si>
    <t xml:space="preserve">Milho de pipoca (500g)</t>
  </si>
  <si>
    <t xml:space="preserve">Fraldas Infantis (44un)</t>
  </si>
  <si>
    <t xml:space="preserve">Milho + ervilha</t>
  </si>
  <si>
    <t xml:space="preserve">Amaciante (5L)</t>
  </si>
  <si>
    <t xml:space="preserve">Extrato de tomate (130g)</t>
  </si>
  <si>
    <t xml:space="preserve">Pão de Mel (300g)</t>
  </si>
  <si>
    <t xml:space="preserve">Fósforo (10 caixas x 40 un)</t>
  </si>
  <si>
    <t xml:space="preserve">Pasta de dente (3un)</t>
  </si>
  <si>
    <t xml:space="preserve">farofa de mandioca (250g)</t>
  </si>
  <si>
    <t xml:space="preserve">Desengordurante (500ml)</t>
  </si>
  <si>
    <t xml:space="preserve">Shampoo ou condicionador (325ml)</t>
  </si>
  <si>
    <t xml:space="preserve">Farinha de milho(500g)</t>
  </si>
  <si>
    <t xml:space="preserve">Sabão em pó (2,8kg)</t>
  </si>
  <si>
    <t xml:space="preserve">Absorvente (16un)</t>
  </si>
  <si>
    <t xml:space="preserve">Sabonete (180 g)</t>
  </si>
  <si>
    <t xml:space="preserve">Fraldas Infantis (48un)</t>
  </si>
  <si>
    <t xml:space="preserve">Desinfetante (5L)</t>
  </si>
  <si>
    <t xml:space="preserve">Sabão em Pó (3kg)</t>
  </si>
  <si>
    <t xml:space="preserve">Shampoo ou condicinador (200mL) </t>
  </si>
  <si>
    <t xml:space="preserve">Bolacha (330g)</t>
  </si>
  <si>
    <t xml:space="preserve">bebida láctea chocolate (1l)</t>
  </si>
  <si>
    <t xml:space="preserve">Fraldas Infantis (24un)</t>
  </si>
  <si>
    <t xml:space="preserve">Fraldas Infantis (50un)</t>
  </si>
  <si>
    <t xml:space="preserve">Sabão em pó (2kg)</t>
  </si>
  <si>
    <t xml:space="preserve">Sabonete Líquido (250ml)</t>
  </si>
  <si>
    <t xml:space="preserve">Pasta de dente (70g)</t>
  </si>
  <si>
    <t xml:space="preserve">kg/embalagem</t>
  </si>
  <si>
    <t xml:space="preserve">Preço</t>
  </si>
  <si>
    <t xml:space="preserve">Qtde (S1)</t>
  </si>
  <si>
    <t xml:space="preserve">Qtde (S2)</t>
  </si>
  <si>
    <t xml:space="preserve">Qtde (S3)</t>
  </si>
  <si>
    <t xml:space="preserve">Qtde (S4)</t>
  </si>
  <si>
    <t xml:space="preserve">Qtde (S5)</t>
  </si>
  <si>
    <t xml:space="preserve">Qtde (S6)</t>
  </si>
  <si>
    <t xml:space="preserve">Qtde (S7)</t>
  </si>
  <si>
    <t xml:space="preserve">Qtde (S8)</t>
  </si>
  <si>
    <t xml:space="preserve">Qtde (S9)</t>
  </si>
  <si>
    <t xml:space="preserve">Qtde (S10)</t>
  </si>
  <si>
    <t xml:space="preserve">Qtde (S11)</t>
  </si>
  <si>
    <t xml:space="preserve">Qtde (S12)</t>
  </si>
  <si>
    <t xml:space="preserve">Qtde (S13)</t>
  </si>
  <si>
    <t xml:space="preserve">Qtde (S14)</t>
  </si>
  <si>
    <t xml:space="preserve">Qtde (S15)</t>
  </si>
  <si>
    <t xml:space="preserve">Qtde (S16)</t>
  </si>
  <si>
    <t xml:space="preserve">Qtde (S17)</t>
  </si>
  <si>
    <t xml:space="preserve">Qtde (S18)</t>
  </si>
  <si>
    <t xml:space="preserve">Qtde (ex)</t>
  </si>
  <si>
    <t xml:space="preserve">Qtde (tot)</t>
  </si>
  <si>
    <t xml:space="preserve">Preço x Qtde</t>
  </si>
  <si>
    <t xml:space="preserve">kg</t>
  </si>
  <si>
    <t xml:space="preserve">aux</t>
  </si>
  <si>
    <t xml:space="preserve">un/embalagem</t>
  </si>
  <si>
    <t xml:space="preserve">embalagens</t>
  </si>
  <si>
    <t xml:space="preserve">un</t>
  </si>
  <si>
    <t xml:space="preserve">A</t>
  </si>
  <si>
    <t xml:space="preserve">Achocolatado</t>
  </si>
  <si>
    <t xml:space="preserve">Absorvente</t>
  </si>
  <si>
    <t xml:space="preserve">Supermercado</t>
  </si>
  <si>
    <t xml:space="preserve">Total</t>
  </si>
  <si>
    <t xml:space="preserve">Açúcar</t>
  </si>
  <si>
    <t xml:space="preserve">Água Sanitária</t>
  </si>
  <si>
    <t xml:space="preserve">Kg</t>
  </si>
  <si>
    <t xml:space="preserve">R$</t>
  </si>
  <si>
    <t xml:space="preserve">Adoçante</t>
  </si>
  <si>
    <t xml:space="preserve">Alcool</t>
  </si>
  <si>
    <t xml:space="preserve">Arroz</t>
  </si>
  <si>
    <t xml:space="preserve">Álcool Gel</t>
  </si>
  <si>
    <t xml:space="preserve">Arroz integral</t>
  </si>
  <si>
    <t xml:space="preserve">Algodão</t>
  </si>
  <si>
    <t xml:space="preserve">Atum</t>
  </si>
  <si>
    <t xml:space="preserve">Alvejante</t>
  </si>
  <si>
    <t xml:space="preserve">Aveia</t>
  </si>
  <si>
    <t xml:space="preserve">Amaciante</t>
  </si>
  <si>
    <t xml:space="preserve">Azeite</t>
  </si>
  <si>
    <t xml:space="preserve">Antisséptico</t>
  </si>
  <si>
    <t xml:space="preserve">B</t>
  </si>
  <si>
    <t xml:space="preserve">Bebida Láctea Chocolate</t>
  </si>
  <si>
    <t xml:space="preserve">C</t>
  </si>
  <si>
    <t xml:space="preserve">Bolacha</t>
  </si>
  <si>
    <t xml:space="preserve">D</t>
  </si>
  <si>
    <t xml:space="preserve">Café</t>
  </si>
  <si>
    <t xml:space="preserve">Desengordurante</t>
  </si>
  <si>
    <t xml:space="preserve">Caldo Knor</t>
  </si>
  <si>
    <t xml:space="preserve">Desinfetante</t>
  </si>
  <si>
    <t xml:space="preserve">Cereal infantil</t>
  </si>
  <si>
    <t xml:space="preserve">Cevada</t>
  </si>
  <si>
    <t xml:space="preserve">Coca-cola</t>
  </si>
  <si>
    <t xml:space="preserve">Creme de Leite</t>
  </si>
  <si>
    <t xml:space="preserve">E</t>
  </si>
  <si>
    <t xml:space="preserve">Enxaguante bucal</t>
  </si>
  <si>
    <t xml:space="preserve">Doces</t>
  </si>
  <si>
    <t xml:space="preserve">Escova de dente</t>
  </si>
  <si>
    <t xml:space="preserve">Esponja</t>
  </si>
  <si>
    <t xml:space="preserve">Ervilha</t>
  </si>
  <si>
    <t xml:space="preserve">Ervilha conserva</t>
  </si>
  <si>
    <t xml:space="preserve">F</t>
  </si>
  <si>
    <t xml:space="preserve">Extrato de tomate</t>
  </si>
  <si>
    <t xml:space="preserve">Fraldas Geriátricas</t>
  </si>
  <si>
    <t xml:space="preserve">Fraldas Infantis</t>
  </si>
  <si>
    <t xml:space="preserve">Total alimentos [kg]</t>
  </si>
  <si>
    <t xml:space="preserve">Farinha de mandioca</t>
  </si>
  <si>
    <t xml:space="preserve">G</t>
  </si>
  <si>
    <t xml:space="preserve">Farinha de milho</t>
  </si>
  <si>
    <t xml:space="preserve">H</t>
  </si>
  <si>
    <t xml:space="preserve">Total itens de higiene [kg]</t>
  </si>
  <si>
    <t xml:space="preserve">Farofa</t>
  </si>
  <si>
    <t xml:space="preserve">I</t>
  </si>
  <si>
    <t xml:space="preserve">Farofa temperada</t>
  </si>
  <si>
    <t xml:space="preserve">J</t>
  </si>
  <si>
    <t xml:space="preserve">Feijão</t>
  </si>
  <si>
    <t xml:space="preserve">L</t>
  </si>
  <si>
    <t xml:space="preserve">Preço Médio Alimentos [R$]</t>
  </si>
  <si>
    <t xml:space="preserve">Fuba</t>
  </si>
  <si>
    <t xml:space="preserve">Lâmina de barbear</t>
  </si>
  <si>
    <t xml:space="preserve">Lâmina refil</t>
  </si>
  <si>
    <t xml:space="preserve">Gelatina</t>
  </si>
  <si>
    <t xml:space="preserve">Lenços Umidecidos</t>
  </si>
  <si>
    <t xml:space="preserve">Total Arrecadado [R$]</t>
  </si>
  <si>
    <t xml:space="preserve">Goiabada</t>
  </si>
  <si>
    <t xml:space="preserve">M</t>
  </si>
  <si>
    <t xml:space="preserve">cd</t>
  </si>
  <si>
    <t xml:space="preserve">Grão de Bico</t>
  </si>
  <si>
    <t xml:space="preserve">Multiuso</t>
  </si>
  <si>
    <t xml:space="preserve">N</t>
  </si>
  <si>
    <t xml:space="preserve">Total [kg]</t>
  </si>
  <si>
    <t xml:space="preserve">O</t>
  </si>
  <si>
    <t xml:space="preserve">P</t>
  </si>
  <si>
    <t xml:space="preserve">Papel Higiênico</t>
  </si>
  <si>
    <t xml:space="preserve">Leite</t>
  </si>
  <si>
    <t xml:space="preserve">Papel Toalha</t>
  </si>
  <si>
    <t xml:space="preserve">Pasta de Dente</t>
  </si>
  <si>
    <t xml:space="preserve">Leite de soja</t>
  </si>
  <si>
    <t xml:space="preserve">Polvilho antisséptico</t>
  </si>
  <si>
    <t xml:space="preserve">Leite em pó</t>
  </si>
  <si>
    <t xml:space="preserve">Q</t>
  </si>
  <si>
    <t xml:space="preserve">Lentilha</t>
  </si>
  <si>
    <t xml:space="preserve">R</t>
  </si>
  <si>
    <t xml:space="preserve">Removedor de mancha</t>
  </si>
  <si>
    <t xml:space="preserve">Macarrão</t>
  </si>
  <si>
    <t xml:space="preserve">S</t>
  </si>
  <si>
    <t xml:space="preserve">Macarrão LASANHA</t>
  </si>
  <si>
    <t xml:space="preserve">Sabão em Barra</t>
  </si>
  <si>
    <t xml:space="preserve">Maionese</t>
  </si>
  <si>
    <t xml:space="preserve">Sabão em Pó</t>
  </si>
  <si>
    <t xml:space="preserve">Maizena</t>
  </si>
  <si>
    <t xml:space="preserve">Sabão Líquido</t>
  </si>
  <si>
    <t xml:space="preserve">Sabonete</t>
  </si>
  <si>
    <t xml:space="preserve">Milho conserva</t>
  </si>
  <si>
    <t xml:space="preserve">Sabonete Líquido</t>
  </si>
  <si>
    <t xml:space="preserve">Sabonetes</t>
  </si>
  <si>
    <t xml:space="preserve">Saco de Lixo</t>
  </si>
  <si>
    <t xml:space="preserve">Miojo</t>
  </si>
  <si>
    <t xml:space="preserve">Shampoo ou condicinador(200mL) </t>
  </si>
  <si>
    <t xml:space="preserve">Shampoo ou condicinador(400mL) </t>
  </si>
  <si>
    <t xml:space="preserve">Molho de tomate</t>
  </si>
  <si>
    <t xml:space="preserve">Shampoo ou condicionador</t>
  </si>
  <si>
    <t xml:space="preserve">T</t>
  </si>
  <si>
    <t xml:space="preserve">Talco</t>
  </si>
  <si>
    <t xml:space="preserve">Tira manchas</t>
  </si>
  <si>
    <t xml:space="preserve">U</t>
  </si>
  <si>
    <t xml:space="preserve">Panetone</t>
  </si>
  <si>
    <t xml:space="preserve">V</t>
  </si>
  <si>
    <t xml:space="preserve">Pão de Mel</t>
  </si>
  <si>
    <t xml:space="preserve">W</t>
  </si>
  <si>
    <t xml:space="preserve">X</t>
  </si>
  <si>
    <t xml:space="preserve">Y</t>
  </si>
  <si>
    <t xml:space="preserve">Queijo ralado</t>
  </si>
  <si>
    <t xml:space="preserve">Z</t>
  </si>
  <si>
    <t xml:space="preserve">Refrigerante</t>
  </si>
  <si>
    <t xml:space="preserve">Sal</t>
  </si>
  <si>
    <t xml:space="preserve">Salsicha tipo Viena</t>
  </si>
  <si>
    <t xml:space="preserve">Seleta de legumes</t>
  </si>
  <si>
    <t xml:space="preserve">Sopa pronta</t>
  </si>
  <si>
    <t xml:space="preserve">Sopão</t>
  </si>
  <si>
    <t xml:space="preserve">Suco</t>
  </si>
  <si>
    <t xml:space="preserve">Suco concentrado</t>
  </si>
  <si>
    <t xml:space="preserve">Tempero pronto</t>
  </si>
  <si>
    <t xml:space="preserve">Tomate Pelado</t>
  </si>
  <si>
    <t xml:space="preserve">Vinagre</t>
  </si>
  <si>
    <t xml:space="preserve">Sum - Qtde (S2)</t>
  </si>
  <si>
    <t xml:space="preserve">Café (1kg)</t>
  </si>
  <si>
    <t xml:space="preserve">Alvejante (1L)</t>
  </si>
  <si>
    <t xml:space="preserve">Alvejante (2L)</t>
  </si>
  <si>
    <t xml:space="preserve">Abacaxi em calda (820g)</t>
  </si>
  <si>
    <t xml:space="preserve">Abacaxi em calda (830g)</t>
  </si>
  <si>
    <t xml:space="preserve">Achocolatado (200g)</t>
  </si>
  <si>
    <t xml:space="preserve">Achocolatado (300g)</t>
  </si>
  <si>
    <t xml:space="preserve">Achocolatado (500g)</t>
  </si>
  <si>
    <t xml:space="preserve">Açucar (500g)</t>
  </si>
  <si>
    <t xml:space="preserve">Absorvente (36un)</t>
  </si>
  <si>
    <t xml:space="preserve">Água de Coco (2L)</t>
  </si>
  <si>
    <t xml:space="preserve">Absorvente (40 un)</t>
  </si>
  <si>
    <t xml:space="preserve">Absorvente (60un)</t>
  </si>
  <si>
    <t xml:space="preserve">Arroz integral (500g)</t>
  </si>
  <si>
    <t xml:space="preserve">Absorvente (80un)</t>
  </si>
  <si>
    <t xml:space="preserve">Atum (170g)</t>
  </si>
  <si>
    <t xml:space="preserve">Atum (325g)</t>
  </si>
  <si>
    <t xml:space="preserve">Álcool Gel (1L)</t>
  </si>
  <si>
    <t xml:space="preserve">Aveia (200g)</t>
  </si>
  <si>
    <t xml:space="preserve">Álcool Gel (500ml)</t>
  </si>
  <si>
    <t xml:space="preserve">Aveia (500g)</t>
  </si>
  <si>
    <t xml:space="preserve">Algodão (25g)</t>
  </si>
  <si>
    <t xml:space="preserve">Azeite (200mL)</t>
  </si>
  <si>
    <t xml:space="preserve">Algodão (50g)</t>
  </si>
  <si>
    <t xml:space="preserve">Azeite (500mL)</t>
  </si>
  <si>
    <t xml:space="preserve">Alvejante (500mL)</t>
  </si>
  <si>
    <t xml:space="preserve">Azeitona (100g)</t>
  </si>
  <si>
    <t xml:space="preserve">Amaciante (500mL)</t>
  </si>
  <si>
    <t xml:space="preserve">Azeitona (120g)</t>
  </si>
  <si>
    <t xml:space="preserve">Amaciante (900ml)</t>
  </si>
  <si>
    <t xml:space="preserve">Azeitona (150g)</t>
  </si>
  <si>
    <t xml:space="preserve">Amaciante(1L)</t>
  </si>
  <si>
    <t xml:space="preserve">Azeitona (160g)</t>
  </si>
  <si>
    <t xml:space="preserve">Azeitona (1kg)</t>
  </si>
  <si>
    <t xml:space="preserve">Antisséptico (100ml)</t>
  </si>
  <si>
    <t xml:space="preserve">Azeitona (270g)</t>
  </si>
  <si>
    <t xml:space="preserve">Antisséptico (440ml)</t>
  </si>
  <si>
    <t xml:space="preserve">Band Aid</t>
  </si>
  <si>
    <t xml:space="preserve">Batata Palha (120g)</t>
  </si>
  <si>
    <t xml:space="preserve">Band Aid (10un)</t>
  </si>
  <si>
    <t xml:space="preserve">Band Aid (40un)</t>
  </si>
  <si>
    <t xml:space="preserve">Brilho Alumínio (2L)</t>
  </si>
  <si>
    <t xml:space="preserve">Biscoito de Polvinho</t>
  </si>
  <si>
    <t xml:space="preserve">Brilho Alumínio (500mL)</t>
  </si>
  <si>
    <t xml:space="preserve">Cloro ativo (500ml)</t>
  </si>
  <si>
    <t xml:space="preserve">Bolacha (100g)</t>
  </si>
  <si>
    <t xml:space="preserve">Cloro ativo (5L)</t>
  </si>
  <si>
    <t xml:space="preserve">Condicionador (200mL)</t>
  </si>
  <si>
    <t xml:space="preserve">Bolacha (115g)</t>
  </si>
  <si>
    <t xml:space="preserve">Condicionador (325 mL)</t>
  </si>
  <si>
    <t xml:space="preserve">Condicionador (350 mL)</t>
  </si>
  <si>
    <t xml:space="preserve">Condicionador (400mL)</t>
  </si>
  <si>
    <t xml:space="preserve">Creme de barbear</t>
  </si>
  <si>
    <t xml:space="preserve">Bolacha (150g)</t>
  </si>
  <si>
    <t xml:space="preserve">Desinfetante (300mL)</t>
  </si>
  <si>
    <t xml:space="preserve">Bolacha (250g)</t>
  </si>
  <si>
    <t xml:space="preserve">Bolacha (315g)</t>
  </si>
  <si>
    <t xml:space="preserve">Desodorante creme</t>
  </si>
  <si>
    <t xml:space="preserve">Desodorante rollon</t>
  </si>
  <si>
    <t xml:space="preserve">Desodorante spray</t>
  </si>
  <si>
    <t xml:space="preserve">Detergente (5L)</t>
  </si>
  <si>
    <t xml:space="preserve">Bolacha (420g)</t>
  </si>
  <si>
    <t xml:space="preserve">Detergente (6un)</t>
  </si>
  <si>
    <t xml:space="preserve">Bombom de Cereja (94g)</t>
  </si>
  <si>
    <t xml:space="preserve">Enxaguante bucal (250mL)</t>
  </si>
  <si>
    <t xml:space="preserve">Enxaguante bucal (350mL)</t>
  </si>
  <si>
    <t xml:space="preserve">Café (250g)</t>
  </si>
  <si>
    <t xml:space="preserve">Enxaguante bucal (500mL)</t>
  </si>
  <si>
    <t xml:space="preserve">Café solúvel (50g)</t>
  </si>
  <si>
    <t xml:space="preserve">Canjica (500g)</t>
  </si>
  <si>
    <t xml:space="preserve">Cappuccino (200g)</t>
  </si>
  <si>
    <t xml:space="preserve">Cappuccino (20g)</t>
  </si>
  <si>
    <t xml:space="preserve">Cereal infantil (230g)</t>
  </si>
  <si>
    <t xml:space="preserve">Chá (100g)</t>
  </si>
  <si>
    <t xml:space="preserve">Filtro de Café</t>
  </si>
  <si>
    <t xml:space="preserve">Chá (10un)</t>
  </si>
  <si>
    <t xml:space="preserve">Fio Dental</t>
  </si>
  <si>
    <t xml:space="preserve">Chá (12g)</t>
  </si>
  <si>
    <t xml:space="preserve">Fosforo</t>
  </si>
  <si>
    <t xml:space="preserve">Chá (22,5g)</t>
  </si>
  <si>
    <t xml:space="preserve">Chocolate barra (100g)</t>
  </si>
  <si>
    <t xml:space="preserve">Fosforo (200un)</t>
  </si>
  <si>
    <t xml:space="preserve">Coca-cola (1,5L)</t>
  </si>
  <si>
    <t xml:space="preserve">Fósforo (40un)</t>
  </si>
  <si>
    <t xml:space="preserve">Coca-cola (2,5L)</t>
  </si>
  <si>
    <t xml:space="preserve">Fósforo (50un)</t>
  </si>
  <si>
    <t xml:space="preserve">Coca-cola (2L)</t>
  </si>
  <si>
    <t xml:space="preserve">Coca-cola (3L)</t>
  </si>
  <si>
    <t xml:space="preserve">Coco Ralado (100g)</t>
  </si>
  <si>
    <t xml:space="preserve">Fraldas Geriátricas (18un)</t>
  </si>
  <si>
    <t xml:space="preserve">Total Result</t>
  </si>
  <si>
    <t xml:space="preserve">NOS ITENS DE HIGIENE, A COLUNA DE PRODUTOS TÁ ERRADA, MAS NÃO ESTÁ SENDO USADA PARA CÁLCULOS, REVISAR DEPOIS</t>
  </si>
  <si>
    <t xml:space="preserve">Quantidade</t>
  </si>
  <si>
    <t xml:space="preserve">Preço por produto</t>
  </si>
  <si>
    <t xml:space="preserve">Kg equivalente</t>
  </si>
  <si>
    <t xml:space="preserve">Supermercados</t>
  </si>
  <si>
    <t xml:space="preserve">Outros</t>
  </si>
  <si>
    <t xml:space="preserve">x</t>
  </si>
  <si>
    <t xml:space="preserve">Cookie (400g)</t>
  </si>
  <si>
    <t xml:space="preserve">Fraldas Geriátricas (24 un)</t>
  </si>
  <si>
    <t xml:space="preserve">Creme de Cebola em Pó (68g)</t>
  </si>
  <si>
    <t xml:space="preserve">Fraldas Geriátricas (30un)</t>
  </si>
  <si>
    <t xml:space="preserve">Fraldas Infantis (12un)</t>
  </si>
  <si>
    <t xml:space="preserve">Cuscuz (500g)</t>
  </si>
  <si>
    <t xml:space="preserve">Fraldas Infantis (14un)</t>
  </si>
  <si>
    <t xml:space="preserve">Fraldas Infantis (16un)</t>
  </si>
  <si>
    <t xml:space="preserve">Doce de Abóbora (220g)</t>
  </si>
  <si>
    <t xml:space="preserve">Fraldas Infantis (18 un)</t>
  </si>
  <si>
    <t xml:space="preserve">Doces (bala - 150g)</t>
  </si>
  <si>
    <t xml:space="preserve">Doces (bala - 200g)</t>
  </si>
  <si>
    <t xml:space="preserve">Doces (bala - 300g)</t>
  </si>
  <si>
    <t xml:space="preserve">Doces (bala - 600g)</t>
  </si>
  <si>
    <t xml:space="preserve">Fraldas Infantis (26un)</t>
  </si>
  <si>
    <t xml:space="preserve">Doces (bala - 70 g)</t>
  </si>
  <si>
    <t xml:space="preserve">Fraldas Infantis (28un)</t>
  </si>
  <si>
    <t xml:space="preserve">Fraldas Infantis (30un)</t>
  </si>
  <si>
    <t xml:space="preserve">Ervilha (Sachê)</t>
  </si>
  <si>
    <t xml:space="preserve">Fraldas Infantis (34un)</t>
  </si>
  <si>
    <t xml:space="preserve">Ervilha Seca (500g)</t>
  </si>
  <si>
    <t xml:space="preserve">Fraldas Infantis (38un)</t>
  </si>
  <si>
    <t xml:space="preserve">Extrato de tomate (280g)</t>
  </si>
  <si>
    <t xml:space="preserve">Extrato de tomate (320g)</t>
  </si>
  <si>
    <t xml:space="preserve">Fraldas Infantis (46un)</t>
  </si>
  <si>
    <t xml:space="preserve">Extrato de tomate (400g)</t>
  </si>
  <si>
    <t xml:space="preserve">Extrato de tomate (520g)</t>
  </si>
  <si>
    <t xml:space="preserve">Fraldas Infantis (52un)</t>
  </si>
  <si>
    <t xml:space="preserve">Farinha de Kibe (500g)</t>
  </si>
  <si>
    <t xml:space="preserve">Fraldas Infantis (58un)</t>
  </si>
  <si>
    <t xml:space="preserve">Farinha de Mandioca (1kg)</t>
  </si>
  <si>
    <t xml:space="preserve">Fraldas Infantis (60un)</t>
  </si>
  <si>
    <t xml:space="preserve">Farinha de rosca (500g)</t>
  </si>
  <si>
    <t xml:space="preserve">Farofa (150g)</t>
  </si>
  <si>
    <t xml:space="preserve">Farofa (250g)</t>
  </si>
  <si>
    <t xml:space="preserve">Farofa (300g)</t>
  </si>
  <si>
    <t xml:space="preserve">Lâmina de barbear (1un)</t>
  </si>
  <si>
    <t xml:space="preserve">Lâmina de barbear (3un)</t>
  </si>
  <si>
    <t xml:space="preserve">Feijoada enlatada (830g)</t>
  </si>
  <si>
    <t xml:space="preserve">Lâmina de barbear (8un)</t>
  </si>
  <si>
    <t xml:space="preserve">Fermento (100g)</t>
  </si>
  <si>
    <t xml:space="preserve">Lâmina refil (4un)</t>
  </si>
  <si>
    <t xml:space="preserve">Lâmina refil (5un)</t>
  </si>
  <si>
    <t xml:space="preserve">Lenços de papel (50un)</t>
  </si>
  <si>
    <t xml:space="preserve">lenços papel 100 un</t>
  </si>
  <si>
    <t xml:space="preserve">Geleia de goiaba (100g)</t>
  </si>
  <si>
    <t xml:space="preserve">Goiabada (300g)</t>
  </si>
  <si>
    <t xml:space="preserve">Limpador(2L)</t>
  </si>
  <si>
    <t xml:space="preserve">Goiabada (500g)</t>
  </si>
  <si>
    <t xml:space="preserve">Granulado (130g)</t>
  </si>
  <si>
    <t xml:space="preserve">Granulado (150g)</t>
  </si>
  <si>
    <t xml:space="preserve">Multiuso (1L)</t>
  </si>
  <si>
    <t xml:space="preserve">Granulado (1kg)</t>
  </si>
  <si>
    <t xml:space="preserve">Multiuso (200ml)</t>
  </si>
  <si>
    <t xml:space="preserve">Granulado (500g)</t>
  </si>
  <si>
    <t xml:space="preserve">Grão de Bico (Lata)</t>
  </si>
  <si>
    <t xml:space="preserve">Grão de Bico (sache)</t>
  </si>
  <si>
    <t xml:space="preserve">Multiuso (750mL)</t>
  </si>
  <si>
    <t xml:space="preserve">Ketchup (400g)</t>
  </si>
  <si>
    <t xml:space="preserve">Kibe (500g)</t>
  </si>
  <si>
    <t xml:space="preserve">Leite de Coco (200mL)</t>
  </si>
  <si>
    <t xml:space="preserve">Papel Toalha (2un)</t>
  </si>
  <si>
    <t xml:space="preserve">Leite de soja (1L)</t>
  </si>
  <si>
    <t xml:space="preserve">Leite em Pó (200g)</t>
  </si>
  <si>
    <t xml:space="preserve">Leite em pó (280g)</t>
  </si>
  <si>
    <t xml:space="preserve">Leite em pó (300g)</t>
  </si>
  <si>
    <t xml:space="preserve">Leite em Pó (500g)</t>
  </si>
  <si>
    <t xml:space="preserve">Polvilho antisséptico (100g)</t>
  </si>
  <si>
    <t xml:space="preserve">Lentilha (1kg)</t>
  </si>
  <si>
    <t xml:space="preserve">Lentilha (200g)</t>
  </si>
  <si>
    <t xml:space="preserve">Querosene (500ml)</t>
  </si>
  <si>
    <t xml:space="preserve">Lentilha (380 g)</t>
  </si>
  <si>
    <t xml:space="preserve">Querosene (900ml)</t>
  </si>
  <si>
    <t xml:space="preserve">Lentilha (500g)</t>
  </si>
  <si>
    <t xml:space="preserve">Removedor de mancha (450mL)</t>
  </si>
  <si>
    <t xml:space="preserve">Macarrão (1kg)</t>
  </si>
  <si>
    <t xml:space="preserve">Macarrão (200g)</t>
  </si>
  <si>
    <t xml:space="preserve">sabao em barra (5un)</t>
  </si>
  <si>
    <t xml:space="preserve">Maionese (1kg)</t>
  </si>
  <si>
    <t xml:space="preserve">Maionese (200g)</t>
  </si>
  <si>
    <t xml:space="preserve">Maionese (250g)</t>
  </si>
  <si>
    <t xml:space="preserve">Maionese (300g)</t>
  </si>
  <si>
    <t xml:space="preserve">Maionese (400g)</t>
  </si>
  <si>
    <t xml:space="preserve">Sabão Líquido (2L)</t>
  </si>
  <si>
    <t xml:space="preserve">Maionese (700g)</t>
  </si>
  <si>
    <t xml:space="preserve">Sabão Líquido (3L)</t>
  </si>
  <si>
    <t xml:space="preserve">Maizena (200g)</t>
  </si>
  <si>
    <t xml:space="preserve">Sabão Líquido (5L)</t>
  </si>
  <si>
    <t xml:space="preserve">Maizena (500g)</t>
  </si>
  <si>
    <t xml:space="preserve">Maria Mole (50g)</t>
  </si>
  <si>
    <t xml:space="preserve">Massa lasanha (200g)</t>
  </si>
  <si>
    <t xml:space="preserve">Mingau (230g)</t>
  </si>
  <si>
    <t xml:space="preserve">Miojo (500g)</t>
  </si>
  <si>
    <t xml:space="preserve">Sabonete 85g</t>
  </si>
  <si>
    <t xml:space="preserve">3un</t>
  </si>
  <si>
    <t xml:space="preserve">Molho de Tomate (260g)</t>
  </si>
  <si>
    <t xml:space="preserve">Molho de Tomate (300g)</t>
  </si>
  <si>
    <t xml:space="preserve">Molho de tomate (400g)</t>
  </si>
  <si>
    <t xml:space="preserve">Saco de Lixo (20un)</t>
  </si>
  <si>
    <t xml:space="preserve">Molho de Tomate (440g)</t>
  </si>
  <si>
    <t xml:space="preserve">Saco de Lixo (20un) 15l</t>
  </si>
  <si>
    <t xml:space="preserve">Saco de Lixo (50un)</t>
  </si>
  <si>
    <t xml:space="preserve">Molho de tomate (680g)</t>
  </si>
  <si>
    <t xml:space="preserve">SBP</t>
  </si>
  <si>
    <t xml:space="preserve">Nozes (200g)</t>
  </si>
  <si>
    <t xml:space="preserve">Orégano (10g)</t>
  </si>
  <si>
    <t xml:space="preserve">Shampoo ou condicinador (400mL) </t>
  </si>
  <si>
    <t xml:space="preserve">Pacote de bala (200g)</t>
  </si>
  <si>
    <t xml:space="preserve">Shampoo ou condicionador (200mL) </t>
  </si>
  <si>
    <t xml:space="preserve">Pacote de bala (500g)</t>
  </si>
  <si>
    <t xml:space="preserve">Pacote de bala (600g)</t>
  </si>
  <si>
    <t xml:space="preserve">Palmito (300g)</t>
  </si>
  <si>
    <t xml:space="preserve">Shampoo ou condicionador (400mL) </t>
  </si>
  <si>
    <t xml:space="preserve">Palmito (500g)</t>
  </si>
  <si>
    <t xml:space="preserve">Palmito (530g)</t>
  </si>
  <si>
    <t xml:space="preserve">Talco (100g)</t>
  </si>
  <si>
    <t xml:space="preserve">Talco (200g)</t>
  </si>
  <si>
    <t xml:space="preserve">Panetone (80g)</t>
  </si>
  <si>
    <t xml:space="preserve">Tira manchas (450g)</t>
  </si>
  <si>
    <t xml:space="preserve">Tira manchas (450mL)</t>
  </si>
  <si>
    <t xml:space="preserve">Pão de Mel (200g)</t>
  </si>
  <si>
    <t xml:space="preserve">Pão de Mel (240g)</t>
  </si>
  <si>
    <t xml:space="preserve">Pão de Mel (500g)</t>
  </si>
  <si>
    <t xml:space="preserve">Pate de peru (100g)</t>
  </si>
  <si>
    <t xml:space="preserve">Patê de sardinha (150g)</t>
  </si>
  <si>
    <t xml:space="preserve">Patê de sardinha (170g)</t>
  </si>
  <si>
    <t xml:space="preserve">Polenta (1kg)</t>
  </si>
  <si>
    <t xml:space="preserve">Polvilho (1kg)</t>
  </si>
  <si>
    <t xml:space="preserve">Queijo ralado (50g)</t>
  </si>
  <si>
    <t xml:space="preserve">Refrigerante (1L)</t>
  </si>
  <si>
    <t xml:space="preserve">Refrigerante (2L)</t>
  </si>
  <si>
    <t xml:space="preserve">Refrigerante lata</t>
  </si>
  <si>
    <t xml:space="preserve">Sagu (150g)</t>
  </si>
  <si>
    <t xml:space="preserve">Sagu (250g)</t>
  </si>
  <si>
    <t xml:space="preserve">Sagu (500g)</t>
  </si>
  <si>
    <t xml:space="preserve">Sal (500g)</t>
  </si>
  <si>
    <t xml:space="preserve">Sal Grosso (1kg)</t>
  </si>
  <si>
    <t xml:space="preserve">Salgadinho (50g)</t>
  </si>
  <si>
    <t xml:space="preserve">Sazon (60g)</t>
  </si>
  <si>
    <t xml:space="preserve">Seleta de legumes (200g)</t>
  </si>
  <si>
    <t xml:space="preserve">Seleta de legumes (280g)</t>
  </si>
  <si>
    <t xml:space="preserve">Sopa de Cebola (38g)</t>
  </si>
  <si>
    <t xml:space="preserve">Sopa pronta (500g)</t>
  </si>
  <si>
    <t xml:space="preserve">Suco concentrado (500mL)</t>
  </si>
  <si>
    <t xml:space="preserve">Suco em Pó (450g)</t>
  </si>
  <si>
    <t xml:space="preserve">Tapioca (1kg)</t>
  </si>
  <si>
    <t xml:space="preserve">Tapioca (500g)</t>
  </si>
  <si>
    <t xml:space="preserve">Tempero pronto (500g)</t>
  </si>
  <si>
    <t xml:space="preserve">Tomate Pelado (400g)</t>
  </si>
  <si>
    <t xml:space="preserve">Trigo pra Kibe</t>
  </si>
  <si>
    <t xml:space="preserve">Uva Passa (100g)</t>
  </si>
  <si>
    <t xml:space="preserve">Yakissoba (500g)</t>
  </si>
  <si>
    <t xml:space="preserve">Marca</t>
  </si>
  <si>
    <t xml:space="preserve">7896110007892</t>
  </si>
  <si>
    <t xml:space="preserve">sym</t>
  </si>
  <si>
    <t xml:space="preserve">7896110003740</t>
  </si>
  <si>
    <t xml:space="preserve">7891010973483</t>
  </si>
  <si>
    <t xml:space="preserve">7896110002255</t>
  </si>
  <si>
    <t xml:space="preserve">aq</t>
  </si>
  <si>
    <t xml:space="preserve">7896110007700</t>
  </si>
  <si>
    <t xml:space="preserve">a</t>
  </si>
  <si>
    <t xml:space="preserve">7896110003221</t>
  </si>
  <si>
    <t xml:space="preserve">7896007540617</t>
  </si>
  <si>
    <t xml:space="preserve">7891010087722</t>
  </si>
  <si>
    <t xml:space="preserve">7896007545094</t>
  </si>
  <si>
    <t xml:space="preserve">7891010793463</t>
  </si>
  <si>
    <t xml:space="preserve">7896007544059</t>
  </si>
  <si>
    <t xml:space="preserve">intimus</t>
  </si>
  <si>
    <t xml:space="preserve">7891010704780</t>
  </si>
  <si>
    <t xml:space="preserve">7891000247785</t>
  </si>
  <si>
    <t xml:space="preserve">dd</t>
  </si>
  <si>
    <t xml:space="preserve">000098767335</t>
  </si>
  <si>
    <t xml:space="preserve">7896706300550</t>
  </si>
  <si>
    <t xml:space="preserve">chokilar</t>
  </si>
  <si>
    <t xml:space="preserve">7896072005080</t>
  </si>
  <si>
    <t xml:space="preserve">nuky</t>
  </si>
  <si>
    <t xml:space="preserve">7891000009437</t>
  </si>
  <si>
    <t xml:space="preserve">nescau</t>
  </si>
  <si>
    <t xml:space="preserve">7894321711263</t>
  </si>
  <si>
    <t xml:space="preserve">toddy</t>
  </si>
  <si>
    <t xml:space="preserve">7891000053508</t>
  </si>
  <si>
    <t xml:space="preserve">7898080640673</t>
  </si>
  <si>
    <t xml:space="preserve">7898080640833</t>
  </si>
  <si>
    <t xml:space="preserve">7896224836098</t>
  </si>
  <si>
    <t xml:space="preserve">kk</t>
  </si>
  <si>
    <t xml:space="preserve">7896072093636</t>
  </si>
  <si>
    <t xml:space="preserve">7891000251904</t>
  </si>
  <si>
    <t xml:space="preserve">7894321240923</t>
  </si>
  <si>
    <t xml:space="preserve">7894321711478</t>
  </si>
  <si>
    <t xml:space="preserve">7891000067178</t>
  </si>
  <si>
    <t xml:space="preserve">7891959014612</t>
  </si>
  <si>
    <t xml:space="preserve">União</t>
  </si>
  <si>
    <t xml:space="preserve">7896508200034</t>
  </si>
  <si>
    <t xml:space="preserve">alto alegre</t>
  </si>
  <si>
    <t xml:space="preserve">7896032501010</t>
  </si>
  <si>
    <t xml:space="preserve">da barra</t>
  </si>
  <si>
    <t xml:space="preserve">7896894900013</t>
  </si>
  <si>
    <t xml:space="preserve">caravelas</t>
  </si>
  <si>
    <t xml:space="preserve">7891910000197</t>
  </si>
  <si>
    <t xml:space="preserve">uniao</t>
  </si>
  <si>
    <t xml:space="preserve">7896109801005</t>
  </si>
  <si>
    <t xml:space="preserve">guarani</t>
  </si>
  <si>
    <t xml:space="preserve">7898187830014</t>
  </si>
  <si>
    <t xml:space="preserve">7896109800022</t>
  </si>
  <si>
    <t xml:space="preserve">7898187830021</t>
  </si>
  <si>
    <t xml:space="preserve">7896109800039</t>
  </si>
  <si>
    <t xml:space="preserve">7891959009922</t>
  </si>
  <si>
    <t xml:space="preserve">7898187830052</t>
  </si>
  <si>
    <t xml:space="preserve">santa isabel</t>
  </si>
  <si>
    <t xml:space="preserve">7896105500018</t>
  </si>
  <si>
    <t xml:space="preserve">candura</t>
  </si>
  <si>
    <t xml:space="preserve">7896372000013</t>
  </si>
  <si>
    <t xml:space="preserve">7896105500094</t>
  </si>
  <si>
    <t xml:space="preserve">7896733600197</t>
  </si>
  <si>
    <t xml:space="preserve">flora</t>
  </si>
  <si>
    <t xml:space="preserve">7896527700515</t>
  </si>
  <si>
    <t xml:space="preserve">triex</t>
  </si>
  <si>
    <t xml:space="preserve">7896461824087</t>
  </si>
  <si>
    <t xml:space="preserve">varex</t>
  </si>
  <si>
    <t xml:space="preserve">7896098904688</t>
  </si>
  <si>
    <t xml:space="preserve">ype</t>
  </si>
  <si>
    <t xml:space="preserve">7896097607252</t>
  </si>
  <si>
    <t xml:space="preserve">7896083800155</t>
  </si>
  <si>
    <t xml:space="preserve">7896416200201</t>
  </si>
  <si>
    <t xml:space="preserve">7898285310524</t>
  </si>
  <si>
    <t xml:space="preserve">7898285310579</t>
  </si>
  <si>
    <t xml:space="preserve">7896527701468</t>
  </si>
  <si>
    <t xml:space="preserve">s</t>
  </si>
  <si>
    <t xml:space="preserve">1</t>
  </si>
  <si>
    <t xml:space="preserve">fds</t>
  </si>
  <si>
    <t xml:space="preserve">7896098904664</t>
  </si>
  <si>
    <t xml:space="preserve">7898925255208</t>
  </si>
  <si>
    <t xml:space="preserve">Alcool    (1L)</t>
  </si>
  <si>
    <t xml:space="preserve">d</t>
  </si>
  <si>
    <t xml:space="preserve">7898288820044</t>
  </si>
  <si>
    <t xml:space="preserve">7896098902486</t>
  </si>
  <si>
    <t xml:space="preserve">Ypê</t>
  </si>
  <si>
    <t xml:space="preserve">7896056401228</t>
  </si>
  <si>
    <t xml:space="preserve">urca</t>
  </si>
  <si>
    <t xml:space="preserve">7896056401112</t>
  </si>
  <si>
    <t xml:space="preserve">7896040706889</t>
  </si>
  <si>
    <t xml:space="preserve">7896056402751</t>
  </si>
  <si>
    <t xml:space="preserve">7896098905401</t>
  </si>
  <si>
    <t xml:space="preserve">7896733610646</t>
  </si>
  <si>
    <t xml:space="preserve">7898009350317</t>
  </si>
  <si>
    <t xml:space="preserve">7896046400200</t>
  </si>
  <si>
    <t xml:space="preserve">rosalto</t>
  </si>
  <si>
    <t xml:space="preserve">7896290300189</t>
  </si>
  <si>
    <t xml:space="preserve">prato fino</t>
  </si>
  <si>
    <t xml:space="preserve">7896006762003</t>
  </si>
  <si>
    <t xml:space="preserve">camil</t>
  </si>
  <si>
    <t xml:space="preserve">7891103202926</t>
  </si>
  <si>
    <t xml:space="preserve">carrefour</t>
  </si>
  <si>
    <t xml:space="preserve">8480017496201</t>
  </si>
  <si>
    <t xml:space="preserve">Dia</t>
  </si>
  <si>
    <t xml:space="preserve">7896006711117</t>
  </si>
  <si>
    <t xml:space="preserve">Camilo</t>
  </si>
  <si>
    <t xml:space="preserve">7896550750013</t>
  </si>
  <si>
    <t xml:space="preserve">7896901200235</t>
  </si>
  <si>
    <t xml:space="preserve">7896290300295</t>
  </si>
  <si>
    <t xml:space="preserve">ds</t>
  </si>
  <si>
    <t xml:space="preserve">7898949924333</t>
  </si>
  <si>
    <t xml:space="preserve">7896006716112</t>
  </si>
  <si>
    <t xml:space="preserve">7896006701118</t>
  </si>
  <si>
    <t xml:space="preserve">7893500020134</t>
  </si>
  <si>
    <t xml:space="preserve">tio joao</t>
  </si>
  <si>
    <t xml:space="preserve">7896046400262</t>
  </si>
  <si>
    <t xml:space="preserve">rosalito</t>
  </si>
  <si>
    <t xml:space="preserve">7896700711130</t>
  </si>
  <si>
    <t xml:space="preserve">safra azul</t>
  </si>
  <si>
    <t xml:space="preserve">7896086420350</t>
  </si>
  <si>
    <t xml:space="preserve">emporio sao joao</t>
  </si>
  <si>
    <t xml:space="preserve">7896290300141</t>
  </si>
  <si>
    <t xml:space="preserve">7896230400238</t>
  </si>
  <si>
    <t xml:space="preserve">7896645720471</t>
  </si>
  <si>
    <t xml:space="preserve">dsf</t>
  </si>
  <si>
    <t xml:space="preserve">7896079431127</t>
  </si>
  <si>
    <t xml:space="preserve">7896901200013</t>
  </si>
  <si>
    <t xml:space="preserve">serrazul</t>
  </si>
  <si>
    <t xml:space="preserve">7896290300011</t>
  </si>
  <si>
    <t xml:space="preserve">7896046400194</t>
  </si>
  <si>
    <t xml:space="preserve">7893500020318</t>
  </si>
  <si>
    <t xml:space="preserve">meu biju</t>
  </si>
  <si>
    <t xml:space="preserve">7896062699947</t>
  </si>
  <si>
    <t xml:space="preserve">solito</t>
  </si>
  <si>
    <t xml:space="preserve">7896550720603</t>
  </si>
  <si>
    <t xml:space="preserve">4r</t>
  </si>
  <si>
    <t xml:space="preserve">7896006711162</t>
  </si>
  <si>
    <t xml:space="preserve">pop</t>
  </si>
  <si>
    <t xml:space="preserve">7896230400139</t>
  </si>
  <si>
    <t xml:space="preserve">albaruska</t>
  </si>
  <si>
    <t xml:space="preserve">7896006715153</t>
  </si>
  <si>
    <t xml:space="preserve">tche</t>
  </si>
  <si>
    <t xml:space="preserve">7896046400033</t>
  </si>
  <si>
    <t xml:space="preserve">7896086419774</t>
  </si>
  <si>
    <t xml:space="preserve">pateko</t>
  </si>
  <si>
    <t xml:space="preserve">7896006711155</t>
  </si>
  <si>
    <t xml:space="preserve">7897136323331</t>
  </si>
  <si>
    <t xml:space="preserve">7 povos</t>
  </si>
  <si>
    <t xml:space="preserve">7896550750020</t>
  </si>
  <si>
    <t xml:space="preserve">7896086420312</t>
  </si>
  <si>
    <t xml:space="preserve">7896901200143</t>
  </si>
  <si>
    <t xml:space="preserve">mn</t>
  </si>
  <si>
    <t xml:space="preserve">7896490500013</t>
  </si>
  <si>
    <t xml:space="preserve">7893500020158</t>
  </si>
  <si>
    <t xml:space="preserve">7897140100010</t>
  </si>
  <si>
    <t xml:space="preserve">7898949924081</t>
  </si>
  <si>
    <t xml:space="preserve">7896401100325</t>
  </si>
  <si>
    <t xml:space="preserve">7893500018483</t>
  </si>
  <si>
    <t xml:space="preserve">Tio João</t>
  </si>
  <si>
    <t xml:space="preserve">7896230400443</t>
  </si>
  <si>
    <t xml:space="preserve">7891095028344</t>
  </si>
  <si>
    <t xml:space="preserve">yoki</t>
  </si>
  <si>
    <t xml:space="preserve">7891010504755</t>
  </si>
  <si>
    <t xml:space="preserve">7897900314008</t>
  </si>
  <si>
    <t xml:space="preserve">7891000379103</t>
  </si>
  <si>
    <t xml:space="preserve">7898080640925</t>
  </si>
  <si>
    <t xml:space="preserve">7891203010605</t>
  </si>
  <si>
    <t xml:space="preserve">7896058257670</t>
  </si>
  <si>
    <t xml:space="preserve">7896002369787</t>
  </si>
  <si>
    <t xml:space="preserve">yfhg</t>
  </si>
  <si>
    <t xml:space="preserve">7896058256895</t>
  </si>
  <si>
    <t xml:space="preserve">salpet</t>
  </si>
  <si>
    <t xml:space="preserve">7891962050072</t>
  </si>
  <si>
    <t xml:space="preserve">recheadinho</t>
  </si>
  <si>
    <t xml:space="preserve">7896011100234</t>
  </si>
  <si>
    <t xml:space="preserve">oadua</t>
  </si>
  <si>
    <t xml:space="preserve">7896061302251</t>
  </si>
  <si>
    <t xml:space="preserve">7898176550367</t>
  </si>
  <si>
    <t xml:space="preserve">c</t>
  </si>
  <si>
    <t xml:space="preserve">7896022204891</t>
  </si>
  <si>
    <t xml:space="preserve">galo</t>
  </si>
  <si>
    <t xml:space="preserve">7898176550350</t>
  </si>
  <si>
    <t xml:space="preserve">fofinho</t>
  </si>
  <si>
    <t xml:space="preserve">7891962035505</t>
  </si>
  <si>
    <t xml:space="preserve">7898176550312</t>
  </si>
  <si>
    <t xml:space="preserve">7898176550343</t>
  </si>
  <si>
    <t xml:space="preserve">7891962035550</t>
  </si>
  <si>
    <t xml:space="preserve">7891962035529</t>
  </si>
  <si>
    <t xml:space="preserve">7896024720467</t>
  </si>
  <si>
    <t xml:space="preserve">piraque</t>
  </si>
  <si>
    <t xml:space="preserve">7891962035536</t>
  </si>
  <si>
    <t xml:space="preserve">7891000241356</t>
  </si>
  <si>
    <t xml:space="preserve">passatempo</t>
  </si>
  <si>
    <t xml:space="preserve">7896071024716</t>
  </si>
  <si>
    <t xml:space="preserve">7891000241370</t>
  </si>
  <si>
    <t xml:space="preserve">7896085051968</t>
  </si>
  <si>
    <t xml:space="preserve">nikito</t>
  </si>
  <si>
    <t xml:space="preserve">7896085051975</t>
  </si>
  <si>
    <t xml:space="preserve">7896085052002</t>
  </si>
  <si>
    <t xml:space="preserve">7622300741235</t>
  </si>
  <si>
    <t xml:space="preserve">7891962036984</t>
  </si>
  <si>
    <t xml:space="preserve">bauduco</t>
  </si>
  <si>
    <t xml:space="preserve">7891000018774</t>
  </si>
  <si>
    <t xml:space="preserve">7891000023808</t>
  </si>
  <si>
    <t xml:space="preserve">7622300741136</t>
  </si>
  <si>
    <t xml:space="preserve">7891000086193</t>
  </si>
  <si>
    <t xml:space="preserve">bono</t>
  </si>
  <si>
    <t xml:space="preserve">7891962037028</t>
  </si>
  <si>
    <t xml:space="preserve">7891962037011</t>
  </si>
  <si>
    <t xml:space="preserve">ss</t>
  </si>
  <si>
    <t xml:space="preserve">7622300989446</t>
  </si>
  <si>
    <t xml:space="preserve">oreo</t>
  </si>
  <si>
    <t xml:space="preserve">7891000241295</t>
  </si>
  <si>
    <t xml:space="preserve">gfy</t>
  </si>
  <si>
    <t xml:space="preserve">7891962036991</t>
  </si>
  <si>
    <t xml:space="preserve">bkhthshdf</t>
  </si>
  <si>
    <t xml:space="preserve">7891962037004</t>
  </si>
  <si>
    <t xml:space="preserve">7896085075551</t>
  </si>
  <si>
    <t xml:space="preserve">7896045318711</t>
  </si>
  <si>
    <t xml:space="preserve">magitec</t>
  </si>
  <si>
    <t xml:space="preserve">7896003706598</t>
  </si>
  <si>
    <t xml:space="preserve">fad</t>
  </si>
  <si>
    <t xml:space="preserve">7896003703863</t>
  </si>
  <si>
    <t xml:space="preserve">7891000018750</t>
  </si>
  <si>
    <t xml:space="preserve">7896003706536</t>
  </si>
  <si>
    <t xml:space="preserve">gu</t>
  </si>
  <si>
    <t xml:space="preserve">7896003706581</t>
  </si>
  <si>
    <t xml:space="preserve">7896003702200</t>
  </si>
  <si>
    <t xml:space="preserve">7891000060421</t>
  </si>
  <si>
    <t xml:space="preserve">7896022205140</t>
  </si>
  <si>
    <t xml:space="preserve">renata</t>
  </si>
  <si>
    <t xml:space="preserve">7896003700800</t>
  </si>
  <si>
    <t xml:space="preserve">m</t>
  </si>
  <si>
    <t xml:space="preserve">7896022205157</t>
  </si>
  <si>
    <t xml:space="preserve">7896003700817</t>
  </si>
  <si>
    <t xml:space="preserve">marilan</t>
  </si>
  <si>
    <t xml:space="preserve">7896058202540</t>
  </si>
  <si>
    <t xml:space="preserve">7891000089859</t>
  </si>
  <si>
    <t xml:space="preserve">z</t>
  </si>
  <si>
    <t xml:space="preserve">7896022205195</t>
  </si>
  <si>
    <t xml:space="preserve">7896003700992</t>
  </si>
  <si>
    <t xml:space="preserve">h</t>
  </si>
  <si>
    <t xml:space="preserve">7891168100014</t>
  </si>
  <si>
    <t xml:space="preserve">k</t>
  </si>
  <si>
    <t xml:space="preserve">7891000919705</t>
  </si>
  <si>
    <t xml:space="preserve">ll</t>
  </si>
  <si>
    <t xml:space="preserve">7891962014999</t>
  </si>
  <si>
    <t xml:space="preserve">6k</t>
  </si>
  <si>
    <t xml:space="preserve">7896085000607</t>
  </si>
  <si>
    <t xml:space="preserve">7896058204537</t>
  </si>
  <si>
    <t xml:space="preserve">trunfo</t>
  </si>
  <si>
    <t xml:space="preserve">7891962014982</t>
  </si>
  <si>
    <t xml:space="preserve">7896085053832</t>
  </si>
  <si>
    <t xml:space="preserve">7896998705217</t>
  </si>
  <si>
    <t xml:space="preserve">newbread</t>
  </si>
  <si>
    <t xml:space="preserve">7896998705200</t>
  </si>
  <si>
    <t xml:space="preserve">7896998705309</t>
  </si>
  <si>
    <t xml:space="preserve">7896200031172</t>
  </si>
  <si>
    <t xml:space="preserve">7891203059345</t>
  </si>
  <si>
    <t xml:space="preserve">7622300992330</t>
  </si>
  <si>
    <t xml:space="preserve">7896372400554</t>
  </si>
  <si>
    <t xml:space="preserve">7896022204648</t>
  </si>
  <si>
    <t xml:space="preserve">7896003702682</t>
  </si>
  <si>
    <t xml:space="preserve">7896022205225</t>
  </si>
  <si>
    <t xml:space="preserve">7896022205201</t>
  </si>
  <si>
    <t xml:space="preserve">7896022205164</t>
  </si>
  <si>
    <t xml:space="preserve">l</t>
  </si>
  <si>
    <t xml:space="preserve">7896022205232</t>
  </si>
  <si>
    <t xml:space="preserve">7896058251241</t>
  </si>
  <si>
    <t xml:space="preserve">triunfo</t>
  </si>
  <si>
    <t xml:space="preserve">7896058252279</t>
  </si>
  <si>
    <t xml:space="preserve">7896058251197</t>
  </si>
  <si>
    <t xml:space="preserve">q</t>
  </si>
  <si>
    <t xml:space="preserve">7896058251203</t>
  </si>
  <si>
    <t xml:space="preserve">7896058253917</t>
  </si>
  <si>
    <t xml:space="preserve">7896003703078</t>
  </si>
  <si>
    <t xml:space="preserve">7896080866130</t>
  </si>
  <si>
    <t xml:space="preserve">liane</t>
  </si>
  <si>
    <t xml:space="preserve">7896003703245</t>
  </si>
  <si>
    <t xml:space="preserve">7896080861135</t>
  </si>
  <si>
    <t xml:space="preserve">7896003703085</t>
  </si>
  <si>
    <t xml:space="preserve">7896003703054</t>
  </si>
  <si>
    <t xml:space="preserve">7896003703634</t>
  </si>
  <si>
    <t xml:space="preserve">7896085052163</t>
  </si>
  <si>
    <t xml:space="preserve">zabet</t>
  </si>
  <si>
    <t xml:space="preserve">7896003702934</t>
  </si>
  <si>
    <t xml:space="preserve">7896003703214</t>
  </si>
  <si>
    <t xml:space="preserve">7896085052071</t>
  </si>
  <si>
    <t xml:space="preserve">7896080861043</t>
  </si>
  <si>
    <t xml:space="preserve">7896003703641</t>
  </si>
  <si>
    <t xml:space="preserve">7896080870274</t>
  </si>
  <si>
    <t xml:space="preserve">7896085052088</t>
  </si>
  <si>
    <t xml:space="preserve">fd</t>
  </si>
  <si>
    <t xml:space="preserve">7896003703061</t>
  </si>
  <si>
    <t xml:space="preserve">xvx</t>
  </si>
  <si>
    <t xml:space="preserve">7896071001656</t>
  </si>
  <si>
    <t xml:space="preserve">7896071024860</t>
  </si>
  <si>
    <t xml:space="preserve">7896080870243</t>
  </si>
  <si>
    <t xml:space="preserve">7891203021168</t>
  </si>
  <si>
    <t xml:space="preserve">panco</t>
  </si>
  <si>
    <t xml:space="preserve">7891203021601</t>
  </si>
  <si>
    <t xml:space="preserve">7896022204914</t>
  </si>
  <si>
    <t xml:space="preserve">7896079820037</t>
  </si>
  <si>
    <t xml:space="preserve">7896089012460</t>
  </si>
  <si>
    <t xml:space="preserve">caboclo</t>
  </si>
  <si>
    <t xml:space="preserve">7896089011357</t>
  </si>
  <si>
    <t xml:space="preserve">pilao</t>
  </si>
  <si>
    <t xml:space="preserve">7896070900158</t>
  </si>
  <si>
    <t xml:space="preserve">serra da gama</t>
  </si>
  <si>
    <t xml:space="preserve">7896239300362</t>
  </si>
  <si>
    <t xml:space="preserve">igor</t>
  </si>
  <si>
    <t xml:space="preserve">7896048300720</t>
  </si>
  <si>
    <t xml:space="preserve">pacaembu</t>
  </si>
  <si>
    <t xml:space="preserve">7896048300966</t>
  </si>
  <si>
    <t xml:space="preserve">7896070902503</t>
  </si>
  <si>
    <t xml:space="preserve">7896048300027</t>
  </si>
  <si>
    <t xml:space="preserve">fda</t>
  </si>
  <si>
    <t xml:space="preserve">7896089010916</t>
  </si>
  <si>
    <t xml:space="preserve">Caboclo</t>
  </si>
  <si>
    <t xml:space="preserve">7896627935336</t>
  </si>
  <si>
    <t xml:space="preserve">7896005801826</t>
  </si>
  <si>
    <t xml:space="preserve">7892222300500</t>
  </si>
  <si>
    <t xml:space="preserve">7896500100011</t>
  </si>
  <si>
    <t xml:space="preserve">7891021007429</t>
  </si>
  <si>
    <t xml:space="preserve">Café solúvel    (50g)</t>
  </si>
  <si>
    <t xml:space="preserve">melita</t>
  </si>
  <si>
    <t xml:space="preserve">7891000113608</t>
  </si>
  <si>
    <t xml:space="preserve">7891000070673</t>
  </si>
  <si>
    <t xml:space="preserve">7891000243152</t>
  </si>
  <si>
    <t xml:space="preserve">7891010560812</t>
  </si>
  <si>
    <t xml:space="preserve">Johnson</t>
  </si>
  <si>
    <t xml:space="preserve">7899686700235</t>
  </si>
  <si>
    <t xml:space="preserve">7896235353171</t>
  </si>
  <si>
    <t xml:space="preserve">7891010560737</t>
  </si>
  <si>
    <t xml:space="preserve">7891350011043</t>
  </si>
  <si>
    <t xml:space="preserve">creme de barbear</t>
  </si>
  <si>
    <t xml:space="preserve">daf</t>
  </si>
  <si>
    <t xml:space="preserve">7891035285158</t>
  </si>
  <si>
    <t xml:space="preserve">7894650004463</t>
  </si>
  <si>
    <t xml:space="preserve">7895000393527</t>
  </si>
  <si>
    <t xml:space="preserve">Qualitá</t>
  </si>
  <si>
    <t xml:space="preserve">7896040703710</t>
  </si>
  <si>
    <t xml:space="preserve">casa e perfume</t>
  </si>
  <si>
    <t xml:space="preserve">7896733600760</t>
  </si>
  <si>
    <t xml:space="preserve">7896098904671</t>
  </si>
  <si>
    <t xml:space="preserve">7891024194607</t>
  </si>
  <si>
    <t xml:space="preserve">7896733600746</t>
  </si>
  <si>
    <t xml:space="preserve">7896384801431</t>
  </si>
  <si>
    <t xml:space="preserve">itavex</t>
  </si>
  <si>
    <t xml:space="preserve">7896105500186</t>
  </si>
  <si>
    <t xml:space="preserve">7898009350010</t>
  </si>
  <si>
    <t xml:space="preserve">pro lar</t>
  </si>
  <si>
    <t xml:space="preserve">7896384801417</t>
  </si>
  <si>
    <t xml:space="preserve">7896527700386</t>
  </si>
  <si>
    <t xml:space="preserve">TRIEx</t>
  </si>
  <si>
    <t xml:space="preserve">7896183300173</t>
  </si>
  <si>
    <t xml:space="preserve">7896183300319</t>
  </si>
  <si>
    <t xml:space="preserve">7896527701185</t>
  </si>
  <si>
    <t xml:space="preserve">6105500186</t>
  </si>
  <si>
    <t xml:space="preserve">7896527700379</t>
  </si>
  <si>
    <t xml:space="preserve">as</t>
  </si>
  <si>
    <t xml:space="preserve">7896384801196</t>
  </si>
  <si>
    <t xml:space="preserve">etw</t>
  </si>
  <si>
    <t xml:space="preserve">7896183302429</t>
  </si>
  <si>
    <t xml:space="preserve">7896183300180</t>
  </si>
  <si>
    <t xml:space="preserve">7896527700355</t>
  </si>
  <si>
    <t xml:space="preserve">7896056401044</t>
  </si>
  <si>
    <t xml:space="preserve">7896056402485</t>
  </si>
  <si>
    <t xml:space="preserve">7896183302436</t>
  </si>
  <si>
    <t xml:space="preserve">7896527701642</t>
  </si>
  <si>
    <t xml:space="preserve">7896097600024</t>
  </si>
  <si>
    <t xml:space="preserve">bufalo</t>
  </si>
  <si>
    <t xml:space="preserve">7896097600017</t>
  </si>
  <si>
    <t xml:space="preserve">7891022101256</t>
  </si>
  <si>
    <t xml:space="preserve">7896056401549</t>
  </si>
  <si>
    <t xml:space="preserve">xurca</t>
  </si>
  <si>
    <t xml:space="preserve">7891022080025</t>
  </si>
  <si>
    <t xml:space="preserve">7896098903629</t>
  </si>
  <si>
    <t xml:space="preserve">7896098903612</t>
  </si>
  <si>
    <t xml:space="preserve">7897664140196</t>
  </si>
  <si>
    <t xml:space="preserve">7891024120705</t>
  </si>
  <si>
    <t xml:space="preserve">7897664140226</t>
  </si>
  <si>
    <t xml:space="preserve">adds</t>
  </si>
  <si>
    <t xml:space="preserve">7896098900604</t>
  </si>
  <si>
    <t xml:space="preserve">7891024127605</t>
  </si>
  <si>
    <t xml:space="preserve">7891022854244</t>
  </si>
  <si>
    <t xml:space="preserve">7891024194249</t>
  </si>
  <si>
    <t xml:space="preserve">7896098900628</t>
  </si>
  <si>
    <t xml:space="preserve">7891035285257</t>
  </si>
  <si>
    <t xml:space="preserve">7896049528512</t>
  </si>
  <si>
    <t xml:space="preserve">7791293035017</t>
  </si>
  <si>
    <t xml:space="preserve">sd</t>
  </si>
  <si>
    <t xml:space="preserve">7891177816869</t>
  </si>
  <si>
    <t xml:space="preserve">7791293034997</t>
  </si>
  <si>
    <t xml:space="preserve">aa</t>
  </si>
  <si>
    <t xml:space="preserve">7896098900215</t>
  </si>
  <si>
    <t xml:space="preserve">Detergente 500ml</t>
  </si>
  <si>
    <t xml:space="preserve">7896098900208</t>
  </si>
  <si>
    <t xml:space="preserve">7891022100372</t>
  </si>
  <si>
    <t xml:space="preserve">limpol</t>
  </si>
  <si>
    <t xml:space="preserve">7896733600050</t>
  </si>
  <si>
    <t xml:space="preserve">7896098900253</t>
  </si>
  <si>
    <t xml:space="preserve">7896098900239</t>
  </si>
  <si>
    <t xml:space="preserve">7897664130043</t>
  </si>
  <si>
    <t xml:space="preserve">minuano</t>
  </si>
  <si>
    <t xml:space="preserve">7891022638004</t>
  </si>
  <si>
    <t xml:space="preserve">7896733600111</t>
  </si>
  <si>
    <t xml:space="preserve">Flora</t>
  </si>
  <si>
    <t xml:space="preserve">7896733600128</t>
  </si>
  <si>
    <t xml:space="preserve">7897664130319</t>
  </si>
  <si>
    <t xml:space="preserve">7897664130012</t>
  </si>
  <si>
    <t xml:space="preserve">7897664130036</t>
  </si>
  <si>
    <t xml:space="preserve">7891022639001</t>
  </si>
  <si>
    <t xml:space="preserve">7896527700751</t>
  </si>
  <si>
    <t xml:space="preserve">7897664130029</t>
  </si>
  <si>
    <t xml:space="preserve">7896527700782</t>
  </si>
  <si>
    <t xml:space="preserve">7896098900277</t>
  </si>
  <si>
    <t xml:space="preserve">7891022637007</t>
  </si>
  <si>
    <t xml:space="preserve">7896098900222</t>
  </si>
  <si>
    <t xml:space="preserve">7891022640007</t>
  </si>
  <si>
    <t xml:space="preserve">7896733600135</t>
  </si>
  <si>
    <t xml:space="preserve">7896098902042</t>
  </si>
  <si>
    <t xml:space="preserve">7896527700768</t>
  </si>
  <si>
    <t xml:space="preserve">7896527700485</t>
  </si>
  <si>
    <t xml:space="preserve">detergente 5l</t>
  </si>
  <si>
    <t xml:space="preserve">7896098900840</t>
  </si>
  <si>
    <t xml:space="preserve">Ype</t>
  </si>
  <si>
    <t xml:space="preserve">7891150058552</t>
  </si>
  <si>
    <t xml:space="preserve">7891150057630</t>
  </si>
  <si>
    <t xml:space="preserve">7896238400018</t>
  </si>
  <si>
    <t xml:space="preserve">7897517209056</t>
  </si>
  <si>
    <t xml:space="preserve">7896102501018</t>
  </si>
  <si>
    <t xml:space="preserve">quero</t>
  </si>
  <si>
    <t xml:space="preserve">7898905153289</t>
  </si>
  <si>
    <t xml:space="preserve">bonare</t>
  </si>
  <si>
    <t xml:space="preserve">7898930141039</t>
  </si>
  <si>
    <t xml:space="preserve">7896292300545</t>
  </si>
  <si>
    <t xml:space="preserve">Predilecta</t>
  </si>
  <si>
    <t xml:space="preserve">7896292311282</t>
  </si>
  <si>
    <t xml:space="preserve">7896102589146</t>
  </si>
  <si>
    <t xml:space="preserve">7897217400296</t>
  </si>
  <si>
    <t xml:space="preserve">7891024184509</t>
  </si>
  <si>
    <t xml:space="preserve">7891528016498</t>
  </si>
  <si>
    <t xml:space="preserve">7897217400142</t>
  </si>
  <si>
    <t xml:space="preserve">7891528112534</t>
  </si>
  <si>
    <t xml:space="preserve">7891010925543</t>
  </si>
  <si>
    <t xml:space="preserve">7897217400326</t>
  </si>
  <si>
    <t xml:space="preserve">jadefrog</t>
  </si>
  <si>
    <t xml:space="preserve">7891024008799</t>
  </si>
  <si>
    <t xml:space="preserve">7891024186244</t>
  </si>
  <si>
    <t xml:space="preserve">7891528008592</t>
  </si>
  <si>
    <t xml:space="preserve">7897217400180</t>
  </si>
  <si>
    <t xml:space="preserve">7891528012582</t>
  </si>
  <si>
    <t xml:space="preserve">7891024026434</t>
  </si>
  <si>
    <t xml:space="preserve">7897217400500</t>
  </si>
  <si>
    <t xml:space="preserve">7891024035825</t>
  </si>
  <si>
    <t xml:space="preserve">7509546067858</t>
  </si>
  <si>
    <t xml:space="preserve">7896001004504</t>
  </si>
  <si>
    <t xml:space="preserve">7896021622009</t>
  </si>
  <si>
    <t xml:space="preserve">7891040001187</t>
  </si>
  <si>
    <t xml:space="preserve">7896314707697</t>
  </si>
  <si>
    <t xml:space="preserve">7896090100026</t>
  </si>
  <si>
    <t xml:space="preserve">7896021623914</t>
  </si>
  <si>
    <t xml:space="preserve">ert</t>
  </si>
  <si>
    <t xml:space="preserve">7891040198726</t>
  </si>
  <si>
    <t xml:space="preserve">7896001045446</t>
  </si>
  <si>
    <t xml:space="preserve">7896090122707</t>
  </si>
  <si>
    <t xml:space="preserve">assolan</t>
  </si>
  <si>
    <t xml:space="preserve">7891022850031</t>
  </si>
  <si>
    <t xml:space="preserve">lustro</t>
  </si>
  <si>
    <t xml:space="preserve">7891022855029</t>
  </si>
  <si>
    <t xml:space="preserve">7896098901090</t>
  </si>
  <si>
    <t xml:space="preserve">sa]]</t>
  </si>
  <si>
    <t xml:space="preserve">7896036095041</t>
  </si>
  <si>
    <t xml:space="preserve">7896036094983</t>
  </si>
  <si>
    <t xml:space="preserve">7891095300389</t>
  </si>
  <si>
    <t xml:space="preserve">7891965120154</t>
  </si>
  <si>
    <t xml:space="preserve">7891965120215</t>
  </si>
  <si>
    <t xml:space="preserve">Farinha de milho (500g)</t>
  </si>
  <si>
    <t xml:space="preserve">7896280400394</t>
  </si>
  <si>
    <t xml:space="preserve">7896005202074</t>
  </si>
  <si>
    <t xml:space="preserve">dona benta</t>
  </si>
  <si>
    <t xml:space="preserve">7898234850019</t>
  </si>
  <si>
    <t xml:space="preserve">nita</t>
  </si>
  <si>
    <t xml:space="preserve">7896534400323</t>
  </si>
  <si>
    <t xml:space="preserve">globo</t>
  </si>
  <si>
    <t xml:space="preserve">7896534700010</t>
  </si>
  <si>
    <t xml:space="preserve">sm</t>
  </si>
  <si>
    <t xml:space="preserve">8480017336323</t>
  </si>
  <si>
    <t xml:space="preserve">dia</t>
  </si>
  <si>
    <t xml:space="preserve">7891080147951</t>
  </si>
  <si>
    <t xml:space="preserve">7892020200194</t>
  </si>
  <si>
    <t xml:space="preserve">7891080147814</t>
  </si>
  <si>
    <t xml:space="preserve">7891080000119</t>
  </si>
  <si>
    <t xml:space="preserve">xc</t>
  </si>
  <si>
    <t xml:space="preserve">7896534400200</t>
  </si>
  <si>
    <t xml:space="preserve">7892020200095</t>
  </si>
  <si>
    <t xml:space="preserve">7892020200231</t>
  </si>
  <si>
    <t xml:space="preserve">7896534400064</t>
  </si>
  <si>
    <t xml:space="preserve">Globo</t>
  </si>
  <si>
    <t xml:space="preserve">7896022200961</t>
  </si>
  <si>
    <t xml:space="preserve">7896005232705</t>
  </si>
  <si>
    <t xml:space="preserve">7891095300488</t>
  </si>
  <si>
    <t xml:space="preserve">7896280400110</t>
  </si>
  <si>
    <t xml:space="preserve">7896460400237</t>
  </si>
  <si>
    <t xml:space="preserve">7896117600195</t>
  </si>
  <si>
    <t xml:space="preserve">7891095200993</t>
  </si>
  <si>
    <t xml:space="preserve">7896069511037</t>
  </si>
  <si>
    <t xml:space="preserve">7896702324314</t>
  </si>
  <si>
    <t xml:space="preserve">Santa Izabel</t>
  </si>
  <si>
    <t xml:space="preserve">7896046400149</t>
  </si>
  <si>
    <t xml:space="preserve">rosalito preto</t>
  </si>
  <si>
    <t xml:space="preserve">7896046400064</t>
  </si>
  <si>
    <t xml:space="preserve">7898957777013</t>
  </si>
  <si>
    <t xml:space="preserve">de luci</t>
  </si>
  <si>
    <t xml:space="preserve">7896086421982</t>
  </si>
  <si>
    <t xml:space="preserve">7896200115360</t>
  </si>
  <si>
    <t xml:space="preserve">broto legal</t>
  </si>
  <si>
    <t xml:space="preserve">7896062602008</t>
  </si>
  <si>
    <t xml:space="preserve">7896555300046</t>
  </si>
  <si>
    <t xml:space="preserve">denadai</t>
  </si>
  <si>
    <t xml:space="preserve">7898116880035</t>
  </si>
  <si>
    <t xml:space="preserve">ubirana preto</t>
  </si>
  <si>
    <t xml:space="preserve">7896200115346</t>
  </si>
  <si>
    <t xml:space="preserve">7896200115773</t>
  </si>
  <si>
    <t xml:space="preserve">7896550720030</t>
  </si>
  <si>
    <t xml:space="preserve">vasconcelos</t>
  </si>
  <si>
    <t xml:space="preserve">7897500200015</t>
  </si>
  <si>
    <t xml:space="preserve">irano</t>
  </si>
  <si>
    <t xml:space="preserve">7896006744115</t>
  </si>
  <si>
    <t xml:space="preserve">7893500050315</t>
  </si>
  <si>
    <t xml:space="preserve">biju</t>
  </si>
  <si>
    <t xml:space="preserve">7896159010013</t>
  </si>
  <si>
    <t xml:space="preserve">7899686700211</t>
  </si>
  <si>
    <t xml:space="preserve">7896099100348</t>
  </si>
  <si>
    <t xml:space="preserve">08965507</t>
  </si>
  <si>
    <t xml:space="preserve">7898116880028</t>
  </si>
  <si>
    <t xml:space="preserve">7898949924197</t>
  </si>
  <si>
    <t xml:space="preserve">Vasconcelos</t>
  </si>
  <si>
    <t xml:space="preserve">7896417000077</t>
  </si>
  <si>
    <t xml:space="preserve">7896401100042</t>
  </si>
  <si>
    <t xml:space="preserve">9</t>
  </si>
  <si>
    <t xml:space="preserve">7896417000015</t>
  </si>
  <si>
    <t xml:space="preserve">quatigua</t>
  </si>
  <si>
    <t xml:space="preserve">7896555300145</t>
  </si>
  <si>
    <t xml:space="preserve">7898916153032</t>
  </si>
  <si>
    <t xml:space="preserve">divino</t>
  </si>
  <si>
    <t xml:space="preserve">7898116880066</t>
  </si>
  <si>
    <t xml:space="preserve">ubirama</t>
  </si>
  <si>
    <t xml:space="preserve">7898957777068</t>
  </si>
  <si>
    <t xml:space="preserve">serra paulista</t>
  </si>
  <si>
    <t xml:space="preserve">7898957777020</t>
  </si>
  <si>
    <t xml:space="preserve">7896086422231</t>
  </si>
  <si>
    <t xml:space="preserve">7896006748830</t>
  </si>
  <si>
    <t xml:space="preserve">7896080900148</t>
  </si>
  <si>
    <t xml:space="preserve">Fósforo (40 un x 10 caixas)</t>
  </si>
  <si>
    <t xml:space="preserve">7896061990403</t>
  </si>
  <si>
    <t xml:space="preserve">7896104995754</t>
  </si>
  <si>
    <t xml:space="preserve">afcd</t>
  </si>
  <si>
    <t xml:space="preserve">7896012800843</t>
  </si>
  <si>
    <t xml:space="preserve">Bigfral</t>
  </si>
  <si>
    <t xml:space="preserve">7806500773405</t>
  </si>
  <si>
    <t xml:space="preserve">cotidian</t>
  </si>
  <si>
    <t xml:space="preserve">7806500773603</t>
  </si>
  <si>
    <t xml:space="preserve">7896012801819</t>
  </si>
  <si>
    <t xml:space="preserve">czx</t>
  </si>
  <si>
    <t xml:space="preserve">7896012800836</t>
  </si>
  <si>
    <t xml:space="preserve">sdfd</t>
  </si>
  <si>
    <t xml:space="preserve">7896012801826</t>
  </si>
  <si>
    <t xml:space="preserve">7896104995761</t>
  </si>
  <si>
    <t xml:space="preserve">7896012800829</t>
  </si>
  <si>
    <t xml:space="preserve">7896104995778</t>
  </si>
  <si>
    <t xml:space="preserve">Mili Vita</t>
  </si>
  <si>
    <t xml:space="preserve">7896104995044</t>
  </si>
  <si>
    <t xml:space="preserve">Mili</t>
  </si>
  <si>
    <t xml:space="preserve">7898138781921</t>
  </si>
  <si>
    <t xml:space="preserve">7896012802045</t>
  </si>
  <si>
    <t xml:space="preserve">7500435122191</t>
  </si>
  <si>
    <t xml:space="preserve">7896012800379</t>
  </si>
  <si>
    <t xml:space="preserve">7500435117791</t>
  </si>
  <si>
    <t xml:space="preserve">7896061990076</t>
  </si>
  <si>
    <t xml:space="preserve">7896104994306</t>
  </si>
  <si>
    <t xml:space="preserve">7896012800362</t>
  </si>
  <si>
    <t xml:space="preserve">7896012800355</t>
  </si>
  <si>
    <t xml:space="preserve">POMPOM</t>
  </si>
  <si>
    <t xml:space="preserve">7896061990069</t>
  </si>
  <si>
    <t xml:space="preserve">ee</t>
  </si>
  <si>
    <t xml:space="preserve">7896104994313</t>
  </si>
  <si>
    <t xml:space="preserve">7896104994320</t>
  </si>
  <si>
    <t xml:space="preserve">7506339391329</t>
  </si>
  <si>
    <t xml:space="preserve">7896110005638</t>
  </si>
  <si>
    <t xml:space="preserve">7896007548415</t>
  </si>
  <si>
    <t xml:space="preserve">7506339391305</t>
  </si>
  <si>
    <t xml:space="preserve">7500435117845</t>
  </si>
  <si>
    <t xml:space="preserve">Pampers</t>
  </si>
  <si>
    <t xml:space="preserve">7896007548408</t>
  </si>
  <si>
    <t xml:space="preserve">huggies</t>
  </si>
  <si>
    <t xml:space="preserve">7896007546787</t>
  </si>
  <si>
    <t xml:space="preserve">7500435106627</t>
  </si>
  <si>
    <t xml:space="preserve">7896007548514</t>
  </si>
  <si>
    <t xml:space="preserve">7898931019023</t>
  </si>
  <si>
    <t xml:space="preserve">7891095200467</t>
  </si>
  <si>
    <t xml:space="preserve">7896593100011</t>
  </si>
  <si>
    <t xml:space="preserve">7896273900023</t>
  </si>
  <si>
    <t xml:space="preserve">7896069511297</t>
  </si>
  <si>
    <t xml:space="preserve">7896256050158</t>
  </si>
  <si>
    <t xml:space="preserve">7891965120345</t>
  </si>
  <si>
    <t xml:space="preserve">hikari</t>
  </si>
  <si>
    <t xml:space="preserve">7897005100087</t>
  </si>
  <si>
    <t xml:space="preserve">kinino</t>
  </si>
  <si>
    <t xml:space="preserve">7896256050141</t>
  </si>
  <si>
    <t xml:space="preserve">kodillar</t>
  </si>
  <si>
    <t xml:space="preserve">2820593100028</t>
  </si>
  <si>
    <t xml:space="preserve">roda dagua</t>
  </si>
  <si>
    <t xml:space="preserve">7891095200450</t>
  </si>
  <si>
    <t xml:space="preserve">7896097400228</t>
  </si>
  <si>
    <t xml:space="preserve">7896069511327</t>
  </si>
  <si>
    <t xml:space="preserve">Siamar</t>
  </si>
  <si>
    <t xml:space="preserve">7896593100028</t>
  </si>
  <si>
    <t xml:space="preserve">7896622713021</t>
  </si>
  <si>
    <t xml:space="preserve">7892300026629</t>
  </si>
  <si>
    <t xml:space="preserve">7897190306462</t>
  </si>
  <si>
    <t xml:space="preserve">ysrjtudk</t>
  </si>
  <si>
    <t xml:space="preserve">7896005218013</t>
  </si>
  <si>
    <t xml:space="preserve">7896327514114</t>
  </si>
  <si>
    <t xml:space="preserve">fcdfghijhgh</t>
  </si>
  <si>
    <t xml:space="preserve">7896327514138</t>
  </si>
  <si>
    <t xml:space="preserve">7896140600018</t>
  </si>
  <si>
    <t xml:space="preserve">6</t>
  </si>
  <si>
    <t xml:space="preserve">7896239300478</t>
  </si>
  <si>
    <t xml:space="preserve">7891172145124</t>
  </si>
  <si>
    <t xml:space="preserve">7891051028791</t>
  </si>
  <si>
    <t xml:space="preserve">Probak</t>
  </si>
  <si>
    <t xml:space="preserve">7702018874729</t>
  </si>
  <si>
    <t xml:space="preserve">7891051026773</t>
  </si>
  <si>
    <t xml:space="preserve">natori</t>
  </si>
  <si>
    <t xml:space="preserve">070330709485</t>
  </si>
  <si>
    <t xml:space="preserve">7501009222743</t>
  </si>
  <si>
    <t xml:space="preserve">      7891051026773</t>
  </si>
  <si>
    <t xml:space="preserve">070330727878</t>
  </si>
  <si>
    <t xml:space="preserve">7501009224174</t>
  </si>
  <si>
    <t xml:space="preserve">7501009222729</t>
  </si>
  <si>
    <t xml:space="preserve">7501001109653</t>
  </si>
  <si>
    <t xml:space="preserve">7500435121736</t>
  </si>
  <si>
    <t xml:space="preserve">070330709003</t>
  </si>
  <si>
    <t xml:space="preserve">7500435011266</t>
  </si>
  <si>
    <t xml:space="preserve">070330732339</t>
  </si>
  <si>
    <t xml:space="preserve">070330728509</t>
  </si>
  <si>
    <t xml:space="preserve">bic</t>
  </si>
  <si>
    <t xml:space="preserve">7891051040403</t>
  </si>
  <si>
    <t xml:space="preserve">17898080641318</t>
  </si>
  <si>
    <t xml:space="preserve">leite (caixa com 12)</t>
  </si>
  <si>
    <t xml:space="preserve">nilza</t>
  </si>
  <si>
    <t xml:space="preserve">17898080640632</t>
  </si>
  <si>
    <t xml:space="preserve">sdf</t>
  </si>
  <si>
    <t xml:space="preserve">17896569405000</t>
  </si>
  <si>
    <t xml:space="preserve">7898080641298</t>
  </si>
  <si>
    <t xml:space="preserve">Nilza</t>
  </si>
  <si>
    <t xml:space="preserve">7896569405003</t>
  </si>
  <si>
    <t xml:space="preserve">lider</t>
  </si>
  <si>
    <t xml:space="preserve">7898215151685</t>
  </si>
  <si>
    <t xml:space="preserve">piracanjuba</t>
  </si>
  <si>
    <t xml:space="preserve">7898080640611</t>
  </si>
  <si>
    <t xml:space="preserve">italac</t>
  </si>
  <si>
    <t xml:space="preserve">7897380000217</t>
  </si>
  <si>
    <t xml:space="preserve">hercules</t>
  </si>
  <si>
    <t xml:space="preserve">7896238101137</t>
  </si>
  <si>
    <t xml:space="preserve">matilat</t>
  </si>
  <si>
    <t xml:space="preserve">7891030002354</t>
  </si>
  <si>
    <t xml:space="preserve">mococa</t>
  </si>
  <si>
    <t xml:space="preserve">7896569405027</t>
  </si>
  <si>
    <t xml:space="preserve">7898080641311</t>
  </si>
  <si>
    <t xml:space="preserve">7898080640628</t>
  </si>
  <si>
    <t xml:space="preserve">7898080640635</t>
  </si>
  <si>
    <t xml:space="preserve">7896283800184</t>
  </si>
  <si>
    <t xml:space="preserve">jussara max</t>
  </si>
  <si>
    <t xml:space="preserve">7898080642097</t>
  </si>
  <si>
    <t xml:space="preserve">7896283800221</t>
  </si>
  <si>
    <t xml:space="preserve">jussara</t>
  </si>
  <si>
    <t xml:space="preserve">7898215151678</t>
  </si>
  <si>
    <t xml:space="preserve">7898080641304</t>
  </si>
  <si>
    <t xml:space="preserve">7898215151692</t>
  </si>
  <si>
    <t xml:space="preserve">pira</t>
  </si>
  <si>
    <t xml:space="preserve">7896256600223</t>
  </si>
  <si>
    <t xml:space="preserve">7896034610017</t>
  </si>
  <si>
    <t xml:space="preserve">7891000066607</t>
  </si>
  <si>
    <t xml:space="preserve">7891000066560</t>
  </si>
  <si>
    <t xml:space="preserve">7897380000767</t>
  </si>
  <si>
    <t xml:space="preserve">7896283800429</t>
  </si>
  <si>
    <t xml:space="preserve">7898080640185</t>
  </si>
  <si>
    <t xml:space="preserve">7891030002033</t>
  </si>
  <si>
    <t xml:space="preserve">zdv</t>
  </si>
  <si>
    <t xml:space="preserve">7891000100103</t>
  </si>
  <si>
    <t xml:space="preserve">3rg</t>
  </si>
  <si>
    <t xml:space="preserve">7898080640413</t>
  </si>
  <si>
    <t xml:space="preserve">7891000101506</t>
  </si>
  <si>
    <t xml:space="preserve">7891000140307</t>
  </si>
  <si>
    <t xml:space="preserve">ninho</t>
  </si>
  <si>
    <t xml:space="preserve">7896051130291</t>
  </si>
  <si>
    <t xml:space="preserve">itambe</t>
  </si>
  <si>
    <t xml:space="preserve">7891000142202</t>
  </si>
  <si>
    <t xml:space="preserve">7898215152439</t>
  </si>
  <si>
    <t xml:space="preserve">7898080640369</t>
  </si>
  <si>
    <t xml:space="preserve">7898080641694</t>
  </si>
  <si>
    <t xml:space="preserve">7898080641823</t>
  </si>
  <si>
    <t xml:space="preserve">7896051130116</t>
  </si>
  <si>
    <t xml:space="preserve">7891000001080</t>
  </si>
  <si>
    <t xml:space="preserve">7896051130109</t>
  </si>
  <si>
    <t xml:space="preserve">7896275970574</t>
  </si>
  <si>
    <t xml:space="preserve">7898309100100</t>
  </si>
  <si>
    <t xml:space="preserve">7898215152484</t>
  </si>
  <si>
    <t xml:space="preserve">7793940463006</t>
  </si>
  <si>
    <t xml:space="preserve">fyjf</t>
  </si>
  <si>
    <t xml:space="preserve">7891000071397</t>
  </si>
  <si>
    <t xml:space="preserve">7896051130093</t>
  </si>
  <si>
    <t xml:space="preserve">7898138782003</t>
  </si>
  <si>
    <t xml:space="preserve">7891150035539</t>
  </si>
  <si>
    <t xml:space="preserve">7891095100552</t>
  </si>
  <si>
    <t xml:space="preserve">7894650004265</t>
  </si>
  <si>
    <t xml:space="preserve">7891035215339</t>
  </si>
  <si>
    <t xml:space="preserve">7891035285189</t>
  </si>
  <si>
    <t xml:space="preserve">7894650013908</t>
  </si>
  <si>
    <t xml:space="preserve">7894650002698</t>
  </si>
  <si>
    <t xml:space="preserve">7891024037157</t>
  </si>
  <si>
    <t xml:space="preserve">7896205788156</t>
  </si>
  <si>
    <t xml:space="preserve">Adria</t>
  </si>
  <si>
    <t xml:space="preserve">7896022200299</t>
  </si>
  <si>
    <t xml:space="preserve">Renata</t>
  </si>
  <si>
    <t xml:space="preserve">7896205754458</t>
  </si>
  <si>
    <t xml:space="preserve">7896022200206</t>
  </si>
  <si>
    <t xml:space="preserve">7896763621155</t>
  </si>
  <si>
    <t xml:space="preserve">padre nosso</t>
  </si>
  <si>
    <t xml:space="preserve">7896763621094</t>
  </si>
  <si>
    <t xml:space="preserve">massas paulistas</t>
  </si>
  <si>
    <t xml:space="preserve">7896205722198</t>
  </si>
  <si>
    <t xml:space="preserve">basilar</t>
  </si>
  <si>
    <t xml:space="preserve">7896763621018</t>
  </si>
  <si>
    <t xml:space="preserve">massas paulista</t>
  </si>
  <si>
    <t xml:space="preserve">7896022200213</t>
  </si>
  <si>
    <t xml:space="preserve">7896022200152</t>
  </si>
  <si>
    <t xml:space="preserve">7896005281697</t>
  </si>
  <si>
    <t xml:space="preserve">7896205756407</t>
  </si>
  <si>
    <t xml:space="preserve">7896005286593</t>
  </si>
  <si>
    <t xml:space="preserve">7896022200282</t>
  </si>
  <si>
    <t xml:space="preserve">7896005286524</t>
  </si>
  <si>
    <t xml:space="preserve">8000139923524</t>
  </si>
  <si>
    <t xml:space="preserve">bary</t>
  </si>
  <si>
    <t xml:space="preserve">7896022200732</t>
  </si>
  <si>
    <t xml:space="preserve">7896763621001</t>
  </si>
  <si>
    <t xml:space="preserve">7896205722013</t>
  </si>
  <si>
    <t xml:space="preserve">7896022204495</t>
  </si>
  <si>
    <t xml:space="preserve">7896022200879</t>
  </si>
  <si>
    <t xml:space="preserve">7896005275399</t>
  </si>
  <si>
    <t xml:space="preserve">7896022203610</t>
  </si>
  <si>
    <t xml:space="preserve">7896205756360</t>
  </si>
  <si>
    <t xml:space="preserve">basila</t>
  </si>
  <si>
    <t xml:space="preserve">7896205722211</t>
  </si>
  <si>
    <t xml:space="preserve">7896763621223</t>
  </si>
  <si>
    <t xml:space="preserve">7896005208151</t>
  </si>
  <si>
    <t xml:space="preserve">7896022200534</t>
  </si>
  <si>
    <t xml:space="preserve">7896022202989</t>
  </si>
  <si>
    <t xml:space="preserve">7896022205478</t>
  </si>
  <si>
    <t xml:space="preserve">7896205756391</t>
  </si>
  <si>
    <t xml:space="preserve">7896022200176</t>
  </si>
  <si>
    <t xml:space="preserve">7896022200145</t>
  </si>
  <si>
    <t xml:space="preserve">7896022203443</t>
  </si>
  <si>
    <t xml:space="preserve">7896022200572</t>
  </si>
  <si>
    <t xml:space="preserve">7896022200039</t>
  </si>
  <si>
    <t xml:space="preserve">7896022200480</t>
  </si>
  <si>
    <t xml:space="preserve">7896022200626</t>
  </si>
  <si>
    <t xml:space="preserve">7896205722068</t>
  </si>
  <si>
    <t xml:space="preserve">7896763621056</t>
  </si>
  <si>
    <t xml:space="preserve">paulista</t>
  </si>
  <si>
    <t xml:space="preserve">7896022200350</t>
  </si>
  <si>
    <t xml:space="preserve">7896022200435</t>
  </si>
  <si>
    <t xml:space="preserve">7896022200022</t>
  </si>
  <si>
    <t xml:space="preserve">7896763625030</t>
  </si>
  <si>
    <t xml:space="preserve">7896022201326</t>
  </si>
  <si>
    <t xml:space="preserve">7896022200169</t>
  </si>
  <si>
    <t xml:space="preserve">7896022200275</t>
  </si>
  <si>
    <t xml:space="preserve">7896038305193</t>
  </si>
  <si>
    <t xml:space="preserve">tio urbano</t>
  </si>
  <si>
    <t xml:space="preserve">7896005286579</t>
  </si>
  <si>
    <t xml:space="preserve">7896022200756</t>
  </si>
  <si>
    <t xml:space="preserve">7898951850064</t>
  </si>
  <si>
    <t xml:space="preserve">7896022200268</t>
  </si>
  <si>
    <t xml:space="preserve">7896022200381</t>
  </si>
  <si>
    <t xml:space="preserve">7896205722044</t>
  </si>
  <si>
    <t xml:space="preserve">7896005286555</t>
  </si>
  <si>
    <t xml:space="preserve">7896005281710</t>
  </si>
  <si>
    <t xml:space="preserve">rv</t>
  </si>
  <si>
    <t xml:space="preserve">7897721410095</t>
  </si>
  <si>
    <t xml:space="preserve">7896205756377</t>
  </si>
  <si>
    <t xml:space="preserve">7896022202996</t>
  </si>
  <si>
    <t xml:space="preserve">7896005208182</t>
  </si>
  <si>
    <t xml:space="preserve">7896205744046</t>
  </si>
  <si>
    <t xml:space="preserve">7897721410071</t>
  </si>
  <si>
    <t xml:space="preserve">7896005271377</t>
  </si>
  <si>
    <t xml:space="preserve">Macarrão LASANHA (200g)</t>
  </si>
  <si>
    <t xml:space="preserve">petybon</t>
  </si>
  <si>
    <t xml:space="preserve">7896022203870</t>
  </si>
  <si>
    <t xml:space="preserve">7896036091326</t>
  </si>
  <si>
    <t xml:space="preserve">7891080803918</t>
  </si>
  <si>
    <t xml:space="preserve">7896022200121</t>
  </si>
  <si>
    <t xml:space="preserve">u6ruy</t>
  </si>
  <si>
    <t xml:space="preserve">7898905153012</t>
  </si>
  <si>
    <t xml:space="preserve">Milho + ervilha 1lata</t>
  </si>
  <si>
    <t xml:space="preserve">7898930141084</t>
  </si>
  <si>
    <t xml:space="preserve">7896292308077</t>
  </si>
  <si>
    <t xml:space="preserve">7896102589122</t>
  </si>
  <si>
    <t xml:space="preserve">Milho conserva (1lata)</t>
  </si>
  <si>
    <t xml:space="preserve">ryj</t>
  </si>
  <si>
    <t xml:space="preserve">7891150058903</t>
  </si>
  <si>
    <t xml:space="preserve">7897517209025</t>
  </si>
  <si>
    <t xml:space="preserve">fugini</t>
  </si>
  <si>
    <t xml:space="preserve">7896292311091</t>
  </si>
  <si>
    <t xml:space="preserve">7898930141015</t>
  </si>
  <si>
    <t xml:space="preserve">Milho conserva(1lata)</t>
  </si>
  <si>
    <t xml:space="preserve">stella d'oro</t>
  </si>
  <si>
    <t xml:space="preserve">7896102501155</t>
  </si>
  <si>
    <t xml:space="preserve">7898905153258</t>
  </si>
  <si>
    <t xml:space="preserve">7897517209001</t>
  </si>
  <si>
    <t xml:space="preserve">7896292300507</t>
  </si>
  <si>
    <t xml:space="preserve">7891965220441</t>
  </si>
  <si>
    <t xml:space="preserve">7896280400707</t>
  </si>
  <si>
    <t xml:space="preserve">7896069511877</t>
  </si>
  <si>
    <t xml:space="preserve">7891079000229</t>
  </si>
  <si>
    <t xml:space="preserve">7891079000434</t>
  </si>
  <si>
    <t xml:space="preserve">j</t>
  </si>
  <si>
    <t xml:space="preserve">7891079000427</t>
  </si>
  <si>
    <t xml:space="preserve">g</t>
  </si>
  <si>
    <t xml:space="preserve">7891079001561</t>
  </si>
  <si>
    <t xml:space="preserve">7896022201852</t>
  </si>
  <si>
    <t xml:space="preserve">7896022201890</t>
  </si>
  <si>
    <t xml:space="preserve">7896205755349</t>
  </si>
  <si>
    <t xml:space="preserve">7896022201913</t>
  </si>
  <si>
    <t xml:space="preserve">7896022201906</t>
  </si>
  <si>
    <t xml:space="preserve">7891203057525</t>
  </si>
  <si>
    <t xml:space="preserve">7896022204211</t>
  </si>
  <si>
    <t xml:space="preserve">Mistura de Bolo 400g</t>
  </si>
  <si>
    <t xml:space="preserve">7896102502183</t>
  </si>
  <si>
    <t xml:space="preserve">ç4</t>
  </si>
  <si>
    <t xml:space="preserve">7896036097335</t>
  </si>
  <si>
    <t xml:space="preserve">7896036096062</t>
  </si>
  <si>
    <t xml:space="preserve">7898920223363</t>
  </si>
  <si>
    <t xml:space="preserve">pramesa</t>
  </si>
  <si>
    <t xml:space="preserve">7898902299263</t>
  </si>
  <si>
    <t xml:space="preserve">stella D'oro</t>
  </si>
  <si>
    <t xml:space="preserve">7896036095904</t>
  </si>
  <si>
    <t xml:space="preserve">pomarola</t>
  </si>
  <si>
    <t xml:space="preserve">7896025802490</t>
  </si>
  <si>
    <t xml:space="preserve">cepera</t>
  </si>
  <si>
    <t xml:space="preserve">7896102509410</t>
  </si>
  <si>
    <t xml:space="preserve">7898045701111</t>
  </si>
  <si>
    <t xml:space="preserve">7896036095003</t>
  </si>
  <si>
    <t xml:space="preserve">tarantela</t>
  </si>
  <si>
    <t xml:space="preserve">7891080170591</t>
  </si>
  <si>
    <t xml:space="preserve">primor</t>
  </si>
  <si>
    <t xml:space="preserve">7891032015215</t>
  </si>
  <si>
    <t xml:space="preserve">7897517206086</t>
  </si>
  <si>
    <t xml:space="preserve">7898905153630</t>
  </si>
  <si>
    <t xml:space="preserve">7891300908676</t>
  </si>
  <si>
    <t xml:space="preserve">7896292303003</t>
  </si>
  <si>
    <t xml:space="preserve">k4</t>
  </si>
  <si>
    <t xml:space="preserve">7897517206178</t>
  </si>
  <si>
    <t xml:space="preserve">7891032015307</t>
  </si>
  <si>
    <t xml:space="preserve">szc</t>
  </si>
  <si>
    <t xml:space="preserve">7896102502312</t>
  </si>
  <si>
    <t xml:space="preserve">rgg</t>
  </si>
  <si>
    <t xml:space="preserve">7896102502299</t>
  </si>
  <si>
    <t xml:space="preserve">f</t>
  </si>
  <si>
    <t xml:space="preserve">7896036094976</t>
  </si>
  <si>
    <t xml:space="preserve">7896102593051</t>
  </si>
  <si>
    <t xml:space="preserve">7896102592993</t>
  </si>
  <si>
    <t xml:space="preserve">7896102502961</t>
  </si>
  <si>
    <t xml:space="preserve">7896036098288</t>
  </si>
  <si>
    <t xml:space="preserve">7896036095119</t>
  </si>
  <si>
    <t xml:space="preserve">7891032015222</t>
  </si>
  <si>
    <t xml:space="preserve">Olé</t>
  </si>
  <si>
    <t xml:space="preserve">7896098901137</t>
  </si>
  <si>
    <t xml:space="preserve">7891035800344</t>
  </si>
  <si>
    <t xml:space="preserve">7891035800214</t>
  </si>
  <si>
    <t xml:space="preserve">Veja</t>
  </si>
  <si>
    <t xml:space="preserve">7891035210006</t>
  </si>
  <si>
    <t xml:space="preserve">7896056400870</t>
  </si>
  <si>
    <t xml:space="preserve">7891035210433</t>
  </si>
  <si>
    <t xml:space="preserve">veja</t>
  </si>
  <si>
    <t xml:space="preserve">7891035209000</t>
  </si>
  <si>
    <t xml:space="preserve">7891242211506</t>
  </si>
  <si>
    <t xml:space="preserve">uau</t>
  </si>
  <si>
    <t xml:space="preserve">7896098900857</t>
  </si>
  <si>
    <t xml:space="preserve">7891242211308</t>
  </si>
  <si>
    <t xml:space="preserve">7896527700218</t>
  </si>
  <si>
    <t xml:space="preserve">7896040704625</t>
  </si>
  <si>
    <t xml:space="preserve">7897664113022</t>
  </si>
  <si>
    <t xml:space="preserve">7896098906866</t>
  </si>
  <si>
    <t xml:space="preserve">7896098900802</t>
  </si>
  <si>
    <t xml:space="preserve">7891150061880</t>
  </si>
  <si>
    <t xml:space="preserve">7891035249433</t>
  </si>
  <si>
    <t xml:space="preserve">7896527700898</t>
  </si>
  <si>
    <t xml:space="preserve">7894650004494</t>
  </si>
  <si>
    <t xml:space="preserve">7891035216206</t>
  </si>
  <si>
    <t xml:space="preserve">7896056406001</t>
  </si>
  <si>
    <t xml:space="preserve">multiuso 3 un 500ml</t>
  </si>
  <si>
    <t xml:space="preserve">7898247780075</t>
  </si>
  <si>
    <t xml:space="preserve">concordia</t>
  </si>
  <si>
    <t xml:space="preserve">7896036090244</t>
  </si>
  <si>
    <t xml:space="preserve">liza</t>
  </si>
  <si>
    <t xml:space="preserve">7896018900035</t>
  </si>
  <si>
    <t xml:space="preserve">leve</t>
  </si>
  <si>
    <t xml:space="preserve">7891107101621</t>
  </si>
  <si>
    <t xml:space="preserve">soya</t>
  </si>
  <si>
    <t xml:space="preserve">7897001010403</t>
  </si>
  <si>
    <t xml:space="preserve">suavit</t>
  </si>
  <si>
    <t xml:space="preserve">7896334200550</t>
  </si>
  <si>
    <t xml:space="preserve">7896036090619</t>
  </si>
  <si>
    <t xml:space="preserve">7896277400055</t>
  </si>
  <si>
    <t xml:space="preserve">7898247780266</t>
  </si>
  <si>
    <t xml:space="preserve">7896064203456</t>
  </si>
  <si>
    <t xml:space="preserve">di lucca</t>
  </si>
  <si>
    <t xml:space="preserve">7891962018553</t>
  </si>
  <si>
    <t xml:space="preserve">tommy</t>
  </si>
  <si>
    <t xml:space="preserve">7896050427354</t>
  </si>
  <si>
    <t xml:space="preserve">panetone (80g)</t>
  </si>
  <si>
    <t xml:space="preserve">ad</t>
  </si>
  <si>
    <t xml:space="preserve">7896002360326</t>
  </si>
  <si>
    <t xml:space="preserve">7891962051338</t>
  </si>
  <si>
    <t xml:space="preserve">7896066317595</t>
  </si>
  <si>
    <t xml:space="preserve">7896372400110</t>
  </si>
  <si>
    <t xml:space="preserve">7899686700044</t>
  </si>
  <si>
    <t xml:space="preserve">uni</t>
  </si>
  <si>
    <t xml:space="preserve">7896061915109</t>
  </si>
  <si>
    <t xml:space="preserve">sublime</t>
  </si>
  <si>
    <t xml:space="preserve">7896110003900</t>
  </si>
  <si>
    <t xml:space="preserve">personal</t>
  </si>
  <si>
    <t xml:space="preserve">7896026838245</t>
  </si>
  <si>
    <t xml:space="preserve">paloma</t>
  </si>
  <si>
    <t xml:space="preserve">7896110091440</t>
  </si>
  <si>
    <t xml:space="preserve">7896104998557</t>
  </si>
  <si>
    <t xml:space="preserve">mili bianco</t>
  </si>
  <si>
    <t xml:space="preserve">7896110000176</t>
  </si>
  <si>
    <t xml:space="preserve">7896061918445</t>
  </si>
  <si>
    <t xml:space="preserve">7896104995280</t>
  </si>
  <si>
    <t xml:space="preserve">7896104993774</t>
  </si>
  <si>
    <t xml:space="preserve">7891172421174</t>
  </si>
  <si>
    <t xml:space="preserve">eet</t>
  </si>
  <si>
    <t xml:space="preserve">7896075300625</t>
  </si>
  <si>
    <t xml:space="preserve">7899686700020</t>
  </si>
  <si>
    <t xml:space="preserve">7896026839242</t>
  </si>
  <si>
    <t xml:space="preserve">7896110091846</t>
  </si>
  <si>
    <t xml:space="preserve">Personal</t>
  </si>
  <si>
    <t xml:space="preserve">7896110094700</t>
  </si>
  <si>
    <t xml:space="preserve">7899686700013</t>
  </si>
  <si>
    <t xml:space="preserve">7898327431262</t>
  </si>
  <si>
    <t xml:space="preserve">s4</t>
  </si>
  <si>
    <t xml:space="preserve">7896104996454</t>
  </si>
  <si>
    <t xml:space="preserve">llhj</t>
  </si>
  <si>
    <t xml:space="preserve">7896110008653</t>
  </si>
  <si>
    <t xml:space="preserve">7896104995693</t>
  </si>
  <si>
    <t xml:space="preserve">7896075300946</t>
  </si>
  <si>
    <t xml:space="preserve">7896110005874</t>
  </si>
  <si>
    <t xml:space="preserve">7896104993736</t>
  </si>
  <si>
    <t xml:space="preserve">7898327431286</t>
  </si>
  <si>
    <t xml:space="preserve">7896110004648</t>
  </si>
  <si>
    <t xml:space="preserve">7896110007427</t>
  </si>
  <si>
    <t xml:space="preserve">7896061915307</t>
  </si>
  <si>
    <t xml:space="preserve">7899686700051</t>
  </si>
  <si>
    <t xml:space="preserve">7896110094694</t>
  </si>
  <si>
    <t xml:space="preserve">7891024134610</t>
  </si>
  <si>
    <t xml:space="preserve">7891024132371</t>
  </si>
  <si>
    <t xml:space="preserve">7891528038001</t>
  </si>
  <si>
    <t xml:space="preserve">7891024111444</t>
  </si>
  <si>
    <t xml:space="preserve">Pasta de dente (4un)</t>
  </si>
  <si>
    <t xml:space="preserve">7891528038810</t>
  </si>
  <si>
    <t xml:space="preserve">7500435127370</t>
  </si>
  <si>
    <t xml:space="preserve">7891528029498</t>
  </si>
  <si>
    <t xml:space="preserve">sorriso</t>
  </si>
  <si>
    <t xml:space="preserve">7891150049888</t>
  </si>
  <si>
    <t xml:space="preserve">closeup</t>
  </si>
  <si>
    <t xml:space="preserve">7891150049895</t>
  </si>
  <si>
    <t xml:space="preserve">7891528029504</t>
  </si>
  <si>
    <t xml:space="preserve">7891528031132</t>
  </si>
  <si>
    <t xml:space="preserve">7891024036839</t>
  </si>
  <si>
    <t xml:space="preserve">7509546060835</t>
  </si>
  <si>
    <t xml:space="preserve">7500435000840</t>
  </si>
  <si>
    <t xml:space="preserve">7506339363883</t>
  </si>
  <si>
    <t xml:space="preserve">7891150049871</t>
  </si>
  <si>
    <t xml:space="preserve">7506195132043</t>
  </si>
  <si>
    <t xml:space="preserve">pasta de dente (70g)</t>
  </si>
  <si>
    <t xml:space="preserve">7891024034200</t>
  </si>
  <si>
    <t xml:space="preserve">7891037744356</t>
  </si>
  <si>
    <t xml:space="preserve">7891024132005</t>
  </si>
  <si>
    <t xml:space="preserve">colgate</t>
  </si>
  <si>
    <t xml:space="preserve">7891528030142</t>
  </si>
  <si>
    <t xml:space="preserve">7891024132128</t>
  </si>
  <si>
    <t xml:space="preserve">7891528038308</t>
  </si>
  <si>
    <t xml:space="preserve">7891024134702</t>
  </si>
  <si>
    <t xml:space="preserve">7891150042483</t>
  </si>
  <si>
    <t xml:space="preserve">7891024132104</t>
  </si>
  <si>
    <t xml:space="preserve">Colgate</t>
  </si>
  <si>
    <t xml:space="preserve">7891528038612</t>
  </si>
  <si>
    <t xml:space="preserve">7793100111143</t>
  </si>
  <si>
    <t xml:space="preserve">7891528020600</t>
  </si>
  <si>
    <t xml:space="preserve">7891037744257</t>
  </si>
  <si>
    <t xml:space="preserve">dfd</t>
  </si>
  <si>
    <t xml:space="preserve">7891024032732</t>
  </si>
  <si>
    <t xml:space="preserve">knihj</t>
  </si>
  <si>
    <t xml:space="preserve">7891150049925</t>
  </si>
  <si>
    <t xml:space="preserve">7891150049949</t>
  </si>
  <si>
    <t xml:space="preserve">7891150044623</t>
  </si>
  <si>
    <t xml:space="preserve">7891528038568</t>
  </si>
  <si>
    <t xml:space="preserve">7891037006324</t>
  </si>
  <si>
    <t xml:space="preserve">7896674700017</t>
  </si>
  <si>
    <t xml:space="preserve">Pêssego em calda 450g</t>
  </si>
  <si>
    <t xml:space="preserve">7897645100140</t>
  </si>
  <si>
    <t xml:space="preserve">7891095200207</t>
  </si>
  <si>
    <t xml:space="preserve">Yoki</t>
  </si>
  <si>
    <t xml:space="preserve">7898323450014</t>
  </si>
  <si>
    <t xml:space="preserve">7897516700011</t>
  </si>
  <si>
    <t xml:space="preserve">Sao Carlos</t>
  </si>
  <si>
    <t xml:space="preserve">7896098906118</t>
  </si>
  <si>
    <t xml:space="preserve">7898061120019</t>
  </si>
  <si>
    <t xml:space="preserve">7896098900109</t>
  </si>
  <si>
    <t xml:space="preserve">7897664100022</t>
  </si>
  <si>
    <t xml:space="preserve">7896527702021</t>
  </si>
  <si>
    <t xml:space="preserve">cz</t>
  </si>
  <si>
    <t xml:space="preserve">7891150021228</t>
  </si>
  <si>
    <t xml:space="preserve">surf</t>
  </si>
  <si>
    <t xml:space="preserve">7896090126040</t>
  </si>
  <si>
    <t xml:space="preserve">assim</t>
  </si>
  <si>
    <t xml:space="preserve">7891150021242</t>
  </si>
  <si>
    <t xml:space="preserve">7896056404571</t>
  </si>
  <si>
    <t xml:space="preserve">7896098900710</t>
  </si>
  <si>
    <t xml:space="preserve">7896098901717</t>
  </si>
  <si>
    <t xml:space="preserve">7896098900925</t>
  </si>
  <si>
    <t xml:space="preserve">7896098900741</t>
  </si>
  <si>
    <t xml:space="preserve">7891038009300</t>
  </si>
  <si>
    <t xml:space="preserve">ww</t>
  </si>
  <si>
    <t xml:space="preserve">7891150021235</t>
  </si>
  <si>
    <t xml:space="preserve">zz</t>
  </si>
  <si>
    <t xml:space="preserve">7891150048478</t>
  </si>
  <si>
    <t xml:space="preserve">7897664172067</t>
  </si>
  <si>
    <t xml:space="preserve">sabao em pó (2kg)</t>
  </si>
  <si>
    <t xml:space="preserve">7891150008502</t>
  </si>
  <si>
    <t xml:space="preserve">Omo</t>
  </si>
  <si>
    <t xml:space="preserve">7891150055117</t>
  </si>
  <si>
    <t xml:space="preserve">brilhante</t>
  </si>
  <si>
    <t xml:space="preserve">7896098900956</t>
  </si>
  <si>
    <t xml:space="preserve">7897664172234</t>
  </si>
  <si>
    <t xml:space="preserve">7891150025301</t>
  </si>
  <si>
    <t xml:space="preserve">7896098900949</t>
  </si>
  <si>
    <t xml:space="preserve">7896056405868</t>
  </si>
  <si>
    <t xml:space="preserve">7896056405233</t>
  </si>
  <si>
    <t xml:space="preserve">7896098900369</t>
  </si>
  <si>
    <t xml:space="preserve">ojh</t>
  </si>
  <si>
    <t xml:space="preserve">7896512909794</t>
  </si>
  <si>
    <t xml:space="preserve">phebo</t>
  </si>
  <si>
    <t xml:space="preserve">7891010690373</t>
  </si>
  <si>
    <t xml:space="preserve">jonhsons</t>
  </si>
  <si>
    <t xml:space="preserve">7891010691448</t>
  </si>
  <si>
    <t xml:space="preserve">7896512909770</t>
  </si>
  <si>
    <t xml:space="preserve">7891150033955</t>
  </si>
  <si>
    <t xml:space="preserve">7891150003217</t>
  </si>
  <si>
    <t xml:space="preserve">7891024110300</t>
  </si>
  <si>
    <t xml:space="preserve">7896090400010</t>
  </si>
  <si>
    <t xml:space="preserve">7891150060272</t>
  </si>
  <si>
    <t xml:space="preserve">7891150060296</t>
  </si>
  <si>
    <t xml:space="preserve">7891150060302</t>
  </si>
  <si>
    <t xml:space="preserve">7891150060289</t>
  </si>
  <si>
    <t xml:space="preserve">7891024110409</t>
  </si>
  <si>
    <t xml:space="preserve">7891024110201</t>
  </si>
  <si>
    <t xml:space="preserve">7891150060241</t>
  </si>
  <si>
    <t xml:space="preserve">7891150046368</t>
  </si>
  <si>
    <t xml:space="preserve">7891024037393</t>
  </si>
  <si>
    <t xml:space="preserve">7891150046375</t>
  </si>
  <si>
    <t xml:space="preserve">7891150057388</t>
  </si>
  <si>
    <t xml:space="preserve">7891150060463</t>
  </si>
  <si>
    <t xml:space="preserve">7891150060456</t>
  </si>
  <si>
    <t xml:space="preserve">7891024039243</t>
  </si>
  <si>
    <t xml:space="preserve">7896098902912</t>
  </si>
  <si>
    <t xml:space="preserve">7891024024485</t>
  </si>
  <si>
    <t xml:space="preserve">7891024035511</t>
  </si>
  <si>
    <t xml:space="preserve">7891150024809</t>
  </si>
  <si>
    <t xml:space="preserve">rexona</t>
  </si>
  <si>
    <t xml:space="preserve">7891150034952</t>
  </si>
  <si>
    <t xml:space="preserve">7891024034750</t>
  </si>
  <si>
    <t xml:space="preserve">palmolive</t>
  </si>
  <si>
    <t xml:space="preserve">7896090400300</t>
  </si>
  <si>
    <t xml:space="preserve">francis</t>
  </si>
  <si>
    <t xml:space="preserve">7891024111901</t>
  </si>
  <si>
    <t xml:space="preserve">7891150037878</t>
  </si>
  <si>
    <t xml:space="preserve">lux</t>
  </si>
  <si>
    <t xml:space="preserve">7891024034880</t>
  </si>
  <si>
    <t xml:space="preserve">7891010877989</t>
  </si>
  <si>
    <t xml:space="preserve">johnsons</t>
  </si>
  <si>
    <t xml:space="preserve">7891010718725</t>
  </si>
  <si>
    <t xml:space="preserve">7891010877972</t>
  </si>
  <si>
    <t xml:space="preserve">7891024034798</t>
  </si>
  <si>
    <t xml:space="preserve">7891010690380</t>
  </si>
  <si>
    <t xml:space="preserve">7891150024823</t>
  </si>
  <si>
    <t xml:space="preserve">7896090400331</t>
  </si>
  <si>
    <t xml:space="preserve">7891024034767</t>
  </si>
  <si>
    <t xml:space="preserve">7891150024816</t>
  </si>
  <si>
    <t xml:space="preserve">7891024034736</t>
  </si>
  <si>
    <t xml:space="preserve">7891024034828</t>
  </si>
  <si>
    <t xml:space="preserve">7891024034781</t>
  </si>
  <si>
    <t xml:space="preserve">7891150024779</t>
  </si>
  <si>
    <t xml:space="preserve">7891150024793</t>
  </si>
  <si>
    <t xml:space="preserve">7891024034743</t>
  </si>
  <si>
    <t xml:space="preserve">7891010032906</t>
  </si>
  <si>
    <t xml:space="preserve">7891150039490</t>
  </si>
  <si>
    <t xml:space="preserve">7891010610302</t>
  </si>
  <si>
    <t xml:space="preserve">7891024034712</t>
  </si>
  <si>
    <t xml:space="preserve">7891024034804</t>
  </si>
  <si>
    <t xml:space="preserve">7897664110304</t>
  </si>
  <si>
    <t xml:space="preserve">sd44</t>
  </si>
  <si>
    <t xml:space="preserve">7891010035976</t>
  </si>
  <si>
    <t xml:space="preserve">7891024038536</t>
  </si>
  <si>
    <t xml:space="preserve">4005900521897</t>
  </si>
  <si>
    <t xml:space="preserve">7891024034965</t>
  </si>
  <si>
    <t xml:space="preserve">7897664171718</t>
  </si>
  <si>
    <t xml:space="preserve">7896098900499</t>
  </si>
  <si>
    <t xml:space="preserve">7897664171701</t>
  </si>
  <si>
    <t xml:space="preserve">7891024035139</t>
  </si>
  <si>
    <t xml:space="preserve">7891150059870</t>
  </si>
  <si>
    <t xml:space="preserve">7897664171732</t>
  </si>
  <si>
    <t xml:space="preserve">sabonete (85g)</t>
  </si>
  <si>
    <t xml:space="preserve">7897664171725</t>
  </si>
  <si>
    <t xml:space="preserve">7897664171756</t>
  </si>
  <si>
    <t xml:space="preserve">sabonete albany</t>
  </si>
  <si>
    <t xml:space="preserve">7891024035245</t>
  </si>
  <si>
    <t xml:space="preserve">7891150043749</t>
  </si>
  <si>
    <t xml:space="preserve">sabonete 4 un</t>
  </si>
  <si>
    <t xml:space="preserve">7891024112861</t>
  </si>
  <si>
    <t xml:space="preserve">sa</t>
  </si>
  <si>
    <t xml:space="preserve">7891024028995</t>
  </si>
  <si>
    <t xml:space="preserve">7891010921293</t>
  </si>
  <si>
    <t xml:space="preserve">7891010690397</t>
  </si>
  <si>
    <t xml:space="preserve">7891024029817</t>
  </si>
  <si>
    <t xml:space="preserve">7896090403158</t>
  </si>
  <si>
    <t xml:space="preserve">Francis</t>
  </si>
  <si>
    <t xml:space="preserve">4005808530878</t>
  </si>
  <si>
    <t xml:space="preserve">Nivea</t>
  </si>
  <si>
    <t xml:space="preserve">7891150044616</t>
  </si>
  <si>
    <t xml:space="preserve">4005900380982</t>
  </si>
  <si>
    <t xml:space="preserve">7896090403141</t>
  </si>
  <si>
    <t xml:space="preserve">sryj</t>
  </si>
  <si>
    <t xml:space="preserve">7896098900482</t>
  </si>
  <si>
    <t xml:space="preserve">7896098900451</t>
  </si>
  <si>
    <t xml:space="preserve">7896090400317</t>
  </si>
  <si>
    <t xml:space="preserve">7897664171770</t>
  </si>
  <si>
    <t xml:space="preserve">7896098900475</t>
  </si>
  <si>
    <t xml:space="preserve">7891024038246</t>
  </si>
  <si>
    <t xml:space="preserve">7898341250832</t>
  </si>
  <si>
    <t xml:space="preserve">Saco de Lixo 15l (100un)</t>
  </si>
  <si>
    <t xml:space="preserve">7898016970508</t>
  </si>
  <si>
    <t xml:space="preserve">7898016970300</t>
  </si>
  <si>
    <t xml:space="preserve">ffgh</t>
  </si>
  <si>
    <t xml:space="preserve">7898341250887</t>
  </si>
  <si>
    <t xml:space="preserve">Saco de Lixo 30l/50l (10un) </t>
  </si>
  <si>
    <t xml:space="preserve">7898904855139</t>
  </si>
  <si>
    <t xml:space="preserve">7898341250856</t>
  </si>
  <si>
    <t xml:space="preserve">7896622711898</t>
  </si>
  <si>
    <t xml:space="preserve">7896622711904</t>
  </si>
  <si>
    <t xml:space="preserve">7898016971000</t>
  </si>
  <si>
    <t xml:space="preserve">Saco de lixo 100L (5un)</t>
  </si>
  <si>
    <t xml:space="preserve">7896622711911</t>
  </si>
  <si>
    <t xml:space="preserve">7898405750049</t>
  </si>
  <si>
    <t xml:space="preserve">7896110100043</t>
  </si>
  <si>
    <t xml:space="preserve">Sal Lebre</t>
  </si>
  <si>
    <t xml:space="preserve">7896244138875</t>
  </si>
  <si>
    <t xml:space="preserve">garça</t>
  </si>
  <si>
    <t xml:space="preserve">7896110100029</t>
  </si>
  <si>
    <t xml:space="preserve">7896100013018</t>
  </si>
  <si>
    <t xml:space="preserve">7896035210001</t>
  </si>
  <si>
    <t xml:space="preserve">7899567245220</t>
  </si>
  <si>
    <t xml:space="preserve">Salsicha (1lata)</t>
  </si>
  <si>
    <t xml:space="preserve">7896114900014</t>
  </si>
  <si>
    <t xml:space="preserve">7891167021013</t>
  </si>
  <si>
    <t xml:space="preserve">7891167021020</t>
  </si>
  <si>
    <t xml:space="preserve">7896114990022</t>
  </si>
  <si>
    <t xml:space="preserve">sad</t>
  </si>
  <si>
    <t xml:space="preserve">7894321811789</t>
  </si>
  <si>
    <t xml:space="preserve">7896117100350</t>
  </si>
  <si>
    <t xml:space="preserve">nfchghjk</t>
  </si>
  <si>
    <t xml:space="preserve">7894321811819</t>
  </si>
  <si>
    <t xml:space="preserve">7894321811758</t>
  </si>
  <si>
    <t xml:space="preserve">7898342050240</t>
  </si>
  <si>
    <t xml:space="preserve">7896094906471</t>
  </si>
  <si>
    <t xml:space="preserve">7891150014138</t>
  </si>
  <si>
    <t xml:space="preserve">7898919411962</t>
  </si>
  <si>
    <t xml:space="preserve">7891150043084</t>
  </si>
  <si>
    <t xml:space="preserve">tht</t>
  </si>
  <si>
    <t xml:space="preserve">7891150055582</t>
  </si>
  <si>
    <t xml:space="preserve">7891150045163</t>
  </si>
  <si>
    <t xml:space="preserve">treseme</t>
  </si>
  <si>
    <t xml:space="preserve">7891150042285</t>
  </si>
  <si>
    <t xml:space="preserve">xds</t>
  </si>
  <si>
    <t xml:space="preserve">7896094999138</t>
  </si>
  <si>
    <t xml:space="preserve">7898919412006</t>
  </si>
  <si>
    <t xml:space="preserve">7898919411955</t>
  </si>
  <si>
    <t xml:space="preserve">7891095007165</t>
  </si>
  <si>
    <t xml:space="preserve">7894900558029</t>
  </si>
  <si>
    <t xml:space="preserve">7897001050430</t>
  </si>
  <si>
    <t xml:space="preserve">7896000594198</t>
  </si>
  <si>
    <t xml:space="preserve">7898341430777</t>
  </si>
  <si>
    <t xml:space="preserve">hhy</t>
  </si>
  <si>
    <t xml:space="preserve">7622300999506</t>
  </si>
  <si>
    <t xml:space="preserve">fresh</t>
  </si>
  <si>
    <t xml:space="preserve">7622210655622</t>
  </si>
  <si>
    <t xml:space="preserve">tang</t>
  </si>
  <si>
    <t xml:space="preserve">7622300861261</t>
  </si>
  <si>
    <t xml:space="preserve">7622300861223</t>
  </si>
  <si>
    <t xml:space="preserve">7622300861919</t>
  </si>
  <si>
    <t xml:space="preserve">7622300861308</t>
  </si>
  <si>
    <t xml:space="preserve">7896043350553</t>
  </si>
  <si>
    <t xml:space="preserve">sukest</t>
  </si>
  <si>
    <t xml:space="preserve">7896043350454</t>
  </si>
  <si>
    <t xml:space="preserve">7896043350478</t>
  </si>
  <si>
    <t xml:space="preserve">7896043350515</t>
  </si>
  <si>
    <t xml:space="preserve">7896706303834</t>
  </si>
  <si>
    <t xml:space="preserve">7896706300680</t>
  </si>
  <si>
    <t xml:space="preserve">sad s</t>
  </si>
  <si>
    <t xml:space="preserve">7896327501275</t>
  </si>
  <si>
    <t xml:space="preserve">apti</t>
  </si>
  <si>
    <t xml:space="preserve">7896327512646</t>
  </si>
  <si>
    <t xml:space="preserve">aohjgf</t>
  </si>
  <si>
    <t xml:space="preserve">7896327512622</t>
  </si>
  <si>
    <t xml:space="preserve">dfegrfdc</t>
  </si>
  <si>
    <t xml:space="preserve">7896490290587</t>
  </si>
  <si>
    <t xml:space="preserve">7896005400029</t>
  </si>
  <si>
    <t xml:space="preserve">095188794506</t>
  </si>
  <si>
    <t xml:space="preserve">7896020160076</t>
  </si>
  <si>
    <t xml:space="preserve">7896012800874</t>
  </si>
  <si>
    <t xml:space="preserve">ads</t>
  </si>
  <si>
    <t xml:space="preserve">7898957983094</t>
  </si>
  <si>
    <t xml:space="preserve">Tapioca (1 kg)</t>
  </si>
  <si>
    <t xml:space="preserve">sei la</t>
  </si>
  <si>
    <t xml:space="preserve">7896615213002</t>
  </si>
  <si>
    <t xml:space="preserve">7891700011204</t>
  </si>
  <si>
    <t xml:space="preserve">er</t>
  </si>
  <si>
    <t xml:space="preserve">7896300300369</t>
  </si>
  <si>
    <t xml:space="preserve">7891962000268</t>
  </si>
  <si>
    <t xml:space="preserve">7896048284648</t>
  </si>
  <si>
    <t xml:space="preserve">adf</t>
  </si>
  <si>
    <t xml:space="preserve">7896048200051</t>
  </si>
  <si>
    <t xml:space="preserve">7896048284785</t>
  </si>
</sst>
</file>

<file path=xl/styles.xml><?xml version="1.0" encoding="utf-8"?>
<styleSheet xmlns="http://schemas.openxmlformats.org/spreadsheetml/2006/main">
  <numFmts count="5">
    <numFmt numFmtId="164" formatCode="General"/>
    <numFmt numFmtId="165" formatCode="DD/MM/YYYY\ HH:MM:SS"/>
    <numFmt numFmtId="166" formatCode="@"/>
    <numFmt numFmtId="167" formatCode="M/D/YYYY\ H:MM"/>
    <numFmt numFmtId="168" formatCode="0.00"/>
  </numFmts>
  <fonts count="19">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u val="single"/>
      <sz val="11"/>
      <color rgb="FF0563C1"/>
      <name val="Calibri"/>
      <family val="2"/>
      <charset val="1"/>
    </font>
    <font>
      <b val="true"/>
      <sz val="16"/>
      <color rgb="FFFFFFFF"/>
      <name val="Calibri"/>
      <family val="2"/>
      <charset val="1"/>
    </font>
    <font>
      <b val="true"/>
      <u val="single"/>
      <sz val="11"/>
      <color rgb="FFFFFFFF"/>
      <name val="Calibri"/>
      <family val="2"/>
      <charset val="1"/>
    </font>
    <font>
      <u val="single"/>
      <sz val="11"/>
      <color rgb="FF000000"/>
      <name val="Calibri"/>
      <family val="2"/>
      <charset val="1"/>
    </font>
    <font>
      <b val="true"/>
      <sz val="11"/>
      <color rgb="FFFFFFFF"/>
      <name val="Calibri"/>
      <family val="2"/>
      <charset val="1"/>
    </font>
    <font>
      <b val="true"/>
      <u val="single"/>
      <sz val="11"/>
      <color rgb="FF000000"/>
      <name val="Calibri"/>
      <family val="2"/>
      <charset val="1"/>
    </font>
    <font>
      <b val="true"/>
      <sz val="11"/>
      <name val="Calibri"/>
      <family val="2"/>
      <charset val="1"/>
    </font>
    <font>
      <sz val="11"/>
      <name val="Calibri"/>
      <family val="2"/>
      <charset val="1"/>
    </font>
    <font>
      <sz val="14"/>
      <color rgb="FF595959"/>
      <name val="Calibri"/>
      <family val="2"/>
    </font>
    <font>
      <sz val="9"/>
      <color rgb="FF595959"/>
      <name val="Calibri"/>
      <family val="2"/>
    </font>
    <font>
      <sz val="10"/>
      <color rgb="FF000000"/>
      <name val="Calibri"/>
      <family val="2"/>
    </font>
    <font>
      <sz val="11"/>
      <name val="Times New Roman"/>
      <family val="0"/>
    </font>
    <font>
      <sz val="10"/>
      <name val="Arial"/>
      <family val="2"/>
    </font>
    <font>
      <sz val="10"/>
      <color rgb="FF000000"/>
      <name val="Arial"/>
      <family val="2"/>
      <charset val="1"/>
    </font>
  </fonts>
  <fills count="8">
    <fill>
      <patternFill patternType="none"/>
    </fill>
    <fill>
      <patternFill patternType="gray125"/>
    </fill>
    <fill>
      <patternFill patternType="solid">
        <fgColor rgb="FFC00000"/>
        <bgColor rgb="FFE60000"/>
      </patternFill>
    </fill>
    <fill>
      <patternFill patternType="solid">
        <fgColor rgb="FFDEEBF7"/>
        <bgColor rgb="FFD9D9D9"/>
      </patternFill>
    </fill>
    <fill>
      <patternFill patternType="solid">
        <fgColor rgb="FFE60000"/>
        <bgColor rgb="FFFF0000"/>
      </patternFill>
    </fill>
    <fill>
      <patternFill patternType="solid">
        <fgColor rgb="FF2E75B6"/>
        <bgColor rgb="FF0563C1"/>
      </patternFill>
    </fill>
    <fill>
      <patternFill patternType="solid">
        <fgColor rgb="FFFFFF00"/>
        <bgColor rgb="FFFFFF00"/>
      </patternFill>
    </fill>
    <fill>
      <patternFill patternType="solid">
        <fgColor rgb="FFFF0000"/>
        <bgColor rgb="FFE60000"/>
      </patternFill>
    </fill>
  </fills>
  <borders count="26">
    <border diagonalUp="false" diagonalDown="false">
      <left/>
      <right/>
      <top/>
      <bottom/>
      <diagonal/>
    </border>
    <border diagonalUp="false" diagonalDown="false">
      <left style="thin"/>
      <right style="thin"/>
      <top style="thin"/>
      <bottom style="thin"/>
      <diagonal/>
    </border>
    <border diagonalUp="false" diagonalDown="false">
      <left/>
      <right/>
      <top/>
      <bottom style="thin"/>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color rgb="FF9DC3E6"/>
      </left>
      <right/>
      <top style="thin">
        <color rgb="FF9DC3E6"/>
      </top>
      <bottom style="thin">
        <color rgb="FF9DC3E6"/>
      </bottom>
      <diagonal/>
    </border>
    <border diagonalUp="false" diagonalDown="false">
      <left style="medium"/>
      <right style="medium"/>
      <top style="medium"/>
      <bottom style="thin"/>
      <diagonal/>
    </border>
    <border diagonalUp="false" diagonalDown="false">
      <left style="medium"/>
      <right style="medium"/>
      <top style="medium"/>
      <bottom/>
      <diagonal/>
    </border>
    <border diagonalUp="false" diagonalDown="false">
      <left/>
      <right style="thin"/>
      <top/>
      <bottom style="thin"/>
      <diagonal/>
    </border>
    <border diagonalUp="false" diagonalDown="false">
      <left style="thin"/>
      <right style="thin"/>
      <top/>
      <bottom style="thin"/>
      <diagonal/>
    </border>
    <border diagonalUp="false" diagonalDown="false">
      <left style="thin"/>
      <right/>
      <top/>
      <bottom style="thin"/>
      <diagonal/>
    </border>
    <border diagonalUp="false" diagonalDown="false">
      <left/>
      <right style="thin"/>
      <top style="thin"/>
      <bottom style="medium"/>
      <diagonal/>
    </border>
    <border diagonalUp="false" diagonalDown="false">
      <left style="thin"/>
      <right style="thin"/>
      <top style="thin"/>
      <bottom style="medium"/>
      <diagonal/>
    </border>
    <border diagonalUp="false" diagonalDown="false">
      <left style="thin"/>
      <right style="thin"/>
      <top style="thin"/>
      <bottom/>
      <diagonal/>
    </border>
    <border diagonalUp="false" diagonalDown="false">
      <left style="thin"/>
      <right/>
      <top style="thin"/>
      <bottom style="mediu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medium"/>
      <right style="thin"/>
      <top/>
      <bottom/>
      <diagonal/>
    </border>
    <border diagonalUp="false" diagonalDown="false">
      <left style="thin"/>
      <right style="medium"/>
      <top/>
      <bottom/>
      <diagonal/>
    </border>
    <border diagonalUp="false" diagonalDown="false">
      <left style="thin"/>
      <right style="medium"/>
      <top/>
      <bottom style="thin"/>
      <diagonal/>
    </border>
    <border diagonalUp="false" diagonalDown="false">
      <left style="medium"/>
      <right style="thin"/>
      <top style="thin"/>
      <bottom style="medium"/>
      <diagonal/>
    </border>
    <border diagonalUp="false" diagonalDown="false">
      <left style="thin"/>
      <right style="medium"/>
      <top style="thin"/>
      <bottom style="medium"/>
      <diagonal/>
    </border>
    <border diagonalUp="false" diagonalDown="false">
      <left/>
      <right style="thin"/>
      <top style="thin"/>
      <bottom/>
      <diagonal/>
    </border>
    <border diagonalUp="false" diagonalDown="false">
      <left style="thin"/>
      <right/>
      <top style="thin"/>
      <bottom/>
      <diagonal/>
    </border>
  </borders>
  <cellStyleXfs count="27">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5"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left"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cellStyleXfs>
  <cellXfs count="76">
    <xf numFmtId="164" fontId="0" fillId="0" borderId="0" xfId="0" applyFont="false" applyBorder="false" applyAlignment="false" applyProtection="false">
      <alignment horizontal="general" vertical="bottom" textRotation="0" wrapText="false" indent="0" shrinkToFit="false"/>
      <protection locked="true" hidden="false"/>
    </xf>
    <xf numFmtId="164" fontId="5" fillId="0" borderId="0" xfId="20" applyFont="true" applyBorder="true" applyAlignment="true" applyProtection="true">
      <alignment horizontal="general" vertical="bottom" textRotation="0" wrapText="false" indent="0" shrinkToFit="false"/>
      <protection locked="true" hidden="false"/>
    </xf>
    <xf numFmtId="164" fontId="6" fillId="2" borderId="1" xfId="0" applyFont="true" applyBorder="true" applyAlignment="true" applyProtection="false">
      <alignment horizontal="center" vertical="bottom" textRotation="0" wrapText="false" indent="0" shrinkToFit="false"/>
      <protection locked="true" hidden="false"/>
    </xf>
    <xf numFmtId="164" fontId="7" fillId="2" borderId="2" xfId="20" applyFont="true" applyBorder="true" applyAlignment="true" applyProtection="true">
      <alignment horizontal="left"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9" fillId="2" borderId="1"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1" xfId="0" applyFont="false" applyBorder="true" applyAlignment="true" applyProtection="false">
      <alignment horizontal="right"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0" fillId="0" borderId="3" xfId="0" applyFont="true" applyBorder="true" applyAlignment="true" applyProtection="false">
      <alignment horizontal="right" vertical="bottom" textRotation="0" wrapText="false" indent="0" shrinkToFit="false"/>
      <protection locked="true" hidden="false"/>
    </xf>
    <xf numFmtId="164" fontId="0" fillId="0" borderId="4" xfId="0" applyFont="false" applyBorder="true" applyAlignment="false" applyProtection="false">
      <alignment horizontal="general"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11" fillId="0" borderId="0" xfId="0" applyFont="true" applyBorder="true" applyAlignment="false" applyProtection="false">
      <alignment horizontal="general" vertical="bottom" textRotation="0" wrapText="false" indent="0" shrinkToFit="false"/>
      <protection locked="true" hidden="false"/>
    </xf>
    <xf numFmtId="164" fontId="7" fillId="2" borderId="1" xfId="20" applyFont="true" applyBorder="true" applyAlignment="true" applyProtection="true">
      <alignment horizontal="general" vertical="bottom" textRotation="0" wrapText="false" indent="0" shrinkToFit="false"/>
      <protection locked="true" hidden="false"/>
    </xf>
    <xf numFmtId="166" fontId="0" fillId="3" borderId="5" xfId="0" applyFont="true" applyBorder="tru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4" fontId="9" fillId="2" borderId="2" xfId="20" applyFont="true" applyBorder="true" applyAlignment="true" applyProtection="true">
      <alignment horizontal="left" vertical="bottom" textRotation="0" wrapText="false" indent="0" shrinkToFit="false"/>
      <protection locked="true" hidden="false"/>
    </xf>
    <xf numFmtId="164" fontId="0" fillId="0" borderId="1" xfId="0" applyFont="true" applyBorder="true" applyAlignment="true" applyProtection="false">
      <alignment horizontal="general" vertical="bottom" textRotation="0" wrapText="tru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7" fillId="2" borderId="0" xfId="20" applyFont="true" applyBorder="true" applyAlignment="true" applyProtection="true">
      <alignment horizontal="center" vertical="bottom" textRotation="0" wrapText="false" indent="0" shrinkToFit="false"/>
      <protection locked="true" hidden="false"/>
    </xf>
    <xf numFmtId="164" fontId="9" fillId="2" borderId="6" xfId="0" applyFont="true" applyBorder="true" applyAlignment="true" applyProtection="false">
      <alignment horizontal="center" vertical="bottom" textRotation="0" wrapText="false" indent="0" shrinkToFit="false"/>
      <protection locked="true" hidden="false"/>
    </xf>
    <xf numFmtId="164" fontId="9" fillId="2" borderId="7" xfId="0" applyFont="true" applyBorder="true" applyAlignment="true" applyProtection="false">
      <alignment horizontal="center" vertical="bottom" textRotation="0" wrapText="false" indent="0" shrinkToFit="false"/>
      <protection locked="true" hidden="false"/>
    </xf>
    <xf numFmtId="164" fontId="0" fillId="0" borderId="1" xfId="0" applyFont="true" applyBorder="true" applyAlignment="true" applyProtection="false">
      <alignment horizontal="center" vertical="center" textRotation="0" wrapText="false" indent="0" shrinkToFit="false"/>
      <protection locked="true" hidden="false"/>
    </xf>
    <xf numFmtId="164" fontId="9" fillId="4" borderId="8" xfId="0" applyFont="true" applyBorder="true" applyAlignment="true" applyProtection="false">
      <alignment horizontal="center" vertical="bottom" textRotation="0" wrapText="false" indent="0" shrinkToFit="false"/>
      <protection locked="true" hidden="false"/>
    </xf>
    <xf numFmtId="164" fontId="9" fillId="4" borderId="9" xfId="0" applyFont="true" applyBorder="true" applyAlignment="true" applyProtection="false">
      <alignment horizontal="center" vertical="bottom" textRotation="0" wrapText="false" indent="0" shrinkToFit="false"/>
      <protection locked="true" hidden="false"/>
    </xf>
    <xf numFmtId="164" fontId="9" fillId="4" borderId="10" xfId="0" applyFont="true" applyBorder="true" applyAlignment="true" applyProtection="false">
      <alignment horizontal="center" vertical="bottom" textRotation="0" wrapText="false" indent="0" shrinkToFit="false"/>
      <protection locked="true" hidden="false"/>
    </xf>
    <xf numFmtId="164" fontId="0" fillId="0" borderId="4" xfId="0" applyFont="false" applyBorder="true" applyAlignment="true" applyProtection="false">
      <alignment horizontal="center" vertical="bottom" textRotation="0" wrapText="false" indent="0" shrinkToFit="false"/>
      <protection locked="true" hidden="false"/>
    </xf>
    <xf numFmtId="164" fontId="0" fillId="0" borderId="1" xfId="0" applyFont="false" applyBorder="true" applyAlignment="true" applyProtection="false">
      <alignment horizontal="center" vertical="bottom" textRotation="0" wrapText="false" indent="0" shrinkToFit="false"/>
      <protection locked="true" hidden="false"/>
    </xf>
    <xf numFmtId="164" fontId="0" fillId="0" borderId="3" xfId="0" applyFont="false" applyBorder="true" applyAlignment="true" applyProtection="false">
      <alignment horizontal="center" vertical="bottom" textRotation="0" wrapText="false" indent="0" shrinkToFit="false"/>
      <protection locked="true" hidden="false"/>
    </xf>
    <xf numFmtId="164" fontId="0" fillId="0" borderId="1" xfId="0" applyFont="false" applyBorder="true" applyAlignment="true" applyProtection="false">
      <alignment horizontal="center" vertical="center" textRotation="0" wrapText="false" indent="0" shrinkToFit="false"/>
      <protection locked="true" hidden="false"/>
    </xf>
    <xf numFmtId="164" fontId="9" fillId="2" borderId="0" xfId="0" applyFont="true" applyBorder="true" applyAlignment="true" applyProtection="false">
      <alignment horizontal="center" vertical="center" textRotation="0" wrapText="false" indent="0" shrinkToFit="false"/>
      <protection locked="true" hidden="false"/>
    </xf>
    <xf numFmtId="164" fontId="9" fillId="2" borderId="0" xfId="0" applyFont="true" applyBorder="true" applyAlignment="true" applyProtection="false">
      <alignment horizontal="center"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9" fillId="2" borderId="0" xfId="0" applyFont="true" applyBorder="false" applyAlignment="true" applyProtection="false">
      <alignment horizontal="center" vertical="bottom" textRotation="0" wrapText="false" indent="0" shrinkToFit="false"/>
      <protection locked="true" hidden="false"/>
    </xf>
    <xf numFmtId="168" fontId="12" fillId="0" borderId="0" xfId="20" applyFont="true" applyBorder="true" applyAlignment="true" applyProtection="true">
      <alignment horizontal="general" vertical="bottom" textRotation="0" wrapText="fals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64" fontId="0" fillId="0" borderId="0" xfId="0" applyFont="true" applyBorder="true" applyAlignment="true" applyProtection="false">
      <alignment horizontal="center" vertical="center" textRotation="0" wrapText="false" indent="0" shrinkToFit="false"/>
      <protection locked="true" hidden="false"/>
    </xf>
    <xf numFmtId="164" fontId="0" fillId="0" borderId="11" xfId="0" applyFont="false" applyBorder="true" applyAlignment="true" applyProtection="false">
      <alignment horizontal="center" vertical="bottom" textRotation="0" wrapText="false" indent="0" shrinkToFit="false"/>
      <protection locked="true" hidden="false"/>
    </xf>
    <xf numFmtId="164" fontId="0" fillId="0" borderId="12" xfId="0" applyFont="false" applyBorder="true" applyAlignment="true" applyProtection="false">
      <alignment horizontal="center" vertical="bottom" textRotation="0" wrapText="false" indent="0" shrinkToFit="false"/>
      <protection locked="true" hidden="false"/>
    </xf>
    <xf numFmtId="164" fontId="0" fillId="0" borderId="13" xfId="0" applyFont="false" applyBorder="true" applyAlignment="true" applyProtection="false">
      <alignment horizontal="center" vertical="bottom" textRotation="0" wrapText="false" indent="0" shrinkToFit="false"/>
      <protection locked="true" hidden="false"/>
    </xf>
    <xf numFmtId="164" fontId="0" fillId="0" borderId="14" xfId="0" applyFont="false" applyBorder="true" applyAlignment="true" applyProtection="false">
      <alignment horizontal="center" vertical="bottom" textRotation="0" wrapText="false" indent="0" shrinkToFit="false"/>
      <protection locked="true" hidden="false"/>
    </xf>
    <xf numFmtId="164" fontId="0" fillId="0" borderId="15" xfId="23" applyFont="true" applyBorder="true" applyAlignment="false" applyProtection="false">
      <alignment horizontal="general" vertical="bottom" textRotation="0" wrapText="false" indent="0" shrinkToFit="false"/>
      <protection locked="true" hidden="false"/>
    </xf>
    <xf numFmtId="164" fontId="0" fillId="0" borderId="16" xfId="21" applyFont="true" applyBorder="true" applyAlignment="false" applyProtection="false">
      <alignment horizontal="general" vertical="bottom" textRotation="0" wrapText="false" indent="0" shrinkToFit="false"/>
      <protection locked="true" hidden="false"/>
    </xf>
    <xf numFmtId="164" fontId="0" fillId="0" borderId="17" xfId="24" applyFont="true" applyBorder="true" applyAlignment="false" applyProtection="false">
      <alignment horizontal="left" vertical="bottom" textRotation="0" wrapText="false" indent="0" shrinkToFit="false"/>
      <protection locked="true" hidden="false"/>
    </xf>
    <xf numFmtId="164" fontId="0" fillId="0" borderId="18" xfId="22" applyFont="false" applyBorder="true" applyAlignment="false" applyProtection="false">
      <alignment horizontal="general" vertical="bottom" textRotation="0" wrapText="false" indent="0" shrinkToFit="false"/>
      <protection locked="true" hidden="false"/>
    </xf>
    <xf numFmtId="164" fontId="0" fillId="0" borderId="19" xfId="24" applyFont="true" applyBorder="true" applyAlignment="false" applyProtection="false">
      <alignment horizontal="left" vertical="bottom" textRotation="0" wrapText="false" indent="0" shrinkToFit="false"/>
      <protection locked="true" hidden="false"/>
    </xf>
    <xf numFmtId="164" fontId="0" fillId="0" borderId="20" xfId="22" applyFont="false" applyBorder="true" applyAlignment="false" applyProtection="false">
      <alignment horizontal="general" vertical="bottom" textRotation="0" wrapText="false" indent="0" shrinkToFit="false"/>
      <protection locked="true" hidden="false"/>
    </xf>
    <xf numFmtId="164" fontId="0" fillId="0" borderId="21" xfId="22" applyFont="false" applyBorder="true" applyAlignment="false" applyProtection="false">
      <alignment horizontal="general" vertical="bottom" textRotation="0" wrapText="false" indent="0" shrinkToFit="false"/>
      <protection locked="true" hidden="false"/>
    </xf>
    <xf numFmtId="164" fontId="4" fillId="0" borderId="22" xfId="25" applyFont="true" applyBorder="true" applyAlignment="false" applyProtection="false">
      <alignment horizontal="left" vertical="bottom" textRotation="0" wrapText="false" indent="0" shrinkToFit="false"/>
      <protection locked="true" hidden="false"/>
    </xf>
    <xf numFmtId="164" fontId="4" fillId="0" borderId="23" xfId="26" applyFont="false" applyBorder="true" applyAlignment="false" applyProtection="false">
      <alignment horizontal="general" vertical="bottom" textRotation="0" wrapText="false" indent="0" shrinkToFit="false"/>
      <protection locked="true" hidden="false"/>
    </xf>
    <xf numFmtId="164" fontId="7" fillId="2" borderId="0" xfId="20" applyFont="true" applyBorder="true" applyAlignment="true" applyProtection="true">
      <alignment horizontal="left" vertical="bottom" textRotation="0" wrapText="false" indent="0" shrinkToFit="false"/>
      <protection locked="true" hidden="false"/>
    </xf>
    <xf numFmtId="164" fontId="9" fillId="5" borderId="1" xfId="0" applyFont="true" applyBorder="true" applyAlignment="true" applyProtection="false">
      <alignment horizontal="center" vertical="center" textRotation="0" wrapText="false" indent="0" shrinkToFit="false"/>
      <protection locked="true" hidden="false"/>
    </xf>
    <xf numFmtId="164" fontId="9" fillId="5" borderId="0"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false" indent="0" shrinkToFit="false"/>
      <protection locked="true" hidden="false"/>
    </xf>
    <xf numFmtId="164" fontId="0" fillId="0" borderId="8" xfId="0" applyFont="true" applyBorder="true" applyAlignment="true" applyProtection="false">
      <alignment horizontal="center" vertical="bottom" textRotation="0" wrapText="false" indent="0" shrinkToFit="false"/>
      <protection locked="true" hidden="false"/>
    </xf>
    <xf numFmtId="164" fontId="0" fillId="0" borderId="10" xfId="0" applyFont="true" applyBorder="true" applyAlignment="true" applyProtection="false">
      <alignment horizontal="center" vertical="bottom" textRotation="0" wrapText="false" indent="0" shrinkToFit="false"/>
      <protection locked="true" hidden="false"/>
    </xf>
    <xf numFmtId="164" fontId="0" fillId="0" borderId="9" xfId="0" applyFont="true" applyBorder="true" applyAlignment="true" applyProtection="false">
      <alignment horizontal="center" vertical="bottom" textRotation="0" wrapText="false" indent="0" shrinkToFit="false"/>
      <protection locked="true" hidden="false"/>
    </xf>
    <xf numFmtId="164" fontId="0" fillId="0" borderId="4" xfId="0" applyFont="true" applyBorder="true" applyAlignment="true" applyProtection="false">
      <alignment horizontal="center" vertical="center" textRotation="0" wrapText="false" indent="0" shrinkToFit="false"/>
      <protection locked="true" hidden="false"/>
    </xf>
    <xf numFmtId="164" fontId="0" fillId="0" borderId="4"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0" fillId="6" borderId="1"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0" fillId="6" borderId="3" xfId="0" applyFont="false" applyBorder="true" applyAlignment="true" applyProtection="false">
      <alignment horizontal="center" vertical="bottom" textRotation="0" wrapText="false" indent="0" shrinkToFit="false"/>
      <protection locked="true" hidden="false"/>
    </xf>
    <xf numFmtId="164" fontId="0" fillId="7" borderId="1" xfId="0" applyFont="true" applyBorder="true" applyAlignment="true" applyProtection="false">
      <alignment horizontal="general" vertical="bottom" textRotation="0" wrapText="false" indent="0" shrinkToFit="false"/>
      <protection locked="true" hidden="false"/>
    </xf>
    <xf numFmtId="164" fontId="0" fillId="7" borderId="4" xfId="0" applyFont="tru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general" vertical="bottom" textRotation="0" wrapText="false" indent="0" shrinkToFit="false"/>
      <protection locked="true" hidden="false"/>
    </xf>
    <xf numFmtId="164" fontId="0" fillId="0" borderId="24" xfId="0" applyFont="true" applyBorder="true" applyAlignment="true" applyProtection="false">
      <alignment horizontal="center" vertical="bottom" textRotation="0" wrapText="false" indent="0" shrinkToFit="false"/>
      <protection locked="true" hidden="false"/>
    </xf>
    <xf numFmtId="164" fontId="0" fillId="0" borderId="25" xfId="0" applyFont="false" applyBorder="true" applyAlignment="true" applyProtection="false">
      <alignment horizontal="center" vertical="bottom" textRotation="0" wrapText="false" indent="0" shrinkToFit="false"/>
      <protection locked="true" hidden="false"/>
    </xf>
    <xf numFmtId="164" fontId="0" fillId="7" borderId="4" xfId="0" applyFont="true" applyBorder="true" applyAlignment="true" applyProtection="false">
      <alignment horizontal="center" vertical="bottom" textRotation="0" wrapText="false" indent="0" shrinkToFit="false"/>
      <protection locked="true" hidden="false"/>
    </xf>
    <xf numFmtId="164" fontId="0" fillId="7" borderId="3" xfId="0" applyFont="false" applyBorder="true" applyAlignment="true" applyProtection="false">
      <alignment horizontal="center" vertical="bottom" textRotation="0" wrapText="false" indent="0" shrinkToFit="false"/>
      <protection locked="true" hidden="false"/>
    </xf>
    <xf numFmtId="164" fontId="0" fillId="0" borderId="8" xfId="0" applyFont="true" applyBorder="true" applyAlignment="true" applyProtection="false">
      <alignment horizontal="center" vertical="center" textRotation="0" wrapText="false" indent="0" shrinkToFit="false"/>
      <protection locked="true" hidden="false"/>
    </xf>
    <xf numFmtId="164" fontId="0" fillId="7" borderId="1" xfId="0" applyFont="false" applyBorder="true" applyAlignment="true" applyProtection="false">
      <alignment horizontal="center" vertical="bottom" textRotation="0" wrapText="false" indent="0" shrinkToFit="false"/>
      <protection locked="true" hidden="false"/>
    </xf>
    <xf numFmtId="164" fontId="0" fillId="7" borderId="1" xfId="0" applyFont="true" applyBorder="true" applyAlignment="true" applyProtection="false">
      <alignment horizontal="center" vertical="center"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6" fontId="0" fillId="7" borderId="0" xfId="0" applyFont="true" applyBorder="false" applyAlignment="false" applyProtection="false">
      <alignment horizontal="general" vertical="bottom" textRotation="0" wrapText="false" indent="0" shrinkToFit="false"/>
      <protection locked="true" hidden="false"/>
    </xf>
    <xf numFmtId="164" fontId="0" fillId="7" borderId="0" xfId="0" applyFont="true" applyBorder="false" applyAlignment="false" applyProtection="false">
      <alignment horizontal="general" vertical="bottom" textRotation="0" wrapText="false" indent="0" shrinkToFit="false"/>
      <protection locked="true" hidden="false"/>
    </xf>
  </cellXfs>
  <cellStyles count="13">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Pivot Table Corner" xfId="21" builtinId="53" customBuiltin="true"/>
    <cellStyle name="Pivot Table Value" xfId="22" builtinId="53" customBuiltin="true"/>
    <cellStyle name="Pivot Table Field" xfId="23" builtinId="53" customBuiltin="true"/>
    <cellStyle name="Pivot Table Category" xfId="24" builtinId="53" customBuiltin="true"/>
    <cellStyle name="Pivot Table Title" xfId="25" builtinId="53" customBuiltin="true"/>
    <cellStyle name="Pivot Table Result" xfId="26" builtinId="53" customBuiltin="true"/>
    <cellStyle name="*unknown*" xfId="20" builtinId="8" customBuiltin="false"/>
  </cellStyles>
  <dxfs count="6">
    <dxf>
      <font>
        <b val="1"/>
        <i val="0"/>
        <strike val="0"/>
        <color rgb="FFFFFFFF"/>
      </font>
      <fill>
        <patternFill>
          <bgColor rgb="FFC00000"/>
        </patternFill>
      </fill>
    </dxf>
    <dxf>
      <font>
        <b val="1"/>
        <i val="0"/>
        <strike val="0"/>
        <color rgb="FFFFFFFF"/>
      </font>
      <fill>
        <patternFill>
          <bgColor rgb="FFC00000"/>
        </patternFill>
      </fill>
    </dxf>
    <dxf>
      <font>
        <b val="1"/>
        <i val="0"/>
        <strike val="0"/>
        <color rgb="FFFFFFFF"/>
      </font>
      <fill>
        <patternFill>
          <bgColor rgb="FFC00000"/>
        </patternFill>
      </fill>
    </dxf>
    <dxf>
      <fill>
        <patternFill>
          <bgColor rgb="FFFF0000"/>
        </patternFill>
      </fill>
    </dxf>
    <dxf>
      <fill>
        <patternFill>
          <bgColor rgb="FFFF0000"/>
        </patternFill>
      </fill>
    </dxf>
    <dxf>
      <fill>
        <patternFill>
          <bgColor rgb="FFFF0000"/>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B8B8B"/>
      <rgbColor rgb="FF5B9BD5"/>
      <rgbColor rgb="FF993366"/>
      <rgbColor rgb="FFFFFFCC"/>
      <rgbColor rgb="FFDEEBF7"/>
      <rgbColor rgb="FF660066"/>
      <rgbColor rgb="FFFF8080"/>
      <rgbColor rgb="FF0563C1"/>
      <rgbColor rgb="FFD9D9D9"/>
      <rgbColor rgb="FF000080"/>
      <rgbColor rgb="FFFF00FF"/>
      <rgbColor rgb="FFFFFF00"/>
      <rgbColor rgb="FF00FFFF"/>
      <rgbColor rgb="FF800080"/>
      <rgbColor rgb="FFE60000"/>
      <rgbColor rgb="FF008080"/>
      <rgbColor rgb="FF0000FF"/>
      <rgbColor rgb="FF00CCFF"/>
      <rgbColor rgb="FFCCFFFF"/>
      <rgbColor rgb="FFCCFFCC"/>
      <rgbColor rgb="FFFFFF99"/>
      <rgbColor rgb="FF9DC3E6"/>
      <rgbColor rgb="FFFF99CC"/>
      <rgbColor rgb="FFCC99FF"/>
      <rgbColor rgb="FFFFCC99"/>
      <rgbColor rgb="FF2E75B6"/>
      <rgbColor rgb="FF33CCCC"/>
      <rgbColor rgb="FF92D050"/>
      <rgbColor rgb="FFFFCC00"/>
      <rgbColor rgb="FFFF9900"/>
      <rgbColor rgb="FFFF6600"/>
      <rgbColor rgb="FF595959"/>
      <rgbColor rgb="FF969696"/>
      <rgbColor rgb="FF002060"/>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Relationship Id="rId10" Type="http://schemas.openxmlformats.org/officeDocument/2006/relationships/pivotCacheDefinition" Target="pivotCache/pivotCacheDefinition1.xml"/><Relationship Id="rId11" Type="http://schemas.openxmlformats.org/officeDocument/2006/relationships/pivotCacheDefinition" Target="pivotCache/pivotCacheDefinition2.xml"/>
</Relationships>
</file>

<file path=xl/charts/chart1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Total</a:t>
            </a:r>
          </a:p>
        </c:rich>
      </c:tx>
      <c:overlay val="0"/>
      <c:spPr>
        <a:noFill/>
        <a:ln>
          <a:noFill/>
        </a:ln>
      </c:spPr>
    </c:title>
    <c:autoTitleDeleted val="0"/>
    <c:plotArea>
      <c:barChart>
        <c:barDir val="bar"/>
        <c:grouping val="clustered"/>
        <c:varyColors val="0"/>
        <c:ser>
          <c:idx val="0"/>
          <c:order val="0"/>
          <c:tx>
            <c:strRef>
              <c:f>'Pivot tables e charts'!$J$3</c:f>
              <c:strCache>
                <c:ptCount val="1"/>
                <c:pt idx="0">
                  <c:v>Sum - Qtde (S2)</c:v>
                </c:pt>
              </c:strCache>
            </c:strRef>
          </c:tx>
          <c:spPr>
            <a:solidFill>
              <a:srgbClr val="5b9bd5"/>
            </a:solidFill>
            <a:ln>
              <a:noFill/>
            </a:ln>
          </c:spPr>
          <c:invertIfNegative val="0"/>
          <c:dLbls>
            <c:numFmt formatCode="General" sourceLinked="1"/>
            <c:dLblPos val="outEnd"/>
            <c:showLegendKey val="0"/>
            <c:showVal val="0"/>
            <c:showCatName val="0"/>
            <c:showSerName val="0"/>
            <c:showPercent val="0"/>
            <c:showLeaderLines val="0"/>
          </c:dLbls>
          <c:cat>
            <c:strRef>
              <c:f>'Pivot tables e charts'!$I$4:$I$6</c:f>
              <c:strCache>
                <c:ptCount val="3"/>
                <c:pt idx="0">
                  <c:v>Absorvente (32un)</c:v>
                </c:pt>
                <c:pt idx="1">
                  <c:v>Água Sanitária (1L)</c:v>
                </c:pt>
                <c:pt idx="2">
                  <c:v>Água Sanitária (2L)</c:v>
                </c:pt>
              </c:strCache>
            </c:strRef>
          </c:cat>
          <c:val>
            <c:numRef>
              <c:f>'Pivot tables e charts'!$J$4:$J$6</c:f>
              <c:numCache>
                <c:formatCode>General</c:formatCode>
                <c:ptCount val="3"/>
                <c:pt idx="0">
                  <c:v>0</c:v>
                </c:pt>
                <c:pt idx="1">
                  <c:v>0</c:v>
                </c:pt>
                <c:pt idx="2">
                  <c:v>1</c:v>
                </c:pt>
              </c:numCache>
            </c:numRef>
          </c:val>
        </c:ser>
        <c:gapWidth val="150"/>
        <c:overlap val="-25"/>
        <c:axId val="92318068"/>
        <c:axId val="4014271"/>
      </c:barChart>
      <c:catAx>
        <c:axId val="92318068"/>
        <c:scaling>
          <c:orientation val="minMax"/>
        </c:scaling>
        <c:delete val="0"/>
        <c:axPos val="b"/>
        <c:numFmt formatCode="General" sourceLinked="1"/>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4014271"/>
        <c:crosses val="autoZero"/>
        <c:auto val="1"/>
        <c:lblAlgn val="ctr"/>
        <c:lblOffset val="100"/>
      </c:catAx>
      <c:valAx>
        <c:axId val="4014271"/>
        <c:scaling>
          <c:orientation val="minMax"/>
        </c:scaling>
        <c:delete val="1"/>
        <c:axPos val="l"/>
        <c:numFmt formatCode="General" sourceLinked="0"/>
        <c:majorTickMark val="none"/>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92318068"/>
        <c:crosses val="autoZero"/>
      </c:valAx>
      <c:spPr>
        <a:noFill/>
        <a:ln>
          <a:noFill/>
        </a:ln>
      </c:spPr>
    </c:plotArea>
    <c:plotVisOnly val="1"/>
    <c:dispBlanksAs val="gap"/>
  </c:chart>
  <c:spPr>
    <a:solidFill>
      <a:srgbClr val="ffffff"/>
    </a:solidFill>
    <a:ln w="9360">
      <a:solidFill>
        <a:srgbClr val="d9d9d9"/>
      </a:solidFill>
      <a:round/>
    </a:ln>
  </c:spPr>
</c:chartSpace>
</file>

<file path=xl/charts/chart1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Total</a:t>
            </a:r>
          </a:p>
        </c:rich>
      </c:tx>
      <c:overlay val="0"/>
      <c:spPr>
        <a:noFill/>
        <a:ln>
          <a:noFill/>
        </a:ln>
      </c:spPr>
    </c:title>
    <c:autoTitleDeleted val="0"/>
    <c:plotArea>
      <c:barChart>
        <c:barDir val="bar"/>
        <c:grouping val="clustered"/>
        <c:varyColors val="0"/>
        <c:ser>
          <c:idx val="0"/>
          <c:order val="0"/>
          <c:tx>
            <c:strRef>
              <c:f>'Pivot tables e charts'!$B$3</c:f>
              <c:strCache>
                <c:ptCount val="1"/>
                <c:pt idx="0">
                  <c:v>Sum - Qtde (S2)</c:v>
                </c:pt>
              </c:strCache>
            </c:strRef>
          </c:tx>
          <c:spPr>
            <a:solidFill>
              <a:srgbClr val="5b9bd5"/>
            </a:solidFill>
            <a:ln>
              <a:noFill/>
            </a:ln>
          </c:spPr>
          <c:invertIfNegative val="0"/>
          <c:dLbls>
            <c:numFmt formatCode="General" sourceLinked="1"/>
            <c:dLblPos val="outEnd"/>
            <c:showLegendKey val="0"/>
            <c:showVal val="1"/>
            <c:showCatName val="0"/>
            <c:showSerName val="0"/>
            <c:showPercent val="0"/>
            <c:showLeaderLines val="0"/>
          </c:dLbls>
          <c:cat>
            <c:strRef>
              <c:f>'Pivot tables e charts'!$A$4:$A$12</c:f>
              <c:strCache>
                <c:ptCount val="9"/>
                <c:pt idx="0">
                  <c:v>Adoçante</c:v>
                </c:pt>
                <c:pt idx="1">
                  <c:v>Arroz (1kg)</c:v>
                </c:pt>
                <c:pt idx="2">
                  <c:v>Arroz (2kg)</c:v>
                </c:pt>
                <c:pt idx="3">
                  <c:v>Arroz (5kg)</c:v>
                </c:pt>
                <c:pt idx="4">
                  <c:v>Café (1kg)</c:v>
                </c:pt>
                <c:pt idx="5">
                  <c:v>Cevada</c:v>
                </c:pt>
                <c:pt idx="6">
                  <c:v>A</c:v>
                </c:pt>
                <c:pt idx="7">
                  <c:v>Abacaxi em calda (820g)</c:v>
                </c:pt>
                <c:pt idx="8">
                  <c:v>Abacaxi em calda (830g)</c:v>
                </c:pt>
              </c:strCache>
            </c:strRef>
          </c:cat>
          <c:val>
            <c:numRef>
              <c:f>'Pivot tables e charts'!$B$4:$B$12</c:f>
              <c:numCache>
                <c:formatCode>General</c:formatCode>
                <c:ptCount val="9"/>
                <c:pt idx="0">
                  <c:v>0</c:v>
                </c:pt>
                <c:pt idx="1">
                  <c:v>6</c:v>
                </c:pt>
                <c:pt idx="2">
                  <c:v>8</c:v>
                </c:pt>
                <c:pt idx="3">
                  <c:v>8</c:v>
                </c:pt>
                <c:pt idx="4">
                  <c:v>0</c:v>
                </c:pt>
                <c:pt idx="5">
                  <c:v>0</c:v>
                </c:pt>
                <c:pt idx="6">
                  <c:v>0</c:v>
                </c:pt>
                <c:pt idx="7">
                  <c:v>0</c:v>
                </c:pt>
                <c:pt idx="8">
                  <c:v>0</c:v>
                </c:pt>
              </c:numCache>
            </c:numRef>
          </c:val>
        </c:ser>
        <c:gapWidth val="150"/>
        <c:overlap val="-25"/>
        <c:axId val="99654890"/>
        <c:axId val="68897819"/>
      </c:barChart>
      <c:catAx>
        <c:axId val="99654890"/>
        <c:scaling>
          <c:orientation val="minMax"/>
        </c:scaling>
        <c:delete val="0"/>
        <c:axPos val="b"/>
        <c:numFmt formatCode="General" sourceLinked="1"/>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68897819"/>
        <c:crosses val="autoZero"/>
        <c:auto val="1"/>
        <c:lblAlgn val="ctr"/>
        <c:lblOffset val="100"/>
      </c:catAx>
      <c:valAx>
        <c:axId val="68897819"/>
        <c:scaling>
          <c:orientation val="minMax"/>
        </c:scaling>
        <c:delete val="1"/>
        <c:axPos val="l"/>
        <c:numFmt formatCode="General" sourceLinked="0"/>
        <c:majorTickMark val="none"/>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99654890"/>
        <c:crosses val="autoZero"/>
      </c:valAx>
      <c:spPr>
        <a:noFill/>
        <a:ln>
          <a:noFill/>
        </a:ln>
      </c:spPr>
    </c:plotArea>
    <c:plotVisOnly val="1"/>
    <c:dispBlanksAs val="gap"/>
  </c:chart>
  <c:spPr>
    <a:solidFill>
      <a:srgbClr val="ffffff"/>
    </a:solidFill>
    <a:ln w="9360">
      <a:solidFill>
        <a:srgbClr val="d9d9d9"/>
      </a:solidFill>
      <a:round/>
    </a:ln>
  </c:spPr>
</c:chartSpace>
</file>

<file path=xl/drawings/_rels/drawing1.xml.rels><?xml version="1.0" encoding="UTF-8"?>
<Relationships xmlns="http://schemas.openxmlformats.org/package/2006/relationships"><Relationship Id="rId1" Type="http://schemas.openxmlformats.org/officeDocument/2006/relationships/image" Target="../media/image41.jpeg"/>
</Relationships>
</file>

<file path=xl/drawings/_rels/drawing2.xml.rels><?xml version="1.0" encoding="UTF-8"?>
<Relationships xmlns="http://schemas.openxmlformats.org/package/2006/relationships"><Relationship Id="rId1" Type="http://schemas.openxmlformats.org/officeDocument/2006/relationships/image" Target="../media/image42.jpeg"/><Relationship Id="rId2" Type="http://schemas.openxmlformats.org/officeDocument/2006/relationships/image" Target="../media/image43.jpeg"/><Relationship Id="rId3" Type="http://schemas.openxmlformats.org/officeDocument/2006/relationships/image" Target="../media/image44.png"/>
</Relationships>
</file>

<file path=xl/drawings/_rels/drawing3.xml.rels><?xml version="1.0" encoding="UTF-8"?>
<Relationships xmlns="http://schemas.openxmlformats.org/package/2006/relationships"><Relationship Id="rId1" Type="http://schemas.openxmlformats.org/officeDocument/2006/relationships/image" Target="../media/image45.jpeg"/><Relationship Id="rId2" Type="http://schemas.openxmlformats.org/officeDocument/2006/relationships/image" Target="../media/image46.png"/>
</Relationships>
</file>

<file path=xl/drawings/_rels/drawing4.xml.rels><?xml version="1.0" encoding="UTF-8"?>
<Relationships xmlns="http://schemas.openxmlformats.org/package/2006/relationships"><Relationship Id="rId1" Type="http://schemas.openxmlformats.org/officeDocument/2006/relationships/chart" Target="../charts/chart11.xml"/><Relationship Id="rId2" Type="http://schemas.openxmlformats.org/officeDocument/2006/relationships/chart" Target="../charts/chart12.xml"/>
</Relationships>
</file>

<file path=xl/drawings/_rels/drawing5.xml.rels><?xml version="1.0" encoding="UTF-8"?>
<Relationships xmlns="http://schemas.openxmlformats.org/package/2006/relationships"><Relationship Id="rId1" Type="http://schemas.openxmlformats.org/officeDocument/2006/relationships/image" Target="../media/image47.jpeg"/>
</Relationships>
</file>

<file path=xl/drawings/_rels/drawing6.xml.rels><?xml version="1.0" encoding="UTF-8"?>
<Relationships xmlns="http://schemas.openxmlformats.org/package/2006/relationships"><Relationship Id="rId1" Type="http://schemas.openxmlformats.org/officeDocument/2006/relationships/image" Target="../media/image48.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1181880</xdr:colOff>
      <xdr:row>1</xdr:row>
      <xdr:rowOff>190440</xdr:rowOff>
    </xdr:to>
    <xdr:pic>
      <xdr:nvPicPr>
        <xdr:cNvPr id="0" name="Picture 2" descr=""/>
        <xdr:cNvPicPr/>
      </xdr:nvPicPr>
      <xdr:blipFill>
        <a:blip r:embed="rId1"/>
        <a:stretch/>
      </xdr:blipFill>
      <xdr:spPr>
        <a:xfrm>
          <a:off x="0" y="0"/>
          <a:ext cx="1181880" cy="45684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1181880</xdr:colOff>
      <xdr:row>1</xdr:row>
      <xdr:rowOff>190440</xdr:rowOff>
    </xdr:to>
    <xdr:pic>
      <xdr:nvPicPr>
        <xdr:cNvPr id="1" name="Picture 2" descr=""/>
        <xdr:cNvPicPr/>
      </xdr:nvPicPr>
      <xdr:blipFill>
        <a:blip r:embed="rId1"/>
        <a:stretch/>
      </xdr:blipFill>
      <xdr:spPr>
        <a:xfrm>
          <a:off x="0" y="0"/>
          <a:ext cx="1181880" cy="456840"/>
        </a:xfrm>
        <a:prstGeom prst="rect">
          <a:avLst/>
        </a:prstGeom>
        <a:ln>
          <a:noFill/>
        </a:ln>
      </xdr:spPr>
    </xdr:pic>
    <xdr:clientData/>
  </xdr:twoCellAnchor>
  <xdr:twoCellAnchor editAs="oneCell">
    <xdr:from>
      <xdr:col>4</xdr:col>
      <xdr:colOff>53280</xdr:colOff>
      <xdr:row>8</xdr:row>
      <xdr:rowOff>167760</xdr:rowOff>
    </xdr:from>
    <xdr:to>
      <xdr:col>4</xdr:col>
      <xdr:colOff>281160</xdr:colOff>
      <xdr:row>10</xdr:row>
      <xdr:rowOff>29880</xdr:rowOff>
    </xdr:to>
    <xdr:pic>
      <xdr:nvPicPr>
        <xdr:cNvPr id="2" name="Imagem 3" descr=""/>
        <xdr:cNvPicPr/>
      </xdr:nvPicPr>
      <xdr:blipFill>
        <a:blip r:embed="rId2"/>
        <a:stretch/>
      </xdr:blipFill>
      <xdr:spPr>
        <a:xfrm>
          <a:off x="5323680" y="1767960"/>
          <a:ext cx="227880" cy="243000"/>
        </a:xfrm>
        <a:prstGeom prst="rect">
          <a:avLst/>
        </a:prstGeom>
        <a:ln>
          <a:noFill/>
        </a:ln>
      </xdr:spPr>
    </xdr:pic>
    <xdr:clientData/>
  </xdr:twoCellAnchor>
  <xdr:twoCellAnchor editAs="oneCell">
    <xdr:from>
      <xdr:col>0</xdr:col>
      <xdr:colOff>0</xdr:colOff>
      <xdr:row>12</xdr:row>
      <xdr:rowOff>0</xdr:rowOff>
    </xdr:from>
    <xdr:to>
      <xdr:col>1</xdr:col>
      <xdr:colOff>122760</xdr:colOff>
      <xdr:row>23</xdr:row>
      <xdr:rowOff>27720</xdr:rowOff>
    </xdr:to>
    <xdr:pic>
      <xdr:nvPicPr>
        <xdr:cNvPr id="3" name="Imagem 1" descr=""/>
        <xdr:cNvPicPr/>
      </xdr:nvPicPr>
      <xdr:blipFill>
        <a:blip r:embed="rId3"/>
        <a:stretch/>
      </xdr:blipFill>
      <xdr:spPr>
        <a:xfrm>
          <a:off x="0" y="2361960"/>
          <a:ext cx="2827800" cy="21232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1181880</xdr:colOff>
      <xdr:row>1</xdr:row>
      <xdr:rowOff>199800</xdr:rowOff>
    </xdr:to>
    <xdr:pic>
      <xdr:nvPicPr>
        <xdr:cNvPr id="4" name="Picture 1" descr=""/>
        <xdr:cNvPicPr/>
      </xdr:nvPicPr>
      <xdr:blipFill>
        <a:blip r:embed="rId1"/>
        <a:stretch/>
      </xdr:blipFill>
      <xdr:spPr>
        <a:xfrm>
          <a:off x="0" y="0"/>
          <a:ext cx="1181880" cy="466200"/>
        </a:xfrm>
        <a:prstGeom prst="rect">
          <a:avLst/>
        </a:prstGeom>
        <a:ln>
          <a:noFill/>
        </a:ln>
      </xdr:spPr>
    </xdr:pic>
    <xdr:clientData/>
  </xdr:twoCellAnchor>
  <xdr:twoCellAnchor editAs="oneCell">
    <xdr:from>
      <xdr:col>75</xdr:col>
      <xdr:colOff>55080</xdr:colOff>
      <xdr:row>3</xdr:row>
      <xdr:rowOff>143280</xdr:rowOff>
    </xdr:from>
    <xdr:to>
      <xdr:col>82</xdr:col>
      <xdr:colOff>380160</xdr:colOff>
      <xdr:row>25</xdr:row>
      <xdr:rowOff>151200</xdr:rowOff>
    </xdr:to>
    <xdr:pic>
      <xdr:nvPicPr>
        <xdr:cNvPr id="5" name="Imagem 2" descr=""/>
        <xdr:cNvPicPr/>
      </xdr:nvPicPr>
      <xdr:blipFill>
        <a:blip r:embed="rId2"/>
        <a:stretch/>
      </xdr:blipFill>
      <xdr:spPr>
        <a:xfrm>
          <a:off x="55787040" y="800280"/>
          <a:ext cx="5690880" cy="419904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13</xdr:col>
      <xdr:colOff>130680</xdr:colOff>
      <xdr:row>1</xdr:row>
      <xdr:rowOff>185760</xdr:rowOff>
    </xdr:from>
    <xdr:to>
      <xdr:col>17</xdr:col>
      <xdr:colOff>861480</xdr:colOff>
      <xdr:row>39</xdr:row>
      <xdr:rowOff>51120</xdr:rowOff>
    </xdr:to>
    <xdr:graphicFrame>
      <xdr:nvGraphicFramePr>
        <xdr:cNvPr id="6" name="Chart 2"/>
        <xdr:cNvGraphicFramePr/>
      </xdr:nvGraphicFramePr>
      <xdr:xfrm>
        <a:off x="17291880" y="376200"/>
        <a:ext cx="5356800" cy="71042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38880</xdr:colOff>
      <xdr:row>2</xdr:row>
      <xdr:rowOff>5040</xdr:rowOff>
    </xdr:from>
    <xdr:to>
      <xdr:col>13</xdr:col>
      <xdr:colOff>48600</xdr:colOff>
      <xdr:row>15</xdr:row>
      <xdr:rowOff>51840</xdr:rowOff>
    </xdr:to>
    <xdr:sp>
      <xdr:nvSpPr>
        <xdr:cNvPr id="7" name="CustomShape 1"/>
        <xdr:cNvSpPr/>
      </xdr:nvSpPr>
      <xdr:spPr>
        <a:xfrm>
          <a:off x="14923800" y="385920"/>
          <a:ext cx="2286000" cy="2523240"/>
        </a:xfrm>
        <a:prstGeom prst="rect">
          <a:avLst/>
        </a:prstGeom>
        <a:solidFill>
          <a:srgbClr val="ffffff"/>
        </a:solidFill>
        <a:ln>
          <a:solidFill>
            <a:srgbClr val="008000"/>
          </a:solidFill>
        </a:ln>
      </xdr:spPr>
      <xdr:style>
        <a:lnRef idx="0"/>
        <a:fillRef idx="0"/>
        <a:effectRef idx="0"/>
        <a:fontRef idx="minor"/>
      </xdr:style>
      <xdr:txBody>
        <a:bodyPr lIns="90000" rIns="90000" tIns="45000" bIns="45000"/>
        <a:p>
          <a:pPr>
            <a:lnSpc>
              <a:spcPct val="100000"/>
            </a:lnSpc>
          </a:pPr>
          <a:r>
            <a:rPr b="0" lang="en-US" sz="1100" spc="-1" strike="noStrike">
              <a:latin typeface="Times New Roman"/>
            </a:rPr>
            <a:t>This shape represents a slicer. Slicers are supported in Excel 2010 or later.If the shape was modified in an earlier version of Excel, or if the workbook was saved in Excel 2003 or earlier, the slicer cannot be used.</a:t>
          </a:r>
          <a:endParaRPr b="0" lang="en-US" sz="1100" spc="-1" strike="noStrike">
            <a:latin typeface="Times New Roman"/>
          </a:endParaRPr>
        </a:p>
      </xdr:txBody>
    </xdr:sp>
    <xdr:clientData/>
  </xdr:twoCellAnchor>
  <xdr:twoCellAnchor editAs="oneCell">
    <xdr:from>
      <xdr:col>2</xdr:col>
      <xdr:colOff>21600</xdr:colOff>
      <xdr:row>1</xdr:row>
      <xdr:rowOff>178200</xdr:rowOff>
    </xdr:from>
    <xdr:to>
      <xdr:col>3</xdr:col>
      <xdr:colOff>741240</xdr:colOff>
      <xdr:row>15</xdr:row>
      <xdr:rowOff>34560</xdr:rowOff>
    </xdr:to>
    <xdr:sp>
      <xdr:nvSpPr>
        <xdr:cNvPr id="8" name="CustomShape 1"/>
        <xdr:cNvSpPr/>
      </xdr:nvSpPr>
      <xdr:spPr>
        <a:xfrm>
          <a:off x="3019320" y="368640"/>
          <a:ext cx="2192760" cy="2523240"/>
        </a:xfrm>
        <a:prstGeom prst="rect">
          <a:avLst/>
        </a:prstGeom>
        <a:solidFill>
          <a:srgbClr val="ffffff"/>
        </a:solidFill>
        <a:ln>
          <a:solidFill>
            <a:srgbClr val="008000"/>
          </a:solidFill>
        </a:ln>
      </xdr:spPr>
      <xdr:style>
        <a:lnRef idx="0"/>
        <a:fillRef idx="0"/>
        <a:effectRef idx="0"/>
        <a:fontRef idx="minor"/>
      </xdr:style>
      <xdr:txBody>
        <a:bodyPr lIns="90000" rIns="90000" tIns="45000" bIns="45000"/>
        <a:p>
          <a:pPr>
            <a:lnSpc>
              <a:spcPct val="100000"/>
            </a:lnSpc>
          </a:pPr>
          <a:r>
            <a:rPr b="0" lang="en-US" sz="1100" spc="-1" strike="noStrike">
              <a:latin typeface="Times New Roman"/>
            </a:rPr>
            <a:t>This shape represents a slicer. Slicers are supported in Excel 2010 or later.If the shape was modified in an earlier version of Excel, or if the workbook was saved in Excel 2003 or earlier, the slicer cannot be used.</a:t>
          </a:r>
          <a:endParaRPr b="0" lang="en-US" sz="1100" spc="-1" strike="noStrike">
            <a:latin typeface="Times New Roman"/>
          </a:endParaRPr>
        </a:p>
      </xdr:txBody>
    </xdr:sp>
    <xdr:clientData/>
  </xdr:twoCellAnchor>
  <xdr:twoCellAnchor editAs="oneCell">
    <xdr:from>
      <xdr:col>3</xdr:col>
      <xdr:colOff>801000</xdr:colOff>
      <xdr:row>1</xdr:row>
      <xdr:rowOff>168120</xdr:rowOff>
    </xdr:from>
    <xdr:to>
      <xdr:col>7</xdr:col>
      <xdr:colOff>713520</xdr:colOff>
      <xdr:row>38</xdr:row>
      <xdr:rowOff>162360</xdr:rowOff>
    </xdr:to>
    <xdr:graphicFrame>
      <xdr:nvGraphicFramePr>
        <xdr:cNvPr id="9" name="Chart 9"/>
        <xdr:cNvGraphicFramePr/>
      </xdr:nvGraphicFramePr>
      <xdr:xfrm>
        <a:off x="5271840" y="358560"/>
        <a:ext cx="5805360" cy="70426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1181880</xdr:colOff>
      <xdr:row>1</xdr:row>
      <xdr:rowOff>190440</xdr:rowOff>
    </xdr:to>
    <xdr:pic>
      <xdr:nvPicPr>
        <xdr:cNvPr id="10" name="Picture 4" descr=""/>
        <xdr:cNvPicPr/>
      </xdr:nvPicPr>
      <xdr:blipFill>
        <a:blip r:embed="rId1"/>
        <a:stretch/>
      </xdr:blipFill>
      <xdr:spPr>
        <a:xfrm>
          <a:off x="0" y="0"/>
          <a:ext cx="1181880" cy="456840"/>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1181880</xdr:colOff>
      <xdr:row>1</xdr:row>
      <xdr:rowOff>190440</xdr:rowOff>
    </xdr:to>
    <xdr:pic>
      <xdr:nvPicPr>
        <xdr:cNvPr id="11" name="Picture 4" descr=""/>
        <xdr:cNvPicPr/>
      </xdr:nvPicPr>
      <xdr:blipFill>
        <a:blip r:embed="rId1"/>
        <a:stretch/>
      </xdr:blipFill>
      <xdr:spPr>
        <a:xfrm>
          <a:off x="0" y="0"/>
          <a:ext cx="1181880" cy="456840"/>
        </a:xfrm>
        <a:prstGeom prst="rect">
          <a:avLst/>
        </a:prstGeom>
        <a:ln>
          <a:noFill/>
        </a:ln>
      </xdr:spPr>
    </xdr:pic>
    <xdr:clientData/>
  </xdr:twoCellAnchor>
</xdr:wsDr>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_rels/pivotCacheDefinition2.xml.rels><?xml version="1.0" encoding="UTF-8"?>
<Relationships xmlns="http://schemas.openxmlformats.org/package/2006/relationships"><Relationship Id="rId1" Type="http://schemas.openxmlformats.org/officeDocument/2006/relationships/pivotCacheRecords" Target="pivotCacheRecords2.xml"/>
</Relationships>
</file>

<file path=xl/pivotCache/pivotCacheDefinition1.xml><?xml version="1.0" encoding="utf-8"?>
<pivotCacheDefinition xmlns="http://schemas.openxmlformats.org/spreadsheetml/2006/main" xmlns:r="http://schemas.openxmlformats.org/officeDocument/2006/relationships" r:id="rId1" recordCount="87" createdVersion="3">
  <cacheSource type="worksheet">
    <worksheetSource ref="I4:AG91" sheet="Resumo total"/>
  </cacheSource>
  <cacheFields count="25">
    <cacheField name="Item" numFmtId="0">
      <sharedItems count="87">
        <s v="A"/>
        <s v="Abacaxi em calda (820g)"/>
        <s v="Abacaxi em calda (830g)"/>
        <s v="Achocolatado (1kg)"/>
        <s v="Achocolatado (200g)"/>
        <s v="Achocolatado (300g)"/>
        <s v="Achocolatado (400g)"/>
        <s v="Achocolatado (500g)"/>
        <s v="Achocolatado (700g)"/>
        <s v="Achocolatado (800g)"/>
        <s v="Açúcar (1kg)"/>
        <s v="Açúcar (2kg)"/>
        <s v="Açucar (500g)"/>
        <s v="Açúcar (5kg)"/>
        <s v="Adoçante"/>
        <s v="Água de Coco (2L)"/>
        <s v="Arroz (1kg)"/>
        <s v="Arroz (2kg)"/>
        <s v="Arroz (5kg)"/>
        <s v="Arroz integral (1kg)"/>
        <s v="Arroz integral (500g)"/>
        <s v="Atum (170g)"/>
        <s v="Atum (325g)"/>
        <s v="Aveia (200g)"/>
        <s v="Aveia (500g)"/>
        <s v="Azeite (200mL)"/>
        <s v="Azeite (500mL)"/>
        <s v="Azeitona (100g)"/>
        <s v="Azeitona (120g)"/>
        <s v="Azeitona (150g)"/>
        <s v="Azeitona (160g)"/>
        <s v="Azeitona (1kg)"/>
        <s v="Azeitona (270g)"/>
        <s v="B"/>
        <s v="Barra de Cereal (4un)"/>
        <s v="Batata Palha (120g)"/>
        <s v="Bebida Láctea Chocolate (180mL)"/>
        <s v="bebida láctea chocolate (1l)"/>
        <s v="Biscoito de Polvinho"/>
        <s v="Bisnaguinha (300g)"/>
        <s v="Bolacha (090g)"/>
        <s v="Bolacha (100g)"/>
        <s v="Bolacha (110g)"/>
        <s v="Bolacha (115g)"/>
        <s v="Bolacha (120g)"/>
        <s v="Bolacha (130g)"/>
        <s v="Bolacha (135g)"/>
        <s v="Bolacha (140g)"/>
        <s v="Bolacha (145g)"/>
        <s v="Bolacha (150g)"/>
        <s v="Bolacha (160g)"/>
        <s v="Bolacha (170g)"/>
        <s v="Bolacha (200g)"/>
        <s v="Bolacha (250g)"/>
        <s v="Bolacha (300g)"/>
        <s v="Bolacha (315g)"/>
        <s v="Bolacha (330g)"/>
        <s v="Bolacha (360g)"/>
        <s v="Bolacha (375g)"/>
        <s v="Bolacha (400g)"/>
        <s v="Bolacha (420g)"/>
        <s v="Bolacha (500g)"/>
        <s v="bolo"/>
        <s v="Bombom de Cereja (94g)"/>
        <s v="C"/>
        <s v="Café (1kg)"/>
        <s v="Café (250g)"/>
        <s v="Café (500g)"/>
        <s v="Café solúvel (50g)"/>
        <s v="Caixa de Bombons"/>
        <s v="Caldo Knor"/>
        <s v="Canjica (500g)"/>
        <s v="Cappuccino (200g)"/>
        <s v="Cappuccino (20g)"/>
        <s v="Cereal (120g)"/>
        <s v="Cereal infantil (230g)"/>
        <s v="Cevada"/>
        <s v="Chá (100g)"/>
        <s v="Chá (10un)"/>
        <s v="Chá (12g)"/>
        <s v="Chá (22,5g)"/>
        <s v="Chocolate barra (100g)"/>
        <s v="Coca-cola (1,5L)"/>
        <s v="Coca-cola (2,5L)"/>
        <s v="Coca-cola (2L)"/>
        <s v="Coca-cola (3L)"/>
        <s v="Coco Ralado (100g)"/>
      </sharedItems>
    </cacheField>
    <cacheField name="kg/embalagem" numFmtId="0">
      <sharedItems containsSemiMixedTypes="0" containsString="0" containsNumber="1" minValue="0" maxValue="5" count="43">
        <n v="0"/>
        <n v="0.012"/>
        <n v="0.02"/>
        <n v="0.0225"/>
        <n v="0.05"/>
        <n v="0.08"/>
        <n v="0.09"/>
        <n v="0.094"/>
        <n v="0.1"/>
        <n v="0.11"/>
        <n v="0.115"/>
        <n v="0.12"/>
        <n v="0.13"/>
        <n v="0.135"/>
        <n v="0.14"/>
        <n v="0.145"/>
        <n v="0.15"/>
        <n v="0.16"/>
        <n v="0.17"/>
        <n v="0.18"/>
        <n v="0.2"/>
        <n v="0.23"/>
        <n v="0.25"/>
        <n v="0.27"/>
        <n v="0.3"/>
        <n v="0.315"/>
        <n v="0.325"/>
        <n v="0.33"/>
        <n v="0.36"/>
        <n v="0.375"/>
        <n v="0.4"/>
        <n v="0.42"/>
        <n v="0.5"/>
        <n v="0.7"/>
        <n v="0.8"/>
        <n v="0.82"/>
        <n v="0.83"/>
        <n v="1"/>
        <n v="1.5"/>
        <n v="2"/>
        <n v="2.5"/>
        <n v="3"/>
        <n v="5"/>
      </sharedItems>
    </cacheField>
    <cacheField name="Preço" numFmtId="0">
      <sharedItems containsSemiMixedTypes="0" containsString="0" containsNumber="1" minValue="0" maxValue="27.2633333333333" count="82">
        <n v="0"/>
        <n v="1.062"/>
        <n v="1.236"/>
        <n v="1.69"/>
        <n v="1.71"/>
        <n v="1.71833333333333"/>
        <n v="1.81"/>
        <n v="1.92166666666667"/>
        <n v="1.93"/>
        <n v="1.946"/>
        <n v="2.00666666666667"/>
        <n v="2.04"/>
        <n v="2.10333333333333"/>
        <n v="2.11"/>
        <n v="2.13"/>
        <n v="2.17"/>
        <n v="2.26"/>
        <n v="2.56666666666667"/>
        <n v="2.726"/>
        <n v="3.04666666666667"/>
        <n v="3.07333333333333"/>
        <n v="3.1375"/>
        <n v="3.25"/>
        <n v="3.28"/>
        <n v="3.29"/>
        <n v="3.34"/>
        <n v="3.45"/>
        <n v="3.455"/>
        <n v="3.70666666666667"/>
        <n v="3.782"/>
        <n v="3.79"/>
        <n v="3.84"/>
        <n v="3.85333333333333"/>
        <n v="3.89"/>
        <n v="3.99"/>
        <n v="4"/>
        <n v="4.04166666666667"/>
        <n v="4.08833333333333"/>
        <n v="4.17"/>
        <n v="4.19"/>
        <n v="4.2175"/>
        <n v="4.45"/>
        <n v="4.57166666666667"/>
        <n v="4.694"/>
        <n v="4.76"/>
        <n v="4.82333333333333"/>
        <n v="5.004"/>
        <n v="5.13"/>
        <n v="5.29"/>
        <n v="5.48"/>
        <n v="5.57333333333333"/>
        <n v="5.99"/>
        <n v="6.2375"/>
        <n v="6.49"/>
        <n v="6.6"/>
        <n v="6.642"/>
        <n v="6.97"/>
        <n v="6.98"/>
        <n v="6.98666666666667"/>
        <n v="6.99"/>
        <n v="7.00666666666667"/>
        <n v="7.0175"/>
        <n v="7.08333333333333"/>
        <n v="7.19"/>
        <n v="7.25666666666667"/>
        <n v="7.52"/>
        <n v="7.59"/>
        <n v="7.648"/>
        <n v="7.65"/>
        <n v="7.69"/>
        <n v="7.95"/>
        <n v="7.99"/>
        <n v="8.14333333333333"/>
        <n v="8.75"/>
        <n v="8.99"/>
        <n v="9.096"/>
        <n v="10.1233333333333"/>
        <n v="10.6066666666667"/>
        <n v="11.3816666666667"/>
        <n v="12.192"/>
        <n v="13.98"/>
        <n v="27.2633333333333"/>
      </sharedItems>
    </cacheField>
    <cacheField name="Qtde (S1)" numFmtId="0">
      <sharedItems containsSemiMixedTypes="0" containsString="0" containsNumber="1" containsInteger="1" minValue="0" maxValue="16" count="9">
        <n v="0"/>
        <n v="1"/>
        <n v="2"/>
        <n v="3"/>
        <n v="4"/>
        <n v="5"/>
        <n v="6"/>
        <n v="10"/>
        <n v="16"/>
      </sharedItems>
    </cacheField>
    <cacheField name="Qtde (S2)" numFmtId="0">
      <sharedItems containsSemiMixedTypes="0" containsString="0" containsNumber="1" containsInteger="1" minValue="0" maxValue="32" count="10">
        <n v="0"/>
        <n v="1"/>
        <n v="2"/>
        <n v="3"/>
        <n v="4"/>
        <n v="5"/>
        <n v="6"/>
        <n v="7"/>
        <n v="8"/>
        <n v="32"/>
      </sharedItems>
    </cacheField>
    <cacheField name="Qtde (S3)" numFmtId="0">
      <sharedItems containsSemiMixedTypes="0" containsString="0" containsNumber="1" containsInteger="1" minValue="0" maxValue="19" count="5">
        <n v="0"/>
        <n v="1"/>
        <n v="2"/>
        <n v="3"/>
        <n v="19"/>
      </sharedItems>
    </cacheField>
    <cacheField name="Qtde (S4)" numFmtId="0">
      <sharedItems containsSemiMixedTypes="0" containsString="0" containsNumber="1" containsInteger="1" minValue="0" maxValue="33" count="8">
        <n v="0"/>
        <n v="1"/>
        <n v="2"/>
        <n v="3"/>
        <n v="6"/>
        <n v="7"/>
        <n v="10"/>
        <n v="33"/>
      </sharedItems>
    </cacheField>
    <cacheField name="Qtde (S5)" numFmtId="0">
      <sharedItems containsSemiMixedTypes="0" containsString="0" containsNumber="1" containsInteger="1" minValue="0" maxValue="18" count="11">
        <n v="0"/>
        <n v="1"/>
        <n v="2"/>
        <n v="4"/>
        <n v="6"/>
        <n v="7"/>
        <n v="9"/>
        <n v="13"/>
        <n v="14"/>
        <n v="15"/>
        <n v="18"/>
      </sharedItems>
    </cacheField>
    <cacheField name="Qtde (S6)" numFmtId="0">
      <sharedItems containsSemiMixedTypes="0" containsString="0" containsNumber="1" containsInteger="1" minValue="0" maxValue="21" count="10">
        <n v="0"/>
        <n v="1"/>
        <n v="2"/>
        <n v="3"/>
        <n v="4"/>
        <n v="6"/>
        <n v="9"/>
        <n v="10"/>
        <n v="13"/>
        <n v="21"/>
      </sharedItems>
    </cacheField>
    <cacheField name="Qtde (S7)" numFmtId="0">
      <sharedItems containsSemiMixedTypes="0" containsString="0" containsNumber="1" containsInteger="1" minValue="0" maxValue="22" count="7">
        <n v="0"/>
        <n v="1"/>
        <n v="2"/>
        <n v="3"/>
        <n v="4"/>
        <n v="8"/>
        <n v="22"/>
      </sharedItems>
    </cacheField>
    <cacheField name="Qtde (S8)" numFmtId="0">
      <sharedItems containsSemiMixedTypes="0" containsString="0" containsNumber="1" containsInteger="1" minValue="0" maxValue="30" count="11">
        <n v="0"/>
        <n v="1"/>
        <n v="2"/>
        <n v="3"/>
        <n v="4"/>
        <n v="6"/>
        <n v="8"/>
        <n v="9"/>
        <n v="10"/>
        <n v="14"/>
        <n v="30"/>
      </sharedItems>
    </cacheField>
    <cacheField name="Qtde (S9)" numFmtId="0">
      <sharedItems containsSemiMixedTypes="0" containsString="0" containsNumber="1" containsInteger="1" minValue="0" maxValue="42" count="10">
        <n v="0"/>
        <n v="1"/>
        <n v="2"/>
        <n v="3"/>
        <n v="4"/>
        <n v="6"/>
        <n v="12"/>
        <n v="13"/>
        <n v="22"/>
        <n v="42"/>
      </sharedItems>
    </cacheField>
    <cacheField name="Qtde (S10)" numFmtId="0">
      <sharedItems containsSemiMixedTypes="0" containsString="0" containsNumber="1" containsInteger="1" minValue="0" maxValue="56" count="15">
        <n v="0"/>
        <n v="1"/>
        <n v="2"/>
        <n v="3"/>
        <n v="4"/>
        <n v="5"/>
        <n v="6"/>
        <n v="9"/>
        <n v="10"/>
        <n v="12"/>
        <n v="16"/>
        <n v="31"/>
        <n v="35"/>
        <n v="44"/>
        <n v="56"/>
      </sharedItems>
    </cacheField>
    <cacheField name="Qtde (S11)" numFmtId="0">
      <sharedItems containsSemiMixedTypes="0" containsString="0" containsNumber="1" containsInteger="1" minValue="0" maxValue="44" count="8">
        <n v="0"/>
        <n v="1"/>
        <n v="2"/>
        <n v="3"/>
        <n v="5"/>
        <n v="7"/>
        <n v="31"/>
        <n v="44"/>
      </sharedItems>
    </cacheField>
    <cacheField name="Qtde (S12)" numFmtId="0">
      <sharedItems containsSemiMixedTypes="0" containsString="0" containsNumber="1" containsInteger="1" minValue="0" maxValue="0" count="1">
        <n v="0"/>
      </sharedItems>
    </cacheField>
    <cacheField name="Qtde (S13)" numFmtId="0">
      <sharedItems containsSemiMixedTypes="0" containsString="0" containsNumber="1" containsInteger="1" minValue="0" maxValue="47" count="11">
        <n v="0"/>
        <n v="1"/>
        <n v="2"/>
        <n v="3"/>
        <n v="4"/>
        <n v="5"/>
        <n v="6"/>
        <n v="15"/>
        <n v="32"/>
        <n v="35"/>
        <n v="47"/>
      </sharedItems>
    </cacheField>
    <cacheField name="Qtde (S14)" numFmtId="0">
      <sharedItems containsSemiMixedTypes="0" containsString="0" containsNumber="1" containsInteger="1" minValue="0" maxValue="0" count="1">
        <n v="0"/>
      </sharedItems>
    </cacheField>
    <cacheField name="Qtde (S15)" numFmtId="0">
      <sharedItems containsSemiMixedTypes="0" containsString="0" containsNumber="1" containsInteger="1" minValue="0" maxValue="0" count="1">
        <n v="0"/>
      </sharedItems>
    </cacheField>
    <cacheField name="Qtde (S16)" numFmtId="0">
      <sharedItems containsSemiMixedTypes="0" containsString="0" containsNumber="1" containsInteger="1" minValue="0" maxValue="0" count="1">
        <n v="0"/>
      </sharedItems>
    </cacheField>
    <cacheField name="Qtde (S17)" numFmtId="0">
      <sharedItems containsSemiMixedTypes="0" containsString="0" containsNumber="1" containsInteger="1" minValue="0" maxValue="0" count="1">
        <n v="0"/>
      </sharedItems>
    </cacheField>
    <cacheField name="Qtde (S18)" numFmtId="0">
      <sharedItems containsSemiMixedTypes="0" containsString="0" containsNumber="1" containsInteger="1" minValue="0" maxValue="0" count="1">
        <n v="0"/>
      </sharedItems>
    </cacheField>
    <cacheField name="Qtde (ex)" numFmtId="0">
      <sharedItems containsSemiMixedTypes="0" containsString="0" containsNumber="1" containsInteger="1" minValue="0" maxValue="0" count="1">
        <n v="0"/>
      </sharedItems>
    </cacheField>
    <cacheField name="Qtde (tot)" numFmtId="0">
      <sharedItems containsSemiMixedTypes="0" containsString="0" containsNumber="1" containsInteger="1" minValue="0" maxValue="322" count="25">
        <n v="0"/>
        <n v="1"/>
        <n v="2"/>
        <n v="3"/>
        <n v="4"/>
        <n v="5"/>
        <n v="7"/>
        <n v="8"/>
        <n v="13"/>
        <n v="16"/>
        <n v="18"/>
        <n v="21"/>
        <n v="23"/>
        <n v="24"/>
        <n v="25"/>
        <n v="31"/>
        <n v="34"/>
        <n v="46"/>
        <n v="48"/>
        <n v="80"/>
        <n v="87"/>
        <n v="125"/>
        <n v="146"/>
        <n v="186"/>
        <n v="322"/>
      </sharedItems>
    </cacheField>
    <cacheField name="Preço x Qtde" numFmtId="0">
      <sharedItems containsSemiMixedTypes="0" containsString="0" containsNumber="1" minValue="0" maxValue="1661.72333333333" count="36">
        <n v="0"/>
        <n v="2.11"/>
        <n v="2.13"/>
        <n v="3.186"/>
        <n v="3.99"/>
        <n v="5.004"/>
        <n v="5.48"/>
        <n v="6.98"/>
        <n v="7.24"/>
        <n v="7.564"/>
        <n v="8"/>
        <n v="8.34"/>
        <n v="8.99"/>
        <n v="9.73"/>
        <n v="13.284"/>
        <n v="16.0533333333333"/>
        <n v="30.88"/>
        <n v="44.17"/>
        <n v="60.12"/>
        <n v="63.24"/>
        <n v="70.8633333333333"/>
        <n v="82.25"/>
        <n v="90.96"/>
        <n v="94.3366666666667"/>
        <n v="106.675"/>
        <n v="123.2"/>
        <n v="158.496"/>
        <n v="160.693333333333"/>
        <n v="168.16"/>
        <n v="177.253333333333"/>
        <n v="355.685"/>
        <n v="357.43"/>
        <n v="406.25"/>
        <n v="410.4"/>
        <n v="553.303333333333"/>
        <n v="1661.72333333333"/>
      </sharedItems>
    </cacheField>
    <cacheField name="kg" numFmtId="0">
      <sharedItems containsSemiMixedTypes="0" containsString="0" containsNumber="1" minValue="0" maxValue="730" count="34">
        <n v="0"/>
        <n v="0.12"/>
        <n v="0.145"/>
        <n v="0.16"/>
        <n v="0.17"/>
        <n v="0.3"/>
        <n v="0.33"/>
        <n v="0.36"/>
        <n v="0.4"/>
        <n v="0.54"/>
        <n v="0.6"/>
        <n v="1"/>
        <n v="1.28"/>
        <n v="2"/>
        <n v="2.16"/>
        <n v="2.31"/>
        <n v="4.34"/>
        <n v="5.6"/>
        <n v="7.5"/>
        <n v="9"/>
        <n v="9.1"/>
        <n v="9.6"/>
        <n v="12"/>
        <n v="12.24"/>
        <n v="13"/>
        <n v="18.4"/>
        <n v="24.18"/>
        <n v="34.8"/>
        <n v="36"/>
        <n v="115"/>
        <n v="125"/>
        <n v="160"/>
        <n v="322"/>
        <n v="730"/>
      </sharedItems>
    </cacheField>
  </cacheFields>
</pivotCacheDefinition>
</file>

<file path=xl/pivotCache/pivotCacheDefinition2.xml><?xml version="1.0" encoding="utf-8"?>
<pivotCacheDefinition xmlns="http://schemas.openxmlformats.org/spreadsheetml/2006/main" xmlns:r="http://schemas.openxmlformats.org/officeDocument/2006/relationships" r:id="rId1" recordCount="87" createdVersion="3">
  <cacheSource type="worksheet">
    <worksheetSource ref="AH4:BF91" sheet="Resumo total"/>
  </cacheSource>
  <cacheFields count="25">
    <cacheField name="Item" numFmtId="0">
      <sharedItems count="87">
        <s v="A"/>
        <s v="Absorvente (08un)"/>
        <s v="Absorvente (15un)"/>
        <s v="Absorvente (16un)"/>
        <s v="Absorvente (32un)"/>
        <s v="Absorvente (36un)"/>
        <s v="Absorvente (40 un)"/>
        <s v="Absorvente (60un)"/>
        <s v="Absorvente (80un)"/>
        <s v="Água Sanitária (1L)"/>
        <s v="Água Sanitária (2L)"/>
        <s v="Água Sanitária (5L)"/>
        <s v="Alcool (1L)"/>
        <s v="Álcool Gel (1L)"/>
        <s v="Álcool Gel (500ml)"/>
        <s v="Algodão (25g)"/>
        <s v="Algodão (50g)"/>
        <s v="Alvejante (1L)"/>
        <s v="Alvejante (2L)"/>
        <s v="Alvejante (500mL)"/>
        <s v="Amaciante (2L)"/>
        <s v="Amaciante (500mL)"/>
        <s v="Amaciante (5L)"/>
        <s v="Amaciante (900ml)"/>
        <s v="Amaciante(1L)"/>
        <s v="Amaciante(2L)"/>
        <s v="Antisséptico (100ml)"/>
        <s v="Antisséptico (440ml)"/>
        <s v="B"/>
        <s v="Band Aid"/>
        <s v="Band Aid (10un)"/>
        <s v="Band Aid (40un)"/>
        <s v="Brilho Alumínio (2L)"/>
        <s v="Brilho Alumínio (500mL)"/>
        <s v="C"/>
        <s v="Cloro ativo (500ml)"/>
        <s v="Cloro ativo (5L)"/>
        <s v="Condicionador (200mL)"/>
        <s v="Condicionador (325 mL)"/>
        <s v="Condicionador (350 mL)"/>
        <s v="Condicionador (400mL)"/>
        <s v="Cotonete"/>
        <s v="Creme de barbear"/>
        <s v="D"/>
        <s v="Desengordurante (500ml)"/>
        <s v="Desengordurante(500ml)"/>
        <s v="Desinfetante (1L)"/>
        <s v="Desinfetante (2L)"/>
        <s v="Desinfetante (300mL)"/>
        <s v="Desinfetante (5L)"/>
        <s v="Desinfetante (750mL)"/>
        <s v="Desinfetante(2L)"/>
        <s v="Desinfetante(500mL)"/>
        <s v="Desodorante"/>
        <s v="Desodorante creme"/>
        <s v="Desodorante rollon"/>
        <s v="Desodorante spray"/>
        <s v="Detergente"/>
        <s v="Detergente (5L)"/>
        <s v="Detergente (6un)"/>
        <s v="Detergente(500ml)"/>
        <s v="E"/>
        <s v="Enxaguante bucal (250mL)"/>
        <s v="Enxaguante bucal (350mL)"/>
        <s v="Enxaguante bucal (500mL)"/>
        <s v="Escova de dente (1un)"/>
        <s v="Escova de dente (2un)"/>
        <s v="Escova de dente (3 un)"/>
        <s v="Escova de Dentes (4un)"/>
        <s v="Esponja (1un)"/>
        <s v="Esponja (3un)"/>
        <s v="Esponja (4un)"/>
        <s v="Esponja de aço"/>
        <s v="F"/>
        <s v="Filtro de Café"/>
        <s v="Fio Dental"/>
        <s v="Fosforo"/>
        <s v="Fósforo (10 caixas x 40 un)"/>
        <s v="Fosforo (200un)"/>
        <s v="Fósforo (40un)"/>
        <s v="Fósforo (50un)"/>
        <s v="Fraldas Geriátricas (07un)"/>
        <s v="Fraldas Geriátricas (08un)"/>
        <s v="Fraldas Geriátricas (09un)"/>
        <s v="Fraldas Geriátricas (10un)"/>
        <s v="Fraldas Geriátricas (18un)"/>
        <s v="Fraldas Geriátricas (20un)"/>
      </sharedItems>
    </cacheField>
    <cacheField name="kg/embalagem" numFmtId="0">
      <sharedItems containsSemiMixedTypes="0" containsString="0" containsNumber="1" minValue="0" maxValue="15.6955097626458" count="78">
        <n v="0"/>
        <n v="0.347179000327806"/>
        <n v="0.36770784556458"/>
        <n v="0.417822379524942"/>
        <n v="0.449219436945891"/>
        <n v="0.570581139669177"/>
        <n v="0.652092731050488"/>
        <n v="0.76922790681326"/>
        <n v="0.806059070326297"/>
        <n v="0.842286444273547"/>
        <n v="0.854362235589296"/>
        <n v="0.882740345181308"/>
        <n v="0.917005403039748"/>
        <n v="0.963044357431044"/>
        <n v="0.996252783549356"/>
        <n v="1.01678162878613"/>
        <n v="1.05663174012811"/>
        <n v="1.08259469145697"/>
        <n v="1.08380227058854"/>
        <n v="1.09406669320693"/>
        <n v="1.10644437930557"/>
        <n v="1.13009280396558"/>
        <n v="1.20456018374604"/>
        <n v="1.25286334900904"/>
        <n v="1.28305282729841"/>
        <n v="1.34720546866333"/>
        <n v="1.37664020999547"/>
        <n v="1.46298211790308"/>
        <n v="1.50343601881085"/>
        <n v="1.67793120332343"/>
        <n v="1.7177813146654"/>
        <n v="1.74797079295478"/>
        <n v="1.77816027124415"/>
        <n v="1.85287923001035"/>
        <n v="1.89891818440165"/>
        <n v="1.90314471136216"/>
        <n v="1.92850387312524"/>
        <n v="1.93454176878311"/>
        <n v="1.9592971409804"/>
        <n v="2.0800550541379"/>
        <n v="2.11024453242727"/>
        <n v="2.12634558751494"/>
        <n v="2.17062348900602"/>
        <n v="2.23024770862754"/>
        <n v="2.24368202646631"/>
        <n v="2.26119192387414"/>
        <n v="2.41591300010719"/>
        <n v="2.41717089503591"/>
        <n v="2.46949932407083"/>
        <n v="2.5479919676232"/>
        <n v="2.56308670676789"/>
        <n v="2.72409725764455"/>
        <n v="2.7315439956226"/>
        <n v="2.87705728097738"/>
        <n v="2.92234149841144"/>
        <n v="2.93441728972719"/>
        <n v="2.99358866717437"/>
        <n v="3.18800890735794"/>
        <n v="3.46877105544912"/>
        <n v="3.61669949906706"/>
        <n v="3.61820897298152"/>
        <n v="3.72840056873774"/>
        <n v="3.77569741805776"/>
        <n v="4.29415139188062"/>
        <n v="4.33762424061732"/>
        <n v="4.46623141813005"/>
        <n v="4.52238384774829"/>
        <n v="4.73672914360285"/>
        <n v="4.78503230886585"/>
        <n v="5.10021046220692"/>
        <n v="5.18202394837112"/>
        <n v="5.31032923110096"/>
        <n v="5.37070818767971"/>
        <n v="5.58505348353427"/>
        <n v="6.16771041451919"/>
        <n v="6.21400094789624"/>
        <n v="8.00021174668422"/>
        <n v="15.6955097626458"/>
      </sharedItems>
    </cacheField>
    <cacheField name="Preço" numFmtId="0">
      <sharedItems containsSemiMixedTypes="0" containsString="0" containsNumber="1" minValue="0" maxValue="51.99" count="78">
        <n v="0"/>
        <n v="1.15"/>
        <n v="1.218"/>
        <n v="1.384"/>
        <n v="1.488"/>
        <n v="1.89"/>
        <n v="2.16"/>
        <n v="2.548"/>
        <n v="2.67"/>
        <n v="2.79"/>
        <n v="2.83"/>
        <n v="2.924"/>
        <n v="3.0375"/>
        <n v="3.19"/>
        <n v="3.3"/>
        <n v="3.368"/>
        <n v="3.5"/>
        <n v="3.586"/>
        <n v="3.59"/>
        <n v="3.624"/>
        <n v="3.665"/>
        <n v="3.74333333333333"/>
        <n v="3.99"/>
        <n v="4.15"/>
        <n v="4.25"/>
        <n v="4.4625"/>
        <n v="4.56"/>
        <n v="4.846"/>
        <n v="4.98"/>
        <n v="5.558"/>
        <n v="5.69"/>
        <n v="5.79"/>
        <n v="5.89"/>
        <n v="6.1375"/>
        <n v="6.29"/>
        <n v="6.304"/>
        <n v="6.388"/>
        <n v="6.408"/>
        <n v="6.49"/>
        <n v="6.89"/>
        <n v="6.99"/>
        <n v="7.04333333333333"/>
        <n v="7.19"/>
        <n v="7.3875"/>
        <n v="7.432"/>
        <n v="7.49"/>
        <n v="8.0025"/>
        <n v="8.00666666666667"/>
        <n v="8.18"/>
        <n v="8.44"/>
        <n v="8.49"/>
        <n v="9.02333333333333"/>
        <n v="9.048"/>
        <n v="9.53"/>
        <n v="9.68"/>
        <n v="9.72"/>
        <n v="9.916"/>
        <n v="10.56"/>
        <n v="11.49"/>
        <n v="11.98"/>
        <n v="11.985"/>
        <n v="12.35"/>
        <n v="12.5066666666667"/>
        <n v="14.224"/>
        <n v="14.368"/>
        <n v="14.794"/>
        <n v="14.98"/>
        <n v="15.69"/>
        <n v="15.85"/>
        <n v="16.894"/>
        <n v="17.165"/>
        <n v="17.59"/>
        <n v="17.79"/>
        <n v="18.5"/>
        <n v="20.43"/>
        <n v="20.5833333333333"/>
        <n v="26.5"/>
        <n v="51.99"/>
      </sharedItems>
    </cacheField>
    <cacheField name="Qtde (S1)" numFmtId="0">
      <sharedItems containsSemiMixedTypes="0" containsString="0" containsNumber="1" containsInteger="1" minValue="0" maxValue="10" count="6">
        <n v="0"/>
        <n v="1"/>
        <n v="2"/>
        <n v="3"/>
        <n v="5"/>
        <n v="10"/>
      </sharedItems>
    </cacheField>
    <cacheField name="Qtde (S2)" numFmtId="0">
      <sharedItems containsSemiMixedTypes="0" containsString="0" containsNumber="1" containsInteger="1" minValue="0" maxValue="28" count="4">
        <n v="0"/>
        <n v="1"/>
        <n v="2"/>
        <n v="28"/>
      </sharedItems>
    </cacheField>
    <cacheField name="Qtde (S3)" numFmtId="0">
      <sharedItems containsSemiMixedTypes="0" containsString="0" containsNumber="1" containsInteger="1" minValue="0" maxValue="12" count="4">
        <n v="0"/>
        <n v="1"/>
        <n v="3"/>
        <n v="12"/>
      </sharedItems>
    </cacheField>
    <cacheField name="Qtde (S4)" numFmtId="0">
      <sharedItems containsSemiMixedTypes="0" containsString="0" containsNumber="1" containsInteger="1" minValue="0" maxValue="30" count="5">
        <n v="0"/>
        <n v="1"/>
        <n v="2"/>
        <n v="4"/>
        <n v="30"/>
      </sharedItems>
    </cacheField>
    <cacheField name="Qtde (S5)" numFmtId="0">
      <sharedItems containsSemiMixedTypes="0" containsString="0" containsNumber="1" containsInteger="1" minValue="0" maxValue="33" count="9">
        <n v="0"/>
        <n v="1"/>
        <n v="2"/>
        <n v="3"/>
        <n v="6"/>
        <n v="7"/>
        <n v="10"/>
        <n v="13"/>
        <n v="33"/>
      </sharedItems>
    </cacheField>
    <cacheField name="Qtde (S6)" numFmtId="0">
      <sharedItems containsSemiMixedTypes="0" containsString="0" containsNumber="1" containsInteger="1" minValue="0" maxValue="31" count="7">
        <n v="0"/>
        <n v="1"/>
        <n v="2"/>
        <n v="4"/>
        <n v="8"/>
        <n v="15"/>
        <n v="31"/>
      </sharedItems>
    </cacheField>
    <cacheField name="Qtde (S7)" numFmtId="0">
      <sharedItems containsSemiMixedTypes="0" containsString="0" containsNumber="1" containsInteger="1" minValue="0" maxValue="22" count="5">
        <n v="0"/>
        <n v="1"/>
        <n v="2"/>
        <n v="3"/>
        <n v="22"/>
      </sharedItems>
    </cacheField>
    <cacheField name="Qtde (S8)" numFmtId="0">
      <sharedItems containsSemiMixedTypes="0" containsString="0" containsNumber="1" containsInteger="1" minValue="0" maxValue="22" count="7">
        <n v="0"/>
        <n v="1"/>
        <n v="2"/>
        <n v="3"/>
        <n v="6"/>
        <n v="8"/>
        <n v="22"/>
      </sharedItems>
    </cacheField>
    <cacheField name="Qtde (S9)" numFmtId="0">
      <sharedItems containsSemiMixedTypes="0" containsString="0" containsNumber="1" containsInteger="1" minValue="0" maxValue="47" count="5">
        <n v="0"/>
        <n v="1"/>
        <n v="2"/>
        <n v="6"/>
        <n v="47"/>
      </sharedItems>
    </cacheField>
    <cacheField name="Qtde (S10)" numFmtId="0">
      <sharedItems containsSemiMixedTypes="0" containsString="0" containsNumber="1" containsInteger="1" minValue="0" maxValue="42" count="10">
        <n v="0"/>
        <n v="1"/>
        <n v="2"/>
        <n v="3"/>
        <n v="4"/>
        <n v="5"/>
        <n v="6"/>
        <n v="16"/>
        <n v="22"/>
        <n v="42"/>
      </sharedItems>
    </cacheField>
    <cacheField name="Qtde (S11)" numFmtId="0">
      <sharedItems containsSemiMixedTypes="0" containsString="0" containsNumber="1" containsInteger="1" minValue="0" maxValue="21" count="6">
        <n v="0"/>
        <n v="1"/>
        <n v="2"/>
        <n v="3"/>
        <n v="7"/>
        <n v="21"/>
      </sharedItems>
    </cacheField>
    <cacheField name="Qtde (S12)" numFmtId="0">
      <sharedItems containsSemiMixedTypes="0" containsString="0" containsNumber="1" containsInteger="1" minValue="0" maxValue="0" count="1">
        <n v="0"/>
      </sharedItems>
    </cacheField>
    <cacheField name="Qtde (S13)" numFmtId="0">
      <sharedItems containsSemiMixedTypes="0" containsString="0" containsNumber="1" containsInteger="1" minValue="0" maxValue="26" count="7">
        <n v="0"/>
        <n v="1"/>
        <n v="2"/>
        <n v="3"/>
        <n v="4"/>
        <n v="6"/>
        <n v="26"/>
      </sharedItems>
    </cacheField>
    <cacheField name="Qtde (S14)" numFmtId="0">
      <sharedItems containsSemiMixedTypes="0" containsString="0" containsNumber="1" containsInteger="1" minValue="0" maxValue="0" count="1">
        <n v="0"/>
      </sharedItems>
    </cacheField>
    <cacheField name="Qtde (S15)" numFmtId="0">
      <sharedItems containsSemiMixedTypes="0" containsString="0" containsNumber="1" containsInteger="1" minValue="0" maxValue="0" count="1">
        <n v="0"/>
      </sharedItems>
    </cacheField>
    <cacheField name="Qtde (S16)" numFmtId="0">
      <sharedItems containsSemiMixedTypes="0" containsString="0" containsNumber="1" containsInteger="1" minValue="0" maxValue="0" count="1">
        <n v="0"/>
      </sharedItems>
    </cacheField>
    <cacheField name="Qtde (S17)" numFmtId="0">
      <sharedItems containsSemiMixedTypes="0" containsString="0" containsNumber="1" containsInteger="1" minValue="0" maxValue="0" count="1">
        <n v="0"/>
      </sharedItems>
    </cacheField>
    <cacheField name="Qtde (S18)" numFmtId="0">
      <sharedItems containsSemiMixedTypes="0" containsString="0" containsNumber="1" containsInteger="1" minValue="0" maxValue="0" count="1">
        <n v="0"/>
      </sharedItems>
    </cacheField>
    <cacheField name="Qtde (ex)" numFmtId="0">
      <sharedItems containsSemiMixedTypes="0" containsString="0" containsNumber="1" containsInteger="1" minValue="0" maxValue="0" count="1">
        <n v="0"/>
      </sharedItems>
    </cacheField>
    <cacheField name="Qtde (tot)" numFmtId="0">
      <sharedItems containsSemiMixedTypes="0" containsString="0" containsNumber="1" containsInteger="1" minValue="0" maxValue="324" count="18">
        <n v="0"/>
        <n v="1"/>
        <n v="2"/>
        <n v="3"/>
        <n v="4"/>
        <n v="5"/>
        <n v="6"/>
        <n v="7"/>
        <n v="8"/>
        <n v="10"/>
        <n v="13"/>
        <n v="17"/>
        <n v="22"/>
        <n v="31"/>
        <n v="35"/>
        <n v="47"/>
        <n v="58"/>
        <n v="324"/>
      </sharedItems>
    </cacheField>
    <cacheField name="Preço x Qtde" numFmtId="0">
      <sharedItems containsSemiMixedTypes="0" containsString="0" containsNumber="1" minValue="0" maxValue="458.614" count="38">
        <n v="0"/>
        <n v="5.096"/>
        <n v="5.558"/>
        <n v="5.69"/>
        <n v="5.79"/>
        <n v="7.33"/>
        <n v="7.98"/>
        <n v="8.928"/>
        <n v="9.688"/>
        <n v="9.72"/>
        <n v="14.95"/>
        <n v="15.1875"/>
        <n v="16.84"/>
        <n v="17.79"/>
        <n v="17.85"/>
        <n v="19.81"/>
        <n v="19.832"/>
        <n v="22.1625"/>
        <n v="24.9"/>
        <n v="25.216"/>
        <n v="28.736"/>
        <n v="29.24"/>
        <n v="29.96"/>
        <n v="32.04"/>
        <n v="41.1666666666667"/>
        <n v="45.39"/>
        <n v="45.5"/>
        <n v="49.4"/>
        <n v="63.36"/>
        <n v="71.12"/>
        <n v="106.612"/>
        <n v="135.152"/>
        <n v="170.328"/>
        <n v="191.4"/>
        <n v="246.516666666667"/>
        <n v="376.313333333333"/>
        <n v="394.632"/>
        <n v="458.614"/>
      </sharedItems>
    </cacheField>
    <cacheField name="kg" numFmtId="0">
      <sharedItems containsSemiMixedTypes="0" containsString="0" containsNumber="1" minValue="0" maxValue="138.453173962032" count="38">
        <n v="0"/>
        <n v="1.53845581362652"/>
        <n v="1.67793120332343"/>
        <n v="1.7177813146654"/>
        <n v="1.74797079295478"/>
        <n v="2.21288875861115"/>
        <n v="2.40912036749208"/>
        <n v="2.69531662167535"/>
        <n v="2.92475665667459"/>
        <n v="2.93441728972719"/>
        <n v="4.51332700426148"/>
        <n v="4.58502701519874"/>
        <n v="5.08390814393065"/>
        <n v="5.37070818767971"/>
        <n v="5.38882187465333"/>
        <n v="5.98053564912507"/>
        <n v="5.98717733434874"/>
        <n v="6.69074312588261"/>
        <n v="7.51718009405423"/>
        <n v="7.61257884544866"/>
        <n v="8.67524848123463"/>
        <n v="8.82740345181308"/>
        <n v="9.04476769549658"/>
        <n v="9.67270884391557"/>
        <n v="12.4280018957925"/>
        <n v="13.7030041955471"/>
        <n v="13.7362126216654"/>
        <n v="14.913602274951"/>
        <n v="19.1280534441476"/>
        <n v="21.4707569594031"/>
        <n v="32.1856065938679"/>
        <n v="40.8016836976553"/>
        <n v="51.4211345807257"/>
        <n v="57.7826614458627"/>
        <n v="74.4220955630229"/>
        <n v="113.607032066688"/>
        <n v="119.137341962924"/>
        <n v="138.453173962032"/>
      </sharedItems>
    </cacheField>
  </cacheFields>
</pivotCacheDefinition>
</file>

<file path=xl/pivotCache/pivotCacheRecords1.xml><?xml version="1.0" encoding="utf-8"?>
<pivotCacheRecords xmlns="http://schemas.openxmlformats.org/spreadsheetml/2006/main" xmlns:r="http://schemas.openxmlformats.org/officeDocument/2006/relationships" count="87">
  <r>
    <x v="0"/>
    <x v="0"/>
    <x v="0"/>
    <x v="0"/>
    <x v="0"/>
    <x v="0"/>
    <x v="0"/>
    <x v="0"/>
    <x v="0"/>
    <x v="0"/>
    <x v="0"/>
    <x v="0"/>
    <x v="0"/>
    <x v="0"/>
    <x v="0"/>
    <x v="0"/>
    <x v="0"/>
    <x v="0"/>
    <x v="0"/>
    <x v="0"/>
    <x v="0"/>
    <x v="0"/>
    <x v="0"/>
    <x v="0"/>
    <x v="0"/>
  </r>
  <r>
    <x v="1"/>
    <x v="35"/>
    <x v="70"/>
    <x v="0"/>
    <x v="0"/>
    <x v="0"/>
    <x v="0"/>
    <x v="0"/>
    <x v="0"/>
    <x v="0"/>
    <x v="0"/>
    <x v="0"/>
    <x v="0"/>
    <x v="0"/>
    <x v="0"/>
    <x v="0"/>
    <x v="0"/>
    <x v="0"/>
    <x v="0"/>
    <x v="0"/>
    <x v="0"/>
    <x v="0"/>
    <x v="0"/>
    <x v="0"/>
    <x v="0"/>
  </r>
  <r>
    <x v="2"/>
    <x v="36"/>
    <x v="73"/>
    <x v="0"/>
    <x v="0"/>
    <x v="0"/>
    <x v="0"/>
    <x v="0"/>
    <x v="0"/>
    <x v="0"/>
    <x v="0"/>
    <x v="0"/>
    <x v="0"/>
    <x v="0"/>
    <x v="0"/>
    <x v="0"/>
    <x v="0"/>
    <x v="0"/>
    <x v="0"/>
    <x v="0"/>
    <x v="0"/>
    <x v="0"/>
    <x v="0"/>
    <x v="0"/>
    <x v="0"/>
  </r>
  <r>
    <x v="3"/>
    <x v="37"/>
    <x v="79"/>
    <x v="0"/>
    <x v="3"/>
    <x v="0"/>
    <x v="0"/>
    <x v="2"/>
    <x v="3"/>
    <x v="0"/>
    <x v="3"/>
    <x v="0"/>
    <x v="1"/>
    <x v="0"/>
    <x v="0"/>
    <x v="1"/>
    <x v="0"/>
    <x v="0"/>
    <x v="0"/>
    <x v="0"/>
    <x v="0"/>
    <x v="0"/>
    <x v="8"/>
    <x v="26"/>
    <x v="24"/>
  </r>
  <r>
    <x v="4"/>
    <x v="20"/>
    <x v="39"/>
    <x v="0"/>
    <x v="0"/>
    <x v="0"/>
    <x v="0"/>
    <x v="0"/>
    <x v="0"/>
    <x v="0"/>
    <x v="0"/>
    <x v="0"/>
    <x v="0"/>
    <x v="0"/>
    <x v="0"/>
    <x v="0"/>
    <x v="0"/>
    <x v="0"/>
    <x v="0"/>
    <x v="0"/>
    <x v="0"/>
    <x v="0"/>
    <x v="0"/>
    <x v="0"/>
    <x v="0"/>
  </r>
  <r>
    <x v="5"/>
    <x v="24"/>
    <x v="61"/>
    <x v="0"/>
    <x v="0"/>
    <x v="0"/>
    <x v="0"/>
    <x v="0"/>
    <x v="0"/>
    <x v="0"/>
    <x v="0"/>
    <x v="0"/>
    <x v="0"/>
    <x v="0"/>
    <x v="0"/>
    <x v="0"/>
    <x v="0"/>
    <x v="0"/>
    <x v="0"/>
    <x v="0"/>
    <x v="0"/>
    <x v="0"/>
    <x v="0"/>
    <x v="0"/>
    <x v="0"/>
  </r>
  <r>
    <x v="6"/>
    <x v="30"/>
    <x v="32"/>
    <x v="2"/>
    <x v="3"/>
    <x v="1"/>
    <x v="1"/>
    <x v="6"/>
    <x v="2"/>
    <x v="0"/>
    <x v="3"/>
    <x v="6"/>
    <x v="6"/>
    <x v="4"/>
    <x v="0"/>
    <x v="2"/>
    <x v="0"/>
    <x v="0"/>
    <x v="0"/>
    <x v="0"/>
    <x v="0"/>
    <x v="0"/>
    <x v="17"/>
    <x v="29"/>
    <x v="25"/>
  </r>
  <r>
    <x v="7"/>
    <x v="32"/>
    <x v="51"/>
    <x v="0"/>
    <x v="0"/>
    <x v="0"/>
    <x v="0"/>
    <x v="0"/>
    <x v="0"/>
    <x v="0"/>
    <x v="0"/>
    <x v="0"/>
    <x v="0"/>
    <x v="0"/>
    <x v="0"/>
    <x v="0"/>
    <x v="0"/>
    <x v="0"/>
    <x v="0"/>
    <x v="0"/>
    <x v="0"/>
    <x v="0"/>
    <x v="0"/>
    <x v="0"/>
    <x v="0"/>
  </r>
  <r>
    <x v="8"/>
    <x v="33"/>
    <x v="64"/>
    <x v="0"/>
    <x v="1"/>
    <x v="0"/>
    <x v="0"/>
    <x v="3"/>
    <x v="1"/>
    <x v="0"/>
    <x v="1"/>
    <x v="0"/>
    <x v="1"/>
    <x v="0"/>
    <x v="0"/>
    <x v="5"/>
    <x v="0"/>
    <x v="0"/>
    <x v="0"/>
    <x v="0"/>
    <x v="0"/>
    <x v="0"/>
    <x v="8"/>
    <x v="23"/>
    <x v="20"/>
  </r>
  <r>
    <x v="9"/>
    <x v="34"/>
    <x v="76"/>
    <x v="0"/>
    <x v="0"/>
    <x v="0"/>
    <x v="1"/>
    <x v="0"/>
    <x v="0"/>
    <x v="0"/>
    <x v="0"/>
    <x v="1"/>
    <x v="2"/>
    <x v="2"/>
    <x v="0"/>
    <x v="1"/>
    <x v="0"/>
    <x v="0"/>
    <x v="0"/>
    <x v="0"/>
    <x v="0"/>
    <x v="0"/>
    <x v="6"/>
    <x v="20"/>
    <x v="17"/>
  </r>
  <r>
    <x v="10"/>
    <x v="37"/>
    <x v="5"/>
    <x v="8"/>
    <x v="9"/>
    <x v="4"/>
    <x v="7"/>
    <x v="10"/>
    <x v="9"/>
    <x v="6"/>
    <x v="10"/>
    <x v="8"/>
    <x v="11"/>
    <x v="6"/>
    <x v="0"/>
    <x v="10"/>
    <x v="0"/>
    <x v="0"/>
    <x v="0"/>
    <x v="0"/>
    <x v="0"/>
    <x v="0"/>
    <x v="24"/>
    <x v="34"/>
    <x v="32"/>
  </r>
  <r>
    <x v="11"/>
    <x v="39"/>
    <x v="25"/>
    <x v="0"/>
    <x v="3"/>
    <x v="1"/>
    <x v="0"/>
    <x v="1"/>
    <x v="1"/>
    <x v="1"/>
    <x v="1"/>
    <x v="4"/>
    <x v="0"/>
    <x v="4"/>
    <x v="0"/>
    <x v="1"/>
    <x v="0"/>
    <x v="0"/>
    <x v="0"/>
    <x v="0"/>
    <x v="0"/>
    <x v="0"/>
    <x v="10"/>
    <x v="18"/>
    <x v="28"/>
  </r>
  <r>
    <x v="12"/>
    <x v="32"/>
    <x v="26"/>
    <x v="0"/>
    <x v="0"/>
    <x v="0"/>
    <x v="0"/>
    <x v="0"/>
    <x v="0"/>
    <x v="0"/>
    <x v="0"/>
    <x v="0"/>
    <x v="0"/>
    <x v="0"/>
    <x v="0"/>
    <x v="0"/>
    <x v="0"/>
    <x v="0"/>
    <x v="0"/>
    <x v="0"/>
    <x v="0"/>
    <x v="0"/>
    <x v="0"/>
    <x v="0"/>
    <x v="0"/>
  </r>
  <r>
    <x v="13"/>
    <x v="42"/>
    <x v="58"/>
    <x v="2"/>
    <x v="1"/>
    <x v="0"/>
    <x v="0"/>
    <x v="0"/>
    <x v="0"/>
    <x v="0"/>
    <x v="0"/>
    <x v="3"/>
    <x v="8"/>
    <x v="1"/>
    <x v="0"/>
    <x v="6"/>
    <x v="0"/>
    <x v="0"/>
    <x v="0"/>
    <x v="0"/>
    <x v="0"/>
    <x v="0"/>
    <x v="12"/>
    <x v="27"/>
    <x v="29"/>
  </r>
  <r>
    <x v="14"/>
    <x v="8"/>
    <x v="19"/>
    <x v="0"/>
    <x v="0"/>
    <x v="0"/>
    <x v="0"/>
    <x v="0"/>
    <x v="0"/>
    <x v="0"/>
    <x v="0"/>
    <x v="0"/>
    <x v="0"/>
    <x v="0"/>
    <x v="0"/>
    <x v="0"/>
    <x v="0"/>
    <x v="0"/>
    <x v="0"/>
    <x v="0"/>
    <x v="0"/>
    <x v="0"/>
    <x v="0"/>
    <x v="0"/>
    <x v="0"/>
  </r>
  <r>
    <x v="15"/>
    <x v="39"/>
    <x v="52"/>
    <x v="0"/>
    <x v="0"/>
    <x v="0"/>
    <x v="0"/>
    <x v="0"/>
    <x v="0"/>
    <x v="0"/>
    <x v="0"/>
    <x v="0"/>
    <x v="0"/>
    <x v="0"/>
    <x v="0"/>
    <x v="0"/>
    <x v="0"/>
    <x v="0"/>
    <x v="0"/>
    <x v="0"/>
    <x v="0"/>
    <x v="0"/>
    <x v="0"/>
    <x v="0"/>
    <x v="0"/>
  </r>
  <r>
    <x v="16"/>
    <x v="37"/>
    <x v="22"/>
    <x v="7"/>
    <x v="6"/>
    <x v="1"/>
    <x v="5"/>
    <x v="7"/>
    <x v="4"/>
    <x v="2"/>
    <x v="7"/>
    <x v="3"/>
    <x v="12"/>
    <x v="3"/>
    <x v="0"/>
    <x v="8"/>
    <x v="0"/>
    <x v="0"/>
    <x v="0"/>
    <x v="0"/>
    <x v="0"/>
    <x v="0"/>
    <x v="21"/>
    <x v="32"/>
    <x v="30"/>
  </r>
  <r>
    <x v="17"/>
    <x v="39"/>
    <x v="47"/>
    <x v="6"/>
    <x v="8"/>
    <x v="3"/>
    <x v="4"/>
    <x v="8"/>
    <x v="5"/>
    <x v="1"/>
    <x v="6"/>
    <x v="5"/>
    <x v="5"/>
    <x v="2"/>
    <x v="0"/>
    <x v="7"/>
    <x v="0"/>
    <x v="0"/>
    <x v="0"/>
    <x v="0"/>
    <x v="0"/>
    <x v="0"/>
    <x v="19"/>
    <x v="33"/>
    <x v="31"/>
  </r>
  <r>
    <x v="18"/>
    <x v="42"/>
    <x v="78"/>
    <x v="5"/>
    <x v="8"/>
    <x v="2"/>
    <x v="2"/>
    <x v="7"/>
    <x v="3"/>
    <x v="4"/>
    <x v="8"/>
    <x v="7"/>
    <x v="13"/>
    <x v="5"/>
    <x v="0"/>
    <x v="9"/>
    <x v="0"/>
    <x v="0"/>
    <x v="0"/>
    <x v="0"/>
    <x v="0"/>
    <x v="0"/>
    <x v="22"/>
    <x v="35"/>
    <x v="33"/>
  </r>
  <r>
    <x v="19"/>
    <x v="37"/>
    <x v="29"/>
    <x v="0"/>
    <x v="1"/>
    <x v="0"/>
    <x v="0"/>
    <x v="1"/>
    <x v="0"/>
    <x v="0"/>
    <x v="0"/>
    <x v="0"/>
    <x v="0"/>
    <x v="0"/>
    <x v="0"/>
    <x v="0"/>
    <x v="0"/>
    <x v="0"/>
    <x v="0"/>
    <x v="0"/>
    <x v="0"/>
    <x v="0"/>
    <x v="2"/>
    <x v="9"/>
    <x v="13"/>
  </r>
  <r>
    <x v="20"/>
    <x v="32"/>
    <x v="44"/>
    <x v="0"/>
    <x v="0"/>
    <x v="0"/>
    <x v="0"/>
    <x v="0"/>
    <x v="0"/>
    <x v="0"/>
    <x v="0"/>
    <x v="0"/>
    <x v="0"/>
    <x v="0"/>
    <x v="0"/>
    <x v="0"/>
    <x v="0"/>
    <x v="0"/>
    <x v="0"/>
    <x v="0"/>
    <x v="0"/>
    <x v="0"/>
    <x v="0"/>
    <x v="0"/>
    <x v="0"/>
  </r>
  <r>
    <x v="21"/>
    <x v="18"/>
    <x v="43"/>
    <x v="0"/>
    <x v="0"/>
    <x v="0"/>
    <x v="0"/>
    <x v="0"/>
    <x v="0"/>
    <x v="0"/>
    <x v="0"/>
    <x v="0"/>
    <x v="0"/>
    <x v="0"/>
    <x v="0"/>
    <x v="0"/>
    <x v="0"/>
    <x v="0"/>
    <x v="0"/>
    <x v="0"/>
    <x v="0"/>
    <x v="0"/>
    <x v="0"/>
    <x v="0"/>
    <x v="0"/>
  </r>
  <r>
    <x v="22"/>
    <x v="26"/>
    <x v="65"/>
    <x v="0"/>
    <x v="0"/>
    <x v="0"/>
    <x v="0"/>
    <x v="0"/>
    <x v="0"/>
    <x v="0"/>
    <x v="0"/>
    <x v="0"/>
    <x v="0"/>
    <x v="0"/>
    <x v="0"/>
    <x v="0"/>
    <x v="0"/>
    <x v="0"/>
    <x v="0"/>
    <x v="0"/>
    <x v="0"/>
    <x v="0"/>
    <x v="0"/>
    <x v="0"/>
    <x v="0"/>
  </r>
  <r>
    <x v="23"/>
    <x v="20"/>
    <x v="18"/>
    <x v="0"/>
    <x v="0"/>
    <x v="0"/>
    <x v="0"/>
    <x v="0"/>
    <x v="0"/>
    <x v="0"/>
    <x v="0"/>
    <x v="0"/>
    <x v="0"/>
    <x v="0"/>
    <x v="0"/>
    <x v="0"/>
    <x v="0"/>
    <x v="0"/>
    <x v="0"/>
    <x v="0"/>
    <x v="0"/>
    <x v="0"/>
    <x v="0"/>
    <x v="0"/>
    <x v="0"/>
  </r>
  <r>
    <x v="24"/>
    <x v="32"/>
    <x v="67"/>
    <x v="0"/>
    <x v="0"/>
    <x v="0"/>
    <x v="0"/>
    <x v="0"/>
    <x v="0"/>
    <x v="0"/>
    <x v="0"/>
    <x v="0"/>
    <x v="0"/>
    <x v="0"/>
    <x v="0"/>
    <x v="0"/>
    <x v="0"/>
    <x v="0"/>
    <x v="0"/>
    <x v="0"/>
    <x v="0"/>
    <x v="0"/>
    <x v="0"/>
    <x v="0"/>
    <x v="0"/>
  </r>
  <r>
    <x v="25"/>
    <x v="20"/>
    <x v="75"/>
    <x v="0"/>
    <x v="0"/>
    <x v="0"/>
    <x v="0"/>
    <x v="0"/>
    <x v="0"/>
    <x v="0"/>
    <x v="0"/>
    <x v="0"/>
    <x v="0"/>
    <x v="0"/>
    <x v="0"/>
    <x v="0"/>
    <x v="0"/>
    <x v="0"/>
    <x v="0"/>
    <x v="0"/>
    <x v="0"/>
    <x v="0"/>
    <x v="0"/>
    <x v="0"/>
    <x v="0"/>
  </r>
  <r>
    <x v="26"/>
    <x v="32"/>
    <x v="77"/>
    <x v="0"/>
    <x v="0"/>
    <x v="0"/>
    <x v="0"/>
    <x v="0"/>
    <x v="0"/>
    <x v="0"/>
    <x v="0"/>
    <x v="0"/>
    <x v="0"/>
    <x v="0"/>
    <x v="0"/>
    <x v="0"/>
    <x v="0"/>
    <x v="0"/>
    <x v="0"/>
    <x v="0"/>
    <x v="0"/>
    <x v="0"/>
    <x v="0"/>
    <x v="0"/>
    <x v="0"/>
  </r>
  <r>
    <x v="27"/>
    <x v="8"/>
    <x v="16"/>
    <x v="0"/>
    <x v="0"/>
    <x v="0"/>
    <x v="0"/>
    <x v="0"/>
    <x v="0"/>
    <x v="0"/>
    <x v="0"/>
    <x v="0"/>
    <x v="0"/>
    <x v="0"/>
    <x v="0"/>
    <x v="0"/>
    <x v="0"/>
    <x v="0"/>
    <x v="0"/>
    <x v="0"/>
    <x v="0"/>
    <x v="0"/>
    <x v="0"/>
    <x v="0"/>
    <x v="0"/>
  </r>
  <r>
    <x v="28"/>
    <x v="11"/>
    <x v="41"/>
    <x v="0"/>
    <x v="0"/>
    <x v="0"/>
    <x v="0"/>
    <x v="0"/>
    <x v="0"/>
    <x v="0"/>
    <x v="0"/>
    <x v="0"/>
    <x v="0"/>
    <x v="0"/>
    <x v="0"/>
    <x v="0"/>
    <x v="0"/>
    <x v="0"/>
    <x v="0"/>
    <x v="0"/>
    <x v="0"/>
    <x v="0"/>
    <x v="0"/>
    <x v="0"/>
    <x v="0"/>
  </r>
  <r>
    <x v="29"/>
    <x v="16"/>
    <x v="23"/>
    <x v="0"/>
    <x v="0"/>
    <x v="0"/>
    <x v="0"/>
    <x v="0"/>
    <x v="0"/>
    <x v="0"/>
    <x v="0"/>
    <x v="0"/>
    <x v="0"/>
    <x v="0"/>
    <x v="0"/>
    <x v="0"/>
    <x v="0"/>
    <x v="0"/>
    <x v="0"/>
    <x v="0"/>
    <x v="0"/>
    <x v="0"/>
    <x v="0"/>
    <x v="0"/>
    <x v="0"/>
  </r>
  <r>
    <x v="30"/>
    <x v="17"/>
    <x v="40"/>
    <x v="0"/>
    <x v="0"/>
    <x v="0"/>
    <x v="0"/>
    <x v="0"/>
    <x v="0"/>
    <x v="0"/>
    <x v="0"/>
    <x v="0"/>
    <x v="0"/>
    <x v="0"/>
    <x v="0"/>
    <x v="0"/>
    <x v="0"/>
    <x v="0"/>
    <x v="0"/>
    <x v="0"/>
    <x v="0"/>
    <x v="0"/>
    <x v="0"/>
    <x v="0"/>
    <x v="0"/>
  </r>
  <r>
    <x v="31"/>
    <x v="37"/>
    <x v="80"/>
    <x v="0"/>
    <x v="0"/>
    <x v="0"/>
    <x v="0"/>
    <x v="0"/>
    <x v="0"/>
    <x v="0"/>
    <x v="0"/>
    <x v="0"/>
    <x v="0"/>
    <x v="0"/>
    <x v="0"/>
    <x v="0"/>
    <x v="0"/>
    <x v="0"/>
    <x v="0"/>
    <x v="0"/>
    <x v="0"/>
    <x v="0"/>
    <x v="0"/>
    <x v="0"/>
    <x v="0"/>
  </r>
  <r>
    <x v="32"/>
    <x v="23"/>
    <x v="59"/>
    <x v="0"/>
    <x v="0"/>
    <x v="0"/>
    <x v="0"/>
    <x v="0"/>
    <x v="0"/>
    <x v="0"/>
    <x v="0"/>
    <x v="0"/>
    <x v="0"/>
    <x v="0"/>
    <x v="0"/>
    <x v="0"/>
    <x v="0"/>
    <x v="0"/>
    <x v="0"/>
    <x v="0"/>
    <x v="0"/>
    <x v="0"/>
    <x v="0"/>
    <x v="0"/>
    <x v="0"/>
  </r>
  <r>
    <x v="33"/>
    <x v="0"/>
    <x v="0"/>
    <x v="0"/>
    <x v="0"/>
    <x v="0"/>
    <x v="0"/>
    <x v="0"/>
    <x v="0"/>
    <x v="0"/>
    <x v="0"/>
    <x v="0"/>
    <x v="0"/>
    <x v="0"/>
    <x v="0"/>
    <x v="0"/>
    <x v="0"/>
    <x v="0"/>
    <x v="0"/>
    <x v="0"/>
    <x v="0"/>
    <x v="0"/>
    <x v="0"/>
    <x v="0"/>
    <x v="0"/>
  </r>
  <r>
    <x v="34"/>
    <x v="5"/>
    <x v="38"/>
    <x v="0"/>
    <x v="0"/>
    <x v="0"/>
    <x v="2"/>
    <x v="0"/>
    <x v="0"/>
    <x v="0"/>
    <x v="0"/>
    <x v="0"/>
    <x v="0"/>
    <x v="0"/>
    <x v="0"/>
    <x v="0"/>
    <x v="0"/>
    <x v="0"/>
    <x v="0"/>
    <x v="0"/>
    <x v="0"/>
    <x v="0"/>
    <x v="2"/>
    <x v="11"/>
    <x v="3"/>
  </r>
  <r>
    <x v="35"/>
    <x v="11"/>
    <x v="42"/>
    <x v="0"/>
    <x v="0"/>
    <x v="0"/>
    <x v="0"/>
    <x v="0"/>
    <x v="0"/>
    <x v="0"/>
    <x v="0"/>
    <x v="0"/>
    <x v="0"/>
    <x v="0"/>
    <x v="0"/>
    <x v="0"/>
    <x v="0"/>
    <x v="0"/>
    <x v="0"/>
    <x v="0"/>
    <x v="0"/>
    <x v="0"/>
    <x v="0"/>
    <x v="0"/>
    <x v="0"/>
  </r>
  <r>
    <x v="36"/>
    <x v="19"/>
    <x v="1"/>
    <x v="0"/>
    <x v="0"/>
    <x v="0"/>
    <x v="0"/>
    <x v="0"/>
    <x v="0"/>
    <x v="0"/>
    <x v="0"/>
    <x v="0"/>
    <x v="0"/>
    <x v="3"/>
    <x v="0"/>
    <x v="0"/>
    <x v="0"/>
    <x v="0"/>
    <x v="0"/>
    <x v="0"/>
    <x v="0"/>
    <x v="0"/>
    <x v="3"/>
    <x v="3"/>
    <x v="9"/>
  </r>
  <r>
    <x v="37"/>
    <x v="37"/>
    <x v="49"/>
    <x v="0"/>
    <x v="0"/>
    <x v="0"/>
    <x v="0"/>
    <x v="0"/>
    <x v="0"/>
    <x v="0"/>
    <x v="0"/>
    <x v="0"/>
    <x v="0"/>
    <x v="0"/>
    <x v="0"/>
    <x v="1"/>
    <x v="0"/>
    <x v="0"/>
    <x v="0"/>
    <x v="0"/>
    <x v="0"/>
    <x v="0"/>
    <x v="1"/>
    <x v="6"/>
    <x v="11"/>
  </r>
  <r>
    <x v="38"/>
    <x v="24"/>
    <x v="28"/>
    <x v="0"/>
    <x v="0"/>
    <x v="0"/>
    <x v="0"/>
    <x v="0"/>
    <x v="0"/>
    <x v="0"/>
    <x v="0"/>
    <x v="0"/>
    <x v="0"/>
    <x v="0"/>
    <x v="0"/>
    <x v="0"/>
    <x v="0"/>
    <x v="0"/>
    <x v="0"/>
    <x v="0"/>
    <x v="0"/>
    <x v="0"/>
    <x v="0"/>
    <x v="0"/>
    <x v="0"/>
  </r>
  <r>
    <x v="39"/>
    <x v="24"/>
    <x v="35"/>
    <x v="0"/>
    <x v="0"/>
    <x v="0"/>
    <x v="0"/>
    <x v="2"/>
    <x v="0"/>
    <x v="0"/>
    <x v="0"/>
    <x v="0"/>
    <x v="0"/>
    <x v="0"/>
    <x v="0"/>
    <x v="0"/>
    <x v="0"/>
    <x v="0"/>
    <x v="0"/>
    <x v="0"/>
    <x v="0"/>
    <x v="0"/>
    <x v="2"/>
    <x v="10"/>
    <x v="10"/>
  </r>
  <r>
    <x v="40"/>
    <x v="6"/>
    <x v="6"/>
    <x v="0"/>
    <x v="0"/>
    <x v="0"/>
    <x v="0"/>
    <x v="0"/>
    <x v="2"/>
    <x v="1"/>
    <x v="1"/>
    <x v="0"/>
    <x v="0"/>
    <x v="0"/>
    <x v="0"/>
    <x v="0"/>
    <x v="0"/>
    <x v="0"/>
    <x v="0"/>
    <x v="0"/>
    <x v="0"/>
    <x v="0"/>
    <x v="4"/>
    <x v="8"/>
    <x v="7"/>
  </r>
  <r>
    <x v="41"/>
    <x v="8"/>
    <x v="4"/>
    <x v="0"/>
    <x v="0"/>
    <x v="0"/>
    <x v="0"/>
    <x v="0"/>
    <x v="0"/>
    <x v="0"/>
    <x v="0"/>
    <x v="0"/>
    <x v="0"/>
    <x v="0"/>
    <x v="0"/>
    <x v="0"/>
    <x v="0"/>
    <x v="0"/>
    <x v="0"/>
    <x v="0"/>
    <x v="0"/>
    <x v="0"/>
    <x v="0"/>
    <x v="0"/>
    <x v="0"/>
  </r>
  <r>
    <x v="42"/>
    <x v="9"/>
    <x v="12"/>
    <x v="1"/>
    <x v="0"/>
    <x v="0"/>
    <x v="6"/>
    <x v="0"/>
    <x v="0"/>
    <x v="0"/>
    <x v="5"/>
    <x v="0"/>
    <x v="0"/>
    <x v="0"/>
    <x v="0"/>
    <x v="4"/>
    <x v="0"/>
    <x v="0"/>
    <x v="0"/>
    <x v="0"/>
    <x v="0"/>
    <x v="0"/>
    <x v="11"/>
    <x v="17"/>
    <x v="15"/>
  </r>
  <r>
    <x v="43"/>
    <x v="10"/>
    <x v="8"/>
    <x v="0"/>
    <x v="0"/>
    <x v="0"/>
    <x v="0"/>
    <x v="0"/>
    <x v="0"/>
    <x v="0"/>
    <x v="0"/>
    <x v="0"/>
    <x v="0"/>
    <x v="0"/>
    <x v="0"/>
    <x v="0"/>
    <x v="0"/>
    <x v="0"/>
    <x v="0"/>
    <x v="0"/>
    <x v="0"/>
    <x v="0"/>
    <x v="0"/>
    <x v="0"/>
    <x v="0"/>
  </r>
  <r>
    <x v="44"/>
    <x v="11"/>
    <x v="9"/>
    <x v="1"/>
    <x v="0"/>
    <x v="0"/>
    <x v="1"/>
    <x v="0"/>
    <x v="0"/>
    <x v="2"/>
    <x v="0"/>
    <x v="0"/>
    <x v="1"/>
    <x v="0"/>
    <x v="0"/>
    <x v="0"/>
    <x v="0"/>
    <x v="0"/>
    <x v="0"/>
    <x v="0"/>
    <x v="0"/>
    <x v="0"/>
    <x v="5"/>
    <x v="13"/>
    <x v="10"/>
  </r>
  <r>
    <x v="45"/>
    <x v="12"/>
    <x v="7"/>
    <x v="4"/>
    <x v="3"/>
    <x v="0"/>
    <x v="0"/>
    <x v="4"/>
    <x v="9"/>
    <x v="3"/>
    <x v="4"/>
    <x v="9"/>
    <x v="14"/>
    <x v="7"/>
    <x v="0"/>
    <x v="3"/>
    <x v="0"/>
    <x v="0"/>
    <x v="0"/>
    <x v="0"/>
    <x v="0"/>
    <x v="0"/>
    <x v="23"/>
    <x v="31"/>
    <x v="26"/>
  </r>
  <r>
    <x v="46"/>
    <x v="13"/>
    <x v="8"/>
    <x v="0"/>
    <x v="0"/>
    <x v="0"/>
    <x v="2"/>
    <x v="0"/>
    <x v="0"/>
    <x v="0"/>
    <x v="4"/>
    <x v="5"/>
    <x v="3"/>
    <x v="0"/>
    <x v="0"/>
    <x v="1"/>
    <x v="0"/>
    <x v="0"/>
    <x v="0"/>
    <x v="0"/>
    <x v="0"/>
    <x v="0"/>
    <x v="9"/>
    <x v="16"/>
    <x v="14"/>
  </r>
  <r>
    <x v="47"/>
    <x v="14"/>
    <x v="11"/>
    <x v="4"/>
    <x v="6"/>
    <x v="0"/>
    <x v="3"/>
    <x v="1"/>
    <x v="7"/>
    <x v="2"/>
    <x v="0"/>
    <x v="0"/>
    <x v="5"/>
    <x v="0"/>
    <x v="0"/>
    <x v="0"/>
    <x v="0"/>
    <x v="0"/>
    <x v="0"/>
    <x v="0"/>
    <x v="0"/>
    <x v="0"/>
    <x v="15"/>
    <x v="19"/>
    <x v="16"/>
  </r>
  <r>
    <x v="48"/>
    <x v="15"/>
    <x v="14"/>
    <x v="0"/>
    <x v="0"/>
    <x v="1"/>
    <x v="0"/>
    <x v="0"/>
    <x v="0"/>
    <x v="0"/>
    <x v="0"/>
    <x v="0"/>
    <x v="0"/>
    <x v="0"/>
    <x v="0"/>
    <x v="0"/>
    <x v="0"/>
    <x v="0"/>
    <x v="0"/>
    <x v="0"/>
    <x v="0"/>
    <x v="0"/>
    <x v="1"/>
    <x v="2"/>
    <x v="2"/>
  </r>
  <r>
    <x v="49"/>
    <x v="16"/>
    <x v="15"/>
    <x v="0"/>
    <x v="0"/>
    <x v="0"/>
    <x v="0"/>
    <x v="0"/>
    <x v="0"/>
    <x v="0"/>
    <x v="0"/>
    <x v="0"/>
    <x v="0"/>
    <x v="0"/>
    <x v="0"/>
    <x v="0"/>
    <x v="0"/>
    <x v="0"/>
    <x v="0"/>
    <x v="0"/>
    <x v="0"/>
    <x v="0"/>
    <x v="0"/>
    <x v="0"/>
    <x v="0"/>
  </r>
  <r>
    <x v="50"/>
    <x v="17"/>
    <x v="10"/>
    <x v="0"/>
    <x v="0"/>
    <x v="0"/>
    <x v="0"/>
    <x v="0"/>
    <x v="5"/>
    <x v="1"/>
    <x v="1"/>
    <x v="0"/>
    <x v="0"/>
    <x v="0"/>
    <x v="0"/>
    <x v="0"/>
    <x v="0"/>
    <x v="0"/>
    <x v="0"/>
    <x v="0"/>
    <x v="0"/>
    <x v="0"/>
    <x v="7"/>
    <x v="15"/>
    <x v="12"/>
  </r>
  <r>
    <x v="51"/>
    <x v="18"/>
    <x v="13"/>
    <x v="0"/>
    <x v="0"/>
    <x v="0"/>
    <x v="1"/>
    <x v="0"/>
    <x v="0"/>
    <x v="0"/>
    <x v="0"/>
    <x v="0"/>
    <x v="0"/>
    <x v="0"/>
    <x v="0"/>
    <x v="0"/>
    <x v="0"/>
    <x v="0"/>
    <x v="0"/>
    <x v="0"/>
    <x v="0"/>
    <x v="0"/>
    <x v="1"/>
    <x v="1"/>
    <x v="4"/>
  </r>
  <r>
    <x v="52"/>
    <x v="20"/>
    <x v="17"/>
    <x v="5"/>
    <x v="4"/>
    <x v="2"/>
    <x v="5"/>
    <x v="5"/>
    <x v="7"/>
    <x v="4"/>
    <x v="2"/>
    <x v="1"/>
    <x v="5"/>
    <x v="0"/>
    <x v="0"/>
    <x v="1"/>
    <x v="0"/>
    <x v="0"/>
    <x v="0"/>
    <x v="0"/>
    <x v="0"/>
    <x v="0"/>
    <x v="18"/>
    <x v="25"/>
    <x v="21"/>
  </r>
  <r>
    <x v="53"/>
    <x v="22"/>
    <x v="66"/>
    <x v="0"/>
    <x v="0"/>
    <x v="0"/>
    <x v="0"/>
    <x v="0"/>
    <x v="0"/>
    <x v="0"/>
    <x v="0"/>
    <x v="0"/>
    <x v="0"/>
    <x v="0"/>
    <x v="0"/>
    <x v="0"/>
    <x v="0"/>
    <x v="0"/>
    <x v="0"/>
    <x v="0"/>
    <x v="0"/>
    <x v="0"/>
    <x v="0"/>
    <x v="0"/>
    <x v="0"/>
  </r>
  <r>
    <x v="54"/>
    <x v="24"/>
    <x v="24"/>
    <x v="3"/>
    <x v="3"/>
    <x v="0"/>
    <x v="0"/>
    <x v="3"/>
    <x v="6"/>
    <x v="1"/>
    <x v="4"/>
    <x v="0"/>
    <x v="1"/>
    <x v="0"/>
    <x v="0"/>
    <x v="0"/>
    <x v="0"/>
    <x v="0"/>
    <x v="0"/>
    <x v="0"/>
    <x v="0"/>
    <x v="0"/>
    <x v="14"/>
    <x v="21"/>
    <x v="18"/>
  </r>
  <r>
    <x v="55"/>
    <x v="25"/>
    <x v="69"/>
    <x v="0"/>
    <x v="0"/>
    <x v="0"/>
    <x v="0"/>
    <x v="0"/>
    <x v="0"/>
    <x v="0"/>
    <x v="0"/>
    <x v="0"/>
    <x v="0"/>
    <x v="0"/>
    <x v="0"/>
    <x v="0"/>
    <x v="0"/>
    <x v="0"/>
    <x v="0"/>
    <x v="0"/>
    <x v="0"/>
    <x v="0"/>
    <x v="0"/>
    <x v="0"/>
    <x v="0"/>
  </r>
  <r>
    <x v="56"/>
    <x v="27"/>
    <x v="46"/>
    <x v="0"/>
    <x v="0"/>
    <x v="0"/>
    <x v="0"/>
    <x v="0"/>
    <x v="0"/>
    <x v="0"/>
    <x v="0"/>
    <x v="0"/>
    <x v="0"/>
    <x v="0"/>
    <x v="0"/>
    <x v="1"/>
    <x v="0"/>
    <x v="0"/>
    <x v="0"/>
    <x v="0"/>
    <x v="0"/>
    <x v="0"/>
    <x v="1"/>
    <x v="5"/>
    <x v="6"/>
  </r>
  <r>
    <x v="57"/>
    <x v="28"/>
    <x v="21"/>
    <x v="5"/>
    <x v="7"/>
    <x v="0"/>
    <x v="1"/>
    <x v="0"/>
    <x v="5"/>
    <x v="2"/>
    <x v="3"/>
    <x v="1"/>
    <x v="7"/>
    <x v="0"/>
    <x v="0"/>
    <x v="0"/>
    <x v="0"/>
    <x v="0"/>
    <x v="0"/>
    <x v="0"/>
    <x v="0"/>
    <x v="0"/>
    <x v="16"/>
    <x v="24"/>
    <x v="23"/>
  </r>
  <r>
    <x v="58"/>
    <x v="29"/>
    <x v="30"/>
    <x v="2"/>
    <x v="0"/>
    <x v="0"/>
    <x v="0"/>
    <x v="0"/>
    <x v="0"/>
    <x v="0"/>
    <x v="3"/>
    <x v="2"/>
    <x v="10"/>
    <x v="1"/>
    <x v="0"/>
    <x v="0"/>
    <x v="0"/>
    <x v="0"/>
    <x v="0"/>
    <x v="0"/>
    <x v="0"/>
    <x v="0"/>
    <x v="13"/>
    <x v="22"/>
    <x v="19"/>
  </r>
  <r>
    <x v="59"/>
    <x v="30"/>
    <x v="37"/>
    <x v="1"/>
    <x v="5"/>
    <x v="0"/>
    <x v="3"/>
    <x v="9"/>
    <x v="8"/>
    <x v="5"/>
    <x v="9"/>
    <x v="4"/>
    <x v="9"/>
    <x v="5"/>
    <x v="0"/>
    <x v="5"/>
    <x v="0"/>
    <x v="0"/>
    <x v="0"/>
    <x v="0"/>
    <x v="0"/>
    <x v="0"/>
    <x v="20"/>
    <x v="30"/>
    <x v="27"/>
  </r>
  <r>
    <x v="60"/>
    <x v="31"/>
    <x v="48"/>
    <x v="0"/>
    <x v="0"/>
    <x v="0"/>
    <x v="0"/>
    <x v="0"/>
    <x v="0"/>
    <x v="0"/>
    <x v="0"/>
    <x v="0"/>
    <x v="0"/>
    <x v="0"/>
    <x v="0"/>
    <x v="0"/>
    <x v="0"/>
    <x v="0"/>
    <x v="0"/>
    <x v="0"/>
    <x v="0"/>
    <x v="0"/>
    <x v="0"/>
    <x v="0"/>
    <x v="0"/>
  </r>
  <r>
    <x v="61"/>
    <x v="32"/>
    <x v="55"/>
    <x v="0"/>
    <x v="0"/>
    <x v="0"/>
    <x v="0"/>
    <x v="0"/>
    <x v="1"/>
    <x v="0"/>
    <x v="1"/>
    <x v="0"/>
    <x v="0"/>
    <x v="0"/>
    <x v="0"/>
    <x v="0"/>
    <x v="0"/>
    <x v="0"/>
    <x v="0"/>
    <x v="0"/>
    <x v="0"/>
    <x v="0"/>
    <x v="2"/>
    <x v="14"/>
    <x v="11"/>
  </r>
  <r>
    <x v="62"/>
    <x v="30"/>
    <x v="57"/>
    <x v="0"/>
    <x v="0"/>
    <x v="0"/>
    <x v="0"/>
    <x v="0"/>
    <x v="0"/>
    <x v="0"/>
    <x v="0"/>
    <x v="0"/>
    <x v="0"/>
    <x v="1"/>
    <x v="0"/>
    <x v="0"/>
    <x v="0"/>
    <x v="0"/>
    <x v="0"/>
    <x v="0"/>
    <x v="0"/>
    <x v="0"/>
    <x v="1"/>
    <x v="7"/>
    <x v="8"/>
  </r>
  <r>
    <x v="63"/>
    <x v="7"/>
    <x v="64"/>
    <x v="0"/>
    <x v="0"/>
    <x v="0"/>
    <x v="0"/>
    <x v="0"/>
    <x v="0"/>
    <x v="0"/>
    <x v="0"/>
    <x v="0"/>
    <x v="0"/>
    <x v="0"/>
    <x v="0"/>
    <x v="0"/>
    <x v="0"/>
    <x v="0"/>
    <x v="0"/>
    <x v="0"/>
    <x v="0"/>
    <x v="0"/>
    <x v="0"/>
    <x v="0"/>
    <x v="0"/>
  </r>
  <r>
    <x v="64"/>
    <x v="0"/>
    <x v="0"/>
    <x v="0"/>
    <x v="0"/>
    <x v="0"/>
    <x v="0"/>
    <x v="0"/>
    <x v="0"/>
    <x v="0"/>
    <x v="0"/>
    <x v="0"/>
    <x v="0"/>
    <x v="0"/>
    <x v="0"/>
    <x v="0"/>
    <x v="0"/>
    <x v="0"/>
    <x v="0"/>
    <x v="0"/>
    <x v="0"/>
    <x v="0"/>
    <x v="0"/>
    <x v="0"/>
    <x v="0"/>
  </r>
  <r>
    <x v="65"/>
    <x v="37"/>
    <x v="81"/>
    <x v="0"/>
    <x v="0"/>
    <x v="0"/>
    <x v="0"/>
    <x v="0"/>
    <x v="0"/>
    <x v="0"/>
    <x v="0"/>
    <x v="0"/>
    <x v="0"/>
    <x v="0"/>
    <x v="0"/>
    <x v="0"/>
    <x v="0"/>
    <x v="0"/>
    <x v="0"/>
    <x v="0"/>
    <x v="0"/>
    <x v="0"/>
    <x v="0"/>
    <x v="0"/>
    <x v="0"/>
  </r>
  <r>
    <x v="66"/>
    <x v="22"/>
    <x v="50"/>
    <x v="0"/>
    <x v="0"/>
    <x v="0"/>
    <x v="0"/>
    <x v="0"/>
    <x v="0"/>
    <x v="0"/>
    <x v="0"/>
    <x v="0"/>
    <x v="0"/>
    <x v="0"/>
    <x v="0"/>
    <x v="0"/>
    <x v="0"/>
    <x v="0"/>
    <x v="0"/>
    <x v="0"/>
    <x v="0"/>
    <x v="0"/>
    <x v="0"/>
    <x v="0"/>
    <x v="0"/>
  </r>
  <r>
    <x v="67"/>
    <x v="32"/>
    <x v="60"/>
    <x v="6"/>
    <x v="2"/>
    <x v="1"/>
    <x v="1"/>
    <x v="0"/>
    <x v="2"/>
    <x v="1"/>
    <x v="0"/>
    <x v="2"/>
    <x v="4"/>
    <x v="2"/>
    <x v="0"/>
    <x v="3"/>
    <x v="0"/>
    <x v="0"/>
    <x v="0"/>
    <x v="0"/>
    <x v="0"/>
    <x v="0"/>
    <x v="13"/>
    <x v="28"/>
    <x v="22"/>
  </r>
  <r>
    <x v="68"/>
    <x v="4"/>
    <x v="27"/>
    <x v="0"/>
    <x v="0"/>
    <x v="0"/>
    <x v="0"/>
    <x v="0"/>
    <x v="0"/>
    <x v="0"/>
    <x v="0"/>
    <x v="0"/>
    <x v="0"/>
    <x v="0"/>
    <x v="0"/>
    <x v="0"/>
    <x v="0"/>
    <x v="0"/>
    <x v="0"/>
    <x v="0"/>
    <x v="0"/>
    <x v="0"/>
    <x v="0"/>
    <x v="0"/>
    <x v="0"/>
  </r>
  <r>
    <x v="69"/>
    <x v="24"/>
    <x v="74"/>
    <x v="0"/>
    <x v="0"/>
    <x v="0"/>
    <x v="0"/>
    <x v="0"/>
    <x v="0"/>
    <x v="0"/>
    <x v="0"/>
    <x v="0"/>
    <x v="1"/>
    <x v="0"/>
    <x v="0"/>
    <x v="0"/>
    <x v="0"/>
    <x v="0"/>
    <x v="0"/>
    <x v="0"/>
    <x v="0"/>
    <x v="0"/>
    <x v="1"/>
    <x v="12"/>
    <x v="5"/>
  </r>
  <r>
    <x v="70"/>
    <x v="37"/>
    <x v="2"/>
    <x v="0"/>
    <x v="0"/>
    <x v="0"/>
    <x v="0"/>
    <x v="0"/>
    <x v="0"/>
    <x v="0"/>
    <x v="0"/>
    <x v="0"/>
    <x v="0"/>
    <x v="0"/>
    <x v="0"/>
    <x v="0"/>
    <x v="0"/>
    <x v="0"/>
    <x v="0"/>
    <x v="0"/>
    <x v="0"/>
    <x v="0"/>
    <x v="0"/>
    <x v="0"/>
    <x v="0"/>
  </r>
  <r>
    <x v="71"/>
    <x v="32"/>
    <x v="20"/>
    <x v="0"/>
    <x v="0"/>
    <x v="0"/>
    <x v="0"/>
    <x v="0"/>
    <x v="0"/>
    <x v="0"/>
    <x v="0"/>
    <x v="0"/>
    <x v="0"/>
    <x v="0"/>
    <x v="0"/>
    <x v="0"/>
    <x v="0"/>
    <x v="0"/>
    <x v="0"/>
    <x v="0"/>
    <x v="0"/>
    <x v="0"/>
    <x v="0"/>
    <x v="0"/>
    <x v="0"/>
  </r>
  <r>
    <x v="72"/>
    <x v="20"/>
    <x v="72"/>
    <x v="0"/>
    <x v="0"/>
    <x v="0"/>
    <x v="0"/>
    <x v="0"/>
    <x v="0"/>
    <x v="0"/>
    <x v="0"/>
    <x v="0"/>
    <x v="0"/>
    <x v="0"/>
    <x v="0"/>
    <x v="0"/>
    <x v="0"/>
    <x v="0"/>
    <x v="0"/>
    <x v="0"/>
    <x v="0"/>
    <x v="0"/>
    <x v="0"/>
    <x v="0"/>
    <x v="0"/>
  </r>
  <r>
    <x v="73"/>
    <x v="2"/>
    <x v="3"/>
    <x v="0"/>
    <x v="0"/>
    <x v="0"/>
    <x v="0"/>
    <x v="0"/>
    <x v="0"/>
    <x v="0"/>
    <x v="0"/>
    <x v="0"/>
    <x v="0"/>
    <x v="0"/>
    <x v="0"/>
    <x v="0"/>
    <x v="0"/>
    <x v="0"/>
    <x v="0"/>
    <x v="0"/>
    <x v="0"/>
    <x v="0"/>
    <x v="0"/>
    <x v="0"/>
    <x v="0"/>
  </r>
  <r>
    <x v="74"/>
    <x v="11"/>
    <x v="34"/>
    <x v="0"/>
    <x v="0"/>
    <x v="0"/>
    <x v="0"/>
    <x v="0"/>
    <x v="0"/>
    <x v="0"/>
    <x v="0"/>
    <x v="1"/>
    <x v="0"/>
    <x v="0"/>
    <x v="0"/>
    <x v="0"/>
    <x v="0"/>
    <x v="0"/>
    <x v="0"/>
    <x v="0"/>
    <x v="0"/>
    <x v="0"/>
    <x v="1"/>
    <x v="4"/>
    <x v="1"/>
  </r>
  <r>
    <x v="75"/>
    <x v="21"/>
    <x v="68"/>
    <x v="0"/>
    <x v="0"/>
    <x v="0"/>
    <x v="0"/>
    <x v="0"/>
    <x v="0"/>
    <x v="0"/>
    <x v="0"/>
    <x v="0"/>
    <x v="0"/>
    <x v="0"/>
    <x v="0"/>
    <x v="0"/>
    <x v="0"/>
    <x v="0"/>
    <x v="0"/>
    <x v="0"/>
    <x v="0"/>
    <x v="0"/>
    <x v="0"/>
    <x v="0"/>
    <x v="0"/>
  </r>
  <r>
    <x v="76"/>
    <x v="32"/>
    <x v="56"/>
    <x v="0"/>
    <x v="0"/>
    <x v="0"/>
    <x v="0"/>
    <x v="0"/>
    <x v="0"/>
    <x v="0"/>
    <x v="0"/>
    <x v="0"/>
    <x v="0"/>
    <x v="0"/>
    <x v="0"/>
    <x v="0"/>
    <x v="0"/>
    <x v="0"/>
    <x v="0"/>
    <x v="0"/>
    <x v="0"/>
    <x v="0"/>
    <x v="0"/>
    <x v="0"/>
    <x v="0"/>
  </r>
  <r>
    <x v="77"/>
    <x v="8"/>
    <x v="71"/>
    <x v="0"/>
    <x v="0"/>
    <x v="0"/>
    <x v="0"/>
    <x v="0"/>
    <x v="0"/>
    <x v="0"/>
    <x v="0"/>
    <x v="0"/>
    <x v="0"/>
    <x v="0"/>
    <x v="0"/>
    <x v="0"/>
    <x v="0"/>
    <x v="0"/>
    <x v="0"/>
    <x v="0"/>
    <x v="0"/>
    <x v="0"/>
    <x v="0"/>
    <x v="0"/>
    <x v="0"/>
  </r>
  <r>
    <x v="78"/>
    <x v="8"/>
    <x v="36"/>
    <x v="0"/>
    <x v="0"/>
    <x v="0"/>
    <x v="0"/>
    <x v="0"/>
    <x v="0"/>
    <x v="0"/>
    <x v="0"/>
    <x v="0"/>
    <x v="0"/>
    <x v="0"/>
    <x v="0"/>
    <x v="0"/>
    <x v="0"/>
    <x v="0"/>
    <x v="0"/>
    <x v="0"/>
    <x v="0"/>
    <x v="0"/>
    <x v="0"/>
    <x v="0"/>
    <x v="0"/>
  </r>
  <r>
    <x v="79"/>
    <x v="1"/>
    <x v="54"/>
    <x v="0"/>
    <x v="0"/>
    <x v="0"/>
    <x v="0"/>
    <x v="0"/>
    <x v="0"/>
    <x v="0"/>
    <x v="0"/>
    <x v="0"/>
    <x v="0"/>
    <x v="0"/>
    <x v="0"/>
    <x v="0"/>
    <x v="0"/>
    <x v="0"/>
    <x v="0"/>
    <x v="0"/>
    <x v="0"/>
    <x v="0"/>
    <x v="0"/>
    <x v="0"/>
    <x v="0"/>
  </r>
  <r>
    <x v="80"/>
    <x v="3"/>
    <x v="62"/>
    <x v="0"/>
    <x v="0"/>
    <x v="0"/>
    <x v="0"/>
    <x v="0"/>
    <x v="0"/>
    <x v="0"/>
    <x v="0"/>
    <x v="0"/>
    <x v="0"/>
    <x v="0"/>
    <x v="0"/>
    <x v="0"/>
    <x v="0"/>
    <x v="0"/>
    <x v="0"/>
    <x v="0"/>
    <x v="0"/>
    <x v="0"/>
    <x v="0"/>
    <x v="0"/>
    <x v="0"/>
  </r>
  <r>
    <x v="81"/>
    <x v="8"/>
    <x v="45"/>
    <x v="0"/>
    <x v="0"/>
    <x v="0"/>
    <x v="0"/>
    <x v="0"/>
    <x v="0"/>
    <x v="0"/>
    <x v="0"/>
    <x v="0"/>
    <x v="0"/>
    <x v="0"/>
    <x v="0"/>
    <x v="0"/>
    <x v="0"/>
    <x v="0"/>
    <x v="0"/>
    <x v="0"/>
    <x v="0"/>
    <x v="0"/>
    <x v="0"/>
    <x v="0"/>
    <x v="0"/>
  </r>
  <r>
    <x v="82"/>
    <x v="38"/>
    <x v="33"/>
    <x v="0"/>
    <x v="0"/>
    <x v="0"/>
    <x v="0"/>
    <x v="0"/>
    <x v="0"/>
    <x v="0"/>
    <x v="0"/>
    <x v="0"/>
    <x v="0"/>
    <x v="0"/>
    <x v="0"/>
    <x v="0"/>
    <x v="0"/>
    <x v="0"/>
    <x v="0"/>
    <x v="0"/>
    <x v="0"/>
    <x v="0"/>
    <x v="0"/>
    <x v="0"/>
    <x v="0"/>
  </r>
  <r>
    <x v="83"/>
    <x v="40"/>
    <x v="63"/>
    <x v="0"/>
    <x v="0"/>
    <x v="0"/>
    <x v="0"/>
    <x v="0"/>
    <x v="0"/>
    <x v="0"/>
    <x v="0"/>
    <x v="0"/>
    <x v="0"/>
    <x v="0"/>
    <x v="0"/>
    <x v="0"/>
    <x v="0"/>
    <x v="0"/>
    <x v="0"/>
    <x v="0"/>
    <x v="0"/>
    <x v="0"/>
    <x v="0"/>
    <x v="0"/>
    <x v="0"/>
  </r>
  <r>
    <x v="84"/>
    <x v="39"/>
    <x v="53"/>
    <x v="0"/>
    <x v="0"/>
    <x v="0"/>
    <x v="0"/>
    <x v="0"/>
    <x v="0"/>
    <x v="0"/>
    <x v="0"/>
    <x v="0"/>
    <x v="0"/>
    <x v="0"/>
    <x v="0"/>
    <x v="0"/>
    <x v="0"/>
    <x v="0"/>
    <x v="0"/>
    <x v="0"/>
    <x v="0"/>
    <x v="0"/>
    <x v="0"/>
    <x v="0"/>
    <x v="0"/>
  </r>
  <r>
    <x v="85"/>
    <x v="41"/>
    <x v="71"/>
    <x v="0"/>
    <x v="0"/>
    <x v="0"/>
    <x v="0"/>
    <x v="0"/>
    <x v="0"/>
    <x v="0"/>
    <x v="0"/>
    <x v="0"/>
    <x v="0"/>
    <x v="0"/>
    <x v="0"/>
    <x v="0"/>
    <x v="0"/>
    <x v="0"/>
    <x v="0"/>
    <x v="0"/>
    <x v="0"/>
    <x v="0"/>
    <x v="0"/>
    <x v="0"/>
    <x v="0"/>
  </r>
  <r>
    <x v="86"/>
    <x v="8"/>
    <x v="31"/>
    <x v="0"/>
    <x v="0"/>
    <x v="0"/>
    <x v="0"/>
    <x v="0"/>
    <x v="0"/>
    <x v="0"/>
    <x v="0"/>
    <x v="0"/>
    <x v="0"/>
    <x v="0"/>
    <x v="0"/>
    <x v="0"/>
    <x v="0"/>
    <x v="0"/>
    <x v="0"/>
    <x v="0"/>
    <x v="0"/>
    <x v="0"/>
    <x v="0"/>
    <x v="0"/>
    <x v="0"/>
  </r>
</pivotCacheRecords>
</file>

<file path=xl/pivotCache/pivotCacheRecords2.xml><?xml version="1.0" encoding="utf-8"?>
<pivotCacheRecords xmlns="http://schemas.openxmlformats.org/spreadsheetml/2006/main" xmlns:r="http://schemas.openxmlformats.org/officeDocument/2006/relationships" count="87">
  <r>
    <x v="0"/>
    <x v="0"/>
    <x v="0"/>
    <x v="0"/>
    <x v="0"/>
    <x v="0"/>
    <x v="0"/>
    <x v="0"/>
    <x v="0"/>
    <x v="0"/>
    <x v="0"/>
    <x v="0"/>
    <x v="0"/>
    <x v="0"/>
    <x v="0"/>
    <x v="0"/>
    <x v="0"/>
    <x v="0"/>
    <x v="0"/>
    <x v="0"/>
    <x v="0"/>
    <x v="0"/>
    <x v="0"/>
    <x v="0"/>
    <x v="0"/>
  </r>
  <r>
    <x v="1"/>
    <x v="16"/>
    <x v="16"/>
    <x v="4"/>
    <x v="0"/>
    <x v="0"/>
    <x v="0"/>
    <x v="2"/>
    <x v="0"/>
    <x v="0"/>
    <x v="0"/>
    <x v="0"/>
    <x v="2"/>
    <x v="0"/>
    <x v="0"/>
    <x v="4"/>
    <x v="0"/>
    <x v="0"/>
    <x v="0"/>
    <x v="0"/>
    <x v="0"/>
    <x v="0"/>
    <x v="10"/>
    <x v="26"/>
    <x v="26"/>
  </r>
  <r>
    <x v="2"/>
    <x v="30"/>
    <x v="30"/>
    <x v="0"/>
    <x v="0"/>
    <x v="0"/>
    <x v="0"/>
    <x v="0"/>
    <x v="0"/>
    <x v="0"/>
    <x v="0"/>
    <x v="0"/>
    <x v="1"/>
    <x v="0"/>
    <x v="0"/>
    <x v="0"/>
    <x v="0"/>
    <x v="0"/>
    <x v="0"/>
    <x v="0"/>
    <x v="0"/>
    <x v="0"/>
    <x v="1"/>
    <x v="3"/>
    <x v="3"/>
  </r>
  <r>
    <x v="3"/>
    <x v="37"/>
    <x v="37"/>
    <x v="2"/>
    <x v="0"/>
    <x v="0"/>
    <x v="0"/>
    <x v="0"/>
    <x v="0"/>
    <x v="0"/>
    <x v="0"/>
    <x v="0"/>
    <x v="0"/>
    <x v="0"/>
    <x v="0"/>
    <x v="3"/>
    <x v="0"/>
    <x v="0"/>
    <x v="0"/>
    <x v="0"/>
    <x v="0"/>
    <x v="0"/>
    <x v="5"/>
    <x v="23"/>
    <x v="23"/>
  </r>
  <r>
    <x v="4"/>
    <x v="64"/>
    <x v="64"/>
    <x v="0"/>
    <x v="0"/>
    <x v="0"/>
    <x v="0"/>
    <x v="0"/>
    <x v="0"/>
    <x v="0"/>
    <x v="0"/>
    <x v="0"/>
    <x v="1"/>
    <x v="0"/>
    <x v="0"/>
    <x v="1"/>
    <x v="0"/>
    <x v="0"/>
    <x v="0"/>
    <x v="0"/>
    <x v="0"/>
    <x v="0"/>
    <x v="2"/>
    <x v="20"/>
    <x v="20"/>
  </r>
  <r>
    <x v="5"/>
    <x v="74"/>
    <x v="74"/>
    <x v="0"/>
    <x v="0"/>
    <x v="0"/>
    <x v="0"/>
    <x v="0"/>
    <x v="0"/>
    <x v="0"/>
    <x v="0"/>
    <x v="0"/>
    <x v="0"/>
    <x v="0"/>
    <x v="0"/>
    <x v="0"/>
    <x v="0"/>
    <x v="0"/>
    <x v="0"/>
    <x v="0"/>
    <x v="0"/>
    <x v="0"/>
    <x v="0"/>
    <x v="0"/>
    <x v="0"/>
  </r>
  <r>
    <x v="6"/>
    <x v="53"/>
    <x v="53"/>
    <x v="0"/>
    <x v="0"/>
    <x v="0"/>
    <x v="0"/>
    <x v="0"/>
    <x v="0"/>
    <x v="0"/>
    <x v="0"/>
    <x v="0"/>
    <x v="0"/>
    <x v="0"/>
    <x v="0"/>
    <x v="0"/>
    <x v="0"/>
    <x v="0"/>
    <x v="0"/>
    <x v="0"/>
    <x v="0"/>
    <x v="0"/>
    <x v="0"/>
    <x v="0"/>
    <x v="0"/>
  </r>
  <r>
    <x v="7"/>
    <x v="68"/>
    <x v="68"/>
    <x v="0"/>
    <x v="0"/>
    <x v="0"/>
    <x v="0"/>
    <x v="0"/>
    <x v="0"/>
    <x v="0"/>
    <x v="0"/>
    <x v="0"/>
    <x v="0"/>
    <x v="0"/>
    <x v="0"/>
    <x v="0"/>
    <x v="0"/>
    <x v="0"/>
    <x v="0"/>
    <x v="0"/>
    <x v="0"/>
    <x v="0"/>
    <x v="0"/>
    <x v="0"/>
    <x v="0"/>
  </r>
  <r>
    <x v="8"/>
    <x v="66"/>
    <x v="66"/>
    <x v="0"/>
    <x v="0"/>
    <x v="0"/>
    <x v="0"/>
    <x v="0"/>
    <x v="0"/>
    <x v="0"/>
    <x v="0"/>
    <x v="0"/>
    <x v="0"/>
    <x v="0"/>
    <x v="0"/>
    <x v="0"/>
    <x v="0"/>
    <x v="0"/>
    <x v="0"/>
    <x v="0"/>
    <x v="0"/>
    <x v="0"/>
    <x v="0"/>
    <x v="0"/>
    <x v="0"/>
  </r>
  <r>
    <x v="9"/>
    <x v="7"/>
    <x v="7"/>
    <x v="1"/>
    <x v="0"/>
    <x v="0"/>
    <x v="0"/>
    <x v="1"/>
    <x v="0"/>
    <x v="0"/>
    <x v="0"/>
    <x v="0"/>
    <x v="0"/>
    <x v="0"/>
    <x v="0"/>
    <x v="0"/>
    <x v="0"/>
    <x v="0"/>
    <x v="0"/>
    <x v="0"/>
    <x v="0"/>
    <x v="0"/>
    <x v="2"/>
    <x v="1"/>
    <x v="1"/>
  </r>
  <r>
    <x v="10"/>
    <x v="19"/>
    <x v="19"/>
    <x v="2"/>
    <x v="1"/>
    <x v="2"/>
    <x v="2"/>
    <x v="5"/>
    <x v="4"/>
    <x v="3"/>
    <x v="3"/>
    <x v="0"/>
    <x v="5"/>
    <x v="4"/>
    <x v="0"/>
    <x v="5"/>
    <x v="0"/>
    <x v="0"/>
    <x v="0"/>
    <x v="0"/>
    <x v="0"/>
    <x v="0"/>
    <x v="15"/>
    <x v="32"/>
    <x v="32"/>
  </r>
  <r>
    <x v="11"/>
    <x v="61"/>
    <x v="61"/>
    <x v="0"/>
    <x v="0"/>
    <x v="0"/>
    <x v="0"/>
    <x v="0"/>
    <x v="0"/>
    <x v="0"/>
    <x v="0"/>
    <x v="1"/>
    <x v="2"/>
    <x v="0"/>
    <x v="0"/>
    <x v="1"/>
    <x v="0"/>
    <x v="0"/>
    <x v="0"/>
    <x v="0"/>
    <x v="0"/>
    <x v="0"/>
    <x v="4"/>
    <x v="27"/>
    <x v="27"/>
  </r>
  <r>
    <x v="12"/>
    <x v="29"/>
    <x v="29"/>
    <x v="1"/>
    <x v="0"/>
    <x v="0"/>
    <x v="0"/>
    <x v="0"/>
    <x v="0"/>
    <x v="0"/>
    <x v="0"/>
    <x v="0"/>
    <x v="0"/>
    <x v="0"/>
    <x v="0"/>
    <x v="0"/>
    <x v="0"/>
    <x v="0"/>
    <x v="0"/>
    <x v="0"/>
    <x v="0"/>
    <x v="0"/>
    <x v="1"/>
    <x v="2"/>
    <x v="2"/>
  </r>
  <r>
    <x v="13"/>
    <x v="38"/>
    <x v="38"/>
    <x v="0"/>
    <x v="0"/>
    <x v="0"/>
    <x v="0"/>
    <x v="0"/>
    <x v="0"/>
    <x v="0"/>
    <x v="0"/>
    <x v="0"/>
    <x v="0"/>
    <x v="0"/>
    <x v="0"/>
    <x v="0"/>
    <x v="0"/>
    <x v="0"/>
    <x v="0"/>
    <x v="0"/>
    <x v="0"/>
    <x v="0"/>
    <x v="0"/>
    <x v="0"/>
    <x v="0"/>
  </r>
  <r>
    <x v="14"/>
    <x v="33"/>
    <x v="33"/>
    <x v="0"/>
    <x v="0"/>
    <x v="0"/>
    <x v="0"/>
    <x v="0"/>
    <x v="0"/>
    <x v="0"/>
    <x v="0"/>
    <x v="0"/>
    <x v="0"/>
    <x v="0"/>
    <x v="0"/>
    <x v="0"/>
    <x v="0"/>
    <x v="0"/>
    <x v="0"/>
    <x v="0"/>
    <x v="0"/>
    <x v="0"/>
    <x v="0"/>
    <x v="0"/>
    <x v="0"/>
  </r>
  <r>
    <x v="15"/>
    <x v="6"/>
    <x v="6"/>
    <x v="0"/>
    <x v="0"/>
    <x v="0"/>
    <x v="0"/>
    <x v="0"/>
    <x v="0"/>
    <x v="0"/>
    <x v="0"/>
    <x v="0"/>
    <x v="0"/>
    <x v="0"/>
    <x v="0"/>
    <x v="0"/>
    <x v="0"/>
    <x v="0"/>
    <x v="0"/>
    <x v="0"/>
    <x v="0"/>
    <x v="0"/>
    <x v="0"/>
    <x v="0"/>
    <x v="0"/>
  </r>
  <r>
    <x v="16"/>
    <x v="17"/>
    <x v="17"/>
    <x v="0"/>
    <x v="0"/>
    <x v="0"/>
    <x v="0"/>
    <x v="0"/>
    <x v="0"/>
    <x v="0"/>
    <x v="0"/>
    <x v="0"/>
    <x v="0"/>
    <x v="0"/>
    <x v="0"/>
    <x v="0"/>
    <x v="0"/>
    <x v="0"/>
    <x v="0"/>
    <x v="0"/>
    <x v="0"/>
    <x v="0"/>
    <x v="0"/>
    <x v="0"/>
    <x v="0"/>
  </r>
  <r>
    <x v="17"/>
    <x v="34"/>
    <x v="34"/>
    <x v="0"/>
    <x v="0"/>
    <x v="0"/>
    <x v="0"/>
    <x v="0"/>
    <x v="0"/>
    <x v="0"/>
    <x v="0"/>
    <x v="0"/>
    <x v="0"/>
    <x v="0"/>
    <x v="0"/>
    <x v="0"/>
    <x v="0"/>
    <x v="0"/>
    <x v="0"/>
    <x v="0"/>
    <x v="0"/>
    <x v="0"/>
    <x v="0"/>
    <x v="0"/>
    <x v="0"/>
  </r>
  <r>
    <x v="18"/>
    <x v="52"/>
    <x v="52"/>
    <x v="0"/>
    <x v="0"/>
    <x v="0"/>
    <x v="0"/>
    <x v="0"/>
    <x v="0"/>
    <x v="0"/>
    <x v="0"/>
    <x v="0"/>
    <x v="0"/>
    <x v="0"/>
    <x v="0"/>
    <x v="0"/>
    <x v="0"/>
    <x v="0"/>
    <x v="0"/>
    <x v="0"/>
    <x v="0"/>
    <x v="0"/>
    <x v="0"/>
    <x v="0"/>
    <x v="0"/>
  </r>
  <r>
    <x v="19"/>
    <x v="54"/>
    <x v="54"/>
    <x v="0"/>
    <x v="0"/>
    <x v="0"/>
    <x v="0"/>
    <x v="0"/>
    <x v="0"/>
    <x v="0"/>
    <x v="0"/>
    <x v="0"/>
    <x v="0"/>
    <x v="0"/>
    <x v="0"/>
    <x v="0"/>
    <x v="0"/>
    <x v="0"/>
    <x v="0"/>
    <x v="0"/>
    <x v="0"/>
    <x v="0"/>
    <x v="0"/>
    <x v="0"/>
    <x v="0"/>
  </r>
  <r>
    <x v="20"/>
    <x v="25"/>
    <x v="25"/>
    <x v="0"/>
    <x v="2"/>
    <x v="0"/>
    <x v="1"/>
    <x v="0"/>
    <x v="0"/>
    <x v="0"/>
    <x v="1"/>
    <x v="0"/>
    <x v="0"/>
    <x v="0"/>
    <x v="0"/>
    <x v="0"/>
    <x v="0"/>
    <x v="0"/>
    <x v="0"/>
    <x v="0"/>
    <x v="0"/>
    <x v="0"/>
    <x v="4"/>
    <x v="14"/>
    <x v="14"/>
  </r>
  <r>
    <x v="21"/>
    <x v="36"/>
    <x v="36"/>
    <x v="0"/>
    <x v="0"/>
    <x v="0"/>
    <x v="0"/>
    <x v="0"/>
    <x v="0"/>
    <x v="0"/>
    <x v="0"/>
    <x v="0"/>
    <x v="0"/>
    <x v="0"/>
    <x v="0"/>
    <x v="0"/>
    <x v="0"/>
    <x v="0"/>
    <x v="0"/>
    <x v="0"/>
    <x v="0"/>
    <x v="0"/>
    <x v="0"/>
    <x v="0"/>
    <x v="0"/>
  </r>
  <r>
    <x v="22"/>
    <x v="56"/>
    <x v="56"/>
    <x v="0"/>
    <x v="0"/>
    <x v="0"/>
    <x v="0"/>
    <x v="0"/>
    <x v="0"/>
    <x v="1"/>
    <x v="0"/>
    <x v="0"/>
    <x v="1"/>
    <x v="0"/>
    <x v="0"/>
    <x v="0"/>
    <x v="0"/>
    <x v="0"/>
    <x v="0"/>
    <x v="0"/>
    <x v="0"/>
    <x v="0"/>
    <x v="2"/>
    <x v="16"/>
    <x v="16"/>
  </r>
  <r>
    <x v="23"/>
    <x v="48"/>
    <x v="48"/>
    <x v="0"/>
    <x v="0"/>
    <x v="0"/>
    <x v="0"/>
    <x v="0"/>
    <x v="0"/>
    <x v="0"/>
    <x v="0"/>
    <x v="0"/>
    <x v="0"/>
    <x v="0"/>
    <x v="0"/>
    <x v="0"/>
    <x v="0"/>
    <x v="0"/>
    <x v="0"/>
    <x v="0"/>
    <x v="0"/>
    <x v="0"/>
    <x v="0"/>
    <x v="0"/>
    <x v="0"/>
  </r>
  <r>
    <x v="24"/>
    <x v="73"/>
    <x v="73"/>
    <x v="0"/>
    <x v="0"/>
    <x v="0"/>
    <x v="0"/>
    <x v="0"/>
    <x v="0"/>
    <x v="0"/>
    <x v="0"/>
    <x v="0"/>
    <x v="0"/>
    <x v="0"/>
    <x v="0"/>
    <x v="0"/>
    <x v="0"/>
    <x v="0"/>
    <x v="0"/>
    <x v="0"/>
    <x v="0"/>
    <x v="0"/>
    <x v="0"/>
    <x v="0"/>
    <x v="0"/>
  </r>
  <r>
    <x v="25"/>
    <x v="22"/>
    <x v="22"/>
    <x v="0"/>
    <x v="0"/>
    <x v="0"/>
    <x v="0"/>
    <x v="0"/>
    <x v="0"/>
    <x v="0"/>
    <x v="0"/>
    <x v="0"/>
    <x v="0"/>
    <x v="0"/>
    <x v="0"/>
    <x v="2"/>
    <x v="0"/>
    <x v="0"/>
    <x v="0"/>
    <x v="0"/>
    <x v="0"/>
    <x v="0"/>
    <x v="2"/>
    <x v="6"/>
    <x v="6"/>
  </r>
  <r>
    <x v="26"/>
    <x v="26"/>
    <x v="26"/>
    <x v="0"/>
    <x v="0"/>
    <x v="0"/>
    <x v="0"/>
    <x v="0"/>
    <x v="0"/>
    <x v="0"/>
    <x v="0"/>
    <x v="0"/>
    <x v="0"/>
    <x v="0"/>
    <x v="0"/>
    <x v="0"/>
    <x v="0"/>
    <x v="0"/>
    <x v="0"/>
    <x v="0"/>
    <x v="0"/>
    <x v="0"/>
    <x v="0"/>
    <x v="0"/>
    <x v="0"/>
  </r>
  <r>
    <x v="27"/>
    <x v="59"/>
    <x v="59"/>
    <x v="0"/>
    <x v="0"/>
    <x v="0"/>
    <x v="0"/>
    <x v="0"/>
    <x v="0"/>
    <x v="0"/>
    <x v="0"/>
    <x v="0"/>
    <x v="0"/>
    <x v="0"/>
    <x v="0"/>
    <x v="0"/>
    <x v="0"/>
    <x v="0"/>
    <x v="0"/>
    <x v="0"/>
    <x v="0"/>
    <x v="0"/>
    <x v="0"/>
    <x v="0"/>
    <x v="0"/>
  </r>
  <r>
    <x v="28"/>
    <x v="0"/>
    <x v="0"/>
    <x v="0"/>
    <x v="0"/>
    <x v="0"/>
    <x v="0"/>
    <x v="0"/>
    <x v="0"/>
    <x v="0"/>
    <x v="0"/>
    <x v="0"/>
    <x v="0"/>
    <x v="0"/>
    <x v="0"/>
    <x v="0"/>
    <x v="0"/>
    <x v="0"/>
    <x v="0"/>
    <x v="0"/>
    <x v="0"/>
    <x v="0"/>
    <x v="0"/>
    <x v="0"/>
    <x v="0"/>
  </r>
  <r>
    <x v="29"/>
    <x v="49"/>
    <x v="49"/>
    <x v="0"/>
    <x v="0"/>
    <x v="0"/>
    <x v="0"/>
    <x v="0"/>
    <x v="0"/>
    <x v="0"/>
    <x v="0"/>
    <x v="0"/>
    <x v="0"/>
    <x v="0"/>
    <x v="0"/>
    <x v="0"/>
    <x v="0"/>
    <x v="0"/>
    <x v="0"/>
    <x v="0"/>
    <x v="0"/>
    <x v="0"/>
    <x v="0"/>
    <x v="0"/>
    <x v="0"/>
  </r>
  <r>
    <x v="30"/>
    <x v="24"/>
    <x v="24"/>
    <x v="0"/>
    <x v="0"/>
    <x v="0"/>
    <x v="0"/>
    <x v="0"/>
    <x v="0"/>
    <x v="0"/>
    <x v="0"/>
    <x v="0"/>
    <x v="0"/>
    <x v="0"/>
    <x v="0"/>
    <x v="0"/>
    <x v="0"/>
    <x v="0"/>
    <x v="0"/>
    <x v="0"/>
    <x v="0"/>
    <x v="0"/>
    <x v="0"/>
    <x v="0"/>
    <x v="0"/>
  </r>
  <r>
    <x v="31"/>
    <x v="58"/>
    <x v="58"/>
    <x v="0"/>
    <x v="0"/>
    <x v="0"/>
    <x v="0"/>
    <x v="0"/>
    <x v="0"/>
    <x v="0"/>
    <x v="0"/>
    <x v="0"/>
    <x v="0"/>
    <x v="0"/>
    <x v="0"/>
    <x v="0"/>
    <x v="0"/>
    <x v="0"/>
    <x v="0"/>
    <x v="0"/>
    <x v="0"/>
    <x v="0"/>
    <x v="0"/>
    <x v="0"/>
    <x v="0"/>
  </r>
  <r>
    <x v="32"/>
    <x v="32"/>
    <x v="32"/>
    <x v="0"/>
    <x v="0"/>
    <x v="0"/>
    <x v="0"/>
    <x v="0"/>
    <x v="0"/>
    <x v="0"/>
    <x v="0"/>
    <x v="0"/>
    <x v="0"/>
    <x v="0"/>
    <x v="0"/>
    <x v="0"/>
    <x v="0"/>
    <x v="0"/>
    <x v="0"/>
    <x v="0"/>
    <x v="0"/>
    <x v="0"/>
    <x v="0"/>
    <x v="0"/>
    <x v="0"/>
  </r>
  <r>
    <x v="33"/>
    <x v="5"/>
    <x v="5"/>
    <x v="0"/>
    <x v="0"/>
    <x v="0"/>
    <x v="0"/>
    <x v="0"/>
    <x v="0"/>
    <x v="0"/>
    <x v="0"/>
    <x v="0"/>
    <x v="0"/>
    <x v="0"/>
    <x v="0"/>
    <x v="0"/>
    <x v="0"/>
    <x v="0"/>
    <x v="0"/>
    <x v="0"/>
    <x v="0"/>
    <x v="0"/>
    <x v="0"/>
    <x v="0"/>
    <x v="0"/>
  </r>
  <r>
    <x v="34"/>
    <x v="0"/>
    <x v="0"/>
    <x v="0"/>
    <x v="0"/>
    <x v="0"/>
    <x v="0"/>
    <x v="0"/>
    <x v="0"/>
    <x v="0"/>
    <x v="0"/>
    <x v="0"/>
    <x v="0"/>
    <x v="0"/>
    <x v="0"/>
    <x v="0"/>
    <x v="0"/>
    <x v="0"/>
    <x v="0"/>
    <x v="0"/>
    <x v="0"/>
    <x v="0"/>
    <x v="0"/>
    <x v="0"/>
    <x v="0"/>
  </r>
  <r>
    <x v="35"/>
    <x v="51"/>
    <x v="51"/>
    <x v="0"/>
    <x v="0"/>
    <x v="0"/>
    <x v="0"/>
    <x v="0"/>
    <x v="0"/>
    <x v="0"/>
    <x v="0"/>
    <x v="0"/>
    <x v="0"/>
    <x v="0"/>
    <x v="0"/>
    <x v="0"/>
    <x v="0"/>
    <x v="0"/>
    <x v="0"/>
    <x v="0"/>
    <x v="0"/>
    <x v="0"/>
    <x v="0"/>
    <x v="0"/>
    <x v="0"/>
  </r>
  <r>
    <x v="36"/>
    <x v="76"/>
    <x v="76"/>
    <x v="0"/>
    <x v="0"/>
    <x v="0"/>
    <x v="0"/>
    <x v="0"/>
    <x v="0"/>
    <x v="0"/>
    <x v="0"/>
    <x v="0"/>
    <x v="0"/>
    <x v="0"/>
    <x v="0"/>
    <x v="0"/>
    <x v="0"/>
    <x v="0"/>
    <x v="0"/>
    <x v="0"/>
    <x v="0"/>
    <x v="0"/>
    <x v="0"/>
    <x v="0"/>
    <x v="0"/>
  </r>
  <r>
    <x v="37"/>
    <x v="50"/>
    <x v="50"/>
    <x v="0"/>
    <x v="0"/>
    <x v="0"/>
    <x v="0"/>
    <x v="0"/>
    <x v="0"/>
    <x v="0"/>
    <x v="0"/>
    <x v="0"/>
    <x v="0"/>
    <x v="0"/>
    <x v="0"/>
    <x v="0"/>
    <x v="0"/>
    <x v="0"/>
    <x v="0"/>
    <x v="0"/>
    <x v="0"/>
    <x v="0"/>
    <x v="0"/>
    <x v="0"/>
    <x v="0"/>
  </r>
  <r>
    <x v="38"/>
    <x v="42"/>
    <x v="42"/>
    <x v="0"/>
    <x v="0"/>
    <x v="0"/>
    <x v="0"/>
    <x v="0"/>
    <x v="0"/>
    <x v="0"/>
    <x v="0"/>
    <x v="0"/>
    <x v="0"/>
    <x v="0"/>
    <x v="0"/>
    <x v="0"/>
    <x v="0"/>
    <x v="0"/>
    <x v="0"/>
    <x v="0"/>
    <x v="0"/>
    <x v="0"/>
    <x v="0"/>
    <x v="0"/>
    <x v="0"/>
  </r>
  <r>
    <x v="39"/>
    <x v="40"/>
    <x v="40"/>
    <x v="0"/>
    <x v="0"/>
    <x v="0"/>
    <x v="0"/>
    <x v="0"/>
    <x v="0"/>
    <x v="0"/>
    <x v="0"/>
    <x v="0"/>
    <x v="0"/>
    <x v="0"/>
    <x v="0"/>
    <x v="0"/>
    <x v="0"/>
    <x v="0"/>
    <x v="0"/>
    <x v="0"/>
    <x v="0"/>
    <x v="0"/>
    <x v="0"/>
    <x v="0"/>
    <x v="0"/>
  </r>
  <r>
    <x v="40"/>
    <x v="71"/>
    <x v="71"/>
    <x v="0"/>
    <x v="0"/>
    <x v="0"/>
    <x v="0"/>
    <x v="0"/>
    <x v="0"/>
    <x v="0"/>
    <x v="0"/>
    <x v="0"/>
    <x v="0"/>
    <x v="0"/>
    <x v="0"/>
    <x v="0"/>
    <x v="0"/>
    <x v="0"/>
    <x v="0"/>
    <x v="0"/>
    <x v="0"/>
    <x v="0"/>
    <x v="0"/>
    <x v="0"/>
    <x v="0"/>
  </r>
  <r>
    <x v="41"/>
    <x v="10"/>
    <x v="10"/>
    <x v="0"/>
    <x v="1"/>
    <x v="0"/>
    <x v="0"/>
    <x v="0"/>
    <x v="0"/>
    <x v="0"/>
    <x v="0"/>
    <x v="0"/>
    <x v="6"/>
    <x v="0"/>
    <x v="0"/>
    <x v="0"/>
    <x v="0"/>
    <x v="0"/>
    <x v="0"/>
    <x v="0"/>
    <x v="0"/>
    <x v="0"/>
    <x v="7"/>
    <x v="15"/>
    <x v="15"/>
  </r>
  <r>
    <x v="42"/>
    <x v="44"/>
    <x v="44"/>
    <x v="0"/>
    <x v="0"/>
    <x v="0"/>
    <x v="0"/>
    <x v="0"/>
    <x v="0"/>
    <x v="0"/>
    <x v="0"/>
    <x v="0"/>
    <x v="0"/>
    <x v="0"/>
    <x v="0"/>
    <x v="0"/>
    <x v="0"/>
    <x v="0"/>
    <x v="0"/>
    <x v="0"/>
    <x v="0"/>
    <x v="0"/>
    <x v="0"/>
    <x v="0"/>
    <x v="0"/>
  </r>
  <r>
    <x v="43"/>
    <x v="0"/>
    <x v="0"/>
    <x v="0"/>
    <x v="0"/>
    <x v="0"/>
    <x v="0"/>
    <x v="0"/>
    <x v="0"/>
    <x v="0"/>
    <x v="0"/>
    <x v="0"/>
    <x v="0"/>
    <x v="0"/>
    <x v="0"/>
    <x v="0"/>
    <x v="0"/>
    <x v="0"/>
    <x v="0"/>
    <x v="0"/>
    <x v="0"/>
    <x v="0"/>
    <x v="0"/>
    <x v="0"/>
    <x v="0"/>
  </r>
  <r>
    <x v="44"/>
    <x v="31"/>
    <x v="31"/>
    <x v="0"/>
    <x v="0"/>
    <x v="0"/>
    <x v="0"/>
    <x v="1"/>
    <x v="0"/>
    <x v="0"/>
    <x v="0"/>
    <x v="0"/>
    <x v="0"/>
    <x v="0"/>
    <x v="0"/>
    <x v="0"/>
    <x v="0"/>
    <x v="0"/>
    <x v="0"/>
    <x v="0"/>
    <x v="0"/>
    <x v="0"/>
    <x v="1"/>
    <x v="4"/>
    <x v="4"/>
  </r>
  <r>
    <x v="45"/>
    <x v="45"/>
    <x v="45"/>
    <x v="0"/>
    <x v="1"/>
    <x v="0"/>
    <x v="0"/>
    <x v="3"/>
    <x v="0"/>
    <x v="0"/>
    <x v="0"/>
    <x v="0"/>
    <x v="0"/>
    <x v="0"/>
    <x v="0"/>
    <x v="0"/>
    <x v="0"/>
    <x v="0"/>
    <x v="0"/>
    <x v="0"/>
    <x v="0"/>
    <x v="0"/>
    <x v="4"/>
    <x v="22"/>
    <x v="22"/>
  </r>
  <r>
    <x v="46"/>
    <x v="43"/>
    <x v="43"/>
    <x v="0"/>
    <x v="0"/>
    <x v="0"/>
    <x v="0"/>
    <x v="0"/>
    <x v="0"/>
    <x v="1"/>
    <x v="0"/>
    <x v="0"/>
    <x v="1"/>
    <x v="1"/>
    <x v="0"/>
    <x v="0"/>
    <x v="0"/>
    <x v="0"/>
    <x v="0"/>
    <x v="0"/>
    <x v="0"/>
    <x v="0"/>
    <x v="3"/>
    <x v="17"/>
    <x v="17"/>
  </r>
  <r>
    <x v="47"/>
    <x v="27"/>
    <x v="27"/>
    <x v="1"/>
    <x v="0"/>
    <x v="1"/>
    <x v="1"/>
    <x v="2"/>
    <x v="3"/>
    <x v="2"/>
    <x v="2"/>
    <x v="2"/>
    <x v="3"/>
    <x v="2"/>
    <x v="0"/>
    <x v="2"/>
    <x v="0"/>
    <x v="0"/>
    <x v="0"/>
    <x v="0"/>
    <x v="0"/>
    <x v="0"/>
    <x v="12"/>
    <x v="30"/>
    <x v="30"/>
  </r>
  <r>
    <x v="48"/>
    <x v="28"/>
    <x v="28"/>
    <x v="0"/>
    <x v="0"/>
    <x v="0"/>
    <x v="0"/>
    <x v="0"/>
    <x v="0"/>
    <x v="0"/>
    <x v="0"/>
    <x v="0"/>
    <x v="0"/>
    <x v="0"/>
    <x v="0"/>
    <x v="0"/>
    <x v="0"/>
    <x v="0"/>
    <x v="0"/>
    <x v="0"/>
    <x v="0"/>
    <x v="0"/>
    <x v="0"/>
    <x v="0"/>
    <x v="0"/>
  </r>
  <r>
    <x v="49"/>
    <x v="55"/>
    <x v="55"/>
    <x v="0"/>
    <x v="0"/>
    <x v="0"/>
    <x v="0"/>
    <x v="0"/>
    <x v="0"/>
    <x v="0"/>
    <x v="0"/>
    <x v="1"/>
    <x v="0"/>
    <x v="0"/>
    <x v="0"/>
    <x v="0"/>
    <x v="0"/>
    <x v="0"/>
    <x v="0"/>
    <x v="0"/>
    <x v="0"/>
    <x v="0"/>
    <x v="1"/>
    <x v="9"/>
    <x v="9"/>
  </r>
  <r>
    <x v="50"/>
    <x v="12"/>
    <x v="12"/>
    <x v="0"/>
    <x v="0"/>
    <x v="1"/>
    <x v="2"/>
    <x v="0"/>
    <x v="0"/>
    <x v="0"/>
    <x v="2"/>
    <x v="0"/>
    <x v="0"/>
    <x v="0"/>
    <x v="0"/>
    <x v="0"/>
    <x v="0"/>
    <x v="0"/>
    <x v="0"/>
    <x v="0"/>
    <x v="0"/>
    <x v="0"/>
    <x v="5"/>
    <x v="11"/>
    <x v="11"/>
  </r>
  <r>
    <x v="51"/>
    <x v="23"/>
    <x v="23"/>
    <x v="1"/>
    <x v="0"/>
    <x v="0"/>
    <x v="0"/>
    <x v="0"/>
    <x v="0"/>
    <x v="0"/>
    <x v="1"/>
    <x v="0"/>
    <x v="2"/>
    <x v="2"/>
    <x v="0"/>
    <x v="0"/>
    <x v="0"/>
    <x v="0"/>
    <x v="0"/>
    <x v="0"/>
    <x v="0"/>
    <x v="0"/>
    <x v="6"/>
    <x v="18"/>
    <x v="18"/>
  </r>
  <r>
    <x v="52"/>
    <x v="8"/>
    <x v="8"/>
    <x v="0"/>
    <x v="0"/>
    <x v="1"/>
    <x v="3"/>
    <x v="2"/>
    <x v="0"/>
    <x v="1"/>
    <x v="0"/>
    <x v="3"/>
    <x v="0"/>
    <x v="1"/>
    <x v="0"/>
    <x v="2"/>
    <x v="0"/>
    <x v="0"/>
    <x v="0"/>
    <x v="0"/>
    <x v="0"/>
    <x v="0"/>
    <x v="11"/>
    <x v="25"/>
    <x v="25"/>
  </r>
  <r>
    <x v="53"/>
    <x v="35"/>
    <x v="35"/>
    <x v="0"/>
    <x v="0"/>
    <x v="0"/>
    <x v="0"/>
    <x v="0"/>
    <x v="0"/>
    <x v="0"/>
    <x v="1"/>
    <x v="0"/>
    <x v="0"/>
    <x v="3"/>
    <x v="0"/>
    <x v="0"/>
    <x v="0"/>
    <x v="0"/>
    <x v="0"/>
    <x v="0"/>
    <x v="0"/>
    <x v="0"/>
    <x v="4"/>
    <x v="19"/>
    <x v="19"/>
  </r>
  <r>
    <x v="54"/>
    <x v="22"/>
    <x v="22"/>
    <x v="0"/>
    <x v="0"/>
    <x v="0"/>
    <x v="0"/>
    <x v="0"/>
    <x v="0"/>
    <x v="0"/>
    <x v="0"/>
    <x v="0"/>
    <x v="0"/>
    <x v="0"/>
    <x v="0"/>
    <x v="0"/>
    <x v="0"/>
    <x v="0"/>
    <x v="0"/>
    <x v="0"/>
    <x v="0"/>
    <x v="0"/>
    <x v="0"/>
    <x v="0"/>
    <x v="0"/>
  </r>
  <r>
    <x v="55"/>
    <x v="32"/>
    <x v="32"/>
    <x v="0"/>
    <x v="0"/>
    <x v="0"/>
    <x v="0"/>
    <x v="0"/>
    <x v="0"/>
    <x v="0"/>
    <x v="0"/>
    <x v="0"/>
    <x v="0"/>
    <x v="0"/>
    <x v="0"/>
    <x v="0"/>
    <x v="0"/>
    <x v="0"/>
    <x v="0"/>
    <x v="0"/>
    <x v="0"/>
    <x v="0"/>
    <x v="0"/>
    <x v="0"/>
    <x v="0"/>
  </r>
  <r>
    <x v="56"/>
    <x v="30"/>
    <x v="30"/>
    <x v="0"/>
    <x v="0"/>
    <x v="0"/>
    <x v="0"/>
    <x v="0"/>
    <x v="0"/>
    <x v="0"/>
    <x v="0"/>
    <x v="0"/>
    <x v="0"/>
    <x v="0"/>
    <x v="0"/>
    <x v="0"/>
    <x v="0"/>
    <x v="0"/>
    <x v="0"/>
    <x v="0"/>
    <x v="0"/>
    <x v="0"/>
    <x v="0"/>
    <x v="0"/>
    <x v="0"/>
  </r>
  <r>
    <x v="57"/>
    <x v="2"/>
    <x v="2"/>
    <x v="5"/>
    <x v="3"/>
    <x v="3"/>
    <x v="4"/>
    <x v="8"/>
    <x v="6"/>
    <x v="4"/>
    <x v="6"/>
    <x v="4"/>
    <x v="9"/>
    <x v="5"/>
    <x v="0"/>
    <x v="6"/>
    <x v="0"/>
    <x v="0"/>
    <x v="0"/>
    <x v="0"/>
    <x v="0"/>
    <x v="0"/>
    <x v="17"/>
    <x v="36"/>
    <x v="36"/>
  </r>
  <r>
    <x v="58"/>
    <x v="60"/>
    <x v="60"/>
    <x v="0"/>
    <x v="0"/>
    <x v="0"/>
    <x v="0"/>
    <x v="0"/>
    <x v="0"/>
    <x v="0"/>
    <x v="0"/>
    <x v="0"/>
    <x v="0"/>
    <x v="0"/>
    <x v="0"/>
    <x v="0"/>
    <x v="0"/>
    <x v="0"/>
    <x v="0"/>
    <x v="0"/>
    <x v="0"/>
    <x v="0"/>
    <x v="0"/>
    <x v="0"/>
    <x v="0"/>
  </r>
  <r>
    <x v="59"/>
    <x v="46"/>
    <x v="46"/>
    <x v="0"/>
    <x v="0"/>
    <x v="0"/>
    <x v="0"/>
    <x v="0"/>
    <x v="0"/>
    <x v="0"/>
    <x v="0"/>
    <x v="0"/>
    <x v="0"/>
    <x v="0"/>
    <x v="0"/>
    <x v="0"/>
    <x v="0"/>
    <x v="0"/>
    <x v="0"/>
    <x v="0"/>
    <x v="0"/>
    <x v="0"/>
    <x v="0"/>
    <x v="0"/>
    <x v="0"/>
  </r>
  <r>
    <x v="60"/>
    <x v="1"/>
    <x v="1"/>
    <x v="0"/>
    <x v="0"/>
    <x v="0"/>
    <x v="0"/>
    <x v="0"/>
    <x v="0"/>
    <x v="0"/>
    <x v="0"/>
    <x v="3"/>
    <x v="0"/>
    <x v="4"/>
    <x v="0"/>
    <x v="0"/>
    <x v="0"/>
    <x v="0"/>
    <x v="0"/>
    <x v="0"/>
    <x v="0"/>
    <x v="0"/>
    <x v="10"/>
    <x v="10"/>
    <x v="10"/>
  </r>
  <r>
    <x v="61"/>
    <x v="0"/>
    <x v="0"/>
    <x v="0"/>
    <x v="0"/>
    <x v="0"/>
    <x v="0"/>
    <x v="0"/>
    <x v="0"/>
    <x v="0"/>
    <x v="0"/>
    <x v="0"/>
    <x v="0"/>
    <x v="0"/>
    <x v="0"/>
    <x v="0"/>
    <x v="0"/>
    <x v="0"/>
    <x v="0"/>
    <x v="0"/>
    <x v="0"/>
    <x v="0"/>
    <x v="0"/>
    <x v="0"/>
    <x v="0"/>
  </r>
  <r>
    <x v="62"/>
    <x v="62"/>
    <x v="62"/>
    <x v="0"/>
    <x v="0"/>
    <x v="0"/>
    <x v="0"/>
    <x v="0"/>
    <x v="0"/>
    <x v="0"/>
    <x v="0"/>
    <x v="0"/>
    <x v="0"/>
    <x v="0"/>
    <x v="0"/>
    <x v="0"/>
    <x v="0"/>
    <x v="0"/>
    <x v="0"/>
    <x v="0"/>
    <x v="0"/>
    <x v="0"/>
    <x v="0"/>
    <x v="0"/>
    <x v="0"/>
  </r>
  <r>
    <x v="63"/>
    <x v="67"/>
    <x v="67"/>
    <x v="0"/>
    <x v="0"/>
    <x v="0"/>
    <x v="0"/>
    <x v="0"/>
    <x v="0"/>
    <x v="0"/>
    <x v="0"/>
    <x v="0"/>
    <x v="0"/>
    <x v="0"/>
    <x v="0"/>
    <x v="0"/>
    <x v="0"/>
    <x v="0"/>
    <x v="0"/>
    <x v="0"/>
    <x v="0"/>
    <x v="0"/>
    <x v="0"/>
    <x v="0"/>
    <x v="0"/>
  </r>
  <r>
    <x v="64"/>
    <x v="70"/>
    <x v="70"/>
    <x v="0"/>
    <x v="0"/>
    <x v="0"/>
    <x v="0"/>
    <x v="0"/>
    <x v="0"/>
    <x v="0"/>
    <x v="0"/>
    <x v="0"/>
    <x v="0"/>
    <x v="0"/>
    <x v="0"/>
    <x v="0"/>
    <x v="0"/>
    <x v="0"/>
    <x v="0"/>
    <x v="0"/>
    <x v="0"/>
    <x v="0"/>
    <x v="0"/>
    <x v="0"/>
    <x v="0"/>
  </r>
  <r>
    <x v="65"/>
    <x v="14"/>
    <x v="14"/>
    <x v="0"/>
    <x v="1"/>
    <x v="1"/>
    <x v="1"/>
    <x v="6"/>
    <x v="5"/>
    <x v="0"/>
    <x v="5"/>
    <x v="0"/>
    <x v="8"/>
    <x v="0"/>
    <x v="0"/>
    <x v="0"/>
    <x v="0"/>
    <x v="0"/>
    <x v="0"/>
    <x v="0"/>
    <x v="0"/>
    <x v="0"/>
    <x v="16"/>
    <x v="33"/>
    <x v="33"/>
  </r>
  <r>
    <x v="66"/>
    <x v="41"/>
    <x v="41"/>
    <x v="0"/>
    <x v="0"/>
    <x v="0"/>
    <x v="0"/>
    <x v="7"/>
    <x v="2"/>
    <x v="0"/>
    <x v="0"/>
    <x v="0"/>
    <x v="7"/>
    <x v="0"/>
    <x v="0"/>
    <x v="4"/>
    <x v="0"/>
    <x v="0"/>
    <x v="0"/>
    <x v="0"/>
    <x v="0"/>
    <x v="0"/>
    <x v="14"/>
    <x v="34"/>
    <x v="34"/>
  </r>
  <r>
    <x v="67"/>
    <x v="47"/>
    <x v="47"/>
    <x v="2"/>
    <x v="0"/>
    <x v="1"/>
    <x v="0"/>
    <x v="4"/>
    <x v="0"/>
    <x v="3"/>
    <x v="4"/>
    <x v="3"/>
    <x v="8"/>
    <x v="1"/>
    <x v="0"/>
    <x v="0"/>
    <x v="0"/>
    <x v="0"/>
    <x v="0"/>
    <x v="0"/>
    <x v="0"/>
    <x v="0"/>
    <x v="15"/>
    <x v="35"/>
    <x v="35"/>
  </r>
  <r>
    <x v="68"/>
    <x v="57"/>
    <x v="57"/>
    <x v="0"/>
    <x v="0"/>
    <x v="0"/>
    <x v="0"/>
    <x v="0"/>
    <x v="0"/>
    <x v="0"/>
    <x v="0"/>
    <x v="0"/>
    <x v="6"/>
    <x v="0"/>
    <x v="0"/>
    <x v="0"/>
    <x v="0"/>
    <x v="0"/>
    <x v="0"/>
    <x v="0"/>
    <x v="0"/>
    <x v="0"/>
    <x v="6"/>
    <x v="28"/>
    <x v="28"/>
  </r>
  <r>
    <x v="69"/>
    <x v="3"/>
    <x v="3"/>
    <x v="0"/>
    <x v="0"/>
    <x v="0"/>
    <x v="0"/>
    <x v="1"/>
    <x v="0"/>
    <x v="0"/>
    <x v="4"/>
    <x v="0"/>
    <x v="0"/>
    <x v="0"/>
    <x v="0"/>
    <x v="0"/>
    <x v="0"/>
    <x v="0"/>
    <x v="0"/>
    <x v="0"/>
    <x v="0"/>
    <x v="0"/>
    <x v="7"/>
    <x v="8"/>
    <x v="8"/>
  </r>
  <r>
    <x v="70"/>
    <x v="15"/>
    <x v="15"/>
    <x v="0"/>
    <x v="0"/>
    <x v="0"/>
    <x v="0"/>
    <x v="0"/>
    <x v="2"/>
    <x v="0"/>
    <x v="0"/>
    <x v="1"/>
    <x v="0"/>
    <x v="2"/>
    <x v="0"/>
    <x v="0"/>
    <x v="0"/>
    <x v="0"/>
    <x v="0"/>
    <x v="0"/>
    <x v="0"/>
    <x v="0"/>
    <x v="5"/>
    <x v="12"/>
    <x v="12"/>
  </r>
  <r>
    <x v="71"/>
    <x v="11"/>
    <x v="11"/>
    <x v="0"/>
    <x v="1"/>
    <x v="0"/>
    <x v="0"/>
    <x v="1"/>
    <x v="3"/>
    <x v="0"/>
    <x v="0"/>
    <x v="0"/>
    <x v="4"/>
    <x v="0"/>
    <x v="0"/>
    <x v="0"/>
    <x v="0"/>
    <x v="0"/>
    <x v="0"/>
    <x v="0"/>
    <x v="0"/>
    <x v="0"/>
    <x v="9"/>
    <x v="21"/>
    <x v="21"/>
  </r>
  <r>
    <x v="72"/>
    <x v="4"/>
    <x v="4"/>
    <x v="0"/>
    <x v="0"/>
    <x v="0"/>
    <x v="0"/>
    <x v="0"/>
    <x v="0"/>
    <x v="0"/>
    <x v="1"/>
    <x v="1"/>
    <x v="1"/>
    <x v="2"/>
    <x v="0"/>
    <x v="1"/>
    <x v="0"/>
    <x v="0"/>
    <x v="0"/>
    <x v="0"/>
    <x v="0"/>
    <x v="0"/>
    <x v="6"/>
    <x v="7"/>
    <x v="7"/>
  </r>
  <r>
    <x v="73"/>
    <x v="0"/>
    <x v="0"/>
    <x v="0"/>
    <x v="0"/>
    <x v="0"/>
    <x v="0"/>
    <x v="0"/>
    <x v="0"/>
    <x v="0"/>
    <x v="0"/>
    <x v="0"/>
    <x v="0"/>
    <x v="0"/>
    <x v="0"/>
    <x v="0"/>
    <x v="0"/>
    <x v="0"/>
    <x v="0"/>
    <x v="0"/>
    <x v="0"/>
    <x v="0"/>
    <x v="0"/>
    <x v="0"/>
    <x v="0"/>
  </r>
  <r>
    <x v="74"/>
    <x v="9"/>
    <x v="9"/>
    <x v="0"/>
    <x v="0"/>
    <x v="0"/>
    <x v="0"/>
    <x v="0"/>
    <x v="0"/>
    <x v="0"/>
    <x v="0"/>
    <x v="0"/>
    <x v="0"/>
    <x v="0"/>
    <x v="0"/>
    <x v="0"/>
    <x v="0"/>
    <x v="0"/>
    <x v="0"/>
    <x v="0"/>
    <x v="0"/>
    <x v="0"/>
    <x v="0"/>
    <x v="0"/>
    <x v="0"/>
  </r>
  <r>
    <x v="75"/>
    <x v="39"/>
    <x v="39"/>
    <x v="0"/>
    <x v="0"/>
    <x v="0"/>
    <x v="0"/>
    <x v="0"/>
    <x v="0"/>
    <x v="0"/>
    <x v="0"/>
    <x v="0"/>
    <x v="0"/>
    <x v="0"/>
    <x v="0"/>
    <x v="0"/>
    <x v="0"/>
    <x v="0"/>
    <x v="0"/>
    <x v="0"/>
    <x v="0"/>
    <x v="0"/>
    <x v="0"/>
    <x v="0"/>
    <x v="0"/>
  </r>
  <r>
    <x v="76"/>
    <x v="18"/>
    <x v="18"/>
    <x v="0"/>
    <x v="0"/>
    <x v="0"/>
    <x v="0"/>
    <x v="0"/>
    <x v="0"/>
    <x v="0"/>
    <x v="0"/>
    <x v="0"/>
    <x v="0"/>
    <x v="0"/>
    <x v="0"/>
    <x v="0"/>
    <x v="0"/>
    <x v="0"/>
    <x v="0"/>
    <x v="0"/>
    <x v="0"/>
    <x v="0"/>
    <x v="0"/>
    <x v="0"/>
    <x v="0"/>
  </r>
  <r>
    <x v="77"/>
    <x v="20"/>
    <x v="20"/>
    <x v="0"/>
    <x v="0"/>
    <x v="0"/>
    <x v="0"/>
    <x v="0"/>
    <x v="0"/>
    <x v="0"/>
    <x v="0"/>
    <x v="1"/>
    <x v="0"/>
    <x v="0"/>
    <x v="0"/>
    <x v="1"/>
    <x v="0"/>
    <x v="0"/>
    <x v="0"/>
    <x v="0"/>
    <x v="0"/>
    <x v="0"/>
    <x v="2"/>
    <x v="5"/>
    <x v="5"/>
  </r>
  <r>
    <x v="78"/>
    <x v="21"/>
    <x v="21"/>
    <x v="0"/>
    <x v="0"/>
    <x v="0"/>
    <x v="0"/>
    <x v="0"/>
    <x v="0"/>
    <x v="0"/>
    <x v="0"/>
    <x v="0"/>
    <x v="0"/>
    <x v="0"/>
    <x v="0"/>
    <x v="0"/>
    <x v="0"/>
    <x v="0"/>
    <x v="0"/>
    <x v="0"/>
    <x v="0"/>
    <x v="0"/>
    <x v="0"/>
    <x v="0"/>
    <x v="0"/>
  </r>
  <r>
    <x v="79"/>
    <x v="13"/>
    <x v="13"/>
    <x v="0"/>
    <x v="0"/>
    <x v="0"/>
    <x v="0"/>
    <x v="0"/>
    <x v="0"/>
    <x v="0"/>
    <x v="0"/>
    <x v="0"/>
    <x v="0"/>
    <x v="0"/>
    <x v="0"/>
    <x v="0"/>
    <x v="0"/>
    <x v="0"/>
    <x v="0"/>
    <x v="0"/>
    <x v="0"/>
    <x v="0"/>
    <x v="0"/>
    <x v="0"/>
    <x v="0"/>
  </r>
  <r>
    <x v="80"/>
    <x v="9"/>
    <x v="9"/>
    <x v="0"/>
    <x v="0"/>
    <x v="0"/>
    <x v="0"/>
    <x v="0"/>
    <x v="0"/>
    <x v="0"/>
    <x v="0"/>
    <x v="0"/>
    <x v="0"/>
    <x v="0"/>
    <x v="0"/>
    <x v="0"/>
    <x v="0"/>
    <x v="0"/>
    <x v="0"/>
    <x v="0"/>
    <x v="0"/>
    <x v="0"/>
    <x v="0"/>
    <x v="0"/>
    <x v="0"/>
  </r>
  <r>
    <x v="81"/>
    <x v="69"/>
    <x v="69"/>
    <x v="0"/>
    <x v="0"/>
    <x v="1"/>
    <x v="1"/>
    <x v="1"/>
    <x v="2"/>
    <x v="0"/>
    <x v="2"/>
    <x v="0"/>
    <x v="1"/>
    <x v="0"/>
    <x v="0"/>
    <x v="0"/>
    <x v="0"/>
    <x v="0"/>
    <x v="0"/>
    <x v="0"/>
    <x v="0"/>
    <x v="0"/>
    <x v="8"/>
    <x v="31"/>
    <x v="31"/>
  </r>
  <r>
    <x v="82"/>
    <x v="65"/>
    <x v="65"/>
    <x v="3"/>
    <x v="1"/>
    <x v="1"/>
    <x v="0"/>
    <x v="5"/>
    <x v="1"/>
    <x v="1"/>
    <x v="4"/>
    <x v="2"/>
    <x v="6"/>
    <x v="1"/>
    <x v="0"/>
    <x v="2"/>
    <x v="0"/>
    <x v="0"/>
    <x v="0"/>
    <x v="0"/>
    <x v="0"/>
    <x v="0"/>
    <x v="13"/>
    <x v="37"/>
    <x v="37"/>
  </r>
  <r>
    <x v="83"/>
    <x v="75"/>
    <x v="75"/>
    <x v="0"/>
    <x v="0"/>
    <x v="0"/>
    <x v="0"/>
    <x v="1"/>
    <x v="0"/>
    <x v="0"/>
    <x v="0"/>
    <x v="0"/>
    <x v="1"/>
    <x v="0"/>
    <x v="0"/>
    <x v="0"/>
    <x v="0"/>
    <x v="0"/>
    <x v="0"/>
    <x v="0"/>
    <x v="0"/>
    <x v="0"/>
    <x v="2"/>
    <x v="24"/>
    <x v="24"/>
  </r>
  <r>
    <x v="84"/>
    <x v="72"/>
    <x v="72"/>
    <x v="0"/>
    <x v="0"/>
    <x v="0"/>
    <x v="0"/>
    <x v="0"/>
    <x v="0"/>
    <x v="0"/>
    <x v="0"/>
    <x v="1"/>
    <x v="0"/>
    <x v="0"/>
    <x v="0"/>
    <x v="0"/>
    <x v="0"/>
    <x v="0"/>
    <x v="0"/>
    <x v="0"/>
    <x v="0"/>
    <x v="0"/>
    <x v="1"/>
    <x v="13"/>
    <x v="13"/>
  </r>
  <r>
    <x v="85"/>
    <x v="77"/>
    <x v="77"/>
    <x v="0"/>
    <x v="0"/>
    <x v="0"/>
    <x v="0"/>
    <x v="0"/>
    <x v="0"/>
    <x v="0"/>
    <x v="0"/>
    <x v="0"/>
    <x v="0"/>
    <x v="0"/>
    <x v="0"/>
    <x v="0"/>
    <x v="0"/>
    <x v="0"/>
    <x v="0"/>
    <x v="0"/>
    <x v="0"/>
    <x v="0"/>
    <x v="0"/>
    <x v="0"/>
    <x v="0"/>
  </r>
  <r>
    <x v="86"/>
    <x v="63"/>
    <x v="63"/>
    <x v="0"/>
    <x v="0"/>
    <x v="0"/>
    <x v="0"/>
    <x v="1"/>
    <x v="0"/>
    <x v="0"/>
    <x v="0"/>
    <x v="1"/>
    <x v="1"/>
    <x v="1"/>
    <x v="0"/>
    <x v="1"/>
    <x v="0"/>
    <x v="0"/>
    <x v="0"/>
    <x v="0"/>
    <x v="0"/>
    <x v="0"/>
    <x v="5"/>
    <x v="29"/>
    <x v="29"/>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_rels/pivotTable2.xml.rels><?xml version="1.0" encoding="UTF-8"?>
<Relationships xmlns="http://schemas.openxmlformats.org/package/2006/relationships"><Relationship Id="rId1" Type="http://schemas.openxmlformats.org/officeDocument/2006/relationships/pivotCacheDefinition" Target="../pivotCache/pivotCacheDefinition2.xml"/>
</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0" dataCaption="Values" useAutoFormatting="0" itemPrintTitles="1" indent="0" outline="1" outlineData="1" compact="0" compactData="0">
  <location ref="A3:B91" firstHeaderRow="1" firstDataRow="1" firstDataCol="1"/>
  <pivotFields count="25">
    <pivotField axis="axisRow" showAll="0" compact="0">
      <items count="88">
        <item x="14"/>
        <item x="16"/>
        <item x="17"/>
        <item x="18"/>
        <item x="65"/>
        <item x="76"/>
        <item x="0"/>
        <item x="1"/>
        <item x="2"/>
        <item x="3"/>
        <item x="4"/>
        <item x="5"/>
        <item x="6"/>
        <item x="7"/>
        <item x="8"/>
        <item x="9"/>
        <item x="10"/>
        <item x="11"/>
        <item x="12"/>
        <item x="13"/>
        <item x="15"/>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7"/>
        <item x="68"/>
        <item x="69"/>
        <item x="70"/>
        <item x="71"/>
        <item x="72"/>
        <item x="73"/>
        <item x="74"/>
        <item x="75"/>
        <item x="77"/>
        <item x="78"/>
        <item x="79"/>
        <item x="80"/>
        <item x="81"/>
        <item x="82"/>
        <item x="83"/>
        <item x="84"/>
        <item x="85"/>
        <item x="86"/>
        <item t="default"/>
      </items>
    </pivotField>
    <pivotField showAll="0" compact="0"/>
    <pivotField showAll="0" compact="0"/>
    <pivotField showAll="0" compact="0"/>
    <pivotField dataField="1"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s>
  <rowFields count="1">
    <field x="0"/>
  </rowFields>
  <dataFields count="1">
    <dataField fld="4" subtotal="sum"/>
  </dataFields>
</pivotTableDefinition>
</file>

<file path=xl/pivotTables/pivotTable2.xml><?xml version="1.0" encoding="utf-8"?>
<pivotTableDefinition xmlns="http://schemas.openxmlformats.org/spreadsheetml/2006/main" name="PivotTable2" cacheId="2" applyNumberFormats="0" applyBorderFormats="0" applyFontFormats="0" applyPatternFormats="0" applyAlignmentFormats="0" applyWidthHeightFormats="0" dataCaption="Values" useAutoFormatting="0" itemPrintTitles="1" indent="0" outline="1" outlineData="1" compact="0" compactData="0">
  <location ref="I3:J91" firstHeaderRow="1" firstDataRow="1" firstDataCol="1"/>
  <pivotFields count="25">
    <pivotField axis="axisRow" showAll="0" compact="0">
      <items count="88">
        <item x="4"/>
        <item x="9"/>
        <item x="10"/>
        <item x="11"/>
        <item x="17"/>
        <item x="18"/>
        <item x="20"/>
        <item x="22"/>
        <item x="41"/>
        <item x="46"/>
        <item x="53"/>
        <item x="57"/>
        <item x="82"/>
        <item x="83"/>
        <item x="86"/>
        <item x="0"/>
        <item x="1"/>
        <item x="2"/>
        <item x="3"/>
        <item x="5"/>
        <item x="6"/>
        <item x="7"/>
        <item x="8"/>
        <item x="12"/>
        <item x="13"/>
        <item x="14"/>
        <item x="15"/>
        <item x="16"/>
        <item x="19"/>
        <item x="21"/>
        <item x="23"/>
        <item x="24"/>
        <item x="25"/>
        <item x="26"/>
        <item x="27"/>
        <item x="28"/>
        <item x="29"/>
        <item x="30"/>
        <item x="31"/>
        <item x="32"/>
        <item x="33"/>
        <item x="34"/>
        <item x="35"/>
        <item x="36"/>
        <item x="37"/>
        <item x="38"/>
        <item x="39"/>
        <item x="40"/>
        <item x="42"/>
        <item x="43"/>
        <item x="44"/>
        <item x="45"/>
        <item x="47"/>
        <item x="48"/>
        <item x="49"/>
        <item x="50"/>
        <item x="51"/>
        <item x="52"/>
        <item x="54"/>
        <item x="55"/>
        <item x="56"/>
        <item x="58"/>
        <item x="59"/>
        <item x="60"/>
        <item x="61"/>
        <item x="62"/>
        <item x="63"/>
        <item x="64"/>
        <item x="65"/>
        <item x="66"/>
        <item x="67"/>
        <item x="68"/>
        <item x="69"/>
        <item x="70"/>
        <item x="71"/>
        <item x="72"/>
        <item x="73"/>
        <item x="74"/>
        <item x="75"/>
        <item x="76"/>
        <item x="77"/>
        <item x="78"/>
        <item x="79"/>
        <item x="80"/>
        <item x="81"/>
        <item x="84"/>
        <item x="85"/>
        <item t="default"/>
      </items>
    </pivotField>
    <pivotField showAll="0" compact="0"/>
    <pivotField showAll="0" compact="0"/>
    <pivotField showAll="0" compact="0"/>
    <pivotField dataField="1"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 showAll="0" compact="0"/>
  </pivotFields>
  <rowFields count="1">
    <field x="0"/>
  </rowFields>
  <dataFields count="1">
    <dataField fld="4" subtotal="sum"/>
  </dataFields>
</pivotTableDefinition>
</file>

<file path=xl/tables/table1.xml><?xml version="1.0" encoding="utf-8"?>
<table xmlns="http://schemas.openxmlformats.org/spreadsheetml/2006/main" id="1" name="alimentos" displayName="alimentos" ref="D4:F267" headerRowCount="1" totalsRowCount="0" totalsRowShown="0">
  <autoFilter ref="D4:F267"/>
  <tableColumns count="3">
    <tableColumn id="1" name="Item"/>
    <tableColumn id="2" name="kg/embalagem"/>
    <tableColumn id="3" name="Preço"/>
  </tableColumns>
</table>
</file>

<file path=xl/tables/table2.xml><?xml version="1.0" encoding="utf-8"?>
<table xmlns="http://schemas.openxmlformats.org/spreadsheetml/2006/main" id="2" name="basedados" displayName="basedados" ref="D4:F943" headerRowCount="1" totalsRowCount="0" totalsRowShown="0">
  <autoFilter ref="D4:F943"/>
  <tableColumns count="3">
    <tableColumn id="1" name="CB"/>
    <tableColumn id="2" name="Item"/>
    <tableColumn id="3" name="Marca"/>
  </tableColumns>
</table>
</file>

<file path=xl/tables/table3.xml><?xml version="1.0" encoding="utf-8"?>
<table xmlns="http://schemas.openxmlformats.org/spreadsheetml/2006/main" id="3" name="higiene" displayName="higiene" ref="H4:K219" headerRowCount="1" totalsRowCount="0" totalsRowShown="0">
  <autoFilter ref="H4:K219"/>
  <tableColumns count="4">
    <tableColumn id="1" name="Item"/>
    <tableColumn id="2" name="Quantidade"/>
    <tableColumn id="3" name="Preço por produto"/>
    <tableColumn id="4" name="Kg equivalente"/>
  </tableColumns>
</table>
</file>

<file path=xl/tables/table4.xml><?xml version="1.0" encoding="utf-8"?>
<table xmlns="http://schemas.openxmlformats.org/spreadsheetml/2006/main" id="4" name="super1" displayName="super1" ref="H4:K5" headerRowCount="1" totalsRowCount="0" totalsRowShown="0">
  <autoFilter ref="H4:K5"/>
  <tableColumns count="4">
    <tableColumn id="1" name="Item"/>
    <tableColumn id="2" name="Qtde"/>
    <tableColumn id="3" name="Bairro"/>
    <tableColumn id="4" name="Data"/>
  </tableColumns>
</table>
</file>

<file path=xl/tables/table5.xml><?xml version="1.0" encoding="utf-8"?>
<table xmlns="http://schemas.openxmlformats.org/spreadsheetml/2006/main" id="5" name="supercb" displayName="supercb" ref="F4:I1868" headerRowCount="1" totalsRowCount="0" totalsRowShown="0">
  <autoFilter ref="F4:I1868"/>
  <tableColumns count="4">
    <tableColumn id="1" name="Item"/>
    <tableColumn id="2" name="Qtde"/>
    <tableColumn id="3" name="Bairro"/>
    <tableColumn id="4" name="Data"/>
  </tableColumns>
</table>
</file>

<file path=xl/tables/table6.xml><?xml version="1.0" encoding="utf-8"?>
<table xmlns="http://schemas.openxmlformats.org/spreadsheetml/2006/main" id="6" name="tab_alimentos" displayName="tab_alimentos" ref="I4:AG375" headerRowCount="1" totalsRowCount="0" totalsRowShown="0">
  <autoFilter ref="I4:AG375"/>
  <tableColumns count="25">
    <tableColumn id="1" name="Item"/>
    <tableColumn id="2" name="kg/embalagem"/>
    <tableColumn id="3" name="Preço"/>
    <tableColumn id="4" name="Qtde (S1)"/>
    <tableColumn id="5" name="Qtde (S2)"/>
    <tableColumn id="6" name="Qtde (S3)"/>
    <tableColumn id="7" name="Qtde (S4)"/>
    <tableColumn id="8" name="Qtde (S5)"/>
    <tableColumn id="9" name="Qtde (S6)"/>
    <tableColumn id="10" name="Qtde (S7)"/>
    <tableColumn id="11" name="Qtde (S8)"/>
    <tableColumn id="12" name="Qtde (S9)"/>
    <tableColumn id="13" name="Qtde (S10)"/>
    <tableColumn id="14" name="Qtde (S11)"/>
    <tableColumn id="15" name="Qtde (S12)"/>
    <tableColumn id="16" name="Qtde (S13)"/>
    <tableColumn id="17" name="Qtde (S14)"/>
    <tableColumn id="18" name="Qtde (S15)"/>
    <tableColumn id="19" name="Qtde (S16)"/>
    <tableColumn id="20" name="Qtde (S17)"/>
    <tableColumn id="21" name="Qtde (S18)"/>
    <tableColumn id="22" name="Qtde (ex)"/>
    <tableColumn id="23" name="Qtde (tot)"/>
    <tableColumn id="24" name="Preço x Qtde"/>
    <tableColumn id="25" name="kg"/>
  </tableColumns>
</table>
</file>

<file path=xl/tables/table7.xml><?xml version="1.0" encoding="utf-8"?>
<table xmlns="http://schemas.openxmlformats.org/spreadsheetml/2006/main" id="7" name="tab_higiene" displayName="tab_higiene" ref="AH4:BF315" headerRowCount="1" totalsRowCount="0" totalsRowShown="0">
  <autoFilter ref="AH4:BF315"/>
  <tableColumns count="25">
    <tableColumn id="1" name="Item"/>
    <tableColumn id="2" name="kg/embalagem"/>
    <tableColumn id="3" name="Preço"/>
    <tableColumn id="4" name="Qtde (S1)"/>
    <tableColumn id="5" name="Qtde (S2)"/>
    <tableColumn id="6" name="Qtde (S3)"/>
    <tableColumn id="7" name="Qtde (S4)"/>
    <tableColumn id="8" name="Qtde (S5)"/>
    <tableColumn id="9" name="Qtde (S6)"/>
    <tableColumn id="10" name="Qtde (S7)"/>
    <tableColumn id="11" name="Qtde (S8)"/>
    <tableColumn id="12" name="Qtde (S9)"/>
    <tableColumn id="13" name="Qtde (S10)"/>
    <tableColumn id="14" name="Qtde (S11)"/>
    <tableColumn id="15" name="Qtde (S12)"/>
    <tableColumn id="16" name="Qtde (S13)"/>
    <tableColumn id="17" name="Qtde (S14)"/>
    <tableColumn id="18" name="Qtde (S15)"/>
    <tableColumn id="19" name="Qtde (S16)"/>
    <tableColumn id="20" name="Qtde (S17)"/>
    <tableColumn id="21" name="Qtde (S18)"/>
    <tableColumn id="22" name="Qtde (ex)"/>
    <tableColumn id="23" name="Qtde (tot)"/>
    <tableColumn id="24" name="Preço x Qtde"/>
    <tableColumn id="25" name="kg"/>
  </tableColumns>
</table>
</file>

<file path=xl/tables/table8.xml><?xml version="1.0" encoding="utf-8"?>
<table xmlns="http://schemas.openxmlformats.org/spreadsheetml/2006/main" id="8" name="tabMercados" displayName="tabMercados" ref="M8:M27" headerRowCount="1" totalsRowCount="0" totalsRowShown="0">
  <autoFilter ref="M8:M27"/>
  <tableColumns count="1">
    <tableColumn id="1" name="Supermercados"/>
  </tableColumns>
</tabl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4.xml"/>
</Relationships>
</file>

<file path=xl/worksheets/_rels/sheet2.xml.rels><?xml version="1.0" encoding="UTF-8"?>
<Relationships xmlns="http://schemas.openxmlformats.org/package/2006/relationships"><Relationship Id="rId1" Type="http://schemas.openxmlformats.org/officeDocument/2006/relationships/drawing" Target="../drawings/drawing2.xml"/><Relationship Id="rId2" Type="http://schemas.openxmlformats.org/officeDocument/2006/relationships/table" Target="../tables/table5.xml"/>
</Relationships>
</file>

<file path=xl/worksheets/_rels/sheet3.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table" Target="../tables/table6.xml"/><Relationship Id="rId3" Type="http://schemas.openxmlformats.org/officeDocument/2006/relationships/table" Target="../tables/table7.xml"/>
</Relationships>
</file>

<file path=xl/worksheets/_rels/sheet4.xml.rels><?xml version="1.0" encoding="UTF-8"?>
<Relationships xmlns="http://schemas.openxmlformats.org/package/2006/relationships"><Relationship Id="rId1" Type="http://schemas.openxmlformats.org/officeDocument/2006/relationships/drawing" Target="../drawings/drawing4.xml"/><Relationship Id="rId2" Type="http://schemas.openxmlformats.org/officeDocument/2006/relationships/pivotTable" Target="../pivotTables/pivotTable1.xml"/><Relationship Id="rId3" Type="http://schemas.openxmlformats.org/officeDocument/2006/relationships/pivotTable" Target="../pivotTables/pivotTable2.xml"/>
</Relationships>
</file>

<file path=xl/worksheets/_rels/sheet5.xml.rels><?xml version="1.0" encoding="UTF-8"?>
<Relationships xmlns="http://schemas.openxmlformats.org/package/2006/relationships"><Relationship Id="rId1" Type="http://schemas.openxmlformats.org/officeDocument/2006/relationships/drawing" Target="../drawings/drawing5.xml"/><Relationship Id="rId2" Type="http://schemas.openxmlformats.org/officeDocument/2006/relationships/table" Target="../tables/table1.xml"/><Relationship Id="rId3" Type="http://schemas.openxmlformats.org/officeDocument/2006/relationships/table" Target="../tables/table3.xml"/><Relationship Id="rId4" Type="http://schemas.openxmlformats.org/officeDocument/2006/relationships/table" Target="../tables/table8.xml"/>
</Relationships>
</file>

<file path=xl/worksheets/_rels/sheet6.xml.rels><?xml version="1.0" encoding="UTF-8"?>
<Relationships xmlns="http://schemas.openxmlformats.org/package/2006/relationships"><Relationship Id="rId1" Type="http://schemas.openxmlformats.org/officeDocument/2006/relationships/drawing" Target="../drawings/drawing6.xml"/><Relationship Id="rId2" Type="http://schemas.openxmlformats.org/officeDocument/2006/relationships/table" Target="../tables/table2.xml"/>
</Relationships>
</file>

<file path=xl/worksheets/sheet1.xml><?xml version="1.0" encoding="utf-8"?>
<worksheet xmlns="http://schemas.openxmlformats.org/spreadsheetml/2006/main" xmlns:r="http://schemas.openxmlformats.org/officeDocument/2006/relationships">
  <sheetPr filterMode="false">
    <tabColor rgb="FFC00000"/>
    <pageSetUpPr fitToPage="false"/>
  </sheetPr>
  <dimension ref="A1:K36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2" topLeftCell="C3" activePane="bottomRight" state="frozen"/>
      <selection pane="topLeft" activeCell="A1" activeCellId="0" sqref="A1"/>
      <selection pane="topRight" activeCell="C1" activeCellId="0" sqref="C1"/>
      <selection pane="bottomLeft" activeCell="A3" activeCellId="0" sqref="A3"/>
      <selection pane="bottomRight" activeCell="A6" activeCellId="0" sqref="A6"/>
    </sheetView>
  </sheetViews>
  <sheetFormatPr defaultRowHeight="15" zeroHeight="false" outlineLevelRow="0" outlineLevelCol="0"/>
  <cols>
    <col collapsed="false" customWidth="true" hidden="false" outlineLevel="0" max="1" min="1" style="0" width="30.42"/>
    <col collapsed="false" customWidth="true" hidden="false" outlineLevel="0" max="2" min="2" style="0" width="2.57"/>
    <col collapsed="false" customWidth="true" hidden="false" outlineLevel="0" max="3" min="3" style="0" width="2.28"/>
    <col collapsed="false" customWidth="true" hidden="false" outlineLevel="0" max="4" min="4" style="0" width="22.85"/>
    <col collapsed="false" customWidth="true" hidden="false" outlineLevel="0" max="5" min="5" style="0" width="16"/>
    <col collapsed="false" customWidth="true" hidden="false" outlineLevel="0" max="6" min="6" style="0" width="25"/>
    <col collapsed="false" customWidth="true" hidden="false" outlineLevel="0" max="7" min="7" style="0" width="8.53"/>
    <col collapsed="false" customWidth="true" hidden="false" outlineLevel="0" max="8" min="8" style="0" width="39"/>
    <col collapsed="false" customWidth="true" hidden="false" outlineLevel="0" max="9" min="9" style="0" width="8.53"/>
    <col collapsed="false" customWidth="true" hidden="false" outlineLevel="0" max="10" min="10" style="0" width="30.42"/>
    <col collapsed="false" customWidth="true" hidden="false" outlineLevel="0" max="11" min="11" style="0" width="22.71"/>
    <col collapsed="false" customWidth="true" hidden="false" outlineLevel="0" max="14" min="12" style="0" width="8.53"/>
    <col collapsed="false" customWidth="true" hidden="false" outlineLevel="0" max="15" min="15" style="0" width="11.14"/>
    <col collapsed="false" customWidth="true" hidden="false" outlineLevel="0" max="1025" min="16" style="0" width="8.53"/>
  </cols>
  <sheetData>
    <row r="1" customFormat="false" ht="21" hidden="false" customHeight="false" outlineLevel="0" collapsed="false">
      <c r="D1" s="1" t="s">
        <v>0</v>
      </c>
      <c r="E1" s="2" t="str">
        <f aca="false">A7</f>
        <v>VILA PRADO S2</v>
      </c>
      <c r="F1" s="2"/>
    </row>
    <row r="2" customFormat="false" ht="15" hidden="false" customHeight="false" outlineLevel="0" collapsed="false">
      <c r="D2" s="1"/>
    </row>
    <row r="3" customFormat="false" ht="15" hidden="false" customHeight="false" outlineLevel="0" collapsed="false">
      <c r="A3" s="3" t="s">
        <v>1</v>
      </c>
      <c r="B3" s="3"/>
      <c r="C3" s="4"/>
    </row>
    <row r="4" customFormat="false" ht="15" hidden="false" customHeight="false" outlineLevel="0" collapsed="false">
      <c r="A4" s="1"/>
      <c r="B4" s="1"/>
      <c r="D4" s="5" t="s">
        <v>2</v>
      </c>
      <c r="F4" s="5" t="s">
        <v>3</v>
      </c>
      <c r="H4" s="6" t="s">
        <v>4</v>
      </c>
      <c r="I4" s="6" t="s">
        <v>5</v>
      </c>
      <c r="J4" s="6" t="s">
        <v>6</v>
      </c>
      <c r="K4" s="6" t="s">
        <v>7</v>
      </c>
    </row>
    <row r="5" customFormat="false" ht="15" hidden="false" customHeight="false" outlineLevel="0" collapsed="false">
      <c r="A5" s="1"/>
      <c r="B5" s="1"/>
      <c r="D5" s="7" t="str">
        <f aca="false">alimentos[[#This Row],[Item]]</f>
        <v>A</v>
      </c>
      <c r="F5" s="7" t="str">
        <f aca="false">higiene[[#This Row],[Item]]</f>
        <v>A</v>
      </c>
      <c r="H5" s="6"/>
      <c r="K5" s="8"/>
    </row>
    <row r="6" customFormat="false" ht="15" hidden="false" customHeight="false" outlineLevel="0" collapsed="false">
      <c r="A6" s="3" t="s">
        <v>8</v>
      </c>
      <c r="B6" s="3"/>
      <c r="D6" s="7" t="str">
        <f aca="false">alimentos[[#This Row],[Item]]</f>
        <v>Abacaxi em calda (820g)</v>
      </c>
      <c r="F6" s="7" t="str">
        <f aca="false">higiene[[#This Row],[Item]]</f>
        <v>Absorvente (08un)</v>
      </c>
    </row>
    <row r="7" customFormat="false" ht="15" hidden="false" customHeight="false" outlineLevel="0" collapsed="false">
      <c r="A7" s="9" t="s">
        <v>9</v>
      </c>
      <c r="B7" s="10"/>
      <c r="D7" s="7" t="str">
        <f aca="false">alimentos[[#This Row],[Item]]</f>
        <v>Abacaxi em calda (830g)</v>
      </c>
      <c r="F7" s="7" t="str">
        <f aca="false">higiene[[#This Row],[Item]]</f>
        <v>Absorvente (15un)</v>
      </c>
    </row>
    <row r="8" customFormat="false" ht="15" hidden="false" customHeight="false" outlineLevel="0" collapsed="false">
      <c r="D8" s="7" t="str">
        <f aca="false">alimentos[[#This Row],[Item]]</f>
        <v>Achocolatado (1kg)</v>
      </c>
      <c r="F8" s="7" t="str">
        <f aca="false">higiene[[#This Row],[Item]]</f>
        <v>Absorvente (16un)</v>
      </c>
    </row>
    <row r="9" customFormat="false" ht="15" hidden="false" customHeight="false" outlineLevel="0" collapsed="false">
      <c r="A9" s="3" t="s">
        <v>10</v>
      </c>
      <c r="B9" s="3"/>
      <c r="D9" s="7" t="str">
        <f aca="false">alimentos[[#This Row],[Item]]</f>
        <v>Achocolatado (200g)</v>
      </c>
      <c r="F9" s="7" t="str">
        <f aca="false">higiene[[#This Row],[Item]]</f>
        <v>Absorvente (32un)</v>
      </c>
    </row>
    <row r="10" customFormat="false" ht="15" hidden="false" customHeight="false" outlineLevel="0" collapsed="false">
      <c r="B10" s="1"/>
      <c r="D10" s="7" t="str">
        <f aca="false">alimentos[[#This Row],[Item]]</f>
        <v>Achocolatado (300g)</v>
      </c>
      <c r="E10" s="11"/>
      <c r="F10" s="7" t="str">
        <f aca="false">higiene[[#This Row],[Item]]</f>
        <v>Absorvente (36un)</v>
      </c>
    </row>
    <row r="11" customFormat="false" ht="15" hidden="false" customHeight="false" outlineLevel="0" collapsed="false">
      <c r="A11" s="12"/>
      <c r="B11" s="12"/>
      <c r="D11" s="7" t="str">
        <f aca="false">alimentos[[#This Row],[Item]]</f>
        <v>Achocolatado (400g)</v>
      </c>
      <c r="F11" s="7" t="str">
        <f aca="false">higiene[[#This Row],[Item]]</f>
        <v>Absorvente (40 un)</v>
      </c>
    </row>
    <row r="12" customFormat="false" ht="15" hidden="false" customHeight="false" outlineLevel="0" collapsed="false">
      <c r="A12" s="12"/>
      <c r="B12" s="12"/>
      <c r="D12" s="7" t="str">
        <f aca="false">alimentos[[#This Row],[Item]]</f>
        <v>Achocolatado (500g)</v>
      </c>
      <c r="F12" s="7" t="str">
        <f aca="false">higiene[[#This Row],[Item]]</f>
        <v>Absorvente (60un)</v>
      </c>
    </row>
    <row r="13" customFormat="false" ht="15" hidden="false" customHeight="false" outlineLevel="0" collapsed="false">
      <c r="A13" s="12"/>
      <c r="B13" s="12"/>
      <c r="D13" s="7" t="str">
        <f aca="false">alimentos[[#This Row],[Item]]</f>
        <v>Achocolatado (700g)</v>
      </c>
      <c r="F13" s="7" t="str">
        <f aca="false">higiene[[#This Row],[Item]]</f>
        <v>Absorvente (80un)</v>
      </c>
    </row>
    <row r="14" customFormat="false" ht="15" hidden="false" customHeight="false" outlineLevel="0" collapsed="false">
      <c r="A14" s="12"/>
      <c r="B14" s="12"/>
      <c r="D14" s="7" t="str">
        <f aca="false">alimentos[[#This Row],[Item]]</f>
        <v>Achocolatado (800g)</v>
      </c>
      <c r="F14" s="7" t="str">
        <f aca="false">higiene[[#This Row],[Item]]</f>
        <v>Água Sanitária (1L)</v>
      </c>
    </row>
    <row r="15" customFormat="false" ht="15" hidden="false" customHeight="false" outlineLevel="0" collapsed="false">
      <c r="A15" s="12"/>
      <c r="B15" s="12"/>
      <c r="D15" s="7" t="str">
        <f aca="false">alimentos[[#This Row],[Item]]</f>
        <v>Açúcar (1kg)</v>
      </c>
      <c r="F15" s="7" t="str">
        <f aca="false">higiene[[#This Row],[Item]]</f>
        <v>Água Sanitária (2L)</v>
      </c>
    </row>
    <row r="16" customFormat="false" ht="15" hidden="false" customHeight="false" outlineLevel="0" collapsed="false">
      <c r="A16" s="12"/>
      <c r="B16" s="12"/>
      <c r="D16" s="7" t="str">
        <f aca="false">alimentos[[#This Row],[Item]]</f>
        <v>Açúcar (2kg)</v>
      </c>
      <c r="F16" s="7" t="str">
        <f aca="false">higiene[[#This Row],[Item]]</f>
        <v>Água Sanitária (5L)</v>
      </c>
    </row>
    <row r="17" customFormat="false" ht="15" hidden="false" customHeight="false" outlineLevel="0" collapsed="false">
      <c r="A17" s="12"/>
      <c r="B17" s="12"/>
      <c r="D17" s="7" t="str">
        <f aca="false">alimentos[[#This Row],[Item]]</f>
        <v>Açucar (500g)</v>
      </c>
      <c r="F17" s="7" t="str">
        <f aca="false">higiene[[#This Row],[Item]]</f>
        <v>Alcool (1L)</v>
      </c>
    </row>
    <row r="18" customFormat="false" ht="15" hidden="false" customHeight="false" outlineLevel="0" collapsed="false">
      <c r="A18" s="12"/>
      <c r="B18" s="12"/>
      <c r="D18" s="7" t="str">
        <f aca="false">alimentos[[#This Row],[Item]]</f>
        <v>Açúcar (5kg)</v>
      </c>
      <c r="F18" s="7" t="str">
        <f aca="false">higiene[[#This Row],[Item]]</f>
        <v>Álcool Gel (1L)</v>
      </c>
    </row>
    <row r="19" customFormat="false" ht="15" hidden="false" customHeight="false" outlineLevel="0" collapsed="false">
      <c r="A19" s="12"/>
      <c r="B19" s="12"/>
      <c r="D19" s="7" t="str">
        <f aca="false">alimentos[[#This Row],[Item]]</f>
        <v>Adoçante</v>
      </c>
      <c r="F19" s="7" t="str">
        <f aca="false">higiene[[#This Row],[Item]]</f>
        <v>Álcool Gel (500ml)</v>
      </c>
    </row>
    <row r="20" customFormat="false" ht="15" hidden="false" customHeight="false" outlineLevel="0" collapsed="false">
      <c r="A20" s="12"/>
      <c r="B20" s="12"/>
      <c r="D20" s="7" t="str">
        <f aca="false">alimentos[[#This Row],[Item]]</f>
        <v>Água de Coco (2L)</v>
      </c>
      <c r="F20" s="7" t="str">
        <f aca="false">higiene[[#This Row],[Item]]</f>
        <v>Algodão (25g)</v>
      </c>
    </row>
    <row r="21" customFormat="false" ht="15" hidden="false" customHeight="false" outlineLevel="0" collapsed="false">
      <c r="A21" s="12"/>
      <c r="B21" s="12"/>
      <c r="D21" s="7" t="str">
        <f aca="false">alimentos[[#This Row],[Item]]</f>
        <v>Arroz (1kg)</v>
      </c>
      <c r="F21" s="7" t="str">
        <f aca="false">higiene[[#This Row],[Item]]</f>
        <v>Algodão (50g)</v>
      </c>
    </row>
    <row r="22" customFormat="false" ht="15" hidden="false" customHeight="false" outlineLevel="0" collapsed="false">
      <c r="A22" s="12"/>
      <c r="B22" s="12"/>
      <c r="D22" s="7" t="str">
        <f aca="false">alimentos[[#This Row],[Item]]</f>
        <v>Arroz (2kg)</v>
      </c>
      <c r="F22" s="7" t="str">
        <f aca="false">higiene[[#This Row],[Item]]</f>
        <v>Alvejante (1L)</v>
      </c>
    </row>
    <row r="23" customFormat="false" ht="15" hidden="false" customHeight="false" outlineLevel="0" collapsed="false">
      <c r="A23" s="12"/>
      <c r="B23" s="12"/>
      <c r="D23" s="7" t="str">
        <f aca="false">alimentos[[#This Row],[Item]]</f>
        <v>Arroz (5kg)</v>
      </c>
      <c r="F23" s="7" t="str">
        <f aca="false">higiene[[#This Row],[Item]]</f>
        <v>Alvejante (2L)</v>
      </c>
    </row>
    <row r="24" customFormat="false" ht="15" hidden="false" customHeight="false" outlineLevel="0" collapsed="false">
      <c r="D24" s="7" t="str">
        <f aca="false">alimentos[[#This Row],[Item]]</f>
        <v>Arroz integral (1kg)</v>
      </c>
      <c r="F24" s="7" t="str">
        <f aca="false">higiene[[#This Row],[Item]]</f>
        <v>Alvejante (500mL)</v>
      </c>
    </row>
    <row r="25" customFormat="false" ht="15" hidden="false" customHeight="false" outlineLevel="0" collapsed="false">
      <c r="D25" s="7" t="str">
        <f aca="false">alimentos[[#This Row],[Item]]</f>
        <v>Arroz integral (500g)</v>
      </c>
      <c r="F25" s="7" t="str">
        <f aca="false">higiene[[#This Row],[Item]]</f>
        <v>Amaciante (2L)</v>
      </c>
    </row>
    <row r="26" customFormat="false" ht="15" hidden="false" customHeight="false" outlineLevel="0" collapsed="false">
      <c r="D26" s="7" t="str">
        <f aca="false">alimentos[[#This Row],[Item]]</f>
        <v>Atum (170g)</v>
      </c>
      <c r="F26" s="7" t="str">
        <f aca="false">higiene[[#This Row],[Item]]</f>
        <v>Amaciante (500mL)</v>
      </c>
    </row>
    <row r="27" customFormat="false" ht="15" hidden="false" customHeight="false" outlineLevel="0" collapsed="false">
      <c r="D27" s="7" t="str">
        <f aca="false">alimentos[[#This Row],[Item]]</f>
        <v>Atum (325g)</v>
      </c>
      <c r="F27" s="7" t="str">
        <f aca="false">higiene[[#This Row],[Item]]</f>
        <v>Amaciante (5L)</v>
      </c>
    </row>
    <row r="28" customFormat="false" ht="15" hidden="false" customHeight="false" outlineLevel="0" collapsed="false">
      <c r="D28" s="7" t="str">
        <f aca="false">alimentos[[#This Row],[Item]]</f>
        <v>Aveia (200g)</v>
      </c>
      <c r="F28" s="7" t="str">
        <f aca="false">higiene[[#This Row],[Item]]</f>
        <v>Amaciante (900ml)</v>
      </c>
    </row>
    <row r="29" customFormat="false" ht="15" hidden="false" customHeight="false" outlineLevel="0" collapsed="false">
      <c r="D29" s="7" t="str">
        <f aca="false">alimentos[[#This Row],[Item]]</f>
        <v>Aveia (500g)</v>
      </c>
      <c r="F29" s="7" t="str">
        <f aca="false">higiene[[#This Row],[Item]]</f>
        <v>Amaciante(1L)</v>
      </c>
    </row>
    <row r="30" customFormat="false" ht="15" hidden="false" customHeight="false" outlineLevel="0" collapsed="false">
      <c r="D30" s="7" t="str">
        <f aca="false">alimentos[[#This Row],[Item]]</f>
        <v>Azeite (200mL)</v>
      </c>
      <c r="F30" s="7" t="str">
        <f aca="false">higiene[[#This Row],[Item]]</f>
        <v>Amaciante(2L)</v>
      </c>
    </row>
    <row r="31" customFormat="false" ht="15" hidden="false" customHeight="false" outlineLevel="0" collapsed="false">
      <c r="D31" s="7" t="str">
        <f aca="false">alimentos[[#This Row],[Item]]</f>
        <v>Azeite (500mL)</v>
      </c>
      <c r="F31" s="7" t="str">
        <f aca="false">higiene[[#This Row],[Item]]</f>
        <v>Antisséptico (100ml)</v>
      </c>
    </row>
    <row r="32" customFormat="false" ht="15" hidden="false" customHeight="false" outlineLevel="0" collapsed="false">
      <c r="D32" s="7" t="str">
        <f aca="false">alimentos[[#This Row],[Item]]</f>
        <v>Azeitona (100g)</v>
      </c>
      <c r="F32" s="7" t="str">
        <f aca="false">higiene[[#This Row],[Item]]</f>
        <v>Antisséptico (440ml)</v>
      </c>
    </row>
    <row r="33" customFormat="false" ht="15" hidden="false" customHeight="false" outlineLevel="0" collapsed="false">
      <c r="D33" s="7" t="str">
        <f aca="false">alimentos[[#This Row],[Item]]</f>
        <v>Azeitona (120g)</v>
      </c>
      <c r="F33" s="7" t="str">
        <f aca="false">higiene[[#This Row],[Item]]</f>
        <v>B</v>
      </c>
    </row>
    <row r="34" customFormat="false" ht="15" hidden="false" customHeight="false" outlineLevel="0" collapsed="false">
      <c r="D34" s="7" t="str">
        <f aca="false">alimentos[[#This Row],[Item]]</f>
        <v>Azeitona (150g)</v>
      </c>
      <c r="F34" s="7" t="str">
        <f aca="false">higiene[[#This Row],[Item]]</f>
        <v>Band Aid</v>
      </c>
    </row>
    <row r="35" customFormat="false" ht="15" hidden="false" customHeight="false" outlineLevel="0" collapsed="false">
      <c r="D35" s="7" t="str">
        <f aca="false">alimentos[[#This Row],[Item]]</f>
        <v>Azeitona (160g)</v>
      </c>
      <c r="F35" s="7" t="str">
        <f aca="false">higiene[[#This Row],[Item]]</f>
        <v>Band Aid (10un)</v>
      </c>
    </row>
    <row r="36" customFormat="false" ht="15" hidden="false" customHeight="false" outlineLevel="0" collapsed="false">
      <c r="D36" s="7" t="str">
        <f aca="false">alimentos[[#This Row],[Item]]</f>
        <v>Azeitona (1kg)</v>
      </c>
      <c r="F36" s="7" t="str">
        <f aca="false">higiene[[#This Row],[Item]]</f>
        <v>Band Aid (40un)</v>
      </c>
    </row>
    <row r="37" customFormat="false" ht="15" hidden="false" customHeight="false" outlineLevel="0" collapsed="false">
      <c r="D37" s="7" t="str">
        <f aca="false">alimentos[[#This Row],[Item]]</f>
        <v>Azeitona (270g)</v>
      </c>
      <c r="F37" s="7" t="str">
        <f aca="false">higiene[[#This Row],[Item]]</f>
        <v>Brilho Alumínio (2L)</v>
      </c>
    </row>
    <row r="38" customFormat="false" ht="15" hidden="false" customHeight="false" outlineLevel="0" collapsed="false">
      <c r="D38" s="7" t="str">
        <f aca="false">alimentos[[#This Row],[Item]]</f>
        <v>B</v>
      </c>
      <c r="F38" s="7" t="str">
        <f aca="false">higiene[[#This Row],[Item]]</f>
        <v>Brilho Alumínio (500mL)</v>
      </c>
    </row>
    <row r="39" customFormat="false" ht="15" hidden="false" customHeight="false" outlineLevel="0" collapsed="false">
      <c r="D39" s="7" t="str">
        <f aca="false">alimentos[[#This Row],[Item]]</f>
        <v>Barra de Cereal (4un)</v>
      </c>
      <c r="F39" s="7" t="str">
        <f aca="false">higiene[[#This Row],[Item]]</f>
        <v>C</v>
      </c>
    </row>
    <row r="40" customFormat="false" ht="15" hidden="false" customHeight="false" outlineLevel="0" collapsed="false">
      <c r="D40" s="7" t="str">
        <f aca="false">alimentos[[#This Row],[Item]]</f>
        <v>Batata Palha (120g)</v>
      </c>
      <c r="F40" s="7" t="str">
        <f aca="false">higiene[[#This Row],[Item]]</f>
        <v>Cloro ativo (500ml)</v>
      </c>
    </row>
    <row r="41" customFormat="false" ht="15" hidden="false" customHeight="false" outlineLevel="0" collapsed="false">
      <c r="D41" s="7" t="str">
        <f aca="false">alimentos[[#This Row],[Item]]</f>
        <v>Bebida Láctea Chocolate (180mL)</v>
      </c>
      <c r="F41" s="7" t="str">
        <f aca="false">higiene[[#This Row],[Item]]</f>
        <v>Cloro ativo (5L)</v>
      </c>
    </row>
    <row r="42" customFormat="false" ht="15" hidden="false" customHeight="false" outlineLevel="0" collapsed="false">
      <c r="D42" s="7" t="str">
        <f aca="false">alimentos[[#This Row],[Item]]</f>
        <v>bebida láctea chocolate (1l)</v>
      </c>
      <c r="F42" s="7" t="str">
        <f aca="false">higiene[[#This Row],[Item]]</f>
        <v>Condicionador (200mL)</v>
      </c>
    </row>
    <row r="43" customFormat="false" ht="15" hidden="false" customHeight="false" outlineLevel="0" collapsed="false">
      <c r="D43" s="7" t="str">
        <f aca="false">alimentos[[#This Row],[Item]]</f>
        <v>Biscoito de Polvinho</v>
      </c>
      <c r="F43" s="7" t="str">
        <f aca="false">higiene[[#This Row],[Item]]</f>
        <v>Condicionador (325 mL)</v>
      </c>
    </row>
    <row r="44" customFormat="false" ht="15" hidden="false" customHeight="false" outlineLevel="0" collapsed="false">
      <c r="D44" s="7" t="str">
        <f aca="false">alimentos[[#This Row],[Item]]</f>
        <v>Bisnaguinha (300g)</v>
      </c>
      <c r="F44" s="7" t="str">
        <f aca="false">higiene[[#This Row],[Item]]</f>
        <v>Condicionador (350 mL)</v>
      </c>
    </row>
    <row r="45" customFormat="false" ht="15" hidden="false" customHeight="false" outlineLevel="0" collapsed="false">
      <c r="D45" s="7" t="str">
        <f aca="false">alimentos[[#This Row],[Item]]</f>
        <v>Bolacha (090g)</v>
      </c>
      <c r="F45" s="7" t="str">
        <f aca="false">higiene[[#This Row],[Item]]</f>
        <v>Condicionador (400mL)</v>
      </c>
    </row>
    <row r="46" customFormat="false" ht="15" hidden="false" customHeight="false" outlineLevel="0" collapsed="false">
      <c r="D46" s="7" t="str">
        <f aca="false">alimentos[[#This Row],[Item]]</f>
        <v>Bolacha (100g)</v>
      </c>
      <c r="F46" s="7" t="str">
        <f aca="false">higiene[[#This Row],[Item]]</f>
        <v>Cotonete</v>
      </c>
    </row>
    <row r="47" customFormat="false" ht="15" hidden="false" customHeight="false" outlineLevel="0" collapsed="false">
      <c r="D47" s="7" t="str">
        <f aca="false">alimentos[[#This Row],[Item]]</f>
        <v>Bolacha (110g)</v>
      </c>
      <c r="F47" s="7" t="str">
        <f aca="false">higiene[[#This Row],[Item]]</f>
        <v>Creme de barbear</v>
      </c>
    </row>
    <row r="48" customFormat="false" ht="15" hidden="false" customHeight="false" outlineLevel="0" collapsed="false">
      <c r="D48" s="7" t="str">
        <f aca="false">alimentos[[#This Row],[Item]]</f>
        <v>Bolacha (115g)</v>
      </c>
      <c r="F48" s="7" t="str">
        <f aca="false">higiene[[#This Row],[Item]]</f>
        <v>D</v>
      </c>
    </row>
    <row r="49" customFormat="false" ht="15" hidden="false" customHeight="false" outlineLevel="0" collapsed="false">
      <c r="D49" s="7" t="str">
        <f aca="false">alimentos[[#This Row],[Item]]</f>
        <v>Bolacha (120g)</v>
      </c>
      <c r="F49" s="7" t="str">
        <f aca="false">higiene[[#This Row],[Item]]</f>
        <v>Desengordurante (500ml)</v>
      </c>
    </row>
    <row r="50" customFormat="false" ht="15" hidden="false" customHeight="false" outlineLevel="0" collapsed="false">
      <c r="D50" s="7" t="str">
        <f aca="false">alimentos[[#This Row],[Item]]</f>
        <v>Bolacha (130g)</v>
      </c>
      <c r="F50" s="7" t="str">
        <f aca="false">higiene[[#This Row],[Item]]</f>
        <v>Desengordurante(500ml)</v>
      </c>
    </row>
    <row r="51" customFormat="false" ht="15" hidden="false" customHeight="false" outlineLevel="0" collapsed="false">
      <c r="D51" s="7" t="str">
        <f aca="false">alimentos[[#This Row],[Item]]</f>
        <v>Bolacha (135g)</v>
      </c>
      <c r="F51" s="7" t="str">
        <f aca="false">higiene[[#This Row],[Item]]</f>
        <v>Desinfetante (1L)</v>
      </c>
    </row>
    <row r="52" customFormat="false" ht="15" hidden="false" customHeight="false" outlineLevel="0" collapsed="false">
      <c r="D52" s="7" t="str">
        <f aca="false">alimentos[[#This Row],[Item]]</f>
        <v>Bolacha (140g)</v>
      </c>
      <c r="F52" s="7" t="str">
        <f aca="false">higiene[[#This Row],[Item]]</f>
        <v>Desinfetante (2L)</v>
      </c>
    </row>
    <row r="53" customFormat="false" ht="15" hidden="false" customHeight="false" outlineLevel="0" collapsed="false">
      <c r="D53" s="7" t="str">
        <f aca="false">alimentos[[#This Row],[Item]]</f>
        <v>Bolacha (145g)</v>
      </c>
      <c r="F53" s="7" t="str">
        <f aca="false">higiene[[#This Row],[Item]]</f>
        <v>Desinfetante (300mL)</v>
      </c>
    </row>
    <row r="54" customFormat="false" ht="15" hidden="false" customHeight="false" outlineLevel="0" collapsed="false">
      <c r="D54" s="7" t="str">
        <f aca="false">alimentos[[#This Row],[Item]]</f>
        <v>Bolacha (150g)</v>
      </c>
      <c r="F54" s="7" t="str">
        <f aca="false">higiene[[#This Row],[Item]]</f>
        <v>Desinfetante (5L)</v>
      </c>
    </row>
    <row r="55" customFormat="false" ht="15" hidden="false" customHeight="false" outlineLevel="0" collapsed="false">
      <c r="D55" s="7" t="str">
        <f aca="false">alimentos[[#This Row],[Item]]</f>
        <v>Bolacha (160g)</v>
      </c>
      <c r="F55" s="7" t="str">
        <f aca="false">higiene[[#This Row],[Item]]</f>
        <v>Desinfetante (750mL)</v>
      </c>
    </row>
    <row r="56" customFormat="false" ht="15" hidden="false" customHeight="false" outlineLevel="0" collapsed="false">
      <c r="D56" s="7" t="str">
        <f aca="false">alimentos[[#This Row],[Item]]</f>
        <v>Bolacha (170g)</v>
      </c>
      <c r="F56" s="7" t="str">
        <f aca="false">higiene[[#This Row],[Item]]</f>
        <v>Desinfetante(2L)</v>
      </c>
    </row>
    <row r="57" customFormat="false" ht="15" hidden="false" customHeight="false" outlineLevel="0" collapsed="false">
      <c r="D57" s="7" t="str">
        <f aca="false">alimentos[[#This Row],[Item]]</f>
        <v>Bolacha (200g)</v>
      </c>
      <c r="F57" s="7" t="str">
        <f aca="false">higiene[[#This Row],[Item]]</f>
        <v>Desinfetante(500mL)</v>
      </c>
    </row>
    <row r="58" customFormat="false" ht="15" hidden="false" customHeight="false" outlineLevel="0" collapsed="false">
      <c r="D58" s="7" t="str">
        <f aca="false">alimentos[[#This Row],[Item]]</f>
        <v>Bolacha (250g)</v>
      </c>
      <c r="F58" s="7" t="str">
        <f aca="false">higiene[[#This Row],[Item]]</f>
        <v>Desodorante</v>
      </c>
    </row>
    <row r="59" customFormat="false" ht="15" hidden="false" customHeight="false" outlineLevel="0" collapsed="false">
      <c r="D59" s="7" t="str">
        <f aca="false">alimentos[[#This Row],[Item]]</f>
        <v>Bolacha (300g)</v>
      </c>
      <c r="F59" s="7" t="str">
        <f aca="false">higiene[[#This Row],[Item]]</f>
        <v>Desodorante creme</v>
      </c>
    </row>
    <row r="60" customFormat="false" ht="15" hidden="false" customHeight="false" outlineLevel="0" collapsed="false">
      <c r="D60" s="7" t="str">
        <f aca="false">alimentos[[#This Row],[Item]]</f>
        <v>Bolacha (315g)</v>
      </c>
      <c r="F60" s="7" t="str">
        <f aca="false">higiene[[#This Row],[Item]]</f>
        <v>Desodorante rollon</v>
      </c>
    </row>
    <row r="61" customFormat="false" ht="15" hidden="false" customHeight="false" outlineLevel="0" collapsed="false">
      <c r="D61" s="7" t="str">
        <f aca="false">alimentos[[#This Row],[Item]]</f>
        <v>Bolacha (330g)</v>
      </c>
      <c r="F61" s="7" t="str">
        <f aca="false">higiene[[#This Row],[Item]]</f>
        <v>Desodorante spray</v>
      </c>
    </row>
    <row r="62" customFormat="false" ht="15" hidden="false" customHeight="false" outlineLevel="0" collapsed="false">
      <c r="D62" s="7" t="str">
        <f aca="false">alimentos[[#This Row],[Item]]</f>
        <v>Bolacha (360g)</v>
      </c>
      <c r="F62" s="7" t="str">
        <f aca="false">higiene[[#This Row],[Item]]</f>
        <v>Detergente</v>
      </c>
    </row>
    <row r="63" customFormat="false" ht="15" hidden="false" customHeight="false" outlineLevel="0" collapsed="false">
      <c r="D63" s="7" t="str">
        <f aca="false">alimentos[[#This Row],[Item]]</f>
        <v>Bolacha (375g)</v>
      </c>
      <c r="F63" s="7" t="str">
        <f aca="false">higiene[[#This Row],[Item]]</f>
        <v>Detergente (5L)</v>
      </c>
    </row>
    <row r="64" customFormat="false" ht="15" hidden="false" customHeight="false" outlineLevel="0" collapsed="false">
      <c r="D64" s="7" t="str">
        <f aca="false">alimentos[[#This Row],[Item]]</f>
        <v>Bolacha (400g)</v>
      </c>
      <c r="F64" s="7" t="str">
        <f aca="false">higiene[[#This Row],[Item]]</f>
        <v>Detergente (6un)</v>
      </c>
    </row>
    <row r="65" customFormat="false" ht="15" hidden="false" customHeight="false" outlineLevel="0" collapsed="false">
      <c r="D65" s="7" t="str">
        <f aca="false">alimentos[[#This Row],[Item]]</f>
        <v>Bolacha (420g)</v>
      </c>
      <c r="F65" s="7" t="str">
        <f aca="false">higiene[[#This Row],[Item]]</f>
        <v>Detergente(500ml)</v>
      </c>
    </row>
    <row r="66" customFormat="false" ht="15" hidden="false" customHeight="false" outlineLevel="0" collapsed="false">
      <c r="D66" s="7" t="str">
        <f aca="false">alimentos[[#This Row],[Item]]</f>
        <v>Bolacha (500g)</v>
      </c>
      <c r="F66" s="7" t="str">
        <f aca="false">higiene[[#This Row],[Item]]</f>
        <v>E</v>
      </c>
    </row>
    <row r="67" customFormat="false" ht="15" hidden="false" customHeight="false" outlineLevel="0" collapsed="false">
      <c r="D67" s="7" t="str">
        <f aca="false">alimentos[[#This Row],[Item]]</f>
        <v>bolo</v>
      </c>
      <c r="F67" s="7" t="str">
        <f aca="false">higiene[[#This Row],[Item]]</f>
        <v>Enxaguante bucal (250mL)</v>
      </c>
    </row>
    <row r="68" customFormat="false" ht="15" hidden="false" customHeight="false" outlineLevel="0" collapsed="false">
      <c r="D68" s="7" t="str">
        <f aca="false">alimentos[[#This Row],[Item]]</f>
        <v>Bombom de Cereja (94g)</v>
      </c>
      <c r="F68" s="7" t="str">
        <f aca="false">higiene[[#This Row],[Item]]</f>
        <v>Enxaguante bucal (350mL)</v>
      </c>
    </row>
    <row r="69" customFormat="false" ht="15" hidden="false" customHeight="false" outlineLevel="0" collapsed="false">
      <c r="D69" s="7" t="str">
        <f aca="false">alimentos[[#This Row],[Item]]</f>
        <v>C</v>
      </c>
      <c r="F69" s="7" t="str">
        <f aca="false">higiene[[#This Row],[Item]]</f>
        <v>Enxaguante bucal (500mL)</v>
      </c>
    </row>
    <row r="70" customFormat="false" ht="15" hidden="false" customHeight="false" outlineLevel="0" collapsed="false">
      <c r="D70" s="7" t="str">
        <f aca="false">alimentos[[#This Row],[Item]]</f>
        <v>Café (1kg)</v>
      </c>
      <c r="F70" s="7" t="str">
        <f aca="false">higiene[[#This Row],[Item]]</f>
        <v>Escova de dente (1un)</v>
      </c>
    </row>
    <row r="71" customFormat="false" ht="15" hidden="false" customHeight="false" outlineLevel="0" collapsed="false">
      <c r="D71" s="7" t="str">
        <f aca="false">alimentos[[#This Row],[Item]]</f>
        <v>Café (250g)</v>
      </c>
      <c r="F71" s="7" t="str">
        <f aca="false">higiene[[#This Row],[Item]]</f>
        <v>Escova de dente (2un)</v>
      </c>
    </row>
    <row r="72" customFormat="false" ht="15" hidden="false" customHeight="false" outlineLevel="0" collapsed="false">
      <c r="D72" s="7" t="str">
        <f aca="false">alimentos[[#This Row],[Item]]</f>
        <v>Café (500g)</v>
      </c>
      <c r="F72" s="7" t="str">
        <f aca="false">higiene[[#This Row],[Item]]</f>
        <v>Escova de dente (3 un)</v>
      </c>
    </row>
    <row r="73" customFormat="false" ht="15" hidden="false" customHeight="false" outlineLevel="0" collapsed="false">
      <c r="D73" s="7" t="str">
        <f aca="false">alimentos[[#This Row],[Item]]</f>
        <v>Café solúvel (50g)</v>
      </c>
      <c r="F73" s="7" t="str">
        <f aca="false">higiene[[#This Row],[Item]]</f>
        <v>Escova de Dentes (4un)</v>
      </c>
    </row>
    <row r="74" customFormat="false" ht="15" hidden="false" customHeight="false" outlineLevel="0" collapsed="false">
      <c r="D74" s="7" t="str">
        <f aca="false">alimentos[[#This Row],[Item]]</f>
        <v>Caixa de Bombons</v>
      </c>
      <c r="F74" s="7" t="str">
        <f aca="false">higiene[[#This Row],[Item]]</f>
        <v>Esponja (1un)</v>
      </c>
    </row>
    <row r="75" customFormat="false" ht="15" hidden="false" customHeight="false" outlineLevel="0" collapsed="false">
      <c r="D75" s="7" t="str">
        <f aca="false">alimentos[[#This Row],[Item]]</f>
        <v>Caldo Knor</v>
      </c>
      <c r="F75" s="7" t="str">
        <f aca="false">higiene[[#This Row],[Item]]</f>
        <v>Esponja (3un)</v>
      </c>
    </row>
    <row r="76" customFormat="false" ht="15" hidden="false" customHeight="false" outlineLevel="0" collapsed="false">
      <c r="D76" s="7" t="str">
        <f aca="false">alimentos[[#This Row],[Item]]</f>
        <v>Canjica (500g)</v>
      </c>
      <c r="F76" s="7" t="str">
        <f aca="false">higiene[[#This Row],[Item]]</f>
        <v>Esponja (4un)</v>
      </c>
    </row>
    <row r="77" customFormat="false" ht="15" hidden="false" customHeight="false" outlineLevel="0" collapsed="false">
      <c r="D77" s="7" t="str">
        <f aca="false">alimentos[[#This Row],[Item]]</f>
        <v>Cappuccino (200g)</v>
      </c>
      <c r="F77" s="7" t="str">
        <f aca="false">higiene[[#This Row],[Item]]</f>
        <v>Esponja de aço</v>
      </c>
    </row>
    <row r="78" customFormat="false" ht="15" hidden="false" customHeight="false" outlineLevel="0" collapsed="false">
      <c r="D78" s="7" t="str">
        <f aca="false">alimentos[[#This Row],[Item]]</f>
        <v>Cappuccino (20g)</v>
      </c>
      <c r="F78" s="7" t="str">
        <f aca="false">higiene[[#This Row],[Item]]</f>
        <v>F</v>
      </c>
    </row>
    <row r="79" customFormat="false" ht="15" hidden="false" customHeight="false" outlineLevel="0" collapsed="false">
      <c r="D79" s="7" t="str">
        <f aca="false">alimentos[[#This Row],[Item]]</f>
        <v>Cereal (120g)</v>
      </c>
      <c r="F79" s="7" t="str">
        <f aca="false">higiene[[#This Row],[Item]]</f>
        <v>Filtro de Café</v>
      </c>
    </row>
    <row r="80" customFormat="false" ht="15" hidden="false" customHeight="false" outlineLevel="0" collapsed="false">
      <c r="D80" s="7" t="str">
        <f aca="false">alimentos[[#This Row],[Item]]</f>
        <v>Cereal infantil (230g)</v>
      </c>
      <c r="F80" s="7" t="str">
        <f aca="false">higiene[[#This Row],[Item]]</f>
        <v>Fio Dental</v>
      </c>
    </row>
    <row r="81" customFormat="false" ht="15" hidden="false" customHeight="false" outlineLevel="0" collapsed="false">
      <c r="D81" s="7" t="str">
        <f aca="false">alimentos[[#This Row],[Item]]</f>
        <v>Cevada</v>
      </c>
      <c r="F81" s="7" t="str">
        <f aca="false">higiene[[#This Row],[Item]]</f>
        <v>Fosforo</v>
      </c>
    </row>
    <row r="82" customFormat="false" ht="15" hidden="false" customHeight="false" outlineLevel="0" collapsed="false">
      <c r="D82" s="7" t="str">
        <f aca="false">alimentos[[#This Row],[Item]]</f>
        <v>Chá (100g)</v>
      </c>
      <c r="F82" s="7" t="str">
        <f aca="false">higiene[[#This Row],[Item]]</f>
        <v>Fósforo (10 caixas x 40 un)</v>
      </c>
    </row>
    <row r="83" customFormat="false" ht="15" hidden="false" customHeight="false" outlineLevel="0" collapsed="false">
      <c r="D83" s="7" t="str">
        <f aca="false">alimentos[[#This Row],[Item]]</f>
        <v>Chá (10un)</v>
      </c>
      <c r="F83" s="7" t="str">
        <f aca="false">higiene[[#This Row],[Item]]</f>
        <v>Fosforo (200un)</v>
      </c>
    </row>
    <row r="84" customFormat="false" ht="15" hidden="false" customHeight="false" outlineLevel="0" collapsed="false">
      <c r="D84" s="7" t="str">
        <f aca="false">alimentos[[#This Row],[Item]]</f>
        <v>Chá (12g)</v>
      </c>
      <c r="F84" s="7" t="str">
        <f aca="false">higiene[[#This Row],[Item]]</f>
        <v>Fósforo (40un)</v>
      </c>
    </row>
    <row r="85" customFormat="false" ht="15" hidden="false" customHeight="false" outlineLevel="0" collapsed="false">
      <c r="D85" s="7" t="str">
        <f aca="false">alimentos[[#This Row],[Item]]</f>
        <v>Chá (22,5g)</v>
      </c>
      <c r="F85" s="7" t="str">
        <f aca="false">higiene[[#This Row],[Item]]</f>
        <v>Fósforo (50un)</v>
      </c>
    </row>
    <row r="86" customFormat="false" ht="15" hidden="false" customHeight="false" outlineLevel="0" collapsed="false">
      <c r="D86" s="7" t="str">
        <f aca="false">alimentos[[#This Row],[Item]]</f>
        <v>Chocolate barra (100g)</v>
      </c>
      <c r="F86" s="7" t="str">
        <f aca="false">higiene[[#This Row],[Item]]</f>
        <v>Fraldas Geriátricas (07un)</v>
      </c>
    </row>
    <row r="87" customFormat="false" ht="15" hidden="false" customHeight="false" outlineLevel="0" collapsed="false">
      <c r="D87" s="7" t="str">
        <f aca="false">alimentos[[#This Row],[Item]]</f>
        <v>Coca-cola (1,5L)</v>
      </c>
      <c r="F87" s="7" t="str">
        <f aca="false">higiene[[#This Row],[Item]]</f>
        <v>Fraldas Geriátricas (08un)</v>
      </c>
    </row>
    <row r="88" customFormat="false" ht="15" hidden="false" customHeight="false" outlineLevel="0" collapsed="false">
      <c r="D88" s="7" t="str">
        <f aca="false">alimentos[[#This Row],[Item]]</f>
        <v>Coca-cola (2,5L)</v>
      </c>
      <c r="F88" s="7" t="str">
        <f aca="false">higiene[[#This Row],[Item]]</f>
        <v>Fraldas Geriátricas (09un)</v>
      </c>
    </row>
    <row r="89" customFormat="false" ht="15" hidden="false" customHeight="false" outlineLevel="0" collapsed="false">
      <c r="D89" s="7" t="str">
        <f aca="false">alimentos[[#This Row],[Item]]</f>
        <v>Coca-cola (2L)</v>
      </c>
      <c r="F89" s="7" t="str">
        <f aca="false">higiene[[#This Row],[Item]]</f>
        <v>Fraldas Geriátricas (10un)</v>
      </c>
    </row>
    <row r="90" customFormat="false" ht="15" hidden="false" customHeight="false" outlineLevel="0" collapsed="false">
      <c r="D90" s="7" t="str">
        <f aca="false">alimentos[[#This Row],[Item]]</f>
        <v>Coca-cola (3L)</v>
      </c>
      <c r="F90" s="7" t="str">
        <f aca="false">higiene[[#This Row],[Item]]</f>
        <v>Fraldas Geriátricas (18un)</v>
      </c>
    </row>
    <row r="91" customFormat="false" ht="15" hidden="false" customHeight="false" outlineLevel="0" collapsed="false">
      <c r="D91" s="7" t="str">
        <f aca="false">alimentos[[#This Row],[Item]]</f>
        <v>Coco Ralado (100g)</v>
      </c>
      <c r="F91" s="7" t="str">
        <f aca="false">higiene[[#This Row],[Item]]</f>
        <v>Fraldas Geriátricas (20un)</v>
      </c>
    </row>
    <row r="92" customFormat="false" ht="15" hidden="false" customHeight="false" outlineLevel="0" collapsed="false">
      <c r="D92" s="7" t="str">
        <f aca="false">alimentos[[#This Row],[Item]]</f>
        <v>Cookie (400g)</v>
      </c>
      <c r="F92" s="7" t="str">
        <f aca="false">higiene[[#This Row],[Item]]</f>
        <v>Fraldas Geriátricas (24 un)</v>
      </c>
    </row>
    <row r="93" customFormat="false" ht="15" hidden="false" customHeight="false" outlineLevel="0" collapsed="false">
      <c r="D93" s="7" t="str">
        <f aca="false">alimentos[[#This Row],[Item]]</f>
        <v>Creme de Cebola em Pó (68g)</v>
      </c>
      <c r="F93" s="7" t="str">
        <f aca="false">higiene[[#This Row],[Item]]</f>
        <v>Fraldas Geriátricas (30un)</v>
      </c>
    </row>
    <row r="94" customFormat="false" ht="15" hidden="false" customHeight="false" outlineLevel="0" collapsed="false">
      <c r="D94" s="7" t="str">
        <f aca="false">alimentos[[#This Row],[Item]]</f>
        <v>Creme de Leite</v>
      </c>
      <c r="F94" s="7" t="str">
        <f aca="false">higiene[[#This Row],[Item]]</f>
        <v>Fraldas Infantis (12un)</v>
      </c>
    </row>
    <row r="95" customFormat="false" ht="15" hidden="false" customHeight="false" outlineLevel="0" collapsed="false">
      <c r="D95" s="7" t="str">
        <f aca="false">alimentos[[#This Row],[Item]]</f>
        <v>Cuscuz (500g)</v>
      </c>
      <c r="F95" s="7" t="str">
        <f aca="false">higiene[[#This Row],[Item]]</f>
        <v>Fraldas Infantis (14un)</v>
      </c>
    </row>
    <row r="96" customFormat="false" ht="15" hidden="false" customHeight="false" outlineLevel="0" collapsed="false">
      <c r="D96" s="7" t="str">
        <f aca="false">alimentos[[#This Row],[Item]]</f>
        <v>D</v>
      </c>
      <c r="F96" s="7" t="str">
        <f aca="false">higiene[[#This Row],[Item]]</f>
        <v>Fraldas Infantis (16un)</v>
      </c>
    </row>
    <row r="97" customFormat="false" ht="15" hidden="false" customHeight="false" outlineLevel="0" collapsed="false">
      <c r="D97" s="7" t="str">
        <f aca="false">alimentos[[#This Row],[Item]]</f>
        <v>Doce de Abóbora (220g)</v>
      </c>
      <c r="F97" s="7" t="str">
        <f aca="false">higiene[[#This Row],[Item]]</f>
        <v>Fraldas Infantis (18 un)</v>
      </c>
    </row>
    <row r="98" customFormat="false" ht="15" hidden="false" customHeight="false" outlineLevel="0" collapsed="false">
      <c r="D98" s="7" t="str">
        <f aca="false">alimentos[[#This Row],[Item]]</f>
        <v>Doces (bala - 150g)</v>
      </c>
      <c r="F98" s="7" t="str">
        <f aca="false">higiene[[#This Row],[Item]]</f>
        <v>Fraldas Infantis (20un)</v>
      </c>
    </row>
    <row r="99" customFormat="false" ht="15" hidden="false" customHeight="false" outlineLevel="0" collapsed="false">
      <c r="D99" s="7" t="str">
        <f aca="false">alimentos[[#This Row],[Item]]</f>
        <v>Doces (bala - 200g)</v>
      </c>
      <c r="F99" s="7" t="str">
        <f aca="false">higiene[[#This Row],[Item]]</f>
        <v>Fraldas Infantis (22un)</v>
      </c>
    </row>
    <row r="100" customFormat="false" ht="15" hidden="false" customHeight="false" outlineLevel="0" collapsed="false">
      <c r="D100" s="7" t="str">
        <f aca="false">alimentos[[#This Row],[Item]]</f>
        <v>Doces (bala - 300g)</v>
      </c>
      <c r="F100" s="7" t="str">
        <f aca="false">higiene[[#This Row],[Item]]</f>
        <v>Fraldas Infantis (24un)</v>
      </c>
    </row>
    <row r="101" customFormat="false" ht="15" hidden="false" customHeight="false" outlineLevel="0" collapsed="false">
      <c r="D101" s="7" t="str">
        <f aca="false">alimentos[[#This Row],[Item]]</f>
        <v>Doces (bala - 600g)</v>
      </c>
      <c r="F101" s="7" t="str">
        <f aca="false">higiene[[#This Row],[Item]]</f>
        <v>Fraldas Infantis (26un)</v>
      </c>
    </row>
    <row r="102" customFormat="false" ht="15" hidden="false" customHeight="false" outlineLevel="0" collapsed="false">
      <c r="D102" s="7" t="str">
        <f aca="false">alimentos[[#This Row],[Item]]</f>
        <v>Doces (bala - 70 g)</v>
      </c>
      <c r="F102" s="7" t="str">
        <f aca="false">higiene[[#This Row],[Item]]</f>
        <v>Fraldas Infantis (28un)</v>
      </c>
    </row>
    <row r="103" customFormat="false" ht="15" hidden="false" customHeight="false" outlineLevel="0" collapsed="false">
      <c r="D103" s="7" t="str">
        <f aca="false">alimentos[[#This Row],[Item]]</f>
        <v>E</v>
      </c>
      <c r="F103" s="7" t="str">
        <f aca="false">higiene[[#This Row],[Item]]</f>
        <v>Fraldas Infantis (30un)</v>
      </c>
    </row>
    <row r="104" customFormat="false" ht="15" hidden="false" customHeight="false" outlineLevel="0" collapsed="false">
      <c r="D104" s="7" t="str">
        <f aca="false">alimentos[[#This Row],[Item]]</f>
        <v>Ervilha (Sachê)</v>
      </c>
      <c r="F104" s="7" t="str">
        <f aca="false">higiene[[#This Row],[Item]]</f>
        <v>Fraldas Infantis (32un)</v>
      </c>
    </row>
    <row r="105" customFormat="false" ht="15" hidden="false" customHeight="false" outlineLevel="0" collapsed="false">
      <c r="D105" s="7" t="str">
        <f aca="false">alimentos[[#This Row],[Item]]</f>
        <v>Ervilha conserva (Lata)</v>
      </c>
      <c r="F105" s="7" t="str">
        <f aca="false">higiene[[#This Row],[Item]]</f>
        <v>Fraldas Infantis (34un)</v>
      </c>
    </row>
    <row r="106" customFormat="false" ht="15" hidden="false" customHeight="false" outlineLevel="0" collapsed="false">
      <c r="D106" s="7" t="str">
        <f aca="false">alimentos[[#This Row],[Item]]</f>
        <v>Ervilha Seca (500g)</v>
      </c>
      <c r="F106" s="7" t="str">
        <f aca="false">higiene[[#This Row],[Item]]</f>
        <v>Fraldas Infantis (36un)</v>
      </c>
    </row>
    <row r="107" customFormat="false" ht="15" hidden="false" customHeight="false" outlineLevel="0" collapsed="false">
      <c r="D107" s="7" t="str">
        <f aca="false">alimentos[[#This Row],[Item]]</f>
        <v>Extrato de tomate (130g)</v>
      </c>
      <c r="F107" s="7" t="str">
        <f aca="false">higiene[[#This Row],[Item]]</f>
        <v>Fraldas Infantis (38un)</v>
      </c>
    </row>
    <row r="108" customFormat="false" ht="15" hidden="false" customHeight="false" outlineLevel="0" collapsed="false">
      <c r="D108" s="7" t="str">
        <f aca="false">alimentos[[#This Row],[Item]]</f>
        <v>Extrato de tomate (280g)</v>
      </c>
      <c r="F108" s="7" t="str">
        <f aca="false">higiene[[#This Row],[Item]]</f>
        <v>Fraldas Infantis (40un)</v>
      </c>
    </row>
    <row r="109" customFormat="false" ht="15" hidden="false" customHeight="false" outlineLevel="0" collapsed="false">
      <c r="D109" s="7" t="str">
        <f aca="false">alimentos[[#This Row],[Item]]</f>
        <v>Extrato de tomate (320g)</v>
      </c>
      <c r="F109" s="7" t="str">
        <f aca="false">higiene[[#This Row],[Item]]</f>
        <v>Fraldas Infantis (44un)</v>
      </c>
    </row>
    <row r="110" customFormat="false" ht="15" hidden="false" customHeight="false" outlineLevel="0" collapsed="false">
      <c r="D110" s="7" t="str">
        <f aca="false">alimentos[[#This Row],[Item]]</f>
        <v>Extrato de tomate (340g)</v>
      </c>
      <c r="F110" s="7" t="str">
        <f aca="false">higiene[[#This Row],[Item]]</f>
        <v>Fraldas Infantis (46un)</v>
      </c>
    </row>
    <row r="111" customFormat="false" ht="15" hidden="false" customHeight="false" outlineLevel="0" collapsed="false">
      <c r="D111" s="7" t="str">
        <f aca="false">alimentos[[#This Row],[Item]]</f>
        <v>Extrato de tomate (400g)</v>
      </c>
      <c r="F111" s="7" t="str">
        <f aca="false">higiene[[#This Row],[Item]]</f>
        <v>Fraldas Infantis (48un)</v>
      </c>
    </row>
    <row r="112" customFormat="false" ht="15" hidden="false" customHeight="false" outlineLevel="0" collapsed="false">
      <c r="D112" s="7" t="str">
        <f aca="false">alimentos[[#This Row],[Item]]</f>
        <v>Extrato de tomate (520g)</v>
      </c>
      <c r="F112" s="7" t="str">
        <f aca="false">higiene[[#This Row],[Item]]</f>
        <v>Fraldas Infantis (50un)</v>
      </c>
    </row>
    <row r="113" customFormat="false" ht="15" hidden="false" customHeight="false" outlineLevel="0" collapsed="false">
      <c r="D113" s="7" t="str">
        <f aca="false">alimentos[[#This Row],[Item]]</f>
        <v>F</v>
      </c>
      <c r="F113" s="7" t="str">
        <f aca="false">higiene[[#This Row],[Item]]</f>
        <v>Fraldas Infantis (52un)</v>
      </c>
    </row>
    <row r="114" customFormat="false" ht="15" hidden="false" customHeight="false" outlineLevel="0" collapsed="false">
      <c r="D114" s="7" t="str">
        <f aca="false">alimentos[[#This Row],[Item]]</f>
        <v>Farinha de Kibe (500g)</v>
      </c>
      <c r="F114" s="7" t="str">
        <f aca="false">higiene[[#This Row],[Item]]</f>
        <v>Fraldas Infantis (58un)</v>
      </c>
    </row>
    <row r="115" customFormat="false" ht="15" hidden="false" customHeight="false" outlineLevel="0" collapsed="false">
      <c r="D115" s="7" t="str">
        <f aca="false">alimentos[[#This Row],[Item]]</f>
        <v>Farinha de Mandioca (1kg)</v>
      </c>
      <c r="F115" s="7" t="str">
        <f aca="false">higiene[[#This Row],[Item]]</f>
        <v>Fraldas Infantis (60un)</v>
      </c>
    </row>
    <row r="116" customFormat="false" ht="15" hidden="false" customHeight="false" outlineLevel="0" collapsed="false">
      <c r="D116" s="7" t="str">
        <f aca="false">alimentos[[#This Row],[Item]]</f>
        <v>Farinha de mandioca (500g)</v>
      </c>
      <c r="F116" s="7" t="str">
        <f aca="false">higiene[[#This Row],[Item]]</f>
        <v>G</v>
      </c>
    </row>
    <row r="117" customFormat="false" ht="15" hidden="false" customHeight="false" outlineLevel="0" collapsed="false">
      <c r="D117" s="7" t="str">
        <f aca="false">alimentos[[#This Row],[Item]]</f>
        <v>Farinha de milho(500g)</v>
      </c>
      <c r="F117" s="7" t="str">
        <f aca="false">higiene[[#This Row],[Item]]</f>
        <v>Guardanapo</v>
      </c>
    </row>
    <row r="118" customFormat="false" ht="15" hidden="false" customHeight="false" outlineLevel="0" collapsed="false">
      <c r="D118" s="7" t="str">
        <f aca="false">alimentos[[#This Row],[Item]]</f>
        <v>Farinha de rosca (500g)</v>
      </c>
      <c r="F118" s="7" t="str">
        <f aca="false">higiene[[#This Row],[Item]]</f>
        <v>H</v>
      </c>
    </row>
    <row r="119" customFormat="false" ht="15" hidden="false" customHeight="false" outlineLevel="0" collapsed="false">
      <c r="D119" s="7" t="str">
        <f aca="false">alimentos[[#This Row],[Item]]</f>
        <v>Farinha de trigo (1kg)</v>
      </c>
      <c r="F119" s="7" t="str">
        <f aca="false">higiene[[#This Row],[Item]]</f>
        <v>I</v>
      </c>
    </row>
    <row r="120" customFormat="false" ht="15" hidden="false" customHeight="false" outlineLevel="0" collapsed="false">
      <c r="D120" s="7" t="str">
        <f aca="false">alimentos[[#This Row],[Item]]</f>
        <v>Farofa (150g)</v>
      </c>
      <c r="F120" s="7" t="str">
        <f aca="false">higiene[[#This Row],[Item]]</f>
        <v>J</v>
      </c>
    </row>
    <row r="121" customFormat="false" ht="15" hidden="false" customHeight="false" outlineLevel="0" collapsed="false">
      <c r="D121" s="7" t="str">
        <f aca="false">alimentos[[#This Row],[Item]]</f>
        <v>Farofa (250g)</v>
      </c>
      <c r="F121" s="7" t="str">
        <f aca="false">higiene[[#This Row],[Item]]</f>
        <v>L</v>
      </c>
    </row>
    <row r="122" customFormat="false" ht="15" hidden="false" customHeight="false" outlineLevel="0" collapsed="false">
      <c r="D122" s="7" t="str">
        <f aca="false">alimentos[[#This Row],[Item]]</f>
        <v>Farofa (300g)</v>
      </c>
      <c r="F122" s="7" t="str">
        <f aca="false">higiene[[#This Row],[Item]]</f>
        <v>Lâmina de barbear (1un)</v>
      </c>
    </row>
    <row r="123" customFormat="false" ht="15" hidden="false" customHeight="false" outlineLevel="0" collapsed="false">
      <c r="D123" s="7" t="str">
        <f aca="false">alimentos[[#This Row],[Item]]</f>
        <v>Farofa (500g)</v>
      </c>
      <c r="F123" s="7" t="str">
        <f aca="false">higiene[[#This Row],[Item]]</f>
        <v>Lâmina de barbear (2un)</v>
      </c>
    </row>
    <row r="124" customFormat="false" ht="15" hidden="false" customHeight="false" outlineLevel="0" collapsed="false">
      <c r="D124" s="7" t="str">
        <f aca="false">alimentos[[#This Row],[Item]]</f>
        <v>farofa de mandioca (250g)</v>
      </c>
      <c r="F124" s="7" t="str">
        <f aca="false">higiene[[#This Row],[Item]]</f>
        <v>Lâmina de barbear (3un)</v>
      </c>
    </row>
    <row r="125" customFormat="false" ht="15" hidden="false" customHeight="false" outlineLevel="0" collapsed="false">
      <c r="D125" s="7" t="str">
        <f aca="false">alimentos[[#This Row],[Item]]</f>
        <v>Feijão (1kg)</v>
      </c>
      <c r="F125" s="7" t="str">
        <f aca="false">higiene[[#This Row],[Item]]</f>
        <v>Lâmina de barbear (4un)</v>
      </c>
    </row>
    <row r="126" customFormat="false" ht="15" hidden="false" customHeight="false" outlineLevel="0" collapsed="false">
      <c r="D126" s="7" t="str">
        <f aca="false">alimentos[[#This Row],[Item]]</f>
        <v>Feijão (2kg)</v>
      </c>
      <c r="F126" s="7" t="str">
        <f aca="false">higiene[[#This Row],[Item]]</f>
        <v>Lâmina de Barbear (5un)</v>
      </c>
    </row>
    <row r="127" customFormat="false" ht="15" hidden="false" customHeight="false" outlineLevel="0" collapsed="false">
      <c r="D127" s="7" t="str">
        <f aca="false">alimentos[[#This Row],[Item]]</f>
        <v>Feijão (500g)</v>
      </c>
      <c r="F127" s="7" t="str">
        <f aca="false">higiene[[#This Row],[Item]]</f>
        <v>Lâmina de Barbear (7un)</v>
      </c>
    </row>
    <row r="128" customFormat="false" ht="15" hidden="false" customHeight="false" outlineLevel="0" collapsed="false">
      <c r="D128" s="7" t="str">
        <f aca="false">alimentos[[#This Row],[Item]]</f>
        <v>Feijoada enlatada (830g)</v>
      </c>
      <c r="F128" s="7" t="str">
        <f aca="false">higiene[[#This Row],[Item]]</f>
        <v>Lâmina de barbear (8un)</v>
      </c>
    </row>
    <row r="129" customFormat="false" ht="15" hidden="false" customHeight="false" outlineLevel="0" collapsed="false">
      <c r="D129" s="7" t="str">
        <f aca="false">alimentos[[#This Row],[Item]]</f>
        <v>Fermento (100g)</v>
      </c>
      <c r="F129" s="7" t="str">
        <f aca="false">higiene[[#This Row],[Item]]</f>
        <v>Lâmina refil (2un)</v>
      </c>
    </row>
    <row r="130" customFormat="false" ht="15" hidden="false" customHeight="false" outlineLevel="0" collapsed="false">
      <c r="D130" s="7" t="str">
        <f aca="false">alimentos[[#This Row],[Item]]</f>
        <v>Fuba (1kg)</v>
      </c>
      <c r="F130" s="7" t="str">
        <f aca="false">higiene[[#This Row],[Item]]</f>
        <v>Lâmina refil (4un)</v>
      </c>
    </row>
    <row r="131" customFormat="false" ht="15" hidden="false" customHeight="false" outlineLevel="0" collapsed="false">
      <c r="D131" s="7" t="str">
        <f aca="false">alimentos[[#This Row],[Item]]</f>
        <v>Fuba (500g)</v>
      </c>
      <c r="F131" s="7" t="str">
        <f aca="false">higiene[[#This Row],[Item]]</f>
        <v>Lâmina refil (5un)</v>
      </c>
    </row>
    <row r="132" customFormat="false" ht="15" hidden="false" customHeight="false" outlineLevel="0" collapsed="false">
      <c r="D132" s="7" t="str">
        <f aca="false">alimentos[[#This Row],[Item]]</f>
        <v>G</v>
      </c>
      <c r="F132" s="7" t="str">
        <f aca="false">higiene[[#This Row],[Item]]</f>
        <v>Lenços de papel (50un)</v>
      </c>
    </row>
    <row r="133" customFormat="false" ht="15" hidden="false" customHeight="false" outlineLevel="0" collapsed="false">
      <c r="D133" s="7" t="str">
        <f aca="false">alimentos[[#This Row],[Item]]</f>
        <v>Gelatina (30g)</v>
      </c>
      <c r="F133" s="7" t="str">
        <f aca="false">higiene[[#This Row],[Item]]</f>
        <v>lenços papel 100 un</v>
      </c>
    </row>
    <row r="134" customFormat="false" ht="15" hidden="false" customHeight="false" outlineLevel="0" collapsed="false">
      <c r="D134" s="7" t="str">
        <f aca="false">alimentos[[#This Row],[Item]]</f>
        <v>Gelatina (35g)</v>
      </c>
      <c r="F134" s="7" t="str">
        <f aca="false">higiene[[#This Row],[Item]]</f>
        <v>Lenços Umidecidos (1pcte)</v>
      </c>
    </row>
    <row r="135" customFormat="false" ht="15" hidden="false" customHeight="false" outlineLevel="0" collapsed="false">
      <c r="D135" s="7" t="str">
        <f aca="false">alimentos[[#This Row],[Item]]</f>
        <v>Geleia de goiaba (100g)</v>
      </c>
      <c r="F135" s="7" t="str">
        <f aca="false">higiene[[#This Row],[Item]]</f>
        <v>Limpador(1L)</v>
      </c>
    </row>
    <row r="136" customFormat="false" ht="15" hidden="false" customHeight="false" outlineLevel="0" collapsed="false">
      <c r="D136" s="7" t="str">
        <f aca="false">alimentos[[#This Row],[Item]]</f>
        <v>Goiabada (300g)</v>
      </c>
      <c r="F136" s="7" t="str">
        <f aca="false">higiene[[#This Row],[Item]]</f>
        <v>Limpador(2L)</v>
      </c>
    </row>
    <row r="137" customFormat="false" ht="15" hidden="false" customHeight="false" outlineLevel="0" collapsed="false">
      <c r="D137" s="7" t="str">
        <f aca="false">alimentos[[#This Row],[Item]]</f>
        <v>Goiabada (400g)</v>
      </c>
      <c r="F137" s="7" t="str">
        <f aca="false">higiene[[#This Row],[Item]]</f>
        <v>Limpador(500ml)</v>
      </c>
    </row>
    <row r="138" customFormat="false" ht="15" hidden="false" customHeight="false" outlineLevel="0" collapsed="false">
      <c r="D138" s="7" t="str">
        <f aca="false">alimentos[[#This Row],[Item]]</f>
        <v>Goiabada (500g)</v>
      </c>
      <c r="F138" s="7" t="str">
        <f aca="false">higiene[[#This Row],[Item]]</f>
        <v>M</v>
      </c>
    </row>
    <row r="139" customFormat="false" ht="15" hidden="false" customHeight="false" outlineLevel="0" collapsed="false">
      <c r="D139" s="7" t="str">
        <f aca="false">alimentos[[#This Row],[Item]]</f>
        <v>Granulado (130g)</v>
      </c>
      <c r="F139" s="7" t="str">
        <f aca="false">higiene[[#This Row],[Item]]</f>
        <v>multiuso</v>
      </c>
    </row>
    <row r="140" customFormat="false" ht="15" hidden="false" customHeight="false" outlineLevel="0" collapsed="false">
      <c r="D140" s="7" t="str">
        <f aca="false">alimentos[[#This Row],[Item]]</f>
        <v>Granulado (150g)</v>
      </c>
      <c r="F140" s="7" t="str">
        <f aca="false">higiene[[#This Row],[Item]]</f>
        <v>Multiuso (1L)</v>
      </c>
    </row>
    <row r="141" customFormat="false" ht="15" hidden="false" customHeight="false" outlineLevel="0" collapsed="false">
      <c r="D141" s="7" t="str">
        <f aca="false">alimentos[[#This Row],[Item]]</f>
        <v>Granulado (1kg)</v>
      </c>
      <c r="F141" s="7" t="str">
        <f aca="false">higiene[[#This Row],[Item]]</f>
        <v>Multiuso (200ml)</v>
      </c>
    </row>
    <row r="142" customFormat="false" ht="15" hidden="false" customHeight="false" outlineLevel="0" collapsed="false">
      <c r="D142" s="7" t="str">
        <f aca="false">alimentos[[#This Row],[Item]]</f>
        <v>Granulado (500g)</v>
      </c>
      <c r="F142" s="7" t="str">
        <f aca="false">higiene[[#This Row],[Item]]</f>
        <v>Multiuso (3un 500ml)</v>
      </c>
    </row>
    <row r="143" customFormat="false" ht="15" hidden="false" customHeight="false" outlineLevel="0" collapsed="false">
      <c r="D143" s="7" t="str">
        <f aca="false">alimentos[[#This Row],[Item]]</f>
        <v>Grão de Bico (Lata)</v>
      </c>
      <c r="F143" s="7" t="str">
        <f aca="false">higiene[[#This Row],[Item]]</f>
        <v>Multiuso (500mL)</v>
      </c>
    </row>
    <row r="144" customFormat="false" ht="15" hidden="false" customHeight="false" outlineLevel="0" collapsed="false">
      <c r="D144" s="7" t="str">
        <f aca="false">alimentos[[#This Row],[Item]]</f>
        <v>Grão de Bico (sache)</v>
      </c>
      <c r="F144" s="7" t="str">
        <f aca="false">higiene[[#This Row],[Item]]</f>
        <v>Multiuso (750mL)</v>
      </c>
    </row>
    <row r="145" customFormat="false" ht="15" hidden="false" customHeight="false" outlineLevel="0" collapsed="false">
      <c r="D145" s="7" t="str">
        <f aca="false">alimentos[[#This Row],[Item]]</f>
        <v>H</v>
      </c>
      <c r="F145" s="7" t="str">
        <f aca="false">higiene[[#This Row],[Item]]</f>
        <v>N</v>
      </c>
    </row>
    <row r="146" customFormat="false" ht="15" hidden="false" customHeight="false" outlineLevel="0" collapsed="false">
      <c r="D146" s="7" t="str">
        <f aca="false">alimentos[[#This Row],[Item]]</f>
        <v>I</v>
      </c>
      <c r="F146" s="7" t="str">
        <f aca="false">higiene[[#This Row],[Item]]</f>
        <v>O</v>
      </c>
    </row>
    <row r="147" customFormat="false" ht="15" hidden="false" customHeight="false" outlineLevel="0" collapsed="false">
      <c r="D147" s="7" t="str">
        <f aca="false">alimentos[[#This Row],[Item]]</f>
        <v>J</v>
      </c>
      <c r="F147" s="7" t="str">
        <f aca="false">higiene[[#This Row],[Item]]</f>
        <v>P</v>
      </c>
    </row>
    <row r="148" customFormat="false" ht="15" hidden="false" customHeight="false" outlineLevel="0" collapsed="false">
      <c r="D148" s="7" t="str">
        <f aca="false">alimentos[[#This Row],[Item]]</f>
        <v>Ketchup (400g)</v>
      </c>
      <c r="F148" s="7" t="str">
        <f aca="false">higiene[[#This Row],[Item]]</f>
        <v>Papel Higiênico (04un)</v>
      </c>
    </row>
    <row r="149" customFormat="false" ht="15" hidden="false" customHeight="false" outlineLevel="0" collapsed="false">
      <c r="D149" s="7" t="str">
        <f aca="false">alimentos[[#This Row],[Item]]</f>
        <v>Kibe (500g)</v>
      </c>
      <c r="F149" s="7" t="str">
        <f aca="false">higiene[[#This Row],[Item]]</f>
        <v>Papel Higiênico (08un)</v>
      </c>
    </row>
    <row r="150" customFormat="false" ht="15" hidden="false" customHeight="false" outlineLevel="0" collapsed="false">
      <c r="D150" s="7" t="str">
        <f aca="false">alimentos[[#This Row],[Item]]</f>
        <v>L</v>
      </c>
      <c r="F150" s="7" t="str">
        <f aca="false">higiene[[#This Row],[Item]]</f>
        <v>Papel Higiênico (12un)</v>
      </c>
    </row>
    <row r="151" customFormat="false" ht="15" hidden="false" customHeight="false" outlineLevel="0" collapsed="false">
      <c r="D151" s="7" t="str">
        <f aca="false">alimentos[[#This Row],[Item]]</f>
        <v>Leite (caixa com 12)</v>
      </c>
      <c r="F151" s="7" t="str">
        <f aca="false">higiene[[#This Row],[Item]]</f>
        <v>Papel Higiênico (16un)</v>
      </c>
    </row>
    <row r="152" customFormat="false" ht="15" hidden="false" customHeight="false" outlineLevel="0" collapsed="false">
      <c r="D152" s="7" t="str">
        <f aca="false">alimentos[[#This Row],[Item]]</f>
        <v>Leite (caixa)</v>
      </c>
      <c r="F152" s="7" t="str">
        <f aca="false">higiene[[#This Row],[Item]]</f>
        <v>Papel Higiênico (24un)</v>
      </c>
    </row>
    <row r="153" customFormat="false" ht="15" hidden="false" customHeight="false" outlineLevel="0" collapsed="false">
      <c r="D153" s="7" t="str">
        <f aca="false">alimentos[[#This Row],[Item]]</f>
        <v>Leite condensado</v>
      </c>
      <c r="F153" s="7" t="str">
        <f aca="false">higiene[[#This Row],[Item]]</f>
        <v>Papel Toalha (12un)</v>
      </c>
    </row>
    <row r="154" customFormat="false" ht="15" hidden="false" customHeight="false" outlineLevel="0" collapsed="false">
      <c r="D154" s="7" t="str">
        <f aca="false">alimentos[[#This Row],[Item]]</f>
        <v>Leite de Coco (200mL)</v>
      </c>
      <c r="F154" s="7" t="str">
        <f aca="false">higiene[[#This Row],[Item]]</f>
        <v>Papel Toalha (2un)</v>
      </c>
    </row>
    <row r="155" customFormat="false" ht="15" hidden="false" customHeight="false" outlineLevel="0" collapsed="false">
      <c r="D155" s="7" t="str">
        <f aca="false">alimentos[[#This Row],[Item]]</f>
        <v>Leite de soja (1L)</v>
      </c>
      <c r="F155" s="7" t="str">
        <f aca="false">higiene[[#This Row],[Item]]</f>
        <v>Pasta de Dente (180g)</v>
      </c>
    </row>
    <row r="156" customFormat="false" ht="15" hidden="false" customHeight="false" outlineLevel="0" collapsed="false">
      <c r="D156" s="7" t="str">
        <f aca="false">alimentos[[#This Row],[Item]]</f>
        <v>Leite em Pó (200g)</v>
      </c>
      <c r="F156" s="7" t="str">
        <f aca="false">higiene[[#This Row],[Item]]</f>
        <v>Pasta de dente (3un)</v>
      </c>
    </row>
    <row r="157" customFormat="false" ht="15" hidden="false" customHeight="false" outlineLevel="0" collapsed="false">
      <c r="D157" s="7" t="str">
        <f aca="false">alimentos[[#This Row],[Item]]</f>
        <v>Leite em pó (280g)</v>
      </c>
      <c r="F157" s="7" t="str">
        <f aca="false">higiene[[#This Row],[Item]]</f>
        <v>Pasta de Dente (50g)</v>
      </c>
    </row>
    <row r="158" customFormat="false" ht="15" hidden="false" customHeight="false" outlineLevel="0" collapsed="false">
      <c r="D158" s="7" t="str">
        <f aca="false">alimentos[[#This Row],[Item]]</f>
        <v>Leite em pó (300g)</v>
      </c>
      <c r="F158" s="7" t="str">
        <f aca="false">higiene[[#This Row],[Item]]</f>
        <v>Pasta de Dente (70g)</v>
      </c>
    </row>
    <row r="159" customFormat="false" ht="15" hidden="false" customHeight="false" outlineLevel="0" collapsed="false">
      <c r="D159" s="7" t="str">
        <f aca="false">alimentos[[#This Row],[Item]]</f>
        <v>Leite em pó (400g)</v>
      </c>
      <c r="F159" s="7" t="str">
        <f aca="false">higiene[[#This Row],[Item]]</f>
        <v>Pasta de Dente (90g)</v>
      </c>
    </row>
    <row r="160" customFormat="false" ht="15" hidden="false" customHeight="false" outlineLevel="0" collapsed="false">
      <c r="D160" s="7" t="str">
        <f aca="false">alimentos[[#This Row],[Item]]</f>
        <v>Leite em Pó (500g)</v>
      </c>
      <c r="F160" s="7" t="str">
        <f aca="false">higiene[[#This Row],[Item]]</f>
        <v>Pasta de dente 4 un</v>
      </c>
    </row>
    <row r="161" customFormat="false" ht="15" hidden="false" customHeight="false" outlineLevel="0" collapsed="false">
      <c r="D161" s="7" t="str">
        <f aca="false">alimentos[[#This Row],[Item]]</f>
        <v>Leite em pó (800g)</v>
      </c>
      <c r="F161" s="7" t="str">
        <f aca="false">higiene[[#This Row],[Item]]</f>
        <v>Polvilho antisséptico (100g)</v>
      </c>
    </row>
    <row r="162" customFormat="false" ht="15" hidden="false" customHeight="false" outlineLevel="0" collapsed="false">
      <c r="D162" s="7" t="str">
        <f aca="false">alimentos[[#This Row],[Item]]</f>
        <v>Lentilha (1kg)</v>
      </c>
      <c r="F162" s="7" t="str">
        <f aca="false">higiene[[#This Row],[Item]]</f>
        <v>Q</v>
      </c>
    </row>
    <row r="163" customFormat="false" ht="15" hidden="false" customHeight="false" outlineLevel="0" collapsed="false">
      <c r="D163" s="7" t="str">
        <f aca="false">alimentos[[#This Row],[Item]]</f>
        <v>Lentilha (200g)</v>
      </c>
      <c r="F163" s="7" t="str">
        <f aca="false">higiene[[#This Row],[Item]]</f>
        <v>Querosene (500ml)</v>
      </c>
    </row>
    <row r="164" customFormat="false" ht="15" hidden="false" customHeight="false" outlineLevel="0" collapsed="false">
      <c r="D164" s="7" t="str">
        <f aca="false">alimentos[[#This Row],[Item]]</f>
        <v>Lentilha (380 g)</v>
      </c>
      <c r="F164" s="7" t="str">
        <f aca="false">higiene[[#This Row],[Item]]</f>
        <v>Querosene (900ml)</v>
      </c>
    </row>
    <row r="165" customFormat="false" ht="15" hidden="false" customHeight="false" outlineLevel="0" collapsed="false">
      <c r="D165" s="7" t="str">
        <f aca="false">alimentos[[#This Row],[Item]]</f>
        <v>Lentilha (500g)</v>
      </c>
      <c r="F165" s="7" t="str">
        <f aca="false">higiene[[#This Row],[Item]]</f>
        <v>R</v>
      </c>
    </row>
    <row r="166" customFormat="false" ht="15" hidden="false" customHeight="false" outlineLevel="0" collapsed="false">
      <c r="D166" s="7" t="str">
        <f aca="false">alimentos[[#This Row],[Item]]</f>
        <v>M</v>
      </c>
      <c r="F166" s="7" t="str">
        <f aca="false">higiene[[#This Row],[Item]]</f>
        <v>Removedor de mancha (450mL)</v>
      </c>
    </row>
    <row r="167" customFormat="false" ht="15" hidden="false" customHeight="false" outlineLevel="0" collapsed="false">
      <c r="D167" s="7" t="str">
        <f aca="false">alimentos[[#This Row],[Item]]</f>
        <v>Macarrão (1kg)</v>
      </c>
      <c r="F167" s="7" t="str">
        <f aca="false">higiene[[#This Row],[Item]]</f>
        <v>S</v>
      </c>
    </row>
    <row r="168" customFormat="false" ht="15" hidden="false" customHeight="false" outlineLevel="0" collapsed="false">
      <c r="D168" s="7" t="str">
        <f aca="false">alimentos[[#This Row],[Item]]</f>
        <v>Macarrão (200g)</v>
      </c>
      <c r="F168" s="7" t="str">
        <f aca="false">higiene[[#This Row],[Item]]</f>
        <v>Sabão em Barra (1un)</v>
      </c>
    </row>
    <row r="169" customFormat="false" ht="15" hidden="false" customHeight="false" outlineLevel="0" collapsed="false">
      <c r="D169" s="7" t="str">
        <f aca="false">alimentos[[#This Row],[Item]]</f>
        <v>Macarrão (500g)</v>
      </c>
      <c r="F169" s="7" t="str">
        <f aca="false">higiene[[#This Row],[Item]]</f>
        <v>sabao em barra (5un)</v>
      </c>
    </row>
    <row r="170" customFormat="false" ht="15" hidden="false" customHeight="false" outlineLevel="0" collapsed="false">
      <c r="D170" s="7" t="str">
        <f aca="false">alimentos[[#This Row],[Item]]</f>
        <v>Maionese (1kg)</v>
      </c>
      <c r="F170" s="7" t="str">
        <f aca="false">higiene[[#This Row],[Item]]</f>
        <v>Sabão em Pó (1kg)</v>
      </c>
    </row>
    <row r="171" customFormat="false" ht="15" hidden="false" customHeight="false" outlineLevel="0" collapsed="false">
      <c r="D171" s="7" t="str">
        <f aca="false">alimentos[[#This Row],[Item]]</f>
        <v>Maionese (200g)</v>
      </c>
      <c r="F171" s="7" t="str">
        <f aca="false">higiene[[#This Row],[Item]]</f>
        <v>Sabão em pó (2,8kg)</v>
      </c>
    </row>
    <row r="172" customFormat="false" ht="15" hidden="false" customHeight="false" outlineLevel="0" collapsed="false">
      <c r="D172" s="7" t="str">
        <f aca="false">alimentos[[#This Row],[Item]]</f>
        <v>Maionese (250g)</v>
      </c>
      <c r="F172" s="7" t="str">
        <f aca="false">higiene[[#This Row],[Item]]</f>
        <v>Sabão em Pó (2kg)</v>
      </c>
    </row>
    <row r="173" customFormat="false" ht="15" hidden="false" customHeight="false" outlineLevel="0" collapsed="false">
      <c r="D173" s="7" t="str">
        <f aca="false">alimentos[[#This Row],[Item]]</f>
        <v>Maionese (300g)</v>
      </c>
    </row>
    <row r="174" customFormat="false" ht="15" hidden="false" customHeight="false" outlineLevel="0" collapsed="false">
      <c r="D174" s="7" t="str">
        <f aca="false">alimentos[[#This Row],[Item]]</f>
        <v>Maionese (400g)</v>
      </c>
    </row>
    <row r="175" customFormat="false" ht="15" hidden="false" customHeight="false" outlineLevel="0" collapsed="false">
      <c r="D175" s="7" t="str">
        <f aca="false">alimentos[[#This Row],[Item]]</f>
        <v>Maionese (500g)</v>
      </c>
    </row>
    <row r="176" customFormat="false" ht="15" hidden="false" customHeight="false" outlineLevel="0" collapsed="false">
      <c r="D176" s="7" t="str">
        <f aca="false">alimentos[[#This Row],[Item]]</f>
        <v>Maionese (700g)</v>
      </c>
    </row>
    <row r="177" customFormat="false" ht="15" hidden="false" customHeight="false" outlineLevel="0" collapsed="false">
      <c r="D177" s="7" t="str">
        <f aca="false">alimentos[[#This Row],[Item]]</f>
        <v>Maizena (200g)</v>
      </c>
    </row>
    <row r="178" customFormat="false" ht="15" hidden="false" customHeight="false" outlineLevel="0" collapsed="false">
      <c r="D178" s="7" t="str">
        <f aca="false">alimentos[[#This Row],[Item]]</f>
        <v>Maizena (500g)</v>
      </c>
    </row>
    <row r="179" customFormat="false" ht="15" hidden="false" customHeight="false" outlineLevel="0" collapsed="false">
      <c r="D179" s="7" t="str">
        <f aca="false">alimentos[[#This Row],[Item]]</f>
        <v>Maria Mole (50g)</v>
      </c>
    </row>
    <row r="180" customFormat="false" ht="15" hidden="false" customHeight="false" outlineLevel="0" collapsed="false">
      <c r="D180" s="7" t="str">
        <f aca="false">alimentos[[#This Row],[Item]]</f>
        <v>Massa lasanha (200g)</v>
      </c>
    </row>
    <row r="181" customFormat="false" ht="15" hidden="false" customHeight="false" outlineLevel="0" collapsed="false">
      <c r="D181" s="7" t="str">
        <f aca="false">alimentos[[#This Row],[Item]]</f>
        <v>Massa lasanha (500g)</v>
      </c>
    </row>
    <row r="182" customFormat="false" ht="15" hidden="false" customHeight="false" outlineLevel="0" collapsed="false">
      <c r="D182" s="7" t="str">
        <f aca="false">alimentos[[#This Row],[Item]]</f>
        <v>Milho + ervilha</v>
      </c>
    </row>
    <row r="183" customFormat="false" ht="15" hidden="false" customHeight="false" outlineLevel="0" collapsed="false">
      <c r="D183" s="7" t="str">
        <f aca="false">alimentos[[#This Row],[Item]]</f>
        <v>Milho conserva (Lata)</v>
      </c>
    </row>
    <row r="184" customFormat="false" ht="15" hidden="false" customHeight="false" outlineLevel="0" collapsed="false">
      <c r="D184" s="7" t="str">
        <f aca="false">alimentos[[#This Row],[Item]]</f>
        <v>Milho conserva (Sache)</v>
      </c>
    </row>
    <row r="185" customFormat="false" ht="15" hidden="false" customHeight="false" outlineLevel="0" collapsed="false">
      <c r="D185" s="7" t="str">
        <f aca="false">alimentos[[#This Row],[Item]]</f>
        <v>Milho de pipoca (500g)</v>
      </c>
    </row>
    <row r="186" customFormat="false" ht="15" hidden="false" customHeight="false" outlineLevel="0" collapsed="false">
      <c r="D186" s="7" t="str">
        <f aca="false">alimentos[[#This Row],[Item]]</f>
        <v>Mingau (230g)</v>
      </c>
    </row>
    <row r="187" customFormat="false" ht="15" hidden="false" customHeight="false" outlineLevel="0" collapsed="false">
      <c r="D187" s="7" t="str">
        <f aca="false">alimentos[[#This Row],[Item]]</f>
        <v>Miojo (500g)</v>
      </c>
    </row>
    <row r="188" customFormat="false" ht="15" hidden="false" customHeight="false" outlineLevel="0" collapsed="false">
      <c r="D188" s="7" t="str">
        <f aca="false">alimentos[[#This Row],[Item]]</f>
        <v>Miojo (80g)</v>
      </c>
    </row>
    <row r="189" customFormat="false" ht="15" hidden="false" customHeight="false" outlineLevel="0" collapsed="false">
      <c r="D189" s="7" t="str">
        <f aca="false">alimentos[[#This Row],[Item]]</f>
        <v>Mistura de Bolo</v>
      </c>
    </row>
    <row r="190" customFormat="false" ht="15" hidden="false" customHeight="false" outlineLevel="0" collapsed="false">
      <c r="D190" s="7" t="str">
        <f aca="false">alimentos[[#This Row],[Item]]</f>
        <v>Molho de tomate (130g)</v>
      </c>
    </row>
    <row r="191" customFormat="false" ht="15" hidden="false" customHeight="false" outlineLevel="0" collapsed="false">
      <c r="D191" s="7" t="str">
        <f aca="false">alimentos[[#This Row],[Item]]</f>
        <v>Molho de Tomate (260g)</v>
      </c>
    </row>
    <row r="192" customFormat="false" ht="15" hidden="false" customHeight="false" outlineLevel="0" collapsed="false">
      <c r="D192" s="7" t="str">
        <f aca="false">alimentos[[#This Row],[Item]]</f>
        <v>Molho de Tomate (300g)</v>
      </c>
    </row>
    <row r="193" customFormat="false" ht="15" hidden="false" customHeight="false" outlineLevel="0" collapsed="false">
      <c r="D193" s="7" t="str">
        <f aca="false">alimentos[[#This Row],[Item]]</f>
        <v>Molho de Tomate (340g)</v>
      </c>
    </row>
    <row r="194" customFormat="false" ht="15" hidden="false" customHeight="false" outlineLevel="0" collapsed="false">
      <c r="D194" s="7" t="str">
        <f aca="false">alimentos[[#This Row],[Item]]</f>
        <v>Molho de tomate (400g)</v>
      </c>
    </row>
    <row r="195" customFormat="false" ht="15" hidden="false" customHeight="false" outlineLevel="0" collapsed="false">
      <c r="D195" s="7" t="str">
        <f aca="false">alimentos[[#This Row],[Item]]</f>
        <v>Molho de Tomate (440g)</v>
      </c>
    </row>
    <row r="196" customFormat="false" ht="15" hidden="false" customHeight="false" outlineLevel="0" collapsed="false">
      <c r="D196" s="7" t="str">
        <f aca="false">alimentos[[#This Row],[Item]]</f>
        <v>Molho de tomate (520g)</v>
      </c>
    </row>
    <row r="197" customFormat="false" ht="15" hidden="false" customHeight="false" outlineLevel="0" collapsed="false">
      <c r="D197" s="7" t="str">
        <f aca="false">alimentos[[#This Row],[Item]]</f>
        <v>Molho de tomate (680g)</v>
      </c>
    </row>
    <row r="198" customFormat="false" ht="15" hidden="false" customHeight="false" outlineLevel="0" collapsed="false">
      <c r="D198" s="7" t="str">
        <f aca="false">alimentos[[#This Row],[Item]]</f>
        <v>Molho de tomate(390g)</v>
      </c>
    </row>
    <row r="199" customFormat="false" ht="15" hidden="false" customHeight="false" outlineLevel="0" collapsed="false">
      <c r="D199" s="7" t="str">
        <f aca="false">alimentos[[#This Row],[Item]]</f>
        <v>N</v>
      </c>
    </row>
    <row r="200" customFormat="false" ht="15" hidden="false" customHeight="false" outlineLevel="0" collapsed="false">
      <c r="D200" s="7" t="str">
        <f aca="false">alimentos[[#This Row],[Item]]</f>
        <v>Nozes (200g)</v>
      </c>
    </row>
    <row r="201" customFormat="false" ht="15" hidden="false" customHeight="false" outlineLevel="0" collapsed="false">
      <c r="D201" s="7" t="str">
        <f aca="false">alimentos[[#This Row],[Item]]</f>
        <v>O</v>
      </c>
    </row>
    <row r="202" customFormat="false" ht="15" hidden="false" customHeight="false" outlineLevel="0" collapsed="false">
      <c r="D202" s="7" t="str">
        <f aca="false">alimentos[[#This Row],[Item]]</f>
        <v>Óleo</v>
      </c>
    </row>
    <row r="203" customFormat="false" ht="15" hidden="false" customHeight="false" outlineLevel="0" collapsed="false">
      <c r="D203" s="7" t="str">
        <f aca="false">alimentos[[#This Row],[Item]]</f>
        <v>Orégano (10g)</v>
      </c>
    </row>
    <row r="204" customFormat="false" ht="15" hidden="false" customHeight="false" outlineLevel="0" collapsed="false">
      <c r="D204" s="7" t="str">
        <f aca="false">alimentos[[#This Row],[Item]]</f>
        <v>P</v>
      </c>
      <c r="F204" s="4"/>
    </row>
    <row r="205" customFormat="false" ht="15" hidden="false" customHeight="false" outlineLevel="0" collapsed="false">
      <c r="D205" s="7" t="str">
        <f aca="false">alimentos[[#This Row],[Item]]</f>
        <v>Pacote de bala (200g)</v>
      </c>
    </row>
    <row r="206" customFormat="false" ht="15" hidden="false" customHeight="false" outlineLevel="0" collapsed="false">
      <c r="D206" s="7" t="str">
        <f aca="false">alimentos[[#This Row],[Item]]</f>
        <v>Pacote de bala (500g)</v>
      </c>
    </row>
    <row r="207" customFormat="false" ht="15" hidden="false" customHeight="false" outlineLevel="0" collapsed="false">
      <c r="D207" s="7" t="str">
        <f aca="false">alimentos[[#This Row],[Item]]</f>
        <v>Pacote de bala (600g)</v>
      </c>
    </row>
    <row r="208" customFormat="false" ht="15" hidden="false" customHeight="false" outlineLevel="0" collapsed="false">
      <c r="D208" s="7" t="str">
        <f aca="false">alimentos[[#This Row],[Item]]</f>
        <v>Palmito (300g)</v>
      </c>
    </row>
    <row r="209" customFormat="false" ht="15" hidden="false" customHeight="false" outlineLevel="0" collapsed="false">
      <c r="D209" s="7" t="str">
        <f aca="false">alimentos[[#This Row],[Item]]</f>
        <v>Palmito (500g)</v>
      </c>
    </row>
    <row r="210" customFormat="false" ht="15" hidden="false" customHeight="false" outlineLevel="0" collapsed="false">
      <c r="D210" s="7" t="str">
        <f aca="false">alimentos[[#This Row],[Item]]</f>
        <v>Palmito (530g)</v>
      </c>
    </row>
    <row r="211" customFormat="false" ht="15" hidden="false" customHeight="false" outlineLevel="0" collapsed="false">
      <c r="D211" s="7" t="str">
        <f aca="false">alimentos[[#This Row],[Item]]</f>
        <v>Panetone</v>
      </c>
    </row>
    <row r="212" customFormat="false" ht="15" hidden="false" customHeight="false" outlineLevel="0" collapsed="false">
      <c r="D212" s="7" t="str">
        <f aca="false">alimentos[[#This Row],[Item]]</f>
        <v>Panetone (80g)</v>
      </c>
    </row>
    <row r="213" customFormat="false" ht="15" hidden="false" customHeight="false" outlineLevel="0" collapsed="false">
      <c r="D213" s="7" t="str">
        <f aca="false">alimentos[[#This Row],[Item]]</f>
        <v>Pão de Forma (500g)</v>
      </c>
    </row>
    <row r="214" customFormat="false" ht="15" hidden="false" customHeight="false" outlineLevel="0" collapsed="false">
      <c r="D214" s="7" t="str">
        <f aca="false">alimentos[[#This Row],[Item]]</f>
        <v>Pão de Mel (200g)</v>
      </c>
    </row>
    <row r="215" customFormat="false" ht="15" hidden="false" customHeight="false" outlineLevel="0" collapsed="false">
      <c r="D215" s="7" t="str">
        <f aca="false">alimentos[[#This Row],[Item]]</f>
        <v>Pão de Mel (240g)</v>
      </c>
    </row>
    <row r="216" customFormat="false" ht="15" hidden="false" customHeight="false" outlineLevel="0" collapsed="false">
      <c r="D216" s="7" t="str">
        <f aca="false">alimentos[[#This Row],[Item]]</f>
        <v>Pão de Mel (300g)</v>
      </c>
    </row>
    <row r="217" customFormat="false" ht="15" hidden="false" customHeight="false" outlineLevel="0" collapsed="false">
      <c r="D217" s="7" t="str">
        <f aca="false">alimentos[[#This Row],[Item]]</f>
        <v>Pão de Mel (500g)</v>
      </c>
    </row>
    <row r="218" customFormat="false" ht="15" hidden="false" customHeight="false" outlineLevel="0" collapsed="false">
      <c r="D218" s="7" t="str">
        <f aca="false">alimentos[[#This Row],[Item]]</f>
        <v>Pate de peru (100g)</v>
      </c>
    </row>
    <row r="219" customFormat="false" ht="15" hidden="false" customHeight="false" outlineLevel="0" collapsed="false">
      <c r="D219" s="7" t="str">
        <f aca="false">alimentos[[#This Row],[Item]]</f>
        <v>Patê de sardinha (150g)</v>
      </c>
    </row>
    <row r="220" customFormat="false" ht="15" hidden="false" customHeight="false" outlineLevel="0" collapsed="false">
      <c r="D220" s="7" t="str">
        <f aca="false">alimentos[[#This Row],[Item]]</f>
        <v>Patê de sardinha (170g)</v>
      </c>
    </row>
    <row r="221" customFormat="false" ht="15" hidden="false" customHeight="false" outlineLevel="0" collapsed="false">
      <c r="D221" s="7" t="str">
        <f aca="false">alimentos[[#This Row],[Item]]</f>
        <v>Pêssego em calda</v>
      </c>
    </row>
    <row r="222" customFormat="false" ht="15" hidden="false" customHeight="false" outlineLevel="0" collapsed="false">
      <c r="D222" s="7" t="str">
        <f aca="false">alimentos[[#This Row],[Item]]</f>
        <v>Pipoca doce (100g)</v>
      </c>
    </row>
    <row r="223" customFormat="false" ht="15" hidden="false" customHeight="false" outlineLevel="0" collapsed="false">
      <c r="D223" s="7" t="str">
        <f aca="false">alimentos[[#This Row],[Item]]</f>
        <v>Polenta (1kg)</v>
      </c>
    </row>
    <row r="224" customFormat="false" ht="15" hidden="false" customHeight="false" outlineLevel="0" collapsed="false">
      <c r="D224" s="7" t="str">
        <f aca="false">alimentos[[#This Row],[Item]]</f>
        <v>Polenta (500g)</v>
      </c>
    </row>
    <row r="225" customFormat="false" ht="15" hidden="false" customHeight="false" outlineLevel="0" collapsed="false">
      <c r="D225" s="7" t="str">
        <f aca="false">alimentos[[#This Row],[Item]]</f>
        <v>Polvilho (1kg)</v>
      </c>
    </row>
    <row r="226" customFormat="false" ht="15" hidden="false" customHeight="false" outlineLevel="0" collapsed="false">
      <c r="D226" s="7" t="str">
        <f aca="false">alimentos[[#This Row],[Item]]</f>
        <v>Q</v>
      </c>
    </row>
    <row r="227" customFormat="false" ht="15" hidden="false" customHeight="false" outlineLevel="0" collapsed="false">
      <c r="D227" s="7" t="str">
        <f aca="false">alimentos[[#This Row],[Item]]</f>
        <v>Queijo ralado (50g)</v>
      </c>
    </row>
    <row r="228" customFormat="false" ht="15" hidden="false" customHeight="false" outlineLevel="0" collapsed="false">
      <c r="D228" s="7" t="str">
        <f aca="false">alimentos[[#This Row],[Item]]</f>
        <v>R</v>
      </c>
    </row>
    <row r="229" customFormat="false" ht="15" hidden="false" customHeight="false" outlineLevel="0" collapsed="false">
      <c r="D229" s="7" t="str">
        <f aca="false">alimentos[[#This Row],[Item]]</f>
        <v>Refrigerante (1L)</v>
      </c>
    </row>
    <row r="230" customFormat="false" ht="15" hidden="false" customHeight="false" outlineLevel="0" collapsed="false">
      <c r="D230" s="7" t="str">
        <f aca="false">alimentos[[#This Row],[Item]]</f>
        <v>Refrigerante (2L)</v>
      </c>
    </row>
    <row r="231" customFormat="false" ht="15" hidden="false" customHeight="false" outlineLevel="0" collapsed="false">
      <c r="D231" s="7" t="str">
        <f aca="false">alimentos[[#This Row],[Item]]</f>
        <v>Refrigerante lata</v>
      </c>
    </row>
    <row r="232" customFormat="false" ht="15" hidden="false" customHeight="false" outlineLevel="0" collapsed="false">
      <c r="D232" s="7" t="str">
        <f aca="false">alimentos[[#This Row],[Item]]</f>
        <v>S</v>
      </c>
    </row>
    <row r="233" customFormat="false" ht="15" hidden="false" customHeight="false" outlineLevel="0" collapsed="false">
      <c r="D233" s="7" t="str">
        <f aca="false">alimentos[[#This Row],[Item]]</f>
        <v>Sagu (150g)</v>
      </c>
    </row>
    <row r="234" customFormat="false" ht="15" hidden="false" customHeight="false" outlineLevel="0" collapsed="false">
      <c r="D234" s="7" t="str">
        <f aca="false">alimentos[[#This Row],[Item]]</f>
        <v>Sagu (250g)</v>
      </c>
    </row>
    <row r="235" customFormat="false" ht="15" hidden="false" customHeight="false" outlineLevel="0" collapsed="false">
      <c r="D235" s="7" t="str">
        <f aca="false">alimentos[[#This Row],[Item]]</f>
        <v>Sagu (500g)</v>
      </c>
    </row>
    <row r="236" customFormat="false" ht="15" hidden="false" customHeight="false" outlineLevel="0" collapsed="false">
      <c r="D236" s="7" t="str">
        <f aca="false">alimentos[[#This Row],[Item]]</f>
        <v>Sal (1kg)</v>
      </c>
    </row>
    <row r="237" customFormat="false" ht="15" hidden="false" customHeight="false" outlineLevel="0" collapsed="false">
      <c r="D237" s="7" t="str">
        <f aca="false">alimentos[[#This Row],[Item]]</f>
        <v>Sal (500g)</v>
      </c>
    </row>
    <row r="238" customFormat="false" ht="15" hidden="false" customHeight="false" outlineLevel="0" collapsed="false">
      <c r="D238" s="7" t="str">
        <f aca="false">alimentos[[#This Row],[Item]]</f>
        <v>Sal Grosso (1kg)</v>
      </c>
    </row>
    <row r="239" customFormat="false" ht="15" hidden="false" customHeight="false" outlineLevel="0" collapsed="false">
      <c r="D239" s="7" t="str">
        <f aca="false">alimentos[[#This Row],[Item]]</f>
        <v>Salgadinho (50g)</v>
      </c>
    </row>
    <row r="240" customFormat="false" ht="15" hidden="false" customHeight="false" outlineLevel="0" collapsed="false">
      <c r="D240" s="7" t="str">
        <f aca="false">alimentos[[#This Row],[Item]]</f>
        <v>Salsicha (lata)</v>
      </c>
    </row>
    <row r="241" customFormat="false" ht="15" hidden="false" customHeight="false" outlineLevel="0" collapsed="false">
      <c r="D241" s="7" t="str">
        <f aca="false">alimentos[[#This Row],[Item]]</f>
        <v>Salsicha tipo Viena</v>
      </c>
    </row>
    <row r="242" customFormat="false" ht="15" hidden="false" customHeight="false" outlineLevel="0" collapsed="false">
      <c r="D242" s="7" t="str">
        <f aca="false">alimentos[[#This Row],[Item]]</f>
        <v>Sardinha (125g)</v>
      </c>
    </row>
    <row r="243" customFormat="false" ht="15" hidden="false" customHeight="false" outlineLevel="0" collapsed="false">
      <c r="D243" s="7" t="str">
        <f aca="false">alimentos[[#This Row],[Item]]</f>
        <v>Sazon (60g)</v>
      </c>
    </row>
    <row r="244" customFormat="false" ht="15" hidden="false" customHeight="false" outlineLevel="0" collapsed="false">
      <c r="D244" s="7" t="str">
        <f aca="false">alimentos[[#This Row],[Item]]</f>
        <v>Seleta de legumes (200g)</v>
      </c>
    </row>
    <row r="245" customFormat="false" ht="15" hidden="false" customHeight="false" outlineLevel="0" collapsed="false">
      <c r="D245" s="7" t="str">
        <f aca="false">alimentos[[#This Row],[Item]]</f>
        <v>Seleta de legumes (280g)</v>
      </c>
    </row>
    <row r="246" customFormat="false" ht="15" hidden="false" customHeight="false" outlineLevel="0" collapsed="false">
      <c r="D246" s="7" t="str">
        <f aca="false">alimentos[[#This Row],[Item]]</f>
        <v>Sopa de Cebola (38g)</v>
      </c>
    </row>
    <row r="247" customFormat="false" ht="15" hidden="false" customHeight="false" outlineLevel="0" collapsed="false">
      <c r="D247" s="7" t="str">
        <f aca="false">alimentos[[#This Row],[Item]]</f>
        <v>Sopa pronta (500g)</v>
      </c>
    </row>
    <row r="248" customFormat="false" ht="15" hidden="false" customHeight="false" outlineLevel="0" collapsed="false">
      <c r="D248" s="7" t="str">
        <f aca="false">alimentos[[#This Row],[Item]]</f>
        <v>Sopão (200g)</v>
      </c>
    </row>
    <row r="249" customFormat="false" ht="15" hidden="false" customHeight="false" outlineLevel="0" collapsed="false">
      <c r="D249" s="7" t="str">
        <f aca="false">alimentos[[#This Row],[Item]]</f>
        <v>Suco (1,5L)</v>
      </c>
    </row>
    <row r="250" customFormat="false" ht="15" hidden="false" customHeight="false" outlineLevel="0" collapsed="false">
      <c r="D250" s="7" t="str">
        <f aca="false">alimentos[[#This Row],[Item]]</f>
        <v>Suco (Caixa)</v>
      </c>
    </row>
    <row r="251" customFormat="false" ht="15" hidden="false" customHeight="false" outlineLevel="0" collapsed="false">
      <c r="D251" s="7" t="str">
        <f aca="false">alimentos[[#This Row],[Item]]</f>
        <v>Suco (Saquinho)</v>
      </c>
    </row>
    <row r="252" customFormat="false" ht="15" hidden="false" customHeight="false" outlineLevel="0" collapsed="false">
      <c r="D252" s="7" t="str">
        <f aca="false">alimentos[[#This Row],[Item]]</f>
        <v>Suco concentrado (500mL)</v>
      </c>
    </row>
    <row r="253" customFormat="false" ht="15" hidden="false" customHeight="false" outlineLevel="0" collapsed="false">
      <c r="D253" s="7" t="str">
        <f aca="false">alimentos[[#This Row],[Item]]</f>
        <v>Suco em Pó (450g)</v>
      </c>
    </row>
    <row r="254" customFormat="false" ht="15" hidden="false" customHeight="false" outlineLevel="0" collapsed="false">
      <c r="D254" s="7" t="str">
        <f aca="false">alimentos[[#This Row],[Item]]</f>
        <v>T</v>
      </c>
    </row>
    <row r="255" customFormat="false" ht="15" hidden="false" customHeight="false" outlineLevel="0" collapsed="false">
      <c r="D255" s="7" t="str">
        <f aca="false">alimentos[[#This Row],[Item]]</f>
        <v>Tapioca (1kg)</v>
      </c>
    </row>
    <row r="256" customFormat="false" ht="15" hidden="false" customHeight="false" outlineLevel="0" collapsed="false">
      <c r="D256" s="7" t="str">
        <f aca="false">alimentos[[#This Row],[Item]]</f>
        <v>Tapioca (500g)</v>
      </c>
    </row>
    <row r="257" customFormat="false" ht="15" hidden="false" customHeight="false" outlineLevel="0" collapsed="false">
      <c r="D257" s="7" t="str">
        <f aca="false">alimentos[[#This Row],[Item]]</f>
        <v>Tempero pronto (500g)</v>
      </c>
    </row>
    <row r="258" customFormat="false" ht="15" hidden="false" customHeight="false" outlineLevel="0" collapsed="false">
      <c r="D258" s="7" t="str">
        <f aca="false">alimentos[[#This Row],[Item]]</f>
        <v>Tempero pronto(300g)</v>
      </c>
    </row>
    <row r="259" customFormat="false" ht="15" hidden="false" customHeight="false" outlineLevel="0" collapsed="false">
      <c r="D259" s="7" t="str">
        <f aca="false">alimentos[[#This Row],[Item]]</f>
        <v>Tomate Pelado (400g)</v>
      </c>
    </row>
    <row r="260" customFormat="false" ht="15" hidden="false" customHeight="false" outlineLevel="0" collapsed="false">
      <c r="D260" s="7" t="str">
        <f aca="false">alimentos[[#This Row],[Item]]</f>
        <v>Torrada</v>
      </c>
    </row>
    <row r="261" customFormat="false" ht="15" hidden="false" customHeight="false" outlineLevel="0" collapsed="false">
      <c r="D261" s="7" t="str">
        <f aca="false">alimentos[[#This Row],[Item]]</f>
        <v>Trigo pra Kibe</v>
      </c>
    </row>
    <row r="262" customFormat="false" ht="15" hidden="false" customHeight="false" outlineLevel="0" collapsed="false">
      <c r="D262" s="7" t="str">
        <f aca="false">alimentos[[#This Row],[Item]]</f>
        <v>U</v>
      </c>
    </row>
    <row r="263" customFormat="false" ht="15" hidden="false" customHeight="false" outlineLevel="0" collapsed="false">
      <c r="D263" s="7" t="str">
        <f aca="false">alimentos[[#This Row],[Item]]</f>
        <v>Uva Passa (100g)</v>
      </c>
    </row>
    <row r="264" customFormat="false" ht="15" hidden="false" customHeight="false" outlineLevel="0" collapsed="false">
      <c r="D264" s="7" t="str">
        <f aca="false">alimentos[[#This Row],[Item]]</f>
        <v>V</v>
      </c>
    </row>
    <row r="265" customFormat="false" ht="15" hidden="false" customHeight="false" outlineLevel="0" collapsed="false">
      <c r="D265" s="7" t="str">
        <f aca="false">alimentos[[#This Row],[Item]]</f>
        <v>Vinagre (750ml)</v>
      </c>
    </row>
    <row r="266" customFormat="false" ht="15" hidden="false" customHeight="false" outlineLevel="0" collapsed="false">
      <c r="D266" s="7" t="str">
        <f aca="false">alimentos[[#This Row],[Item]]</f>
        <v>Y</v>
      </c>
    </row>
    <row r="267" customFormat="false" ht="15" hidden="false" customHeight="false" outlineLevel="0" collapsed="false">
      <c r="D267" s="7" t="str">
        <f aca="false">alimentos[[#This Row],[Item]]</f>
        <v>Yakissoba (500g)</v>
      </c>
    </row>
    <row r="268" customFormat="false" ht="15" hidden="false" customHeight="false" outlineLevel="0" collapsed="false">
      <c r="D268" s="7" t="e">
        <f aca="false">alimentos[[#This Row],[Item]]</f>
        <v>#VALUE!</v>
      </c>
    </row>
    <row r="269" customFormat="false" ht="15" hidden="false" customHeight="false" outlineLevel="0" collapsed="false">
      <c r="D269" s="7" t="e">
        <f aca="false">alimentos[[#This Row],[Item]]</f>
        <v>#VALUE!</v>
      </c>
    </row>
    <row r="270" customFormat="false" ht="15" hidden="false" customHeight="false" outlineLevel="0" collapsed="false">
      <c r="D270" s="7" t="e">
        <f aca="false">alimentos[[#This Row],[Item]]</f>
        <v>#VALUE!</v>
      </c>
    </row>
    <row r="271" customFormat="false" ht="15" hidden="false" customHeight="false" outlineLevel="0" collapsed="false">
      <c r="D271" s="7" t="e">
        <f aca="false">alimentos[[#This Row],[Item]]</f>
        <v>#VALUE!</v>
      </c>
    </row>
    <row r="272" customFormat="false" ht="15" hidden="false" customHeight="false" outlineLevel="0" collapsed="false">
      <c r="D272" s="7" t="e">
        <f aca="false">alimentos[[#This Row],[Item]]</f>
        <v>#VALUE!</v>
      </c>
    </row>
    <row r="273" customFormat="false" ht="15" hidden="false" customHeight="false" outlineLevel="0" collapsed="false">
      <c r="D273" s="7" t="e">
        <f aca="false">alimentos[[#This Row],[Item]]</f>
        <v>#VALUE!</v>
      </c>
    </row>
    <row r="274" customFormat="false" ht="15" hidden="false" customHeight="false" outlineLevel="0" collapsed="false">
      <c r="D274" s="7" t="e">
        <f aca="false">alimentos[[#This Row],[Item]]</f>
        <v>#VALUE!</v>
      </c>
    </row>
    <row r="275" customFormat="false" ht="15" hidden="false" customHeight="false" outlineLevel="0" collapsed="false">
      <c r="D275" s="7" t="e">
        <f aca="false">alimentos[[#This Row],[Item]]</f>
        <v>#VALUE!</v>
      </c>
    </row>
    <row r="276" customFormat="false" ht="15" hidden="false" customHeight="false" outlineLevel="0" collapsed="false">
      <c r="D276" s="7" t="e">
        <f aca="false">alimentos[[#This Row],[Item]]</f>
        <v>#VALUE!</v>
      </c>
    </row>
    <row r="277" customFormat="false" ht="15" hidden="false" customHeight="false" outlineLevel="0" collapsed="false">
      <c r="D277" s="7" t="e">
        <f aca="false">alimentos[[#This Row],[Item]]</f>
        <v>#VALUE!</v>
      </c>
    </row>
    <row r="278" customFormat="false" ht="15" hidden="false" customHeight="false" outlineLevel="0" collapsed="false">
      <c r="D278" s="7" t="e">
        <f aca="false">alimentos[[#This Row],[Item]]</f>
        <v>#VALUE!</v>
      </c>
    </row>
    <row r="279" customFormat="false" ht="15" hidden="false" customHeight="false" outlineLevel="0" collapsed="false">
      <c r="D279" s="7" t="e">
        <f aca="false">alimentos[[#This Row],[Item]]</f>
        <v>#VALUE!</v>
      </c>
    </row>
    <row r="280" customFormat="false" ht="15" hidden="false" customHeight="false" outlineLevel="0" collapsed="false">
      <c r="D280" s="7" t="e">
        <f aca="false">alimentos[[#This Row],[Item]]</f>
        <v>#VALUE!</v>
      </c>
    </row>
    <row r="281" customFormat="false" ht="15" hidden="false" customHeight="false" outlineLevel="0" collapsed="false">
      <c r="D281" s="7" t="e">
        <f aca="false">alimentos[[#This Row],[Item]]</f>
        <v>#VALUE!</v>
      </c>
    </row>
    <row r="282" customFormat="false" ht="15" hidden="false" customHeight="false" outlineLevel="0" collapsed="false">
      <c r="D282" s="7" t="e">
        <f aca="false">alimentos[[#This Row],[Item]]</f>
        <v>#VALUE!</v>
      </c>
    </row>
    <row r="283" customFormat="false" ht="15" hidden="false" customHeight="false" outlineLevel="0" collapsed="false">
      <c r="D283" s="7" t="e">
        <f aca="false">alimentos[[#This Row],[Item]]</f>
        <v>#VALUE!</v>
      </c>
    </row>
    <row r="284" customFormat="false" ht="15" hidden="false" customHeight="false" outlineLevel="0" collapsed="false">
      <c r="D284" s="7" t="e">
        <f aca="false">alimentos[[#This Row],[Item]]</f>
        <v>#VALUE!</v>
      </c>
    </row>
    <row r="285" customFormat="false" ht="15" hidden="false" customHeight="false" outlineLevel="0" collapsed="false">
      <c r="D285" s="7" t="e">
        <f aca="false">alimentos[[#This Row],[Item]]</f>
        <v>#VALUE!</v>
      </c>
    </row>
    <row r="286" customFormat="false" ht="15" hidden="false" customHeight="false" outlineLevel="0" collapsed="false">
      <c r="D286" s="7" t="e">
        <f aca="false">alimentos[[#This Row],[Item]]</f>
        <v>#VALUE!</v>
      </c>
    </row>
    <row r="287" customFormat="false" ht="15" hidden="false" customHeight="false" outlineLevel="0" collapsed="false">
      <c r="D287" s="7" t="e">
        <f aca="false">alimentos[[#This Row],[Item]]</f>
        <v>#VALUE!</v>
      </c>
    </row>
    <row r="288" customFormat="false" ht="15" hidden="false" customHeight="false" outlineLevel="0" collapsed="false">
      <c r="D288" s="7" t="e">
        <f aca="false">alimentos[[#This Row],[Item]]</f>
        <v>#VALUE!</v>
      </c>
    </row>
    <row r="289" customFormat="false" ht="15" hidden="false" customHeight="false" outlineLevel="0" collapsed="false">
      <c r="D289" s="7" t="e">
        <f aca="false">alimentos[[#This Row],[Item]]</f>
        <v>#VALUE!</v>
      </c>
    </row>
    <row r="290" customFormat="false" ht="15" hidden="false" customHeight="false" outlineLevel="0" collapsed="false">
      <c r="D290" s="7" t="e">
        <f aca="false">alimentos[[#This Row],[Item]]</f>
        <v>#VALUE!</v>
      </c>
    </row>
    <row r="291" customFormat="false" ht="15" hidden="false" customHeight="false" outlineLevel="0" collapsed="false">
      <c r="D291" s="7" t="e">
        <f aca="false">alimentos[[#This Row],[Item]]</f>
        <v>#VALUE!</v>
      </c>
    </row>
    <row r="292" customFormat="false" ht="15" hidden="false" customHeight="false" outlineLevel="0" collapsed="false">
      <c r="D292" s="7" t="e">
        <f aca="false">alimentos[[#This Row],[Item]]</f>
        <v>#VALUE!</v>
      </c>
    </row>
    <row r="293" customFormat="false" ht="15" hidden="false" customHeight="false" outlineLevel="0" collapsed="false">
      <c r="D293" s="7" t="e">
        <f aca="false">alimentos[[#This Row],[Item]]</f>
        <v>#VALUE!</v>
      </c>
    </row>
    <row r="294" customFormat="false" ht="15" hidden="false" customHeight="false" outlineLevel="0" collapsed="false">
      <c r="D294" s="7" t="e">
        <f aca="false">alimentos[[#This Row],[Item]]</f>
        <v>#VALUE!</v>
      </c>
    </row>
    <row r="295" customFormat="false" ht="15" hidden="false" customHeight="false" outlineLevel="0" collapsed="false">
      <c r="D295" s="7" t="e">
        <f aca="false">alimentos[[#This Row],[Item]]</f>
        <v>#VALUE!</v>
      </c>
    </row>
    <row r="296" customFormat="false" ht="15" hidden="false" customHeight="false" outlineLevel="0" collapsed="false">
      <c r="D296" s="7" t="e">
        <f aca="false">alimentos[[#This Row],[Item]]</f>
        <v>#VALUE!</v>
      </c>
    </row>
    <row r="297" customFormat="false" ht="15" hidden="false" customHeight="false" outlineLevel="0" collapsed="false">
      <c r="D297" s="7" t="e">
        <f aca="false">alimentos[[#This Row],[Item]]</f>
        <v>#VALUE!</v>
      </c>
    </row>
    <row r="298" customFormat="false" ht="15" hidden="false" customHeight="false" outlineLevel="0" collapsed="false">
      <c r="D298" s="7" t="e">
        <f aca="false">alimentos[[#This Row],[Item]]</f>
        <v>#VALUE!</v>
      </c>
    </row>
    <row r="299" customFormat="false" ht="15" hidden="false" customHeight="false" outlineLevel="0" collapsed="false">
      <c r="D299" s="7" t="e">
        <f aca="false">alimentos[[#This Row],[Item]]</f>
        <v>#VALUE!</v>
      </c>
    </row>
    <row r="300" customFormat="false" ht="15" hidden="false" customHeight="false" outlineLevel="0" collapsed="false">
      <c r="D300" s="7" t="e">
        <f aca="false">alimentos[[#This Row],[Item]]</f>
        <v>#VALUE!</v>
      </c>
    </row>
    <row r="301" customFormat="false" ht="15" hidden="false" customHeight="false" outlineLevel="0" collapsed="false">
      <c r="D301" s="7" t="e">
        <f aca="false">alimentos[[#This Row],[Item]]</f>
        <v>#VALUE!</v>
      </c>
    </row>
    <row r="302" customFormat="false" ht="15" hidden="false" customHeight="false" outlineLevel="0" collapsed="false">
      <c r="D302" s="7" t="e">
        <f aca="false">alimentos[[#This Row],[Item]]</f>
        <v>#VALUE!</v>
      </c>
    </row>
    <row r="303" customFormat="false" ht="15" hidden="false" customHeight="false" outlineLevel="0" collapsed="false">
      <c r="D303" s="7" t="e">
        <f aca="false">alimentos[[#This Row],[Item]]</f>
        <v>#VALUE!</v>
      </c>
    </row>
    <row r="304" customFormat="false" ht="15" hidden="false" customHeight="false" outlineLevel="0" collapsed="false">
      <c r="D304" s="7" t="e">
        <f aca="false">alimentos[[#This Row],[Item]]</f>
        <v>#VALUE!</v>
      </c>
    </row>
    <row r="305" customFormat="false" ht="15" hidden="false" customHeight="false" outlineLevel="0" collapsed="false">
      <c r="D305" s="7" t="e">
        <f aca="false">alimentos[[#This Row],[Item]]</f>
        <v>#VALUE!</v>
      </c>
    </row>
    <row r="306" customFormat="false" ht="15" hidden="false" customHeight="false" outlineLevel="0" collapsed="false">
      <c r="D306" s="7" t="e">
        <f aca="false">alimentos[[#This Row],[Item]]</f>
        <v>#VALUE!</v>
      </c>
    </row>
    <row r="307" customFormat="false" ht="15" hidden="false" customHeight="false" outlineLevel="0" collapsed="false">
      <c r="D307" s="7" t="e">
        <f aca="false">alimentos[[#This Row],[Item]]</f>
        <v>#VALUE!</v>
      </c>
    </row>
    <row r="308" customFormat="false" ht="15" hidden="false" customHeight="false" outlineLevel="0" collapsed="false">
      <c r="D308" s="7" t="e">
        <f aca="false">alimentos[[#This Row],[Item]]</f>
        <v>#VALUE!</v>
      </c>
    </row>
    <row r="309" customFormat="false" ht="15" hidden="false" customHeight="false" outlineLevel="0" collapsed="false">
      <c r="D309" s="7" t="e">
        <f aca="false">alimentos[[#This Row],[Item]]</f>
        <v>#VALUE!</v>
      </c>
    </row>
    <row r="310" customFormat="false" ht="15" hidden="false" customHeight="false" outlineLevel="0" collapsed="false">
      <c r="D310" s="7" t="e">
        <f aca="false">alimentos[[#This Row],[Item]]</f>
        <v>#VALUE!</v>
      </c>
    </row>
    <row r="311" customFormat="false" ht="15" hidden="false" customHeight="false" outlineLevel="0" collapsed="false">
      <c r="D311" s="7" t="e">
        <f aca="false">alimentos[[#This Row],[Item]]</f>
        <v>#VALUE!</v>
      </c>
    </row>
    <row r="312" customFormat="false" ht="15" hidden="false" customHeight="false" outlineLevel="0" collapsed="false">
      <c r="D312" s="7" t="e">
        <f aca="false">alimentos[[#This Row],[Item]]</f>
        <v>#VALUE!</v>
      </c>
    </row>
    <row r="313" customFormat="false" ht="15" hidden="false" customHeight="false" outlineLevel="0" collapsed="false">
      <c r="D313" s="7" t="e">
        <f aca="false">alimentos[[#This Row],[Item]]</f>
        <v>#VALUE!</v>
      </c>
    </row>
    <row r="314" customFormat="false" ht="15" hidden="false" customHeight="false" outlineLevel="0" collapsed="false">
      <c r="D314" s="7" t="e">
        <f aca="false">alimentos[[#This Row],[Item]]</f>
        <v>#VALUE!</v>
      </c>
    </row>
    <row r="315" customFormat="false" ht="15" hidden="false" customHeight="false" outlineLevel="0" collapsed="false">
      <c r="D315" s="7" t="e">
        <f aca="false">alimentos[[#This Row],[Item]]</f>
        <v>#VALUE!</v>
      </c>
    </row>
    <row r="316" customFormat="false" ht="15" hidden="false" customHeight="false" outlineLevel="0" collapsed="false">
      <c r="D316" s="7" t="e">
        <f aca="false">alimentos[[#This Row],[Item]]</f>
        <v>#VALUE!</v>
      </c>
    </row>
    <row r="317" customFormat="false" ht="15" hidden="false" customHeight="false" outlineLevel="0" collapsed="false">
      <c r="D317" s="7" t="e">
        <f aca="false">alimentos[[#This Row],[Item]]</f>
        <v>#VALUE!</v>
      </c>
    </row>
    <row r="318" customFormat="false" ht="15" hidden="false" customHeight="false" outlineLevel="0" collapsed="false">
      <c r="D318" s="7" t="e">
        <f aca="false">alimentos[[#This Row],[Item]]</f>
        <v>#VALUE!</v>
      </c>
    </row>
    <row r="319" customFormat="false" ht="15" hidden="false" customHeight="false" outlineLevel="0" collapsed="false">
      <c r="D319" s="7" t="e">
        <f aca="false">alimentos[[#This Row],[Item]]</f>
        <v>#VALUE!</v>
      </c>
    </row>
    <row r="320" customFormat="false" ht="15" hidden="false" customHeight="false" outlineLevel="0" collapsed="false">
      <c r="D320" s="7" t="e">
        <f aca="false">alimentos[[#This Row],[Item]]</f>
        <v>#VALUE!</v>
      </c>
    </row>
    <row r="321" customFormat="false" ht="15" hidden="false" customHeight="false" outlineLevel="0" collapsed="false">
      <c r="D321" s="7" t="e">
        <f aca="false">alimentos[[#This Row],[Item]]</f>
        <v>#VALUE!</v>
      </c>
    </row>
    <row r="322" customFormat="false" ht="15" hidden="false" customHeight="false" outlineLevel="0" collapsed="false">
      <c r="D322" s="7" t="e">
        <f aca="false">alimentos[[#This Row],[Item]]</f>
        <v>#VALUE!</v>
      </c>
    </row>
    <row r="323" customFormat="false" ht="15" hidden="false" customHeight="false" outlineLevel="0" collapsed="false">
      <c r="D323" s="7" t="e">
        <f aca="false">alimentos[[#This Row],[Item]]</f>
        <v>#VALUE!</v>
      </c>
    </row>
    <row r="324" customFormat="false" ht="15" hidden="false" customHeight="false" outlineLevel="0" collapsed="false">
      <c r="D324" s="7" t="e">
        <f aca="false">alimentos[[#This Row],[Item]]</f>
        <v>#VALUE!</v>
      </c>
    </row>
    <row r="325" customFormat="false" ht="15" hidden="false" customHeight="false" outlineLevel="0" collapsed="false">
      <c r="D325" s="7" t="e">
        <f aca="false">alimentos[[#This Row],[Item]]</f>
        <v>#VALUE!</v>
      </c>
    </row>
    <row r="326" customFormat="false" ht="15" hidden="false" customHeight="false" outlineLevel="0" collapsed="false">
      <c r="D326" s="7" t="e">
        <f aca="false">alimentos[[#This Row],[Item]]</f>
        <v>#VALUE!</v>
      </c>
    </row>
    <row r="327" customFormat="false" ht="15" hidden="false" customHeight="false" outlineLevel="0" collapsed="false">
      <c r="D327" s="7" t="e">
        <f aca="false">alimentos[[#This Row],[Item]]</f>
        <v>#VALUE!</v>
      </c>
    </row>
    <row r="328" customFormat="false" ht="15" hidden="false" customHeight="false" outlineLevel="0" collapsed="false">
      <c r="D328" s="7" t="e">
        <f aca="false">alimentos[[#This Row],[Item]]</f>
        <v>#VALUE!</v>
      </c>
    </row>
    <row r="329" customFormat="false" ht="15" hidden="false" customHeight="false" outlineLevel="0" collapsed="false">
      <c r="D329" s="7" t="e">
        <f aca="false">alimentos[[#This Row],[Item]]</f>
        <v>#VALUE!</v>
      </c>
    </row>
    <row r="330" customFormat="false" ht="15" hidden="false" customHeight="false" outlineLevel="0" collapsed="false">
      <c r="D330" s="7" t="e">
        <f aca="false">alimentos[[#This Row],[Item]]</f>
        <v>#VALUE!</v>
      </c>
    </row>
    <row r="331" customFormat="false" ht="15" hidden="false" customHeight="false" outlineLevel="0" collapsed="false">
      <c r="D331" s="7" t="e">
        <f aca="false">alimentos[[#This Row],[Item]]</f>
        <v>#VALUE!</v>
      </c>
    </row>
    <row r="332" customFormat="false" ht="15" hidden="false" customHeight="false" outlineLevel="0" collapsed="false">
      <c r="D332" s="7" t="e">
        <f aca="false">alimentos[[#This Row],[Item]]</f>
        <v>#VALUE!</v>
      </c>
    </row>
    <row r="333" customFormat="false" ht="15" hidden="false" customHeight="false" outlineLevel="0" collapsed="false">
      <c r="D333" s="7" t="e">
        <f aca="false">alimentos[[#This Row],[Item]]</f>
        <v>#VALUE!</v>
      </c>
    </row>
    <row r="334" customFormat="false" ht="15" hidden="false" customHeight="false" outlineLevel="0" collapsed="false">
      <c r="D334" s="7" t="e">
        <f aca="false">alimentos[[#This Row],[Item]]</f>
        <v>#VALUE!</v>
      </c>
    </row>
    <row r="335" customFormat="false" ht="15" hidden="false" customHeight="false" outlineLevel="0" collapsed="false">
      <c r="D335" s="7" t="e">
        <f aca="false">alimentos[[#This Row],[Item]]</f>
        <v>#VALUE!</v>
      </c>
    </row>
    <row r="336" customFormat="false" ht="15" hidden="false" customHeight="false" outlineLevel="0" collapsed="false">
      <c r="D336" s="7" t="e">
        <f aca="false">alimentos[[#This Row],[Item]]</f>
        <v>#VALUE!</v>
      </c>
    </row>
    <row r="337" customFormat="false" ht="15" hidden="false" customHeight="false" outlineLevel="0" collapsed="false">
      <c r="D337" s="7" t="e">
        <f aca="false">alimentos[[#This Row],[Item]]</f>
        <v>#VALUE!</v>
      </c>
    </row>
    <row r="338" customFormat="false" ht="15" hidden="false" customHeight="false" outlineLevel="0" collapsed="false">
      <c r="D338" s="7" t="e">
        <f aca="false">alimentos[[#This Row],[Item]]</f>
        <v>#VALUE!</v>
      </c>
    </row>
    <row r="339" customFormat="false" ht="15" hidden="false" customHeight="false" outlineLevel="0" collapsed="false">
      <c r="D339" s="7" t="e">
        <f aca="false">alimentos[[#This Row],[Item]]</f>
        <v>#VALUE!</v>
      </c>
    </row>
    <row r="340" customFormat="false" ht="15" hidden="false" customHeight="false" outlineLevel="0" collapsed="false">
      <c r="D340" s="7" t="e">
        <f aca="false">alimentos[[#This Row],[Item]]</f>
        <v>#VALUE!</v>
      </c>
    </row>
    <row r="341" customFormat="false" ht="15" hidden="false" customHeight="false" outlineLevel="0" collapsed="false">
      <c r="D341" s="7" t="e">
        <f aca="false">alimentos[[#This Row],[Item]]</f>
        <v>#VALUE!</v>
      </c>
    </row>
    <row r="342" customFormat="false" ht="15" hidden="false" customHeight="false" outlineLevel="0" collapsed="false">
      <c r="D342" s="7" t="e">
        <f aca="false">alimentos[[#This Row],[Item]]</f>
        <v>#VALUE!</v>
      </c>
    </row>
    <row r="343" customFormat="false" ht="15" hidden="false" customHeight="false" outlineLevel="0" collapsed="false">
      <c r="D343" s="7" t="e">
        <f aca="false">alimentos[[#This Row],[Item]]</f>
        <v>#VALUE!</v>
      </c>
    </row>
    <row r="344" customFormat="false" ht="15" hidden="false" customHeight="false" outlineLevel="0" collapsed="false">
      <c r="D344" s="7" t="e">
        <f aca="false">alimentos[[#This Row],[Item]]</f>
        <v>#VALUE!</v>
      </c>
    </row>
    <row r="345" customFormat="false" ht="15" hidden="false" customHeight="false" outlineLevel="0" collapsed="false">
      <c r="D345" s="7" t="e">
        <f aca="false">alimentos[[#This Row],[Item]]</f>
        <v>#VALUE!</v>
      </c>
    </row>
    <row r="346" customFormat="false" ht="15" hidden="false" customHeight="false" outlineLevel="0" collapsed="false">
      <c r="D346" s="7" t="e">
        <f aca="false">alimentos[[#This Row],[Item]]</f>
        <v>#VALUE!</v>
      </c>
    </row>
    <row r="347" customFormat="false" ht="15" hidden="false" customHeight="false" outlineLevel="0" collapsed="false">
      <c r="D347" s="7" t="e">
        <f aca="false">alimentos[[#This Row],[Item]]</f>
        <v>#VALUE!</v>
      </c>
    </row>
    <row r="348" customFormat="false" ht="15" hidden="false" customHeight="false" outlineLevel="0" collapsed="false">
      <c r="D348" s="7" t="e">
        <f aca="false">alimentos[[#This Row],[Item]]</f>
        <v>#VALUE!</v>
      </c>
    </row>
    <row r="349" customFormat="false" ht="15" hidden="false" customHeight="false" outlineLevel="0" collapsed="false">
      <c r="D349" s="7" t="e">
        <f aca="false">alimentos[[#This Row],[Item]]</f>
        <v>#VALUE!</v>
      </c>
    </row>
    <row r="350" customFormat="false" ht="15" hidden="false" customHeight="false" outlineLevel="0" collapsed="false">
      <c r="D350" s="7" t="e">
        <f aca="false">alimentos[[#This Row],[Item]]</f>
        <v>#VALUE!</v>
      </c>
    </row>
    <row r="351" customFormat="false" ht="15" hidden="false" customHeight="false" outlineLevel="0" collapsed="false">
      <c r="D351" s="7" t="e">
        <f aca="false">alimentos[[#This Row],[Item]]</f>
        <v>#VALUE!</v>
      </c>
    </row>
    <row r="352" customFormat="false" ht="15" hidden="false" customHeight="false" outlineLevel="0" collapsed="false">
      <c r="D352" s="7" t="e">
        <f aca="false">alimentos[[#This Row],[Item]]</f>
        <v>#VALUE!</v>
      </c>
    </row>
    <row r="353" customFormat="false" ht="15" hidden="false" customHeight="false" outlineLevel="0" collapsed="false">
      <c r="D353" s="7" t="e">
        <f aca="false">alimentos[[#This Row],[Item]]</f>
        <v>#VALUE!</v>
      </c>
    </row>
    <row r="354" customFormat="false" ht="15" hidden="false" customHeight="false" outlineLevel="0" collapsed="false">
      <c r="D354" s="7" t="e">
        <f aca="false">alimentos[[#This Row],[Item]]</f>
        <v>#VALUE!</v>
      </c>
    </row>
    <row r="355" customFormat="false" ht="15" hidden="false" customHeight="false" outlineLevel="0" collapsed="false">
      <c r="D355" s="7" t="e">
        <f aca="false">alimentos[[#This Row],[Item]]</f>
        <v>#VALUE!</v>
      </c>
    </row>
    <row r="356" customFormat="false" ht="15" hidden="false" customHeight="false" outlineLevel="0" collapsed="false">
      <c r="D356" s="7" t="e">
        <f aca="false">alimentos[[#This Row],[Item]]</f>
        <v>#VALUE!</v>
      </c>
    </row>
    <row r="357" customFormat="false" ht="15" hidden="false" customHeight="false" outlineLevel="0" collapsed="false">
      <c r="D357" s="7" t="e">
        <f aca="false">alimentos[[#This Row],[Item]]</f>
        <v>#VALUE!</v>
      </c>
    </row>
    <row r="358" customFormat="false" ht="15" hidden="false" customHeight="false" outlineLevel="0" collapsed="false">
      <c r="D358" s="7" t="e">
        <f aca="false">alimentos[[#This Row],[Item]]</f>
        <v>#VALUE!</v>
      </c>
    </row>
    <row r="359" customFormat="false" ht="15" hidden="false" customHeight="false" outlineLevel="0" collapsed="false">
      <c r="D359" s="7" t="e">
        <f aca="false">alimentos[[#This Row],[Item]]</f>
        <v>#VALUE!</v>
      </c>
    </row>
    <row r="360" customFormat="false" ht="15" hidden="false" customHeight="false" outlineLevel="0" collapsed="false">
      <c r="D360" s="7" t="e">
        <f aca="false">alimentos[[#This Row],[Item]]</f>
        <v>#VALUE!</v>
      </c>
    </row>
    <row r="361" customFormat="false" ht="15" hidden="false" customHeight="false" outlineLevel="0" collapsed="false">
      <c r="D361" s="7" t="e">
        <f aca="false">alimentos[[#This Row],[Item]]</f>
        <v>#VALUE!</v>
      </c>
    </row>
    <row r="362" customFormat="false" ht="15" hidden="false" customHeight="false" outlineLevel="0" collapsed="false">
      <c r="D362" s="7" t="e">
        <f aca="false">alimentos[[#This Row],[Item]]</f>
        <v>#VALUE!</v>
      </c>
    </row>
    <row r="363" customFormat="false" ht="15" hidden="false" customHeight="false" outlineLevel="0" collapsed="false">
      <c r="D363" s="7" t="e">
        <f aca="false">alimentos[[#This Row],[Item]]</f>
        <v>#VALUE!</v>
      </c>
    </row>
    <row r="364" customFormat="false" ht="15" hidden="false" customHeight="false" outlineLevel="0" collapsed="false">
      <c r="D364" s="7" t="e">
        <f aca="false">alimentos[[#This Row],[Item]]</f>
        <v>#VALUE!</v>
      </c>
    </row>
  </sheetData>
  <mergeCells count="4">
    <mergeCell ref="E1:F1"/>
    <mergeCell ref="A3:B3"/>
    <mergeCell ref="A6:B6"/>
    <mergeCell ref="A9:B9"/>
  </mergeCells>
  <conditionalFormatting sqref="D5:D364">
    <cfRule type="expression" priority="2" aboveAverage="0" equalAverage="0" bottom="0" percent="0" rank="0" text="" dxfId="0">
      <formula>OR(D5="A",D5="B",D5="C",D5="D",D5="E",D5="F",D5="G",D5="H",D5="I",D5="J",D5="K",D5="L",D5="M",D5="N",D5="O",D5="P",D5="Q",D5="R",D5="S",D5="T",D5="U",D5="V",D5="W",D5="X",D5="Y",D5="Z")</formula>
    </cfRule>
  </conditionalFormatting>
  <conditionalFormatting sqref="F5:F172">
    <cfRule type="expression" priority="3" aboveAverage="0" equalAverage="0" bottom="0" percent="0" rank="0" text="" dxfId="1">
      <formula>OR(F5="A",F5="B",F5="C",F5="D",F5="E",F5="F",F5="G",F5="H",F5="I",F5="J",F5="K",F5="L",F5="M",F5="N",F5="O",F5="P",F5="Q",F5="R",F5="S",F5="T",F5="U",F5="V",F5="W",F5="X",F5="Y",F5="Z")</formula>
    </cfRule>
  </conditionalFormatting>
  <conditionalFormatting sqref="A7">
    <cfRule type="expression" priority="4" aboveAverage="0" equalAverage="0" bottom="0" percent="0" rank="0" text="" dxfId="2">
      <formula>OR(A7="A",A7="B",A7="C",A7="D",A7="E",A7="F",A7="G",A7="H",A7="I",A7="J",A7="K",A7="L",A7="M",A7="N",A7="O",A7="P",A7="Q",A7="R",A7="S",A7="T",A7="U",A7="V",A7="W",A7="X",A7="Y",A7="Z")</formula>
    </cfRule>
  </conditionalFormatting>
  <conditionalFormatting sqref="H5">
    <cfRule type="expression" priority="5" aboveAverage="0" equalAverage="0" bottom="0" percent="0" rank="0" text="" dxfId="3">
      <formula>COUNTIF(lista,H5)=0</formula>
    </cfRule>
  </conditionalFormatting>
  <dataValidations count="1">
    <dataValidation allowBlank="true" operator="between" showDropDown="false" showErrorMessage="true" showInputMessage="true" sqref="A7" type="list">
      <formula1>Categorias!$M$9:$M$27</formula1>
      <formula2>0</formula2>
    </dataValidation>
  </dataValidations>
  <hyperlinks>
    <hyperlink ref="D1" location="topo1" display="Topo"/>
    <hyperlink ref="A3" location="topocategorias" display="Categorias"/>
    <hyperlink ref="A6" location="topo_cb" display="CadastroCB"/>
    <hyperlink ref="A9" location="'Resumo total'!A1" display="Resumo"/>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tableParts>
    <tablePart r:id="rId2"/>
  </tableParts>
</worksheet>
</file>

<file path=xl/worksheets/sheet2.xml><?xml version="1.0" encoding="utf-8"?>
<worksheet xmlns="http://schemas.openxmlformats.org/spreadsheetml/2006/main" xmlns:r="http://schemas.openxmlformats.org/officeDocument/2006/relationships">
  <sheetPr filterMode="false">
    <tabColor rgb="FFC00000"/>
    <pageSetUpPr fitToPage="false"/>
  </sheetPr>
  <dimension ref="A1:I186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2" topLeftCell="C3" activePane="bottomRight" state="frozen"/>
      <selection pane="topLeft" activeCell="A1" activeCellId="0" sqref="A1"/>
      <selection pane="topRight" activeCell="C1" activeCellId="0" sqref="C1"/>
      <selection pane="bottomLeft" activeCell="A3" activeCellId="0" sqref="A3"/>
      <selection pane="bottomRight" activeCell="D10" activeCellId="0" sqref="D10"/>
    </sheetView>
  </sheetViews>
  <sheetFormatPr defaultRowHeight="15" zeroHeight="false" outlineLevelRow="0" outlineLevelCol="0"/>
  <cols>
    <col collapsed="false" customWidth="true" hidden="false" outlineLevel="0" max="1" min="1" style="0" width="30.42"/>
    <col collapsed="false" customWidth="true" hidden="false" outlineLevel="0" max="2" min="2" style="0" width="2.57"/>
    <col collapsed="false" customWidth="true" hidden="false" outlineLevel="0" max="3" min="3" style="0" width="2.28"/>
    <col collapsed="false" customWidth="true" hidden="false" outlineLevel="0" max="4" min="4" style="0" width="24"/>
    <col collapsed="false" customWidth="true" hidden="false" outlineLevel="0" max="5" min="5" style="0" width="11"/>
    <col collapsed="false" customWidth="true" hidden="false" outlineLevel="0" max="6" min="6" style="0" width="33.43"/>
    <col collapsed="false" customWidth="true" hidden="false" outlineLevel="0" max="7" min="7" style="0" width="8.53"/>
    <col collapsed="false" customWidth="true" hidden="false" outlineLevel="0" max="8" min="8" style="0" width="23.15"/>
    <col collapsed="false" customWidth="true" hidden="false" outlineLevel="0" max="9" min="9" style="0" width="22.71"/>
    <col collapsed="false" customWidth="true" hidden="false" outlineLevel="0" max="10" min="10" style="0" width="8.53"/>
    <col collapsed="false" customWidth="true" hidden="false" outlineLevel="0" max="11" min="11" style="0" width="10"/>
    <col collapsed="false" customWidth="true" hidden="false" outlineLevel="0" max="12" min="12" style="0" width="8.53"/>
    <col collapsed="false" customWidth="true" hidden="false" outlineLevel="0" max="13" min="13" style="0" width="12"/>
    <col collapsed="false" customWidth="true" hidden="false" outlineLevel="0" max="1025" min="14" style="0" width="8.53"/>
  </cols>
  <sheetData>
    <row r="1" customFormat="false" ht="21" hidden="false" customHeight="true" outlineLevel="0" collapsed="false">
      <c r="D1" s="1" t="s">
        <v>0</v>
      </c>
      <c r="E1" s="2" t="str">
        <f aca="false">A7</f>
        <v>Savegnago Maffei</v>
      </c>
      <c r="F1" s="2"/>
    </row>
    <row r="3" customFormat="false" ht="15" hidden="false" customHeight="false" outlineLevel="0" collapsed="false">
      <c r="A3" s="3" t="s">
        <v>1</v>
      </c>
      <c r="B3" s="3"/>
      <c r="C3" s="4"/>
    </row>
    <row r="4" customFormat="false" ht="15" hidden="false" customHeight="false" outlineLevel="0" collapsed="false">
      <c r="A4" s="1"/>
      <c r="B4" s="1"/>
      <c r="D4" s="13" t="s">
        <v>11</v>
      </c>
      <c r="F4" s="6" t="s">
        <v>4</v>
      </c>
      <c r="G4" s="6" t="s">
        <v>5</v>
      </c>
      <c r="H4" s="6" t="s">
        <v>6</v>
      </c>
      <c r="I4" s="6" t="s">
        <v>7</v>
      </c>
    </row>
    <row r="5" customFormat="false" ht="15" hidden="false" customHeight="false" outlineLevel="0" collapsed="false">
      <c r="A5" s="1"/>
      <c r="B5" s="1"/>
      <c r="D5" s="14"/>
      <c r="F5" s="6" t="s">
        <v>12</v>
      </c>
      <c r="G5" s="0" t="n">
        <v>1</v>
      </c>
      <c r="H5" s="0" t="s">
        <v>13</v>
      </c>
      <c r="I5" s="15" t="n">
        <v>43358.9031597222</v>
      </c>
    </row>
    <row r="6" customFormat="false" ht="15" hidden="false" customHeight="false" outlineLevel="0" collapsed="false">
      <c r="A6" s="3" t="s">
        <v>14</v>
      </c>
      <c r="B6" s="3"/>
      <c r="E6" s="6"/>
      <c r="F6" s="6" t="s">
        <v>15</v>
      </c>
      <c r="G6" s="0" t="n">
        <v>1</v>
      </c>
      <c r="H6" s="0" t="s">
        <v>13</v>
      </c>
      <c r="I6" s="15" t="n">
        <v>43358.9030671296</v>
      </c>
    </row>
    <row r="7" customFormat="false" ht="15" hidden="false" customHeight="false" outlineLevel="0" collapsed="false">
      <c r="A7" s="9" t="s">
        <v>16</v>
      </c>
      <c r="B7" s="10"/>
      <c r="D7" s="13" t="s">
        <v>17</v>
      </c>
      <c r="F7" s="6" t="s">
        <v>18</v>
      </c>
      <c r="G7" s="0" t="n">
        <v>1</v>
      </c>
      <c r="H7" s="0" t="s">
        <v>13</v>
      </c>
      <c r="I7" s="15" t="n">
        <v>43358.9029513889</v>
      </c>
    </row>
    <row r="8" customFormat="false" ht="15" hidden="false" customHeight="false" outlineLevel="0" collapsed="false">
      <c r="D8" s="14"/>
      <c r="F8" s="6" t="s">
        <v>19</v>
      </c>
      <c r="G8" s="0" t="n">
        <v>1</v>
      </c>
      <c r="H8" s="0" t="s">
        <v>13</v>
      </c>
      <c r="I8" s="15" t="n">
        <v>43358.9028240741</v>
      </c>
    </row>
    <row r="9" customFormat="false" ht="15" hidden="false" customHeight="false" outlineLevel="0" collapsed="false">
      <c r="A9" s="16" t="s">
        <v>10</v>
      </c>
      <c r="B9" s="16"/>
      <c r="F9" s="6" t="s">
        <v>19</v>
      </c>
      <c r="G9" s="0" t="n">
        <v>1</v>
      </c>
      <c r="H9" s="0" t="s">
        <v>13</v>
      </c>
      <c r="I9" s="15" t="n">
        <v>43358.9025925926</v>
      </c>
    </row>
    <row r="10" customFormat="false" ht="15" hidden="false" customHeight="false" outlineLevel="0" collapsed="false">
      <c r="B10" s="1"/>
      <c r="D10" s="17" t="s">
        <v>20</v>
      </c>
      <c r="F10" s="6" t="s">
        <v>21</v>
      </c>
      <c r="G10" s="0" t="n">
        <v>1</v>
      </c>
      <c r="H10" s="0" t="s">
        <v>13</v>
      </c>
      <c r="I10" s="15" t="n">
        <v>43358.9021180556</v>
      </c>
    </row>
    <row r="11" customFormat="false" ht="15" hidden="false" customHeight="false" outlineLevel="0" collapsed="false">
      <c r="F11" s="6" t="s">
        <v>22</v>
      </c>
      <c r="G11" s="0" t="n">
        <v>1</v>
      </c>
      <c r="H11" s="0" t="s">
        <v>13</v>
      </c>
      <c r="I11" s="15" t="n">
        <v>43358.9020023148</v>
      </c>
    </row>
    <row r="12" customFormat="false" ht="15" hidden="false" customHeight="false" outlineLevel="0" collapsed="false">
      <c r="D12" s="6"/>
      <c r="F12" s="6" t="s">
        <v>22</v>
      </c>
      <c r="G12" s="0" t="n">
        <v>1</v>
      </c>
      <c r="H12" s="0" t="s">
        <v>13</v>
      </c>
      <c r="I12" s="15" t="n">
        <v>43358.9018865741</v>
      </c>
    </row>
    <row r="13" customFormat="false" ht="15" hidden="false" customHeight="false" outlineLevel="0" collapsed="false">
      <c r="F13" s="6" t="s">
        <v>23</v>
      </c>
      <c r="G13" s="0" t="n">
        <v>2</v>
      </c>
      <c r="H13" s="0" t="s">
        <v>13</v>
      </c>
      <c r="I13" s="15" t="n">
        <v>43358.9015046296</v>
      </c>
    </row>
    <row r="14" customFormat="false" ht="15" hidden="false" customHeight="false" outlineLevel="0" collapsed="false">
      <c r="F14" s="6" t="s">
        <v>24</v>
      </c>
      <c r="G14" s="0" t="n">
        <v>1</v>
      </c>
      <c r="H14" s="0" t="s">
        <v>13</v>
      </c>
      <c r="I14" s="15" t="n">
        <v>43358.9013888889</v>
      </c>
    </row>
    <row r="15" customFormat="false" ht="15" hidden="false" customHeight="false" outlineLevel="0" collapsed="false">
      <c r="D15" s="4"/>
      <c r="F15" s="6" t="s">
        <v>25</v>
      </c>
      <c r="G15" s="0" t="n">
        <v>3</v>
      </c>
      <c r="H15" s="0" t="s">
        <v>13</v>
      </c>
      <c r="I15" s="15" t="n">
        <v>43358.9011342593</v>
      </c>
    </row>
    <row r="16" customFormat="false" ht="15" hidden="false" customHeight="false" outlineLevel="0" collapsed="false">
      <c r="F16" s="6" t="s">
        <v>26</v>
      </c>
      <c r="G16" s="0" t="n">
        <v>2</v>
      </c>
      <c r="H16" s="0" t="s">
        <v>13</v>
      </c>
      <c r="I16" s="15" t="n">
        <v>43358.9008449074</v>
      </c>
    </row>
    <row r="17" customFormat="false" ht="15" hidden="false" customHeight="false" outlineLevel="0" collapsed="false">
      <c r="F17" s="6" t="s">
        <v>27</v>
      </c>
      <c r="G17" s="0" t="n">
        <v>5</v>
      </c>
      <c r="H17" s="0" t="s">
        <v>13</v>
      </c>
      <c r="I17" s="15" t="n">
        <v>43358.9006018519</v>
      </c>
    </row>
    <row r="18" customFormat="false" ht="15" hidden="false" customHeight="false" outlineLevel="0" collapsed="false">
      <c r="F18" s="6" t="s">
        <v>28</v>
      </c>
      <c r="G18" s="0" t="n">
        <v>4</v>
      </c>
      <c r="H18" s="0" t="s">
        <v>13</v>
      </c>
      <c r="I18" s="15" t="n">
        <v>43358.9004282407</v>
      </c>
    </row>
    <row r="19" customFormat="false" ht="15" hidden="false" customHeight="false" outlineLevel="0" collapsed="false">
      <c r="F19" s="6" t="s">
        <v>29</v>
      </c>
      <c r="G19" s="0" t="n">
        <v>1</v>
      </c>
      <c r="H19" s="0" t="s">
        <v>13</v>
      </c>
      <c r="I19" s="15" t="n">
        <v>43358.8999305556</v>
      </c>
    </row>
    <row r="20" customFormat="false" ht="15" hidden="false" customHeight="false" outlineLevel="0" collapsed="false">
      <c r="F20" s="6" t="s">
        <v>30</v>
      </c>
      <c r="G20" s="0" t="n">
        <v>2</v>
      </c>
      <c r="H20" s="0" t="s">
        <v>13</v>
      </c>
      <c r="I20" s="15" t="n">
        <v>43358.8998263889</v>
      </c>
    </row>
    <row r="21" customFormat="false" ht="15" hidden="false" customHeight="false" outlineLevel="0" collapsed="false">
      <c r="F21" s="6" t="s">
        <v>21</v>
      </c>
      <c r="G21" s="0" t="n">
        <v>6</v>
      </c>
      <c r="H21" s="0" t="s">
        <v>13</v>
      </c>
      <c r="I21" s="15" t="n">
        <v>43358.8996990741</v>
      </c>
    </row>
    <row r="22" customFormat="false" ht="15" hidden="false" customHeight="false" outlineLevel="0" collapsed="false">
      <c r="F22" s="6" t="s">
        <v>31</v>
      </c>
      <c r="G22" s="0" t="n">
        <v>10</v>
      </c>
      <c r="H22" s="0" t="s">
        <v>13</v>
      </c>
      <c r="I22" s="15" t="n">
        <v>43358.8995949074</v>
      </c>
    </row>
    <row r="23" customFormat="false" ht="15" hidden="false" customHeight="false" outlineLevel="0" collapsed="false">
      <c r="F23" s="6" t="s">
        <v>32</v>
      </c>
      <c r="G23" s="0" t="n">
        <v>4</v>
      </c>
      <c r="H23" s="0" t="s">
        <v>13</v>
      </c>
      <c r="I23" s="15" t="n">
        <v>43358.8994791667</v>
      </c>
    </row>
    <row r="24" customFormat="false" ht="15" hidden="false" customHeight="false" outlineLevel="0" collapsed="false">
      <c r="F24" s="6" t="s">
        <v>33</v>
      </c>
      <c r="G24" s="0" t="n">
        <v>1</v>
      </c>
      <c r="H24" s="0" t="s">
        <v>13</v>
      </c>
      <c r="I24" s="15" t="n">
        <v>43358.8993634259</v>
      </c>
    </row>
    <row r="25" customFormat="false" ht="15" hidden="false" customHeight="false" outlineLevel="0" collapsed="false">
      <c r="F25" s="6" t="s">
        <v>34</v>
      </c>
      <c r="G25" s="0" t="n">
        <v>1</v>
      </c>
      <c r="H25" s="0" t="s">
        <v>13</v>
      </c>
      <c r="I25" s="15" t="n">
        <v>43358.8992361111</v>
      </c>
    </row>
    <row r="26" customFormat="false" ht="15" hidden="false" customHeight="false" outlineLevel="0" collapsed="false">
      <c r="F26" s="6" t="s">
        <v>35</v>
      </c>
      <c r="G26" s="0" t="n">
        <v>2</v>
      </c>
      <c r="H26" s="0" t="s">
        <v>13</v>
      </c>
      <c r="I26" s="15" t="n">
        <v>43358.8991203704</v>
      </c>
    </row>
    <row r="27" customFormat="false" ht="15" hidden="false" customHeight="false" outlineLevel="0" collapsed="false">
      <c r="F27" s="6" t="s">
        <v>15</v>
      </c>
      <c r="G27" s="0" t="n">
        <v>3</v>
      </c>
      <c r="H27" s="0" t="s">
        <v>13</v>
      </c>
      <c r="I27" s="15" t="n">
        <v>43358.8989351852</v>
      </c>
    </row>
    <row r="28" customFormat="false" ht="15" hidden="false" customHeight="false" outlineLevel="0" collapsed="false">
      <c r="F28" s="6" t="s">
        <v>36</v>
      </c>
      <c r="G28" s="0" t="n">
        <v>1</v>
      </c>
      <c r="H28" s="0" t="s">
        <v>13</v>
      </c>
      <c r="I28" s="15" t="n">
        <v>43358.8987731481</v>
      </c>
    </row>
    <row r="29" customFormat="false" ht="15" hidden="false" customHeight="false" outlineLevel="0" collapsed="false">
      <c r="F29" s="6" t="s">
        <v>37</v>
      </c>
      <c r="G29" s="0" t="n">
        <v>1</v>
      </c>
      <c r="H29" s="0" t="s">
        <v>13</v>
      </c>
      <c r="I29" s="15" t="n">
        <v>43358.8986574074</v>
      </c>
    </row>
    <row r="30" customFormat="false" ht="15" hidden="false" customHeight="false" outlineLevel="0" collapsed="false">
      <c r="F30" s="6" t="s">
        <v>25</v>
      </c>
      <c r="G30" s="0" t="n">
        <v>2</v>
      </c>
      <c r="H30" s="0" t="s">
        <v>13</v>
      </c>
      <c r="I30" s="15" t="n">
        <v>43358.8985069444</v>
      </c>
    </row>
    <row r="31" customFormat="false" ht="15" hidden="false" customHeight="false" outlineLevel="0" collapsed="false">
      <c r="F31" s="6" t="s">
        <v>27</v>
      </c>
      <c r="G31" s="0" t="n">
        <v>2</v>
      </c>
      <c r="H31" s="0" t="s">
        <v>38</v>
      </c>
      <c r="I31" s="15" t="n">
        <v>43358.8549884259</v>
      </c>
    </row>
    <row r="32" customFormat="false" ht="15" hidden="false" customHeight="false" outlineLevel="0" collapsed="false">
      <c r="F32" s="6" t="s">
        <v>39</v>
      </c>
      <c r="G32" s="0" t="n">
        <v>1</v>
      </c>
      <c r="H32" s="0" t="s">
        <v>38</v>
      </c>
      <c r="I32" s="15" t="n">
        <v>43358.8547453704</v>
      </c>
    </row>
    <row r="33" customFormat="false" ht="15" hidden="false" customHeight="false" outlineLevel="0" collapsed="false">
      <c r="F33" s="6" t="s">
        <v>40</v>
      </c>
      <c r="G33" s="0" t="n">
        <v>1</v>
      </c>
      <c r="H33" s="0" t="s">
        <v>38</v>
      </c>
      <c r="I33" s="15" t="n">
        <v>43358.8546296296</v>
      </c>
    </row>
    <row r="34" customFormat="false" ht="15" hidden="false" customHeight="false" outlineLevel="0" collapsed="false">
      <c r="F34" s="6" t="s">
        <v>41</v>
      </c>
      <c r="G34" s="0" t="n">
        <v>2</v>
      </c>
      <c r="H34" s="0" t="s">
        <v>38</v>
      </c>
      <c r="I34" s="15" t="n">
        <v>43358.8544791667</v>
      </c>
    </row>
    <row r="35" customFormat="false" ht="15" hidden="false" customHeight="false" outlineLevel="0" collapsed="false">
      <c r="F35" s="6" t="s">
        <v>42</v>
      </c>
      <c r="G35" s="0" t="n">
        <v>2</v>
      </c>
      <c r="H35" s="0" t="s">
        <v>38</v>
      </c>
      <c r="I35" s="15" t="n">
        <v>43358.8543634259</v>
      </c>
    </row>
    <row r="36" customFormat="false" ht="15" hidden="false" customHeight="false" outlineLevel="0" collapsed="false">
      <c r="F36" s="6" t="s">
        <v>43</v>
      </c>
      <c r="G36" s="0" t="n">
        <v>1</v>
      </c>
      <c r="H36" s="0" t="s">
        <v>38</v>
      </c>
      <c r="I36" s="15" t="n">
        <v>43358.8541666667</v>
      </c>
    </row>
    <row r="37" customFormat="false" ht="15" hidden="false" customHeight="false" outlineLevel="0" collapsed="false">
      <c r="F37" s="6" t="s">
        <v>44</v>
      </c>
      <c r="G37" s="0" t="n">
        <v>1</v>
      </c>
      <c r="H37" s="0" t="s">
        <v>38</v>
      </c>
      <c r="I37" s="15" t="n">
        <v>43358.8539351852</v>
      </c>
    </row>
    <row r="38" customFormat="false" ht="15" hidden="false" customHeight="false" outlineLevel="0" collapsed="false">
      <c r="F38" s="6" t="s">
        <v>45</v>
      </c>
      <c r="G38" s="0" t="n">
        <v>1</v>
      </c>
      <c r="H38" s="0" t="s">
        <v>38</v>
      </c>
      <c r="I38" s="15" t="n">
        <v>43358.853287037</v>
      </c>
    </row>
    <row r="39" customFormat="false" ht="15" hidden="false" customHeight="false" outlineLevel="0" collapsed="false">
      <c r="F39" s="6" t="s">
        <v>46</v>
      </c>
      <c r="G39" s="0" t="n">
        <v>1</v>
      </c>
      <c r="H39" s="0" t="s">
        <v>38</v>
      </c>
      <c r="I39" s="15" t="n">
        <v>43358.8529861111</v>
      </c>
    </row>
    <row r="40" customFormat="false" ht="15" hidden="false" customHeight="false" outlineLevel="0" collapsed="false">
      <c r="F40" s="6" t="s">
        <v>35</v>
      </c>
      <c r="G40" s="0" t="n">
        <v>1</v>
      </c>
      <c r="H40" s="0" t="s">
        <v>38</v>
      </c>
      <c r="I40" s="15" t="n">
        <v>43358.8528240741</v>
      </c>
    </row>
    <row r="41" customFormat="false" ht="15" hidden="false" customHeight="false" outlineLevel="0" collapsed="false">
      <c r="F41" s="6" t="s">
        <v>34</v>
      </c>
      <c r="G41" s="0" t="n">
        <v>1</v>
      </c>
      <c r="H41" s="0" t="s">
        <v>38</v>
      </c>
      <c r="I41" s="15" t="n">
        <v>43358.852662037</v>
      </c>
    </row>
    <row r="42" customFormat="false" ht="15" hidden="false" customHeight="false" outlineLevel="0" collapsed="false">
      <c r="F42" s="6" t="s">
        <v>15</v>
      </c>
      <c r="G42" s="0" t="n">
        <v>1</v>
      </c>
      <c r="H42" s="0" t="s">
        <v>38</v>
      </c>
      <c r="I42" s="15" t="n">
        <v>43358.8522916667</v>
      </c>
    </row>
    <row r="43" customFormat="false" ht="15" hidden="false" customHeight="false" outlineLevel="0" collapsed="false">
      <c r="F43" s="6" t="s">
        <v>47</v>
      </c>
      <c r="G43" s="0" t="n">
        <v>2</v>
      </c>
      <c r="H43" s="0" t="s">
        <v>38</v>
      </c>
      <c r="I43" s="15" t="n">
        <v>43358.8521296296</v>
      </c>
    </row>
    <row r="44" customFormat="false" ht="15" hidden="false" customHeight="false" outlineLevel="0" collapsed="false">
      <c r="F44" s="6" t="s">
        <v>48</v>
      </c>
      <c r="G44" s="0" t="n">
        <v>1</v>
      </c>
      <c r="H44" s="0" t="s">
        <v>38</v>
      </c>
      <c r="I44" s="15" t="n">
        <v>43358.8519675926</v>
      </c>
    </row>
    <row r="45" customFormat="false" ht="15" hidden="false" customHeight="false" outlineLevel="0" collapsed="false">
      <c r="F45" s="6" t="s">
        <v>49</v>
      </c>
      <c r="G45" s="0" t="n">
        <v>2</v>
      </c>
      <c r="H45" s="0" t="s">
        <v>38</v>
      </c>
      <c r="I45" s="15" t="n">
        <v>43358.851724537</v>
      </c>
    </row>
    <row r="46" customFormat="false" ht="15" hidden="false" customHeight="false" outlineLevel="0" collapsed="false">
      <c r="F46" s="6" t="s">
        <v>50</v>
      </c>
      <c r="G46" s="0" t="n">
        <v>4</v>
      </c>
      <c r="H46" s="0" t="s">
        <v>38</v>
      </c>
      <c r="I46" s="15" t="n">
        <v>43358.8512152778</v>
      </c>
    </row>
    <row r="47" customFormat="false" ht="15" hidden="false" customHeight="false" outlineLevel="0" collapsed="false">
      <c r="F47" s="6" t="s">
        <v>51</v>
      </c>
      <c r="G47" s="0" t="n">
        <v>1</v>
      </c>
      <c r="H47" s="0" t="s">
        <v>38</v>
      </c>
      <c r="I47" s="15" t="n">
        <v>43358.8511111111</v>
      </c>
    </row>
    <row r="48" customFormat="false" ht="15" hidden="false" customHeight="false" outlineLevel="0" collapsed="false">
      <c r="F48" s="6" t="s">
        <v>52</v>
      </c>
      <c r="G48" s="0" t="n">
        <v>10</v>
      </c>
      <c r="H48" s="0" t="s">
        <v>38</v>
      </c>
      <c r="I48" s="15" t="n">
        <v>43358.8508333333</v>
      </c>
    </row>
    <row r="49" customFormat="false" ht="15" hidden="false" customHeight="false" outlineLevel="0" collapsed="false">
      <c r="F49" s="6" t="s">
        <v>53</v>
      </c>
      <c r="G49" s="0" t="n">
        <v>2</v>
      </c>
      <c r="H49" s="0" t="s">
        <v>38</v>
      </c>
      <c r="I49" s="15" t="n">
        <v>43358.8503009259</v>
      </c>
    </row>
    <row r="50" customFormat="false" ht="15" hidden="false" customHeight="false" outlineLevel="0" collapsed="false">
      <c r="F50" s="6" t="s">
        <v>53</v>
      </c>
      <c r="G50" s="0" t="n">
        <v>3</v>
      </c>
      <c r="H50" s="0" t="s">
        <v>38</v>
      </c>
      <c r="I50" s="15" t="n">
        <v>43358.850162037</v>
      </c>
    </row>
    <row r="51" customFormat="false" ht="15" hidden="false" customHeight="false" outlineLevel="0" collapsed="false">
      <c r="F51" s="6" t="s">
        <v>54</v>
      </c>
      <c r="G51" s="0" t="n">
        <v>3</v>
      </c>
      <c r="H51" s="0" t="s">
        <v>38</v>
      </c>
      <c r="I51" s="15" t="n">
        <v>43358.8500115741</v>
      </c>
    </row>
    <row r="52" customFormat="false" ht="15" hidden="false" customHeight="false" outlineLevel="0" collapsed="false">
      <c r="F52" s="6" t="s">
        <v>55</v>
      </c>
      <c r="G52" s="0" t="n">
        <v>3</v>
      </c>
      <c r="H52" s="0" t="s">
        <v>38</v>
      </c>
      <c r="I52" s="15" t="n">
        <v>43358.8498842593</v>
      </c>
    </row>
    <row r="53" customFormat="false" ht="15" hidden="false" customHeight="false" outlineLevel="0" collapsed="false">
      <c r="F53" s="6" t="s">
        <v>56</v>
      </c>
      <c r="G53" s="0" t="n">
        <v>1</v>
      </c>
      <c r="H53" s="0" t="s">
        <v>38</v>
      </c>
      <c r="I53" s="15" t="n">
        <v>43358.8497222222</v>
      </c>
    </row>
    <row r="54" customFormat="false" ht="15" hidden="false" customHeight="false" outlineLevel="0" collapsed="false">
      <c r="F54" s="6" t="s">
        <v>56</v>
      </c>
      <c r="G54" s="0" t="n">
        <v>6</v>
      </c>
      <c r="H54" s="0" t="s">
        <v>38</v>
      </c>
      <c r="I54" s="15" t="n">
        <v>43358.8494791667</v>
      </c>
    </row>
    <row r="55" customFormat="false" ht="15" hidden="false" customHeight="false" outlineLevel="0" collapsed="false">
      <c r="F55" s="6" t="s">
        <v>57</v>
      </c>
      <c r="G55" s="0" t="n">
        <v>13</v>
      </c>
      <c r="H55" s="0" t="s">
        <v>38</v>
      </c>
      <c r="I55" s="15" t="n">
        <v>43358.8488773148</v>
      </c>
    </row>
    <row r="56" customFormat="false" ht="15" hidden="false" customHeight="false" outlineLevel="0" collapsed="false">
      <c r="F56" s="6" t="s">
        <v>58</v>
      </c>
      <c r="G56" s="0" t="n">
        <v>2</v>
      </c>
      <c r="H56" s="0" t="s">
        <v>38</v>
      </c>
      <c r="I56" s="15" t="n">
        <v>43358.8487384259</v>
      </c>
    </row>
    <row r="57" customFormat="false" ht="15" hidden="false" customHeight="false" outlineLevel="0" collapsed="false">
      <c r="F57" s="6" t="s">
        <v>19</v>
      </c>
      <c r="G57" s="0" t="n">
        <v>2</v>
      </c>
      <c r="H57" s="0" t="s">
        <v>16</v>
      </c>
      <c r="I57" s="15" t="n">
        <v>43358.8486458333</v>
      </c>
    </row>
    <row r="58" customFormat="false" ht="15" hidden="false" customHeight="false" outlineLevel="0" collapsed="false">
      <c r="F58" s="6" t="s">
        <v>27</v>
      </c>
      <c r="G58" s="0" t="n">
        <v>6</v>
      </c>
      <c r="H58" s="0" t="s">
        <v>16</v>
      </c>
      <c r="I58" s="15" t="n">
        <v>43358.8485300926</v>
      </c>
    </row>
    <row r="59" customFormat="false" ht="15" hidden="false" customHeight="false" outlineLevel="0" collapsed="false">
      <c r="F59" s="6" t="s">
        <v>25</v>
      </c>
      <c r="G59" s="0" t="n">
        <v>3</v>
      </c>
      <c r="H59" s="0" t="s">
        <v>38</v>
      </c>
      <c r="I59" s="15" t="n">
        <v>43358.8484259259</v>
      </c>
    </row>
    <row r="60" customFormat="false" ht="15" hidden="false" customHeight="false" outlineLevel="0" collapsed="false">
      <c r="F60" s="6" t="s">
        <v>40</v>
      </c>
      <c r="G60" s="0" t="n">
        <v>5</v>
      </c>
      <c r="H60" s="0" t="s">
        <v>16</v>
      </c>
      <c r="I60" s="15" t="n">
        <v>43358.8483449074</v>
      </c>
    </row>
    <row r="61" customFormat="false" ht="15" hidden="false" customHeight="false" outlineLevel="0" collapsed="false">
      <c r="F61" s="6" t="s">
        <v>34</v>
      </c>
      <c r="G61" s="0" t="n">
        <v>12</v>
      </c>
      <c r="H61" s="0" t="s">
        <v>16</v>
      </c>
      <c r="I61" s="15" t="n">
        <v>43358.8482523148</v>
      </c>
    </row>
    <row r="62" customFormat="false" ht="15" hidden="false" customHeight="false" outlineLevel="0" collapsed="false">
      <c r="F62" s="6" t="s">
        <v>32</v>
      </c>
      <c r="G62" s="0" t="n">
        <v>15</v>
      </c>
      <c r="H62" s="0" t="s">
        <v>38</v>
      </c>
      <c r="I62" s="15" t="n">
        <v>43358.8481712963</v>
      </c>
    </row>
    <row r="63" customFormat="false" ht="15" hidden="false" customHeight="false" outlineLevel="0" collapsed="false">
      <c r="F63" s="6" t="s">
        <v>34</v>
      </c>
      <c r="G63" s="0" t="n">
        <v>14</v>
      </c>
      <c r="H63" s="0" t="s">
        <v>38</v>
      </c>
      <c r="I63" s="15" t="n">
        <v>43358.8479398148</v>
      </c>
    </row>
    <row r="64" customFormat="false" ht="15" hidden="false" customHeight="false" outlineLevel="0" collapsed="false">
      <c r="F64" s="6" t="s">
        <v>26</v>
      </c>
      <c r="G64" s="0" t="n">
        <v>3</v>
      </c>
      <c r="H64" s="0" t="s">
        <v>38</v>
      </c>
      <c r="I64" s="15" t="n">
        <v>43358.8478356482</v>
      </c>
    </row>
    <row r="65" customFormat="false" ht="15" hidden="false" customHeight="false" outlineLevel="0" collapsed="false">
      <c r="F65" s="6" t="s">
        <v>18</v>
      </c>
      <c r="G65" s="0" t="n">
        <v>1</v>
      </c>
      <c r="H65" s="0" t="s">
        <v>16</v>
      </c>
      <c r="I65" s="15" t="n">
        <v>43358.8477777778</v>
      </c>
    </row>
    <row r="66" customFormat="false" ht="15" hidden="false" customHeight="false" outlineLevel="0" collapsed="false">
      <c r="F66" s="6" t="s">
        <v>27</v>
      </c>
      <c r="G66" s="0" t="n">
        <v>11</v>
      </c>
      <c r="H66" s="0" t="s">
        <v>38</v>
      </c>
      <c r="I66" s="15" t="n">
        <v>43358.8477199074</v>
      </c>
    </row>
    <row r="67" customFormat="false" ht="15" hidden="false" customHeight="false" outlineLevel="0" collapsed="false">
      <c r="F67" s="6" t="s">
        <v>59</v>
      </c>
      <c r="G67" s="0" t="n">
        <v>1</v>
      </c>
      <c r="H67" s="0" t="s">
        <v>16</v>
      </c>
      <c r="I67" s="15" t="n">
        <v>43358.8476967593</v>
      </c>
    </row>
    <row r="68" customFormat="false" ht="15" hidden="false" customHeight="false" outlineLevel="0" collapsed="false">
      <c r="F68" s="6" t="s">
        <v>60</v>
      </c>
      <c r="G68" s="0" t="n">
        <v>1</v>
      </c>
      <c r="H68" s="0" t="s">
        <v>16</v>
      </c>
      <c r="I68" s="15" t="n">
        <v>43358.8475925926</v>
      </c>
    </row>
    <row r="69" customFormat="false" ht="15" hidden="false" customHeight="false" outlineLevel="0" collapsed="false">
      <c r="F69" s="6" t="s">
        <v>37</v>
      </c>
      <c r="G69" s="0" t="n">
        <v>1</v>
      </c>
      <c r="H69" s="0" t="s">
        <v>38</v>
      </c>
      <c r="I69" s="15" t="n">
        <v>43358.8475810185</v>
      </c>
    </row>
    <row r="70" customFormat="false" ht="15" hidden="false" customHeight="false" outlineLevel="0" collapsed="false">
      <c r="F70" s="6" t="s">
        <v>36</v>
      </c>
      <c r="G70" s="0" t="n">
        <v>10</v>
      </c>
      <c r="H70" s="0" t="s">
        <v>38</v>
      </c>
      <c r="I70" s="15" t="n">
        <v>43358.8474768519</v>
      </c>
    </row>
    <row r="71" customFormat="false" ht="15" hidden="false" customHeight="false" outlineLevel="0" collapsed="false">
      <c r="F71" s="6" t="s">
        <v>61</v>
      </c>
      <c r="G71" s="0" t="n">
        <v>1</v>
      </c>
      <c r="H71" s="0" t="s">
        <v>16</v>
      </c>
      <c r="I71" s="15" t="n">
        <v>43358.8471875</v>
      </c>
    </row>
    <row r="72" customFormat="false" ht="15" hidden="false" customHeight="false" outlineLevel="0" collapsed="false">
      <c r="F72" s="6" t="s">
        <v>62</v>
      </c>
      <c r="G72" s="0" t="n">
        <v>1</v>
      </c>
      <c r="H72" s="0" t="s">
        <v>38</v>
      </c>
      <c r="I72" s="15" t="n">
        <v>43358.8471875</v>
      </c>
    </row>
    <row r="73" customFormat="false" ht="15" hidden="false" customHeight="false" outlineLevel="0" collapsed="false">
      <c r="F73" s="6" t="s">
        <v>63</v>
      </c>
      <c r="G73" s="0" t="n">
        <v>50</v>
      </c>
      <c r="H73" s="0" t="s">
        <v>38</v>
      </c>
      <c r="I73" s="15" t="n">
        <v>43358.8469097222</v>
      </c>
    </row>
    <row r="74" customFormat="false" ht="15" hidden="false" customHeight="false" outlineLevel="0" collapsed="false">
      <c r="F74" s="6" t="s">
        <v>64</v>
      </c>
      <c r="G74" s="0" t="n">
        <v>1</v>
      </c>
      <c r="H74" s="0" t="s">
        <v>16</v>
      </c>
      <c r="I74" s="15" t="n">
        <v>43358.846724537</v>
      </c>
    </row>
    <row r="75" customFormat="false" ht="15" hidden="false" customHeight="false" outlineLevel="0" collapsed="false">
      <c r="F75" s="6" t="s">
        <v>21</v>
      </c>
      <c r="G75" s="0" t="n">
        <v>16</v>
      </c>
      <c r="H75" s="0" t="s">
        <v>38</v>
      </c>
      <c r="I75" s="15" t="n">
        <v>43358.8463310185</v>
      </c>
    </row>
    <row r="76" customFormat="false" ht="15" hidden="false" customHeight="false" outlineLevel="0" collapsed="false">
      <c r="F76" s="6" t="s">
        <v>34</v>
      </c>
      <c r="G76" s="0" t="n">
        <v>6</v>
      </c>
      <c r="H76" s="0" t="s">
        <v>38</v>
      </c>
      <c r="I76" s="15" t="n">
        <v>43358.8462152778</v>
      </c>
    </row>
    <row r="77" customFormat="false" ht="15" hidden="false" customHeight="false" outlineLevel="0" collapsed="false">
      <c r="F77" s="6" t="s">
        <v>41</v>
      </c>
      <c r="G77" s="0" t="n">
        <v>58</v>
      </c>
      <c r="H77" s="0" t="s">
        <v>16</v>
      </c>
      <c r="I77" s="15" t="n">
        <v>43358.8461111111</v>
      </c>
    </row>
    <row r="78" customFormat="false" ht="15" hidden="false" customHeight="false" outlineLevel="0" collapsed="false">
      <c r="F78" s="6" t="s">
        <v>15</v>
      </c>
      <c r="G78" s="0" t="n">
        <v>3</v>
      </c>
      <c r="H78" s="0" t="s">
        <v>38</v>
      </c>
      <c r="I78" s="15" t="n">
        <v>43358.846099537</v>
      </c>
    </row>
    <row r="79" customFormat="false" ht="15" hidden="false" customHeight="false" outlineLevel="0" collapsed="false">
      <c r="F79" s="6" t="s">
        <v>29</v>
      </c>
      <c r="G79" s="0" t="n">
        <v>3</v>
      </c>
      <c r="H79" s="0" t="s">
        <v>16</v>
      </c>
      <c r="I79" s="15" t="n">
        <v>43358.8460185185</v>
      </c>
    </row>
    <row r="80" customFormat="false" ht="15" hidden="false" customHeight="false" outlineLevel="0" collapsed="false">
      <c r="F80" s="6" t="s">
        <v>34</v>
      </c>
      <c r="G80" s="0" t="n">
        <v>2</v>
      </c>
      <c r="H80" s="0" t="s">
        <v>38</v>
      </c>
      <c r="I80" s="15" t="n">
        <v>43358.8459722222</v>
      </c>
    </row>
    <row r="81" customFormat="false" ht="15" hidden="false" customHeight="false" outlineLevel="0" collapsed="false">
      <c r="F81" s="6" t="s">
        <v>65</v>
      </c>
      <c r="G81" s="0" t="n">
        <v>2</v>
      </c>
      <c r="H81" s="0" t="s">
        <v>16</v>
      </c>
      <c r="I81" s="15" t="n">
        <v>43358.8459027778</v>
      </c>
    </row>
    <row r="82" customFormat="false" ht="15" hidden="false" customHeight="false" outlineLevel="0" collapsed="false">
      <c r="F82" s="6" t="s">
        <v>66</v>
      </c>
      <c r="G82" s="0" t="n">
        <v>2</v>
      </c>
      <c r="H82" s="0" t="s">
        <v>38</v>
      </c>
      <c r="I82" s="15" t="n">
        <v>43358.8458217593</v>
      </c>
    </row>
    <row r="83" customFormat="false" ht="15" hidden="false" customHeight="false" outlineLevel="0" collapsed="false">
      <c r="F83" s="6" t="s">
        <v>41</v>
      </c>
      <c r="G83" s="0" t="n">
        <v>22</v>
      </c>
      <c r="H83" s="0" t="s">
        <v>38</v>
      </c>
      <c r="I83" s="15" t="n">
        <v>43358.8457175926</v>
      </c>
    </row>
    <row r="84" customFormat="false" ht="15" hidden="false" customHeight="false" outlineLevel="0" collapsed="false">
      <c r="F84" s="6" t="s">
        <v>67</v>
      </c>
      <c r="G84" s="0" t="n">
        <v>2</v>
      </c>
      <c r="H84" s="0" t="s">
        <v>38</v>
      </c>
      <c r="I84" s="15" t="n">
        <v>43358.8455092593</v>
      </c>
    </row>
    <row r="85" customFormat="false" ht="15" hidden="false" customHeight="false" outlineLevel="0" collapsed="false">
      <c r="F85" s="6" t="s">
        <v>31</v>
      </c>
      <c r="G85" s="0" t="n">
        <v>2</v>
      </c>
      <c r="H85" s="0" t="s">
        <v>16</v>
      </c>
      <c r="I85" s="15" t="n">
        <v>43358.8454861111</v>
      </c>
    </row>
    <row r="86" customFormat="false" ht="15" hidden="false" customHeight="false" outlineLevel="0" collapsed="false">
      <c r="F86" s="6" t="s">
        <v>52</v>
      </c>
      <c r="G86" s="0" t="n">
        <v>3</v>
      </c>
      <c r="H86" s="0" t="s">
        <v>16</v>
      </c>
      <c r="I86" s="15" t="n">
        <v>43358.8453819444</v>
      </c>
    </row>
    <row r="87" customFormat="false" ht="15" hidden="false" customHeight="false" outlineLevel="0" collapsed="false">
      <c r="F87" s="6" t="s">
        <v>68</v>
      </c>
      <c r="G87" s="0" t="n">
        <v>1</v>
      </c>
      <c r="H87" s="0" t="s">
        <v>38</v>
      </c>
      <c r="I87" s="15" t="n">
        <v>43358.8453703704</v>
      </c>
    </row>
    <row r="88" customFormat="false" ht="15" hidden="false" customHeight="false" outlineLevel="0" collapsed="false">
      <c r="F88" s="6" t="s">
        <v>69</v>
      </c>
      <c r="G88" s="0" t="n">
        <v>1</v>
      </c>
      <c r="H88" s="0" t="s">
        <v>16</v>
      </c>
      <c r="I88" s="15" t="n">
        <v>43358.8452893519</v>
      </c>
    </row>
    <row r="89" customFormat="false" ht="15" hidden="false" customHeight="false" outlineLevel="0" collapsed="false">
      <c r="F89" s="6" t="s">
        <v>46</v>
      </c>
      <c r="G89" s="0" t="n">
        <v>10</v>
      </c>
      <c r="H89" s="0" t="s">
        <v>38</v>
      </c>
      <c r="I89" s="15" t="n">
        <v>43358.8450694445</v>
      </c>
    </row>
    <row r="90" customFormat="false" ht="15" hidden="false" customHeight="false" outlineLevel="0" collapsed="false">
      <c r="F90" s="6" t="s">
        <v>70</v>
      </c>
      <c r="G90" s="0" t="n">
        <v>1</v>
      </c>
      <c r="H90" s="0" t="s">
        <v>38</v>
      </c>
      <c r="I90" s="15" t="n">
        <v>43358.8447916667</v>
      </c>
    </row>
    <row r="91" customFormat="false" ht="15" hidden="false" customHeight="false" outlineLevel="0" collapsed="false">
      <c r="F91" s="6" t="s">
        <v>32</v>
      </c>
      <c r="G91" s="0" t="n">
        <v>12</v>
      </c>
      <c r="H91" s="0" t="s">
        <v>16</v>
      </c>
      <c r="I91" s="15" t="n">
        <v>43358.8444791667</v>
      </c>
    </row>
    <row r="92" customFormat="false" ht="15" hidden="false" customHeight="false" outlineLevel="0" collapsed="false">
      <c r="F92" s="6" t="s">
        <v>64</v>
      </c>
      <c r="G92" s="0" t="n">
        <v>1</v>
      </c>
      <c r="H92" s="0" t="s">
        <v>38</v>
      </c>
      <c r="I92" s="15" t="n">
        <v>43358.8443055556</v>
      </c>
    </row>
    <row r="93" customFormat="false" ht="15" hidden="false" customHeight="false" outlineLevel="0" collapsed="false">
      <c r="F93" s="6" t="s">
        <v>32</v>
      </c>
      <c r="G93" s="0" t="n">
        <v>21</v>
      </c>
      <c r="H93" s="0" t="s">
        <v>16</v>
      </c>
      <c r="I93" s="15" t="n">
        <v>43358.844212963</v>
      </c>
    </row>
    <row r="94" customFormat="false" ht="15" hidden="false" customHeight="false" outlineLevel="0" collapsed="false">
      <c r="F94" s="6" t="s">
        <v>30</v>
      </c>
      <c r="G94" s="0" t="n">
        <v>1</v>
      </c>
      <c r="H94" s="0" t="s">
        <v>38</v>
      </c>
      <c r="I94" s="15" t="n">
        <v>43358.8441898148</v>
      </c>
    </row>
    <row r="95" customFormat="false" ht="15" hidden="false" customHeight="false" outlineLevel="0" collapsed="false">
      <c r="F95" s="6" t="s">
        <v>37</v>
      </c>
      <c r="G95" s="0" t="n">
        <v>2</v>
      </c>
      <c r="H95" s="0" t="s">
        <v>16</v>
      </c>
      <c r="I95" s="15" t="n">
        <v>43358.8440509259</v>
      </c>
    </row>
    <row r="96" customFormat="false" ht="15" hidden="false" customHeight="false" outlineLevel="0" collapsed="false">
      <c r="F96" s="6" t="s">
        <v>29</v>
      </c>
      <c r="G96" s="0" t="n">
        <v>2</v>
      </c>
      <c r="H96" s="0" t="s">
        <v>38</v>
      </c>
      <c r="I96" s="15" t="n">
        <v>43358.8440509259</v>
      </c>
    </row>
    <row r="97" customFormat="false" ht="15" hidden="false" customHeight="false" outlineLevel="0" collapsed="false">
      <c r="F97" s="6" t="s">
        <v>15</v>
      </c>
      <c r="G97" s="0" t="n">
        <v>4</v>
      </c>
      <c r="H97" s="0" t="s">
        <v>16</v>
      </c>
      <c r="I97" s="15" t="n">
        <v>43358.843912037</v>
      </c>
    </row>
    <row r="98" customFormat="false" ht="15" hidden="false" customHeight="false" outlineLevel="0" collapsed="false">
      <c r="F98" s="6" t="s">
        <v>34</v>
      </c>
      <c r="G98" s="0" t="n">
        <v>12</v>
      </c>
      <c r="H98" s="0" t="s">
        <v>38</v>
      </c>
      <c r="I98" s="15" t="n">
        <v>43358.8438194445</v>
      </c>
    </row>
    <row r="99" customFormat="false" ht="15" hidden="false" customHeight="false" outlineLevel="0" collapsed="false">
      <c r="F99" s="6" t="s">
        <v>71</v>
      </c>
      <c r="G99" s="0" t="n">
        <v>1</v>
      </c>
      <c r="H99" s="0" t="s">
        <v>38</v>
      </c>
      <c r="I99" s="15" t="n">
        <v>43358.8436921296</v>
      </c>
    </row>
    <row r="100" customFormat="false" ht="15" hidden="false" customHeight="false" outlineLevel="0" collapsed="false">
      <c r="F100" s="6" t="s">
        <v>72</v>
      </c>
      <c r="G100" s="0" t="n">
        <v>1</v>
      </c>
      <c r="H100" s="0" t="s">
        <v>16</v>
      </c>
      <c r="I100" s="15" t="n">
        <v>43358.8435763889</v>
      </c>
    </row>
    <row r="101" customFormat="false" ht="15" hidden="false" customHeight="false" outlineLevel="0" collapsed="false">
      <c r="F101" s="6" t="s">
        <v>25</v>
      </c>
      <c r="G101" s="0" t="n">
        <v>21</v>
      </c>
      <c r="H101" s="0" t="s">
        <v>16</v>
      </c>
      <c r="I101" s="15" t="n">
        <v>43358.8434606481</v>
      </c>
    </row>
    <row r="102" customFormat="false" ht="15" hidden="false" customHeight="false" outlineLevel="0" collapsed="false">
      <c r="F102" s="6" t="s">
        <v>73</v>
      </c>
      <c r="G102" s="0" t="n">
        <v>1</v>
      </c>
      <c r="H102" s="0" t="s">
        <v>38</v>
      </c>
      <c r="I102" s="15" t="n">
        <v>43358.8434143519</v>
      </c>
    </row>
    <row r="103" customFormat="false" ht="15" hidden="false" customHeight="false" outlineLevel="0" collapsed="false">
      <c r="F103" s="6" t="s">
        <v>71</v>
      </c>
      <c r="G103" s="0" t="n">
        <v>1</v>
      </c>
      <c r="H103" s="0" t="s">
        <v>38</v>
      </c>
      <c r="I103" s="15" t="n">
        <v>43358.8432986111</v>
      </c>
    </row>
    <row r="104" customFormat="false" ht="15" hidden="false" customHeight="false" outlineLevel="0" collapsed="false">
      <c r="F104" s="6" t="s">
        <v>21</v>
      </c>
      <c r="G104" s="0" t="n">
        <v>21</v>
      </c>
      <c r="H104" s="0" t="s">
        <v>16</v>
      </c>
      <c r="I104" s="15" t="n">
        <v>43358.8431597222</v>
      </c>
    </row>
    <row r="105" customFormat="false" ht="15" hidden="false" customHeight="false" outlineLevel="0" collapsed="false">
      <c r="F105" s="6" t="s">
        <v>74</v>
      </c>
      <c r="G105" s="0" t="n">
        <v>2</v>
      </c>
      <c r="H105" s="0" t="s">
        <v>38</v>
      </c>
      <c r="I105" s="15" t="n">
        <v>43358.8431134259</v>
      </c>
    </row>
    <row r="106" customFormat="false" ht="15" hidden="false" customHeight="false" outlineLevel="0" collapsed="false">
      <c r="F106" s="6" t="s">
        <v>37</v>
      </c>
      <c r="G106" s="0" t="n">
        <v>6</v>
      </c>
      <c r="H106" s="0" t="s">
        <v>38</v>
      </c>
      <c r="I106" s="15" t="n">
        <v>43358.8429976852</v>
      </c>
    </row>
    <row r="107" customFormat="false" ht="15" hidden="false" customHeight="false" outlineLevel="0" collapsed="false">
      <c r="F107" s="6" t="s">
        <v>26</v>
      </c>
      <c r="G107" s="0" t="n">
        <v>14</v>
      </c>
      <c r="H107" s="0" t="s">
        <v>38</v>
      </c>
      <c r="I107" s="15" t="n">
        <v>43358.8428587963</v>
      </c>
    </row>
    <row r="108" customFormat="false" ht="15" hidden="false" customHeight="false" outlineLevel="0" collapsed="false">
      <c r="F108" s="6" t="s">
        <v>25</v>
      </c>
      <c r="G108" s="0" t="n">
        <v>12</v>
      </c>
      <c r="H108" s="0" t="s">
        <v>38</v>
      </c>
      <c r="I108" s="15" t="n">
        <v>43358.8427314815</v>
      </c>
    </row>
    <row r="109" customFormat="false" ht="15" hidden="false" customHeight="false" outlineLevel="0" collapsed="false">
      <c r="F109" s="6" t="s">
        <v>37</v>
      </c>
      <c r="G109" s="0" t="n">
        <v>1</v>
      </c>
      <c r="H109" s="0" t="s">
        <v>75</v>
      </c>
      <c r="I109" s="15" t="n">
        <v>43358.8424652778</v>
      </c>
    </row>
    <row r="110" customFormat="false" ht="15" hidden="false" customHeight="false" outlineLevel="0" collapsed="false">
      <c r="F110" s="6" t="s">
        <v>72</v>
      </c>
      <c r="G110" s="0" t="n">
        <v>1</v>
      </c>
      <c r="H110" s="0" t="s">
        <v>75</v>
      </c>
      <c r="I110" s="15" t="n">
        <v>43358.8422569444</v>
      </c>
    </row>
    <row r="111" customFormat="false" ht="15" hidden="false" customHeight="false" outlineLevel="0" collapsed="false">
      <c r="F111" s="6" t="s">
        <v>12</v>
      </c>
      <c r="G111" s="0" t="n">
        <v>1</v>
      </c>
      <c r="H111" s="0" t="s">
        <v>75</v>
      </c>
      <c r="I111" s="15" t="n">
        <v>43358.8420833333</v>
      </c>
    </row>
    <row r="112" customFormat="false" ht="15" hidden="false" customHeight="false" outlineLevel="0" collapsed="false">
      <c r="F112" s="6" t="s">
        <v>19</v>
      </c>
      <c r="G112" s="0" t="n">
        <v>1</v>
      </c>
      <c r="H112" s="0" t="s">
        <v>75</v>
      </c>
      <c r="I112" s="15" t="n">
        <v>43358.8419675926</v>
      </c>
    </row>
    <row r="113" customFormat="false" ht="15" hidden="false" customHeight="false" outlineLevel="0" collapsed="false">
      <c r="F113" s="6" t="s">
        <v>27</v>
      </c>
      <c r="G113" s="0" t="n">
        <v>5</v>
      </c>
      <c r="H113" s="0" t="s">
        <v>75</v>
      </c>
      <c r="I113" s="15" t="n">
        <v>43358.841412037</v>
      </c>
    </row>
    <row r="114" customFormat="false" ht="15" hidden="false" customHeight="false" outlineLevel="0" collapsed="false">
      <c r="F114" s="6" t="s">
        <v>57</v>
      </c>
      <c r="G114" s="0" t="n">
        <v>7</v>
      </c>
      <c r="H114" s="0" t="s">
        <v>75</v>
      </c>
      <c r="I114" s="15" t="n">
        <v>43358.8413078704</v>
      </c>
    </row>
    <row r="115" customFormat="false" ht="15" hidden="false" customHeight="false" outlineLevel="0" collapsed="false">
      <c r="F115" s="6" t="s">
        <v>76</v>
      </c>
      <c r="G115" s="0" t="n">
        <v>3</v>
      </c>
      <c r="H115" s="0" t="s">
        <v>75</v>
      </c>
      <c r="I115" s="15" t="n">
        <v>43358.841087963</v>
      </c>
    </row>
    <row r="116" customFormat="false" ht="15" hidden="false" customHeight="false" outlineLevel="0" collapsed="false">
      <c r="F116" s="6" t="s">
        <v>31</v>
      </c>
      <c r="G116" s="0" t="n">
        <v>1</v>
      </c>
      <c r="H116" s="0" t="s">
        <v>75</v>
      </c>
      <c r="I116" s="15" t="n">
        <v>43358.8409490741</v>
      </c>
    </row>
    <row r="117" customFormat="false" ht="15" hidden="false" customHeight="false" outlineLevel="0" collapsed="false">
      <c r="F117" s="6" t="s">
        <v>40</v>
      </c>
      <c r="G117" s="0" t="n">
        <v>1</v>
      </c>
      <c r="H117" s="0" t="s">
        <v>75</v>
      </c>
      <c r="I117" s="15" t="n">
        <v>43358.8407638889</v>
      </c>
    </row>
    <row r="118" customFormat="false" ht="15" hidden="false" customHeight="false" outlineLevel="0" collapsed="false">
      <c r="F118" s="6" t="s">
        <v>18</v>
      </c>
      <c r="G118" s="0" t="n">
        <v>1</v>
      </c>
      <c r="H118" s="0" t="s">
        <v>75</v>
      </c>
      <c r="I118" s="15" t="n">
        <v>43358.8405671296</v>
      </c>
    </row>
    <row r="119" customFormat="false" ht="15" hidden="false" customHeight="false" outlineLevel="0" collapsed="false">
      <c r="F119" s="6" t="s">
        <v>77</v>
      </c>
      <c r="G119" s="0" t="n">
        <v>1</v>
      </c>
      <c r="H119" s="0" t="s">
        <v>75</v>
      </c>
      <c r="I119" s="15" t="n">
        <v>43358.8404282407</v>
      </c>
    </row>
    <row r="120" customFormat="false" ht="15" hidden="false" customHeight="false" outlineLevel="0" collapsed="false">
      <c r="F120" s="6" t="s">
        <v>31</v>
      </c>
      <c r="G120" s="0" t="n">
        <v>8</v>
      </c>
      <c r="H120" s="0" t="s">
        <v>75</v>
      </c>
      <c r="I120" s="15" t="n">
        <v>43358.8403009259</v>
      </c>
    </row>
    <row r="121" customFormat="false" ht="15" hidden="false" customHeight="false" outlineLevel="0" collapsed="false">
      <c r="F121" s="6" t="s">
        <v>78</v>
      </c>
      <c r="G121" s="0" t="n">
        <v>2</v>
      </c>
      <c r="H121" s="0" t="s">
        <v>75</v>
      </c>
      <c r="I121" s="15" t="n">
        <v>43358.8401736111</v>
      </c>
    </row>
    <row r="122" customFormat="false" ht="15" hidden="false" customHeight="false" outlineLevel="0" collapsed="false">
      <c r="F122" s="6" t="s">
        <v>26</v>
      </c>
      <c r="G122" s="0" t="n">
        <v>3</v>
      </c>
      <c r="H122" s="0" t="s">
        <v>75</v>
      </c>
      <c r="I122" s="15" t="n">
        <v>43358.8399189815</v>
      </c>
    </row>
    <row r="123" customFormat="false" ht="15" hidden="false" customHeight="false" outlineLevel="0" collapsed="false">
      <c r="F123" s="6" t="s">
        <v>50</v>
      </c>
      <c r="G123" s="0" t="n">
        <v>1</v>
      </c>
      <c r="H123" s="0" t="s">
        <v>79</v>
      </c>
      <c r="I123" s="15" t="n">
        <v>43358.839849537</v>
      </c>
    </row>
    <row r="124" customFormat="false" ht="15" hidden="false" customHeight="false" outlineLevel="0" collapsed="false">
      <c r="F124" s="6" t="s">
        <v>80</v>
      </c>
      <c r="G124" s="0" t="n">
        <v>5</v>
      </c>
      <c r="H124" s="0" t="s">
        <v>75</v>
      </c>
      <c r="I124" s="15" t="n">
        <v>43358.8397916667</v>
      </c>
    </row>
    <row r="125" customFormat="false" ht="15" hidden="false" customHeight="false" outlineLevel="0" collapsed="false">
      <c r="F125" s="6" t="s">
        <v>52</v>
      </c>
      <c r="G125" s="0" t="n">
        <v>3</v>
      </c>
      <c r="H125" s="0" t="s">
        <v>79</v>
      </c>
      <c r="I125" s="15" t="n">
        <v>43358.8397685185</v>
      </c>
    </row>
    <row r="126" customFormat="false" ht="15" hidden="false" customHeight="false" outlineLevel="0" collapsed="false">
      <c r="F126" s="6" t="s">
        <v>22</v>
      </c>
      <c r="G126" s="0" t="n">
        <v>1</v>
      </c>
      <c r="H126" s="0" t="s">
        <v>79</v>
      </c>
      <c r="I126" s="15" t="n">
        <v>43358.8396180556</v>
      </c>
    </row>
    <row r="127" customFormat="false" ht="15" hidden="false" customHeight="false" outlineLevel="0" collapsed="false">
      <c r="F127" s="6" t="s">
        <v>26</v>
      </c>
      <c r="G127" s="0" t="n">
        <v>3</v>
      </c>
      <c r="H127" s="0" t="s">
        <v>79</v>
      </c>
      <c r="I127" s="15" t="n">
        <v>43358.8393634259</v>
      </c>
    </row>
    <row r="128" customFormat="false" ht="15" hidden="false" customHeight="false" outlineLevel="0" collapsed="false">
      <c r="F128" s="6" t="s">
        <v>46</v>
      </c>
      <c r="G128" s="0" t="n">
        <v>22</v>
      </c>
      <c r="H128" s="0" t="s">
        <v>75</v>
      </c>
      <c r="I128" s="15" t="n">
        <v>43358.8392824074</v>
      </c>
    </row>
    <row r="129" customFormat="false" ht="15" hidden="false" customHeight="false" outlineLevel="0" collapsed="false">
      <c r="F129" s="6" t="s">
        <v>81</v>
      </c>
      <c r="G129" s="0" t="n">
        <v>2</v>
      </c>
      <c r="H129" s="0" t="s">
        <v>79</v>
      </c>
      <c r="I129" s="15" t="n">
        <v>43358.8392592593</v>
      </c>
    </row>
    <row r="130" customFormat="false" ht="15" hidden="false" customHeight="false" outlineLevel="0" collapsed="false">
      <c r="F130" s="6" t="s">
        <v>15</v>
      </c>
      <c r="G130" s="0" t="n">
        <v>4</v>
      </c>
      <c r="H130" s="0" t="s">
        <v>75</v>
      </c>
      <c r="I130" s="15" t="n">
        <v>43358.8391087963</v>
      </c>
    </row>
    <row r="131" customFormat="false" ht="15" hidden="false" customHeight="false" outlineLevel="0" collapsed="false">
      <c r="F131" s="6" t="s">
        <v>82</v>
      </c>
      <c r="G131" s="0" t="n">
        <v>1</v>
      </c>
      <c r="H131" s="0" t="s">
        <v>79</v>
      </c>
      <c r="I131" s="15" t="n">
        <v>43358.8390972222</v>
      </c>
    </row>
    <row r="132" customFormat="false" ht="15" hidden="false" customHeight="false" outlineLevel="0" collapsed="false">
      <c r="F132" s="6" t="s">
        <v>21</v>
      </c>
      <c r="G132" s="0" t="n">
        <v>10</v>
      </c>
      <c r="H132" s="0" t="s">
        <v>75</v>
      </c>
      <c r="I132" s="15" t="n">
        <v>43358.8389814815</v>
      </c>
    </row>
    <row r="133" customFormat="false" ht="15" hidden="false" customHeight="false" outlineLevel="0" collapsed="false">
      <c r="F133" s="6" t="s">
        <v>41</v>
      </c>
      <c r="G133" s="0" t="n">
        <v>39</v>
      </c>
      <c r="H133" s="0" t="s">
        <v>75</v>
      </c>
      <c r="I133" s="15" t="n">
        <v>43358.8388310185</v>
      </c>
    </row>
    <row r="134" customFormat="false" ht="15" hidden="false" customHeight="false" outlineLevel="0" collapsed="false">
      <c r="F134" s="6" t="s">
        <v>27</v>
      </c>
      <c r="G134" s="0" t="n">
        <v>5</v>
      </c>
      <c r="H134" s="0" t="s">
        <v>79</v>
      </c>
      <c r="I134" s="15" t="n">
        <v>43358.8387731481</v>
      </c>
    </row>
    <row r="135" customFormat="false" ht="15" hidden="false" customHeight="false" outlineLevel="0" collapsed="false">
      <c r="F135" s="6" t="s">
        <v>34</v>
      </c>
      <c r="G135" s="0" t="n">
        <v>12</v>
      </c>
      <c r="H135" s="0" t="s">
        <v>75</v>
      </c>
      <c r="I135" s="15" t="n">
        <v>43358.8386574074</v>
      </c>
    </row>
    <row r="136" customFormat="false" ht="15" hidden="false" customHeight="false" outlineLevel="0" collapsed="false">
      <c r="F136" s="6" t="s">
        <v>63</v>
      </c>
      <c r="G136" s="0" t="n">
        <v>29</v>
      </c>
      <c r="H136" s="0" t="s">
        <v>79</v>
      </c>
      <c r="I136" s="15" t="n">
        <v>43358.8386458333</v>
      </c>
    </row>
    <row r="137" customFormat="false" ht="15" hidden="false" customHeight="false" outlineLevel="0" collapsed="false">
      <c r="F137" s="6" t="s">
        <v>73</v>
      </c>
      <c r="G137" s="0" t="n">
        <v>1</v>
      </c>
      <c r="H137" s="0" t="s">
        <v>75</v>
      </c>
      <c r="I137" s="15" t="n">
        <v>43358.8385532407</v>
      </c>
    </row>
    <row r="138" customFormat="false" ht="15" hidden="false" customHeight="false" outlineLevel="0" collapsed="false">
      <c r="F138" s="6" t="s">
        <v>71</v>
      </c>
      <c r="G138" s="0" t="n">
        <v>1</v>
      </c>
      <c r="H138" s="0" t="s">
        <v>75</v>
      </c>
      <c r="I138" s="15" t="n">
        <v>43358.8384259259</v>
      </c>
    </row>
    <row r="139" customFormat="false" ht="15" hidden="false" customHeight="false" outlineLevel="0" collapsed="false">
      <c r="F139" s="6" t="s">
        <v>83</v>
      </c>
      <c r="G139" s="0" t="n">
        <v>1</v>
      </c>
      <c r="H139" s="0" t="s">
        <v>75</v>
      </c>
      <c r="I139" s="15" t="n">
        <v>43358.8382986111</v>
      </c>
    </row>
    <row r="140" customFormat="false" ht="15" hidden="false" customHeight="false" outlineLevel="0" collapsed="false">
      <c r="F140" s="6" t="s">
        <v>21</v>
      </c>
      <c r="G140" s="0" t="n">
        <v>2</v>
      </c>
      <c r="H140" s="0" t="s">
        <v>79</v>
      </c>
      <c r="I140" s="15" t="n">
        <v>43358.838275463</v>
      </c>
    </row>
    <row r="141" customFormat="false" ht="15" hidden="false" customHeight="false" outlineLevel="0" collapsed="false">
      <c r="F141" s="6" t="s">
        <v>36</v>
      </c>
      <c r="G141" s="0" t="n">
        <v>1</v>
      </c>
      <c r="H141" s="0" t="s">
        <v>79</v>
      </c>
      <c r="I141" s="15" t="n">
        <v>43358.8381828704</v>
      </c>
    </row>
    <row r="142" customFormat="false" ht="15" hidden="false" customHeight="false" outlineLevel="0" collapsed="false">
      <c r="F142" s="6" t="s">
        <v>52</v>
      </c>
      <c r="G142" s="0" t="n">
        <v>2</v>
      </c>
      <c r="H142" s="0" t="s">
        <v>75</v>
      </c>
      <c r="I142" s="15" t="n">
        <v>43358.8381828704</v>
      </c>
    </row>
    <row r="143" customFormat="false" ht="15" hidden="false" customHeight="false" outlineLevel="0" collapsed="false">
      <c r="F143" s="6" t="s">
        <v>57</v>
      </c>
      <c r="G143" s="0" t="n">
        <v>3</v>
      </c>
      <c r="H143" s="0" t="s">
        <v>79</v>
      </c>
      <c r="I143" s="15" t="n">
        <v>43358.837962963</v>
      </c>
    </row>
    <row r="144" customFormat="false" ht="15" hidden="false" customHeight="false" outlineLevel="0" collapsed="false">
      <c r="F144" s="6" t="s">
        <v>84</v>
      </c>
      <c r="G144" s="0" t="n">
        <v>2</v>
      </c>
      <c r="H144" s="0" t="s">
        <v>79</v>
      </c>
      <c r="I144" s="15" t="n">
        <v>43358.8378935185</v>
      </c>
    </row>
    <row r="145" customFormat="false" ht="15" hidden="false" customHeight="false" outlineLevel="0" collapsed="false">
      <c r="F145" s="6" t="s">
        <v>25</v>
      </c>
      <c r="G145" s="0" t="n">
        <v>10</v>
      </c>
      <c r="H145" s="0" t="s">
        <v>75</v>
      </c>
      <c r="I145" s="15" t="n">
        <v>43358.8378819445</v>
      </c>
    </row>
    <row r="146" customFormat="false" ht="15" hidden="false" customHeight="false" outlineLevel="0" collapsed="false">
      <c r="F146" s="6" t="s">
        <v>40</v>
      </c>
      <c r="G146" s="0" t="n">
        <v>2</v>
      </c>
      <c r="H146" s="0" t="s">
        <v>75</v>
      </c>
      <c r="I146" s="15" t="n">
        <v>43358.8377199074</v>
      </c>
    </row>
    <row r="147" customFormat="false" ht="15" hidden="false" customHeight="false" outlineLevel="0" collapsed="false">
      <c r="F147" s="6" t="s">
        <v>32</v>
      </c>
      <c r="G147" s="0" t="n">
        <v>1</v>
      </c>
      <c r="H147" s="0" t="s">
        <v>79</v>
      </c>
      <c r="I147" s="15" t="n">
        <v>43358.837650463</v>
      </c>
    </row>
    <row r="148" customFormat="false" ht="15" hidden="false" customHeight="false" outlineLevel="0" collapsed="false">
      <c r="F148" s="6" t="s">
        <v>39</v>
      </c>
      <c r="G148" s="0" t="n">
        <v>1</v>
      </c>
      <c r="H148" s="0" t="s">
        <v>75</v>
      </c>
      <c r="I148" s="15" t="n">
        <v>43358.8375925926</v>
      </c>
    </row>
    <row r="149" customFormat="false" ht="15" hidden="false" customHeight="false" outlineLevel="0" collapsed="false">
      <c r="F149" s="6" t="s">
        <v>53</v>
      </c>
      <c r="G149" s="0" t="n">
        <v>1</v>
      </c>
      <c r="H149" s="0" t="s">
        <v>79</v>
      </c>
      <c r="I149" s="15" t="n">
        <v>43358.8375694445</v>
      </c>
    </row>
    <row r="150" customFormat="false" ht="15" hidden="false" customHeight="false" outlineLevel="0" collapsed="false">
      <c r="F150" s="6" t="s">
        <v>85</v>
      </c>
      <c r="G150" s="0" t="n">
        <v>2</v>
      </c>
      <c r="H150" s="0" t="s">
        <v>75</v>
      </c>
      <c r="I150" s="15" t="n">
        <v>43358.8374652778</v>
      </c>
    </row>
    <row r="151" customFormat="false" ht="15" hidden="false" customHeight="false" outlineLevel="0" collapsed="false">
      <c r="F151" s="6" t="s">
        <v>53</v>
      </c>
      <c r="G151" s="0" t="n">
        <v>2</v>
      </c>
      <c r="H151" s="0" t="s">
        <v>79</v>
      </c>
      <c r="I151" s="15" t="n">
        <v>43358.8373958333</v>
      </c>
    </row>
    <row r="152" customFormat="false" ht="15" hidden="false" customHeight="false" outlineLevel="0" collapsed="false">
      <c r="F152" s="6" t="s">
        <v>56</v>
      </c>
      <c r="G152" s="0" t="n">
        <v>3</v>
      </c>
      <c r="H152" s="0" t="s">
        <v>79</v>
      </c>
      <c r="I152" s="15" t="n">
        <v>43358.8371990741</v>
      </c>
    </row>
    <row r="153" customFormat="false" ht="15" hidden="false" customHeight="false" outlineLevel="0" collapsed="false">
      <c r="F153" s="6" t="s">
        <v>25</v>
      </c>
      <c r="G153" s="0" t="n">
        <v>14</v>
      </c>
      <c r="H153" s="0" t="s">
        <v>75</v>
      </c>
      <c r="I153" s="15" t="n">
        <v>43358.8370601852</v>
      </c>
    </row>
    <row r="154" customFormat="false" ht="15" hidden="false" customHeight="false" outlineLevel="0" collapsed="false">
      <c r="F154" s="6" t="s">
        <v>25</v>
      </c>
      <c r="G154" s="0" t="n">
        <v>28</v>
      </c>
      <c r="H154" s="0" t="s">
        <v>79</v>
      </c>
      <c r="I154" s="15" t="n">
        <v>43358.837037037</v>
      </c>
    </row>
    <row r="155" customFormat="false" ht="15" hidden="false" customHeight="false" outlineLevel="0" collapsed="false">
      <c r="F155" s="6" t="s">
        <v>41</v>
      </c>
      <c r="G155" s="0" t="n">
        <v>11</v>
      </c>
      <c r="H155" s="0" t="s">
        <v>79</v>
      </c>
      <c r="I155" s="15" t="n">
        <v>43358.8369444445</v>
      </c>
    </row>
    <row r="156" customFormat="false" ht="15" hidden="false" customHeight="false" outlineLevel="0" collapsed="false">
      <c r="F156" s="6" t="s">
        <v>26</v>
      </c>
      <c r="G156" s="0" t="n">
        <v>1</v>
      </c>
      <c r="H156" s="0" t="s">
        <v>79</v>
      </c>
      <c r="I156" s="15" t="n">
        <v>43358.8368287037</v>
      </c>
    </row>
    <row r="157" customFormat="false" ht="15" hidden="false" customHeight="false" outlineLevel="0" collapsed="false">
      <c r="F157" s="6" t="s">
        <v>28</v>
      </c>
      <c r="G157" s="0" t="n">
        <v>2</v>
      </c>
      <c r="H157" s="0" t="s">
        <v>79</v>
      </c>
      <c r="I157" s="15" t="n">
        <v>43358.836724537</v>
      </c>
    </row>
    <row r="158" customFormat="false" ht="15" hidden="false" customHeight="false" outlineLevel="0" collapsed="false">
      <c r="F158" s="6" t="s">
        <v>23</v>
      </c>
      <c r="G158" s="0" t="n">
        <v>2</v>
      </c>
      <c r="H158" s="0" t="s">
        <v>75</v>
      </c>
      <c r="I158" s="15" t="n">
        <v>43358.8366782407</v>
      </c>
    </row>
    <row r="159" customFormat="false" ht="15" hidden="false" customHeight="false" outlineLevel="0" collapsed="false">
      <c r="F159" s="6" t="s">
        <v>86</v>
      </c>
      <c r="G159" s="0" t="n">
        <v>1</v>
      </c>
      <c r="H159" s="0" t="s">
        <v>75</v>
      </c>
      <c r="I159" s="15" t="n">
        <v>43358.8365625</v>
      </c>
    </row>
    <row r="160" customFormat="false" ht="15" hidden="false" customHeight="false" outlineLevel="0" collapsed="false">
      <c r="F160" s="6" t="s">
        <v>35</v>
      </c>
      <c r="G160" s="0" t="n">
        <v>2</v>
      </c>
      <c r="H160" s="0" t="s">
        <v>79</v>
      </c>
      <c r="I160" s="15" t="n">
        <v>43358.8364699074</v>
      </c>
    </row>
    <row r="161" customFormat="false" ht="15" hidden="false" customHeight="false" outlineLevel="0" collapsed="false">
      <c r="F161" s="6" t="s">
        <v>87</v>
      </c>
      <c r="G161" s="0" t="n">
        <v>1</v>
      </c>
      <c r="H161" s="0" t="s">
        <v>75</v>
      </c>
      <c r="I161" s="15" t="n">
        <v>43358.8364236111</v>
      </c>
    </row>
    <row r="162" customFormat="false" ht="15" hidden="false" customHeight="false" outlineLevel="0" collapsed="false">
      <c r="F162" s="6" t="s">
        <v>80</v>
      </c>
      <c r="G162" s="0" t="n">
        <v>5</v>
      </c>
      <c r="H162" s="0" t="s">
        <v>79</v>
      </c>
      <c r="I162" s="15" t="n">
        <v>43358.8363657407</v>
      </c>
    </row>
    <row r="163" customFormat="false" ht="15" hidden="false" customHeight="false" outlineLevel="0" collapsed="false">
      <c r="F163" s="6" t="s">
        <v>30</v>
      </c>
      <c r="G163" s="0" t="n">
        <v>1</v>
      </c>
      <c r="H163" s="0" t="s">
        <v>75</v>
      </c>
      <c r="I163" s="15" t="n">
        <v>43358.8362268519</v>
      </c>
    </row>
    <row r="164" customFormat="false" ht="15" hidden="false" customHeight="false" outlineLevel="0" collapsed="false">
      <c r="F164" s="6" t="s">
        <v>88</v>
      </c>
      <c r="G164" s="0" t="n">
        <v>5</v>
      </c>
      <c r="H164" s="0" t="s">
        <v>79</v>
      </c>
      <c r="I164" s="15" t="n">
        <v>43358.8361574074</v>
      </c>
    </row>
    <row r="165" customFormat="false" ht="15" hidden="false" customHeight="false" outlineLevel="0" collapsed="false">
      <c r="F165" s="6" t="s">
        <v>29</v>
      </c>
      <c r="G165" s="0" t="n">
        <v>6</v>
      </c>
      <c r="H165" s="0" t="s">
        <v>75</v>
      </c>
      <c r="I165" s="15" t="n">
        <v>43358.8359837963</v>
      </c>
    </row>
    <row r="166" customFormat="false" ht="15" hidden="false" customHeight="false" outlineLevel="0" collapsed="false">
      <c r="F166" s="6" t="s">
        <v>34</v>
      </c>
      <c r="G166" s="0" t="n">
        <v>13</v>
      </c>
      <c r="H166" s="0" t="s">
        <v>79</v>
      </c>
      <c r="I166" s="15" t="n">
        <v>43358.8358912037</v>
      </c>
    </row>
    <row r="167" customFormat="false" ht="15" hidden="false" customHeight="false" outlineLevel="0" collapsed="false">
      <c r="F167" s="6" t="s">
        <v>33</v>
      </c>
      <c r="G167" s="0" t="n">
        <v>2</v>
      </c>
      <c r="H167" s="0" t="s">
        <v>75</v>
      </c>
      <c r="I167" s="15" t="n">
        <v>43358.8357986111</v>
      </c>
    </row>
    <row r="168" customFormat="false" ht="15" hidden="false" customHeight="false" outlineLevel="0" collapsed="false">
      <c r="F168" s="6" t="s">
        <v>89</v>
      </c>
      <c r="G168" s="0" t="n">
        <v>3</v>
      </c>
      <c r="H168" s="0" t="s">
        <v>79</v>
      </c>
      <c r="I168" s="15" t="n">
        <v>43358.835787037</v>
      </c>
    </row>
    <row r="169" customFormat="false" ht="15" hidden="false" customHeight="false" outlineLevel="0" collapsed="false">
      <c r="F169" s="6" t="s">
        <v>15</v>
      </c>
      <c r="G169" s="0" t="n">
        <v>3</v>
      </c>
      <c r="H169" s="0" t="s">
        <v>75</v>
      </c>
      <c r="I169" s="15" t="n">
        <v>43358.8356712963</v>
      </c>
    </row>
    <row r="170" customFormat="false" ht="15" hidden="false" customHeight="false" outlineLevel="0" collapsed="false">
      <c r="F170" s="6" t="s">
        <v>18</v>
      </c>
      <c r="G170" s="0" t="n">
        <v>2</v>
      </c>
      <c r="H170" s="0" t="s">
        <v>75</v>
      </c>
      <c r="I170" s="15" t="n">
        <v>43358.8355324074</v>
      </c>
    </row>
    <row r="171" customFormat="false" ht="15" hidden="false" customHeight="false" outlineLevel="0" collapsed="false">
      <c r="F171" s="6" t="s">
        <v>77</v>
      </c>
      <c r="G171" s="0" t="n">
        <v>3</v>
      </c>
      <c r="H171" s="0" t="s">
        <v>75</v>
      </c>
      <c r="I171" s="15" t="n">
        <v>43358.8354282407</v>
      </c>
    </row>
    <row r="172" customFormat="false" ht="15" hidden="false" customHeight="false" outlineLevel="0" collapsed="false">
      <c r="F172" s="6" t="s">
        <v>21</v>
      </c>
      <c r="G172" s="0" t="n">
        <v>9</v>
      </c>
      <c r="H172" s="0" t="s">
        <v>79</v>
      </c>
      <c r="I172" s="15" t="n">
        <v>43358.8353240741</v>
      </c>
    </row>
    <row r="173" customFormat="false" ht="15" hidden="false" customHeight="false" outlineLevel="0" collapsed="false">
      <c r="F173" s="6" t="s">
        <v>90</v>
      </c>
      <c r="G173" s="0" t="n">
        <v>1</v>
      </c>
      <c r="H173" s="0" t="s">
        <v>79</v>
      </c>
      <c r="I173" s="15" t="n">
        <v>43358.8350347222</v>
      </c>
    </row>
    <row r="174" customFormat="false" ht="15" hidden="false" customHeight="false" outlineLevel="0" collapsed="false">
      <c r="F174" s="6" t="s">
        <v>37</v>
      </c>
      <c r="G174" s="0" t="n">
        <v>3</v>
      </c>
      <c r="H174" s="0" t="s">
        <v>79</v>
      </c>
      <c r="I174" s="15" t="n">
        <v>43358.8349305556</v>
      </c>
    </row>
    <row r="175" customFormat="false" ht="15" hidden="false" customHeight="false" outlineLevel="0" collapsed="false">
      <c r="F175" s="6" t="s">
        <v>72</v>
      </c>
      <c r="G175" s="0" t="n">
        <v>3</v>
      </c>
      <c r="H175" s="0" t="s">
        <v>79</v>
      </c>
      <c r="I175" s="15" t="n">
        <v>43358.8347916667</v>
      </c>
    </row>
    <row r="176" customFormat="false" ht="15" hidden="false" customHeight="false" outlineLevel="0" collapsed="false">
      <c r="F176" s="6" t="s">
        <v>12</v>
      </c>
      <c r="G176" s="0" t="n">
        <v>1</v>
      </c>
      <c r="H176" s="0" t="s">
        <v>91</v>
      </c>
      <c r="I176" s="15" t="n">
        <v>43358.807337963</v>
      </c>
    </row>
    <row r="177" customFormat="false" ht="15" hidden="false" customHeight="false" outlineLevel="0" collapsed="false">
      <c r="F177" s="6" t="s">
        <v>92</v>
      </c>
      <c r="G177" s="0" t="n">
        <v>1</v>
      </c>
      <c r="H177" s="0" t="s">
        <v>91</v>
      </c>
      <c r="I177" s="15" t="n">
        <v>43358.8072453704</v>
      </c>
    </row>
    <row r="178" customFormat="false" ht="15" hidden="false" customHeight="false" outlineLevel="0" collapsed="false">
      <c r="F178" s="6" t="s">
        <v>93</v>
      </c>
      <c r="G178" s="0" t="n">
        <v>1</v>
      </c>
      <c r="H178" s="0" t="s">
        <v>91</v>
      </c>
      <c r="I178" s="15" t="n">
        <v>43358.8071296296</v>
      </c>
    </row>
    <row r="179" customFormat="false" ht="15" hidden="false" customHeight="false" outlineLevel="0" collapsed="false">
      <c r="F179" s="6" t="s">
        <v>86</v>
      </c>
      <c r="G179" s="0" t="n">
        <v>1</v>
      </c>
      <c r="H179" s="0" t="s">
        <v>91</v>
      </c>
      <c r="I179" s="15" t="n">
        <v>43358.8070138889</v>
      </c>
    </row>
    <row r="180" customFormat="false" ht="15" hidden="false" customHeight="false" outlineLevel="0" collapsed="false">
      <c r="F180" s="6" t="s">
        <v>90</v>
      </c>
      <c r="G180" s="0" t="n">
        <v>1</v>
      </c>
      <c r="H180" s="0" t="s">
        <v>91</v>
      </c>
      <c r="I180" s="15" t="n">
        <v>43358.8066782407</v>
      </c>
    </row>
    <row r="181" customFormat="false" ht="15" hidden="false" customHeight="false" outlineLevel="0" collapsed="false">
      <c r="F181" s="6" t="s">
        <v>94</v>
      </c>
      <c r="G181" s="0" t="n">
        <v>1</v>
      </c>
      <c r="H181" s="0" t="s">
        <v>91</v>
      </c>
      <c r="I181" s="15" t="n">
        <v>43358.8064699074</v>
      </c>
    </row>
    <row r="182" customFormat="false" ht="15" hidden="false" customHeight="false" outlineLevel="0" collapsed="false">
      <c r="F182" s="6" t="s">
        <v>59</v>
      </c>
      <c r="G182" s="0" t="n">
        <v>1</v>
      </c>
      <c r="H182" s="0" t="s">
        <v>91</v>
      </c>
      <c r="I182" s="15" t="n">
        <v>43358.8059490741</v>
      </c>
    </row>
    <row r="183" customFormat="false" ht="15" hidden="false" customHeight="false" outlineLevel="0" collapsed="false">
      <c r="F183" s="6" t="s">
        <v>15</v>
      </c>
      <c r="G183" s="0" t="n">
        <v>4</v>
      </c>
      <c r="H183" s="0" t="s">
        <v>91</v>
      </c>
      <c r="I183" s="15" t="n">
        <v>43358.805787037</v>
      </c>
    </row>
    <row r="184" customFormat="false" ht="15" hidden="false" customHeight="false" outlineLevel="0" collapsed="false">
      <c r="F184" s="6" t="s">
        <v>36</v>
      </c>
      <c r="G184" s="0" t="n">
        <v>1</v>
      </c>
      <c r="H184" s="0" t="s">
        <v>91</v>
      </c>
      <c r="I184" s="15" t="n">
        <v>43358.8056597222</v>
      </c>
    </row>
    <row r="185" customFormat="false" ht="15" hidden="false" customHeight="false" outlineLevel="0" collapsed="false">
      <c r="F185" s="6" t="s">
        <v>34</v>
      </c>
      <c r="G185" s="0" t="n">
        <v>4</v>
      </c>
      <c r="H185" s="0" t="s">
        <v>91</v>
      </c>
      <c r="I185" s="15" t="n">
        <v>43358.8055092593</v>
      </c>
    </row>
    <row r="186" customFormat="false" ht="15" hidden="false" customHeight="false" outlineLevel="0" collapsed="false">
      <c r="F186" s="6" t="s">
        <v>53</v>
      </c>
      <c r="G186" s="0" t="n">
        <v>1</v>
      </c>
      <c r="H186" s="0" t="s">
        <v>91</v>
      </c>
      <c r="I186" s="15" t="n">
        <v>43358.8043634259</v>
      </c>
    </row>
    <row r="187" customFormat="false" ht="15" hidden="false" customHeight="false" outlineLevel="0" collapsed="false">
      <c r="F187" s="6" t="s">
        <v>95</v>
      </c>
      <c r="G187" s="0" t="n">
        <v>1</v>
      </c>
      <c r="H187" s="0" t="s">
        <v>91</v>
      </c>
      <c r="I187" s="15" t="n">
        <v>43358.8042361111</v>
      </c>
    </row>
    <row r="188" customFormat="false" ht="15" hidden="false" customHeight="false" outlineLevel="0" collapsed="false">
      <c r="F188" s="6" t="s">
        <v>41</v>
      </c>
      <c r="G188" s="0" t="n">
        <v>5</v>
      </c>
      <c r="H188" s="0" t="s">
        <v>91</v>
      </c>
      <c r="I188" s="15" t="n">
        <v>43358.8028587963</v>
      </c>
    </row>
    <row r="189" customFormat="false" ht="15" hidden="false" customHeight="false" outlineLevel="0" collapsed="false">
      <c r="F189" s="6" t="s">
        <v>52</v>
      </c>
      <c r="G189" s="0" t="n">
        <v>1</v>
      </c>
      <c r="H189" s="0" t="s">
        <v>91</v>
      </c>
      <c r="I189" s="15" t="n">
        <v>43358.8024305556</v>
      </c>
    </row>
    <row r="190" customFormat="false" ht="15" hidden="false" customHeight="false" outlineLevel="0" collapsed="false">
      <c r="F190" s="6" t="s">
        <v>57</v>
      </c>
      <c r="G190" s="0" t="n">
        <v>3</v>
      </c>
      <c r="H190" s="0" t="s">
        <v>91</v>
      </c>
      <c r="I190" s="15" t="n">
        <v>43358.8021527778</v>
      </c>
    </row>
    <row r="191" customFormat="false" ht="15" hidden="false" customHeight="false" outlineLevel="0" collapsed="false">
      <c r="F191" s="6" t="s">
        <v>45</v>
      </c>
      <c r="G191" s="0" t="n">
        <v>1</v>
      </c>
      <c r="H191" s="0" t="s">
        <v>91</v>
      </c>
      <c r="I191" s="15" t="n">
        <v>43358.8019907407</v>
      </c>
    </row>
    <row r="192" customFormat="false" ht="15" hidden="false" customHeight="false" outlineLevel="0" collapsed="false">
      <c r="F192" s="6" t="s">
        <v>63</v>
      </c>
      <c r="G192" s="0" t="n">
        <v>37</v>
      </c>
      <c r="H192" s="0" t="s">
        <v>91</v>
      </c>
      <c r="I192" s="15" t="n">
        <v>43358.8016898148</v>
      </c>
    </row>
    <row r="193" customFormat="false" ht="15" hidden="false" customHeight="false" outlineLevel="0" collapsed="false">
      <c r="F193" s="6" t="s">
        <v>96</v>
      </c>
      <c r="G193" s="0" t="n">
        <v>1</v>
      </c>
      <c r="H193" s="0" t="s">
        <v>91</v>
      </c>
      <c r="I193" s="15" t="n">
        <v>43358.7979398148</v>
      </c>
    </row>
    <row r="194" customFormat="false" ht="15" hidden="false" customHeight="false" outlineLevel="0" collapsed="false">
      <c r="F194" s="6" t="s">
        <v>97</v>
      </c>
      <c r="G194" s="0" t="n">
        <v>3</v>
      </c>
      <c r="H194" s="0" t="s">
        <v>91</v>
      </c>
      <c r="I194" s="15" t="n">
        <v>43358.7977893519</v>
      </c>
    </row>
    <row r="195" customFormat="false" ht="15" hidden="false" customHeight="false" outlineLevel="0" collapsed="false">
      <c r="F195" s="6" t="s">
        <v>88</v>
      </c>
      <c r="G195" s="0" t="n">
        <v>2</v>
      </c>
      <c r="H195" s="0" t="s">
        <v>91</v>
      </c>
      <c r="I195" s="15" t="n">
        <v>43358.7974652778</v>
      </c>
    </row>
    <row r="196" customFormat="false" ht="15" hidden="false" customHeight="false" outlineLevel="0" collapsed="false">
      <c r="F196" s="6" t="s">
        <v>21</v>
      </c>
      <c r="G196" s="0" t="n">
        <v>2</v>
      </c>
      <c r="H196" s="0" t="s">
        <v>91</v>
      </c>
      <c r="I196" s="15" t="n">
        <v>43358.7972453704</v>
      </c>
    </row>
    <row r="197" customFormat="false" ht="15" hidden="false" customHeight="false" outlineLevel="0" collapsed="false">
      <c r="F197" s="6" t="s">
        <v>25</v>
      </c>
      <c r="G197" s="0" t="n">
        <v>12</v>
      </c>
      <c r="H197" s="0" t="s">
        <v>91</v>
      </c>
      <c r="I197" s="15" t="n">
        <v>43358.7966203704</v>
      </c>
    </row>
    <row r="198" customFormat="false" ht="15" hidden="false" customHeight="false" outlineLevel="0" collapsed="false">
      <c r="F198" s="6" t="s">
        <v>26</v>
      </c>
      <c r="G198" s="0" t="n">
        <v>9</v>
      </c>
      <c r="H198" s="0" t="s">
        <v>91</v>
      </c>
      <c r="I198" s="15" t="n">
        <v>43358.7964467593</v>
      </c>
    </row>
    <row r="199" customFormat="false" ht="15" hidden="false" customHeight="false" outlineLevel="0" collapsed="false">
      <c r="F199" s="6" t="s">
        <v>27</v>
      </c>
      <c r="G199" s="0" t="n">
        <v>6</v>
      </c>
      <c r="H199" s="0" t="s">
        <v>91</v>
      </c>
      <c r="I199" s="15" t="n">
        <v>43358.7962615741</v>
      </c>
    </row>
    <row r="200" customFormat="false" ht="15" hidden="false" customHeight="false" outlineLevel="0" collapsed="false">
      <c r="F200" s="6" t="s">
        <v>21</v>
      </c>
      <c r="G200" s="0" t="n">
        <v>14</v>
      </c>
      <c r="H200" s="0" t="s">
        <v>91</v>
      </c>
      <c r="I200" s="15" t="n">
        <v>43358.7959490741</v>
      </c>
    </row>
    <row r="201" customFormat="false" ht="15" hidden="false" customHeight="false" outlineLevel="0" collapsed="false">
      <c r="F201" s="6" t="s">
        <v>29</v>
      </c>
      <c r="G201" s="0" t="n">
        <v>2</v>
      </c>
      <c r="H201" s="0" t="s">
        <v>91</v>
      </c>
      <c r="I201" s="15" t="n">
        <v>43358.7957060185</v>
      </c>
    </row>
    <row r="202" customFormat="false" ht="15" hidden="false" customHeight="false" outlineLevel="0" collapsed="false">
      <c r="F202" s="6" t="s">
        <v>98</v>
      </c>
      <c r="G202" s="0" t="n">
        <v>1</v>
      </c>
      <c r="H202" s="0" t="s">
        <v>91</v>
      </c>
      <c r="I202" s="15" t="n">
        <v>43358.7955902778</v>
      </c>
    </row>
    <row r="203" customFormat="false" ht="15" hidden="false" customHeight="false" outlineLevel="0" collapsed="false">
      <c r="F203" s="6" t="s">
        <v>99</v>
      </c>
      <c r="G203" s="0" t="n">
        <v>1</v>
      </c>
      <c r="H203" s="0" t="s">
        <v>91</v>
      </c>
      <c r="I203" s="15" t="n">
        <v>43358.7952893519</v>
      </c>
    </row>
    <row r="204" customFormat="false" ht="15" hidden="false" customHeight="false" outlineLevel="0" collapsed="false">
      <c r="F204" s="6" t="s">
        <v>57</v>
      </c>
      <c r="G204" s="0" t="n">
        <v>2</v>
      </c>
      <c r="H204" s="0" t="s">
        <v>91</v>
      </c>
      <c r="I204" s="15" t="n">
        <v>43358.7951388889</v>
      </c>
    </row>
    <row r="205" customFormat="false" ht="15" hidden="false" customHeight="false" outlineLevel="0" collapsed="false">
      <c r="F205" s="6" t="s">
        <v>53</v>
      </c>
      <c r="G205" s="0" t="n">
        <v>3</v>
      </c>
      <c r="H205" s="0" t="s">
        <v>38</v>
      </c>
      <c r="I205" s="15" t="n">
        <v>43358.7950115741</v>
      </c>
    </row>
    <row r="206" customFormat="false" ht="15" hidden="false" customHeight="false" outlineLevel="0" collapsed="false">
      <c r="F206" s="6" t="s">
        <v>55</v>
      </c>
      <c r="G206" s="0" t="n">
        <v>2</v>
      </c>
      <c r="H206" s="0" t="s">
        <v>38</v>
      </c>
      <c r="I206" s="15" t="n">
        <v>43358.7948032407</v>
      </c>
    </row>
    <row r="207" customFormat="false" ht="15" hidden="false" customHeight="false" outlineLevel="0" collapsed="false">
      <c r="F207" s="6" t="s">
        <v>45</v>
      </c>
      <c r="G207" s="0" t="n">
        <v>2</v>
      </c>
      <c r="H207" s="0" t="s">
        <v>91</v>
      </c>
      <c r="I207" s="15" t="n">
        <v>43358.7947916667</v>
      </c>
    </row>
    <row r="208" customFormat="false" ht="15" hidden="false" customHeight="false" outlineLevel="0" collapsed="false">
      <c r="F208" s="6" t="s">
        <v>54</v>
      </c>
      <c r="G208" s="0" t="n">
        <v>5</v>
      </c>
      <c r="H208" s="0" t="s">
        <v>38</v>
      </c>
      <c r="I208" s="15" t="n">
        <v>43358.7945486111</v>
      </c>
    </row>
    <row r="209" customFormat="false" ht="15" hidden="false" customHeight="false" outlineLevel="0" collapsed="false">
      <c r="F209" s="6" t="s">
        <v>28</v>
      </c>
      <c r="G209" s="0" t="n">
        <v>1</v>
      </c>
      <c r="H209" s="0" t="s">
        <v>91</v>
      </c>
      <c r="I209" s="15" t="n">
        <v>43358.7945138889</v>
      </c>
    </row>
    <row r="210" customFormat="false" ht="15" hidden="false" customHeight="false" outlineLevel="0" collapsed="false">
      <c r="F210" s="6" t="s">
        <v>56</v>
      </c>
      <c r="G210" s="0" t="n">
        <v>5</v>
      </c>
      <c r="H210" s="0" t="s">
        <v>38</v>
      </c>
      <c r="I210" s="15" t="n">
        <v>43358.7944212963</v>
      </c>
    </row>
    <row r="211" customFormat="false" ht="15" hidden="false" customHeight="false" outlineLevel="0" collapsed="false">
      <c r="F211" s="6" t="s">
        <v>59</v>
      </c>
      <c r="G211" s="0" t="n">
        <v>1</v>
      </c>
      <c r="H211" s="0" t="s">
        <v>91</v>
      </c>
      <c r="I211" s="15" t="n">
        <v>43358.7942708333</v>
      </c>
    </row>
    <row r="212" customFormat="false" ht="15" hidden="false" customHeight="false" outlineLevel="0" collapsed="false">
      <c r="F212" s="6" t="s">
        <v>77</v>
      </c>
      <c r="G212" s="0" t="n">
        <v>1</v>
      </c>
      <c r="H212" s="0" t="s">
        <v>91</v>
      </c>
      <c r="I212" s="15" t="n">
        <v>43358.7941087963</v>
      </c>
    </row>
    <row r="213" customFormat="false" ht="15" hidden="false" customHeight="false" outlineLevel="0" collapsed="false">
      <c r="F213" s="6" t="s">
        <v>35</v>
      </c>
      <c r="G213" s="0" t="n">
        <v>2</v>
      </c>
      <c r="H213" s="0" t="s">
        <v>38</v>
      </c>
      <c r="I213" s="15" t="n">
        <v>43358.7940972222</v>
      </c>
    </row>
    <row r="214" customFormat="false" ht="15" hidden="false" customHeight="false" outlineLevel="0" collapsed="false">
      <c r="F214" s="6" t="s">
        <v>100</v>
      </c>
      <c r="G214" s="0" t="n">
        <v>1</v>
      </c>
      <c r="H214" s="0" t="s">
        <v>91</v>
      </c>
      <c r="I214" s="15" t="n">
        <v>43358.7940162037</v>
      </c>
    </row>
    <row r="215" customFormat="false" ht="15" hidden="false" customHeight="false" outlineLevel="0" collapsed="false">
      <c r="F215" s="6" t="s">
        <v>59</v>
      </c>
      <c r="G215" s="0" t="n">
        <v>1</v>
      </c>
      <c r="H215" s="0" t="s">
        <v>38</v>
      </c>
      <c r="I215" s="15" t="n">
        <v>43358.7940046296</v>
      </c>
    </row>
    <row r="216" customFormat="false" ht="15" hidden="false" customHeight="false" outlineLevel="0" collapsed="false">
      <c r="F216" s="6" t="s">
        <v>61</v>
      </c>
      <c r="G216" s="0" t="n">
        <v>1</v>
      </c>
      <c r="H216" s="0" t="s">
        <v>91</v>
      </c>
      <c r="I216" s="15" t="n">
        <v>43358.7939236111</v>
      </c>
    </row>
    <row r="217" customFormat="false" ht="15" hidden="false" customHeight="false" outlineLevel="0" collapsed="false">
      <c r="F217" s="6" t="s">
        <v>77</v>
      </c>
      <c r="G217" s="0" t="n">
        <v>1</v>
      </c>
      <c r="H217" s="0" t="s">
        <v>38</v>
      </c>
      <c r="I217" s="15" t="n">
        <v>43358.7938657407</v>
      </c>
    </row>
    <row r="218" customFormat="false" ht="15" hidden="false" customHeight="false" outlineLevel="0" collapsed="false">
      <c r="F218" s="6" t="s">
        <v>80</v>
      </c>
      <c r="G218" s="0" t="n">
        <v>1</v>
      </c>
      <c r="H218" s="0" t="s">
        <v>91</v>
      </c>
      <c r="I218" s="15" t="n">
        <v>43358.7937847222</v>
      </c>
    </row>
    <row r="219" customFormat="false" ht="15" hidden="false" customHeight="false" outlineLevel="0" collapsed="false">
      <c r="F219" s="6" t="s">
        <v>80</v>
      </c>
      <c r="G219" s="0" t="n">
        <v>1</v>
      </c>
      <c r="H219" s="0" t="s">
        <v>38</v>
      </c>
      <c r="I219" s="15" t="n">
        <v>43358.7937384259</v>
      </c>
    </row>
    <row r="220" customFormat="false" ht="15" hidden="false" customHeight="false" outlineLevel="0" collapsed="false">
      <c r="F220" s="6" t="s">
        <v>97</v>
      </c>
      <c r="G220" s="0" t="n">
        <v>2</v>
      </c>
      <c r="H220" s="0" t="s">
        <v>91</v>
      </c>
      <c r="I220" s="15" t="n">
        <v>43358.7936921296</v>
      </c>
    </row>
    <row r="221" customFormat="false" ht="15" hidden="false" customHeight="false" outlineLevel="0" collapsed="false">
      <c r="F221" s="6" t="s">
        <v>67</v>
      </c>
      <c r="G221" s="0" t="n">
        <v>1</v>
      </c>
      <c r="H221" s="0" t="s">
        <v>38</v>
      </c>
      <c r="I221" s="15" t="n">
        <v>43358.7936342593</v>
      </c>
    </row>
    <row r="222" customFormat="false" ht="15" hidden="false" customHeight="false" outlineLevel="0" collapsed="false">
      <c r="F222" s="6" t="s">
        <v>96</v>
      </c>
      <c r="G222" s="0" t="n">
        <v>2</v>
      </c>
      <c r="H222" s="0" t="s">
        <v>91</v>
      </c>
      <c r="I222" s="15" t="n">
        <v>43358.793587963</v>
      </c>
    </row>
    <row r="223" customFormat="false" ht="15" hidden="false" customHeight="false" outlineLevel="0" collapsed="false">
      <c r="F223" s="6" t="s">
        <v>101</v>
      </c>
      <c r="G223" s="0" t="n">
        <v>1</v>
      </c>
      <c r="H223" s="0" t="s">
        <v>38</v>
      </c>
      <c r="I223" s="15" t="n">
        <v>43358.7934953704</v>
      </c>
    </row>
    <row r="224" customFormat="false" ht="15" hidden="false" customHeight="false" outlineLevel="0" collapsed="false">
      <c r="F224" s="6" t="s">
        <v>88</v>
      </c>
      <c r="G224" s="0" t="n">
        <v>1</v>
      </c>
      <c r="H224" s="0" t="s">
        <v>91</v>
      </c>
      <c r="I224" s="15" t="n">
        <v>43358.7933333333</v>
      </c>
    </row>
    <row r="225" customFormat="false" ht="15" hidden="false" customHeight="false" outlineLevel="0" collapsed="false">
      <c r="F225" s="6" t="s">
        <v>88</v>
      </c>
      <c r="G225" s="0" t="n">
        <v>2</v>
      </c>
      <c r="H225" s="0" t="s">
        <v>91</v>
      </c>
      <c r="I225" s="15" t="n">
        <v>43358.7931597222</v>
      </c>
    </row>
    <row r="226" customFormat="false" ht="15" hidden="false" customHeight="false" outlineLevel="0" collapsed="false">
      <c r="F226" s="6" t="s">
        <v>102</v>
      </c>
      <c r="G226" s="0" t="n">
        <v>1</v>
      </c>
      <c r="H226" s="0" t="s">
        <v>38</v>
      </c>
      <c r="I226" s="15" t="n">
        <v>43358.7930555556</v>
      </c>
    </row>
    <row r="227" customFormat="false" ht="15" hidden="false" customHeight="false" outlineLevel="0" collapsed="false">
      <c r="F227" s="6" t="s">
        <v>86</v>
      </c>
      <c r="G227" s="0" t="n">
        <v>2</v>
      </c>
      <c r="H227" s="0" t="s">
        <v>103</v>
      </c>
      <c r="I227" s="15" t="n">
        <v>43358.7929976852</v>
      </c>
    </row>
    <row r="228" customFormat="false" ht="15" hidden="false" customHeight="false" outlineLevel="0" collapsed="false">
      <c r="F228" s="6" t="s">
        <v>25</v>
      </c>
      <c r="G228" s="0" t="n">
        <v>3</v>
      </c>
      <c r="H228" s="0" t="s">
        <v>91</v>
      </c>
      <c r="I228" s="15" t="n">
        <v>43358.7929861111</v>
      </c>
    </row>
    <row r="229" customFormat="false" ht="15" hidden="false" customHeight="false" outlineLevel="0" collapsed="false">
      <c r="F229" s="6" t="s">
        <v>86</v>
      </c>
      <c r="G229" s="0" t="n">
        <v>1</v>
      </c>
      <c r="H229" s="0" t="s">
        <v>38</v>
      </c>
      <c r="I229" s="15" t="n">
        <v>43358.7929166667</v>
      </c>
    </row>
    <row r="230" customFormat="false" ht="15" hidden="false" customHeight="false" outlineLevel="0" collapsed="false">
      <c r="F230" s="6" t="s">
        <v>15</v>
      </c>
      <c r="G230" s="0" t="n">
        <v>9</v>
      </c>
      <c r="H230" s="0" t="s">
        <v>91</v>
      </c>
      <c r="I230" s="15" t="n">
        <v>43358.7928703704</v>
      </c>
    </row>
    <row r="231" customFormat="false" ht="15" hidden="false" customHeight="false" outlineLevel="0" collapsed="false">
      <c r="F231" s="6" t="s">
        <v>27</v>
      </c>
      <c r="G231" s="0" t="n">
        <v>2</v>
      </c>
      <c r="H231" s="0" t="s">
        <v>38</v>
      </c>
      <c r="I231" s="15" t="n">
        <v>43358.7927777778</v>
      </c>
    </row>
    <row r="232" customFormat="false" ht="15" hidden="false" customHeight="false" outlineLevel="0" collapsed="false">
      <c r="F232" s="6" t="s">
        <v>23</v>
      </c>
      <c r="G232" s="0" t="n">
        <v>1</v>
      </c>
      <c r="H232" s="0" t="s">
        <v>103</v>
      </c>
      <c r="I232" s="15" t="n">
        <v>43358.7927430556</v>
      </c>
    </row>
    <row r="233" customFormat="false" ht="15" hidden="false" customHeight="false" outlineLevel="0" collapsed="false">
      <c r="F233" s="6" t="s">
        <v>36</v>
      </c>
      <c r="G233" s="0" t="n">
        <v>2</v>
      </c>
      <c r="H233" s="0" t="s">
        <v>91</v>
      </c>
      <c r="I233" s="15" t="n">
        <v>43358.7926041667</v>
      </c>
    </row>
    <row r="234" customFormat="false" ht="15" hidden="false" customHeight="false" outlineLevel="0" collapsed="false">
      <c r="F234" s="6" t="s">
        <v>18</v>
      </c>
      <c r="G234" s="0" t="n">
        <v>1</v>
      </c>
      <c r="H234" s="0" t="s">
        <v>103</v>
      </c>
      <c r="I234" s="15" t="n">
        <v>43358.7925347222</v>
      </c>
    </row>
    <row r="235" customFormat="false" ht="15" hidden="false" customHeight="false" outlineLevel="0" collapsed="false">
      <c r="F235" s="6" t="s">
        <v>104</v>
      </c>
      <c r="G235" s="0" t="n">
        <v>1</v>
      </c>
      <c r="H235" s="0" t="s">
        <v>103</v>
      </c>
      <c r="I235" s="15" t="n">
        <v>43358.7924421296</v>
      </c>
    </row>
    <row r="236" customFormat="false" ht="15" hidden="false" customHeight="false" outlineLevel="0" collapsed="false">
      <c r="F236" s="6" t="s">
        <v>26</v>
      </c>
      <c r="G236" s="0" t="n">
        <v>5</v>
      </c>
      <c r="H236" s="0" t="s">
        <v>91</v>
      </c>
      <c r="I236" s="15" t="n">
        <v>43358.7924305556</v>
      </c>
    </row>
    <row r="237" customFormat="false" ht="15" hidden="false" customHeight="false" outlineLevel="0" collapsed="false">
      <c r="F237" s="6" t="s">
        <v>82</v>
      </c>
      <c r="G237" s="0" t="n">
        <v>1</v>
      </c>
      <c r="H237" s="0" t="s">
        <v>38</v>
      </c>
      <c r="I237" s="15" t="n">
        <v>43358.7924305556</v>
      </c>
    </row>
    <row r="238" customFormat="false" ht="15" hidden="false" customHeight="false" outlineLevel="0" collapsed="false">
      <c r="F238" s="6" t="s">
        <v>59</v>
      </c>
      <c r="G238" s="0" t="n">
        <v>1</v>
      </c>
      <c r="H238" s="0" t="s">
        <v>103</v>
      </c>
      <c r="I238" s="15" t="n">
        <v>43358.7923726852</v>
      </c>
    </row>
    <row r="239" customFormat="false" ht="15" hidden="false" customHeight="false" outlineLevel="0" collapsed="false">
      <c r="F239" s="6" t="s">
        <v>61</v>
      </c>
      <c r="G239" s="0" t="n">
        <v>1</v>
      </c>
      <c r="H239" s="0" t="s">
        <v>103</v>
      </c>
      <c r="I239" s="15" t="n">
        <v>43358.7922916667</v>
      </c>
    </row>
    <row r="240" customFormat="false" ht="15" hidden="false" customHeight="false" outlineLevel="0" collapsed="false">
      <c r="F240" s="6" t="s">
        <v>41</v>
      </c>
      <c r="G240" s="0" t="n">
        <v>12</v>
      </c>
      <c r="H240" s="0" t="s">
        <v>91</v>
      </c>
      <c r="I240" s="15" t="n">
        <v>43358.7922337963</v>
      </c>
    </row>
    <row r="241" customFormat="false" ht="15" hidden="false" customHeight="false" outlineLevel="0" collapsed="false">
      <c r="F241" s="6" t="s">
        <v>105</v>
      </c>
      <c r="G241" s="0" t="n">
        <v>8</v>
      </c>
      <c r="H241" s="0" t="s">
        <v>103</v>
      </c>
      <c r="I241" s="15" t="n">
        <v>43358.7921643519</v>
      </c>
    </row>
    <row r="242" customFormat="false" ht="15" hidden="false" customHeight="false" outlineLevel="0" collapsed="false">
      <c r="F242" s="6" t="s">
        <v>21</v>
      </c>
      <c r="G242" s="0" t="n">
        <v>2</v>
      </c>
      <c r="H242" s="0" t="s">
        <v>38</v>
      </c>
      <c r="I242" s="15" t="n">
        <v>43358.7920717593</v>
      </c>
    </row>
    <row r="243" customFormat="false" ht="15" hidden="false" customHeight="false" outlineLevel="0" collapsed="false">
      <c r="F243" s="6" t="s">
        <v>43</v>
      </c>
      <c r="G243" s="0" t="n">
        <v>1</v>
      </c>
      <c r="H243" s="0" t="s">
        <v>103</v>
      </c>
      <c r="I243" s="15" t="n">
        <v>43358.7919560185</v>
      </c>
    </row>
    <row r="244" customFormat="false" ht="15" hidden="false" customHeight="false" outlineLevel="0" collapsed="false">
      <c r="F244" s="6" t="s">
        <v>41</v>
      </c>
      <c r="G244" s="0" t="n">
        <v>3</v>
      </c>
      <c r="H244" s="0" t="s">
        <v>38</v>
      </c>
      <c r="I244" s="15" t="n">
        <v>43358.7919560185</v>
      </c>
    </row>
    <row r="245" customFormat="false" ht="15" hidden="false" customHeight="false" outlineLevel="0" collapsed="false">
      <c r="F245" s="6" t="s">
        <v>36</v>
      </c>
      <c r="G245" s="0" t="n">
        <v>4</v>
      </c>
      <c r="H245" s="0" t="s">
        <v>38</v>
      </c>
      <c r="I245" s="15" t="n">
        <v>43358.7918402778</v>
      </c>
    </row>
    <row r="246" customFormat="false" ht="15" hidden="false" customHeight="false" outlineLevel="0" collapsed="false">
      <c r="F246" s="6" t="s">
        <v>26</v>
      </c>
      <c r="G246" s="0" t="n">
        <v>2</v>
      </c>
      <c r="H246" s="0" t="s">
        <v>103</v>
      </c>
      <c r="I246" s="15" t="n">
        <v>43358.7917939815</v>
      </c>
    </row>
    <row r="247" customFormat="false" ht="15" hidden="false" customHeight="false" outlineLevel="0" collapsed="false">
      <c r="F247" s="6" t="s">
        <v>29</v>
      </c>
      <c r="G247" s="0" t="n">
        <v>2</v>
      </c>
      <c r="H247" s="0" t="s">
        <v>103</v>
      </c>
      <c r="I247" s="15" t="n">
        <v>43358.791712963</v>
      </c>
    </row>
    <row r="248" customFormat="false" ht="15" hidden="false" customHeight="false" outlineLevel="0" collapsed="false">
      <c r="F248" s="6" t="s">
        <v>21</v>
      </c>
      <c r="G248" s="0" t="n">
        <v>24</v>
      </c>
      <c r="H248" s="0" t="s">
        <v>91</v>
      </c>
      <c r="I248" s="15" t="n">
        <v>43358.7916782407</v>
      </c>
    </row>
    <row r="249" customFormat="false" ht="15" hidden="false" customHeight="false" outlineLevel="0" collapsed="false">
      <c r="F249" s="6" t="s">
        <v>74</v>
      </c>
      <c r="G249" s="0" t="n">
        <v>1</v>
      </c>
      <c r="H249" s="0" t="s">
        <v>38</v>
      </c>
      <c r="I249" s="15" t="n">
        <v>43358.7916666667</v>
      </c>
    </row>
    <row r="250" customFormat="false" ht="15" hidden="false" customHeight="false" outlineLevel="0" collapsed="false">
      <c r="F250" s="6" t="s">
        <v>31</v>
      </c>
      <c r="G250" s="0" t="n">
        <v>19</v>
      </c>
      <c r="H250" s="0" t="s">
        <v>103</v>
      </c>
      <c r="I250" s="15" t="n">
        <v>43358.7915856482</v>
      </c>
    </row>
    <row r="251" customFormat="false" ht="15" hidden="false" customHeight="false" outlineLevel="0" collapsed="false">
      <c r="F251" s="6" t="s">
        <v>106</v>
      </c>
      <c r="G251" s="0" t="n">
        <v>1</v>
      </c>
      <c r="H251" s="0" t="s">
        <v>38</v>
      </c>
      <c r="I251" s="15" t="n">
        <v>43358.7915625</v>
      </c>
    </row>
    <row r="252" customFormat="false" ht="15" hidden="false" customHeight="false" outlineLevel="0" collapsed="false">
      <c r="F252" s="6" t="s">
        <v>25</v>
      </c>
      <c r="G252" s="0" t="n">
        <v>5</v>
      </c>
      <c r="H252" s="0" t="s">
        <v>91</v>
      </c>
      <c r="I252" s="15" t="n">
        <v>43358.7915393519</v>
      </c>
    </row>
    <row r="253" customFormat="false" ht="15" hidden="false" customHeight="false" outlineLevel="0" collapsed="false">
      <c r="F253" s="6" t="s">
        <v>57</v>
      </c>
      <c r="G253" s="0" t="n">
        <v>5</v>
      </c>
      <c r="H253" s="0" t="s">
        <v>103</v>
      </c>
      <c r="I253" s="15" t="n">
        <v>43358.7915046296</v>
      </c>
    </row>
    <row r="254" customFormat="false" ht="15" hidden="false" customHeight="false" outlineLevel="0" collapsed="false">
      <c r="F254" s="6" t="s">
        <v>41</v>
      </c>
      <c r="G254" s="0" t="n">
        <v>4</v>
      </c>
      <c r="H254" s="0" t="s">
        <v>91</v>
      </c>
      <c r="I254" s="15" t="n">
        <v>43358.7914699074</v>
      </c>
    </row>
    <row r="255" customFormat="false" ht="15" hidden="false" customHeight="false" outlineLevel="0" collapsed="false">
      <c r="F255" s="6" t="s">
        <v>34</v>
      </c>
      <c r="G255" s="0" t="n">
        <v>9</v>
      </c>
      <c r="H255" s="0" t="s">
        <v>91</v>
      </c>
      <c r="I255" s="15" t="n">
        <v>43358.7913888889</v>
      </c>
    </row>
    <row r="256" customFormat="false" ht="15" hidden="false" customHeight="false" outlineLevel="0" collapsed="false">
      <c r="F256" s="6" t="s">
        <v>53</v>
      </c>
      <c r="G256" s="0" t="n">
        <v>12</v>
      </c>
      <c r="H256" s="0" t="s">
        <v>103</v>
      </c>
      <c r="I256" s="15" t="n">
        <v>43358.7913657407</v>
      </c>
    </row>
    <row r="257" customFormat="false" ht="15" hidden="false" customHeight="false" outlineLevel="0" collapsed="false">
      <c r="F257" s="6" t="s">
        <v>26</v>
      </c>
      <c r="G257" s="0" t="n">
        <v>9</v>
      </c>
      <c r="H257" s="0" t="s">
        <v>38</v>
      </c>
      <c r="I257" s="15" t="n">
        <v>43358.7913425926</v>
      </c>
    </row>
    <row r="258" customFormat="false" ht="15" hidden="false" customHeight="false" outlineLevel="0" collapsed="false">
      <c r="F258" s="6" t="s">
        <v>107</v>
      </c>
      <c r="G258" s="0" t="n">
        <v>2</v>
      </c>
      <c r="H258" s="0" t="s">
        <v>38</v>
      </c>
      <c r="I258" s="15" t="n">
        <v>43358.7912037037</v>
      </c>
    </row>
    <row r="259" customFormat="false" ht="15" hidden="false" customHeight="false" outlineLevel="0" collapsed="false">
      <c r="F259" s="6" t="s">
        <v>80</v>
      </c>
      <c r="G259" s="0" t="n">
        <v>2</v>
      </c>
      <c r="H259" s="0" t="s">
        <v>103</v>
      </c>
      <c r="I259" s="15" t="n">
        <v>43358.791087963</v>
      </c>
    </row>
    <row r="260" customFormat="false" ht="15" hidden="false" customHeight="false" outlineLevel="0" collapsed="false">
      <c r="F260" s="6" t="s">
        <v>108</v>
      </c>
      <c r="G260" s="0" t="n">
        <v>1</v>
      </c>
      <c r="H260" s="0" t="s">
        <v>109</v>
      </c>
      <c r="I260" s="15" t="n">
        <v>43358.7910532407</v>
      </c>
    </row>
    <row r="261" customFormat="false" ht="15" hidden="false" customHeight="false" outlineLevel="0" collapsed="false">
      <c r="F261" s="6" t="s">
        <v>101</v>
      </c>
      <c r="G261" s="0" t="n">
        <v>3</v>
      </c>
      <c r="H261" s="0" t="s">
        <v>103</v>
      </c>
      <c r="I261" s="15" t="n">
        <v>43358.7910069445</v>
      </c>
    </row>
    <row r="262" customFormat="false" ht="15" hidden="false" customHeight="false" outlineLevel="0" collapsed="false">
      <c r="F262" s="6" t="s">
        <v>63</v>
      </c>
      <c r="G262" s="0" t="n">
        <v>2</v>
      </c>
      <c r="H262" s="0" t="s">
        <v>38</v>
      </c>
      <c r="I262" s="15" t="n">
        <v>43358.7909722222</v>
      </c>
    </row>
    <row r="263" customFormat="false" ht="15" hidden="false" customHeight="false" outlineLevel="0" collapsed="false">
      <c r="F263" s="6" t="s">
        <v>110</v>
      </c>
      <c r="G263" s="0" t="n">
        <v>1</v>
      </c>
      <c r="H263" s="0" t="s">
        <v>109</v>
      </c>
      <c r="I263" s="15" t="n">
        <v>43358.7909606482</v>
      </c>
    </row>
    <row r="264" customFormat="false" ht="15" hidden="false" customHeight="false" outlineLevel="0" collapsed="false">
      <c r="F264" s="6" t="s">
        <v>111</v>
      </c>
      <c r="G264" s="0" t="n">
        <v>1</v>
      </c>
      <c r="H264" s="0" t="s">
        <v>103</v>
      </c>
      <c r="I264" s="15" t="n">
        <v>43358.7909375</v>
      </c>
    </row>
    <row r="265" customFormat="false" ht="15" hidden="false" customHeight="false" outlineLevel="0" collapsed="false">
      <c r="F265" s="6" t="s">
        <v>96</v>
      </c>
      <c r="G265" s="0" t="n">
        <v>5</v>
      </c>
      <c r="H265" s="0" t="s">
        <v>103</v>
      </c>
      <c r="I265" s="15" t="n">
        <v>43358.7908680556</v>
      </c>
    </row>
    <row r="266" customFormat="false" ht="15" hidden="false" customHeight="false" outlineLevel="0" collapsed="false">
      <c r="F266" s="6" t="s">
        <v>77</v>
      </c>
      <c r="G266" s="0" t="n">
        <v>1</v>
      </c>
      <c r="H266" s="0" t="s">
        <v>109</v>
      </c>
      <c r="I266" s="15" t="n">
        <v>43358.7906944445</v>
      </c>
    </row>
    <row r="267" customFormat="false" ht="15" hidden="false" customHeight="false" outlineLevel="0" collapsed="false">
      <c r="F267" s="6" t="s">
        <v>112</v>
      </c>
      <c r="G267" s="0" t="n">
        <v>1</v>
      </c>
      <c r="H267" s="0" t="s">
        <v>38</v>
      </c>
      <c r="I267" s="15" t="n">
        <v>43358.7906597222</v>
      </c>
    </row>
    <row r="268" customFormat="false" ht="15" hidden="false" customHeight="false" outlineLevel="0" collapsed="false">
      <c r="F268" s="6" t="s">
        <v>96</v>
      </c>
      <c r="G268" s="0" t="n">
        <v>1</v>
      </c>
      <c r="H268" s="0" t="s">
        <v>103</v>
      </c>
      <c r="I268" s="15" t="n">
        <v>43358.7906018519</v>
      </c>
    </row>
    <row r="269" customFormat="false" ht="15" hidden="false" customHeight="false" outlineLevel="0" collapsed="false">
      <c r="F269" s="6" t="s">
        <v>36</v>
      </c>
      <c r="G269" s="0" t="n">
        <v>1</v>
      </c>
      <c r="H269" s="0" t="s">
        <v>109</v>
      </c>
      <c r="I269" s="15" t="n">
        <v>43358.7906018519</v>
      </c>
    </row>
    <row r="270" customFormat="false" ht="15" hidden="false" customHeight="false" outlineLevel="0" collapsed="false">
      <c r="F270" s="6" t="s">
        <v>72</v>
      </c>
      <c r="G270" s="0" t="n">
        <v>1</v>
      </c>
      <c r="H270" s="0" t="s">
        <v>109</v>
      </c>
      <c r="I270" s="15" t="n">
        <v>43358.7905208333</v>
      </c>
    </row>
    <row r="271" customFormat="false" ht="15" hidden="false" customHeight="false" outlineLevel="0" collapsed="false">
      <c r="F271" s="6" t="s">
        <v>107</v>
      </c>
      <c r="G271" s="0" t="n">
        <v>5</v>
      </c>
      <c r="H271" s="0" t="s">
        <v>38</v>
      </c>
      <c r="I271" s="15" t="n">
        <v>43358.7905092593</v>
      </c>
    </row>
    <row r="272" customFormat="false" ht="15" hidden="false" customHeight="false" outlineLevel="0" collapsed="false">
      <c r="F272" s="6" t="s">
        <v>113</v>
      </c>
      <c r="G272" s="0" t="n">
        <v>1</v>
      </c>
      <c r="H272" s="0" t="s">
        <v>103</v>
      </c>
      <c r="I272" s="15" t="n">
        <v>43358.7903703704</v>
      </c>
    </row>
    <row r="273" customFormat="false" ht="15" hidden="false" customHeight="false" outlineLevel="0" collapsed="false">
      <c r="F273" s="6" t="s">
        <v>25</v>
      </c>
      <c r="G273" s="0" t="n">
        <v>16</v>
      </c>
      <c r="H273" s="0" t="s">
        <v>91</v>
      </c>
      <c r="I273" s="15" t="n">
        <v>43358.7902314815</v>
      </c>
    </row>
    <row r="274" customFormat="false" ht="15" hidden="false" customHeight="false" outlineLevel="0" collapsed="false">
      <c r="F274" s="6" t="s">
        <v>114</v>
      </c>
      <c r="G274" s="0" t="n">
        <v>1</v>
      </c>
      <c r="H274" s="0" t="s">
        <v>38</v>
      </c>
      <c r="I274" s="15" t="n">
        <v>43358.7902199074</v>
      </c>
    </row>
    <row r="275" customFormat="false" ht="15" hidden="false" customHeight="false" outlineLevel="0" collapsed="false">
      <c r="F275" s="6" t="s">
        <v>57</v>
      </c>
      <c r="G275" s="0" t="n">
        <v>13</v>
      </c>
      <c r="H275" s="0" t="s">
        <v>38</v>
      </c>
      <c r="I275" s="15" t="n">
        <v>43358.7901273148</v>
      </c>
    </row>
    <row r="276" customFormat="false" ht="15" hidden="false" customHeight="false" outlineLevel="0" collapsed="false">
      <c r="F276" s="6" t="s">
        <v>88</v>
      </c>
      <c r="G276" s="0" t="n">
        <v>2</v>
      </c>
      <c r="H276" s="0" t="s">
        <v>103</v>
      </c>
      <c r="I276" s="15" t="n">
        <v>43358.7901157407</v>
      </c>
    </row>
    <row r="277" customFormat="false" ht="15" hidden="false" customHeight="false" outlineLevel="0" collapsed="false">
      <c r="F277" s="6" t="s">
        <v>31</v>
      </c>
      <c r="G277" s="0" t="n">
        <v>12</v>
      </c>
      <c r="H277" s="0" t="s">
        <v>91</v>
      </c>
      <c r="I277" s="15" t="n">
        <v>43358.7901041667</v>
      </c>
    </row>
    <row r="278" customFormat="false" ht="15" hidden="false" customHeight="false" outlineLevel="0" collapsed="false">
      <c r="F278" s="6" t="s">
        <v>88</v>
      </c>
      <c r="G278" s="0" t="n">
        <v>2</v>
      </c>
      <c r="H278" s="0" t="s">
        <v>103</v>
      </c>
      <c r="I278" s="15" t="n">
        <v>43358.7900462963</v>
      </c>
    </row>
    <row r="279" customFormat="false" ht="15" hidden="false" customHeight="false" outlineLevel="0" collapsed="false">
      <c r="F279" s="6" t="s">
        <v>34</v>
      </c>
      <c r="G279" s="0" t="n">
        <v>12</v>
      </c>
      <c r="H279" s="0" t="s">
        <v>38</v>
      </c>
      <c r="I279" s="15" t="n">
        <v>43358.7899652778</v>
      </c>
    </row>
    <row r="280" customFormat="false" ht="15" hidden="false" customHeight="false" outlineLevel="0" collapsed="false">
      <c r="F280" s="6" t="s">
        <v>27</v>
      </c>
      <c r="G280" s="0" t="n">
        <v>11</v>
      </c>
      <c r="H280" s="0" t="s">
        <v>91</v>
      </c>
      <c r="I280" s="15" t="n">
        <v>43358.7898842593</v>
      </c>
    </row>
    <row r="281" customFormat="false" ht="15" hidden="false" customHeight="false" outlineLevel="0" collapsed="false">
      <c r="F281" s="6" t="s">
        <v>37</v>
      </c>
      <c r="G281" s="0" t="n">
        <v>8</v>
      </c>
      <c r="H281" s="0" t="s">
        <v>38</v>
      </c>
      <c r="I281" s="15" t="n">
        <v>43358.7898842593</v>
      </c>
    </row>
    <row r="282" customFormat="false" ht="15" hidden="false" customHeight="false" outlineLevel="0" collapsed="false">
      <c r="F282" s="6" t="s">
        <v>59</v>
      </c>
      <c r="G282" s="0" t="n">
        <v>1</v>
      </c>
      <c r="H282" s="0" t="s">
        <v>16</v>
      </c>
      <c r="I282" s="15" t="n">
        <v>43358.7896875</v>
      </c>
    </row>
    <row r="283" customFormat="false" ht="15" hidden="false" customHeight="false" outlineLevel="0" collapsed="false">
      <c r="F283" s="6" t="s">
        <v>27</v>
      </c>
      <c r="G283" s="0" t="n">
        <v>14</v>
      </c>
      <c r="H283" s="0" t="s">
        <v>103</v>
      </c>
      <c r="I283" s="15" t="n">
        <v>43358.7895949074</v>
      </c>
    </row>
    <row r="284" customFormat="false" ht="15" hidden="false" customHeight="false" outlineLevel="0" collapsed="false">
      <c r="F284" s="6" t="s">
        <v>76</v>
      </c>
      <c r="G284" s="0" t="n">
        <v>1</v>
      </c>
      <c r="H284" s="0" t="s">
        <v>16</v>
      </c>
      <c r="I284" s="15" t="n">
        <v>43358.7895717593</v>
      </c>
    </row>
    <row r="285" customFormat="false" ht="15" hidden="false" customHeight="false" outlineLevel="0" collapsed="false">
      <c r="F285" s="6" t="s">
        <v>115</v>
      </c>
      <c r="G285" s="0" t="n">
        <v>1</v>
      </c>
      <c r="H285" s="0" t="s">
        <v>16</v>
      </c>
      <c r="I285" s="15" t="n">
        <v>43358.7894444444</v>
      </c>
    </row>
    <row r="286" customFormat="false" ht="15" hidden="false" customHeight="false" outlineLevel="0" collapsed="false">
      <c r="F286" s="6" t="s">
        <v>51</v>
      </c>
      <c r="G286" s="0" t="n">
        <v>1</v>
      </c>
      <c r="H286" s="0" t="s">
        <v>16</v>
      </c>
      <c r="I286" s="15" t="n">
        <v>43358.7893287037</v>
      </c>
    </row>
    <row r="287" customFormat="false" ht="15" hidden="false" customHeight="false" outlineLevel="0" collapsed="false">
      <c r="F287" s="6" t="s">
        <v>41</v>
      </c>
      <c r="G287" s="0" t="n">
        <v>27</v>
      </c>
      <c r="H287" s="0" t="s">
        <v>103</v>
      </c>
      <c r="I287" s="15" t="n">
        <v>43358.7893055556</v>
      </c>
    </row>
    <row r="288" customFormat="false" ht="15" hidden="false" customHeight="false" outlineLevel="0" collapsed="false">
      <c r="F288" s="6" t="s">
        <v>50</v>
      </c>
      <c r="G288" s="0" t="n">
        <v>2</v>
      </c>
      <c r="H288" s="0" t="s">
        <v>16</v>
      </c>
      <c r="I288" s="15" t="n">
        <v>43358.7890972222</v>
      </c>
    </row>
    <row r="289" customFormat="false" ht="15" hidden="false" customHeight="false" outlineLevel="0" collapsed="false">
      <c r="F289" s="6" t="s">
        <v>28</v>
      </c>
      <c r="G289" s="0" t="n">
        <v>5</v>
      </c>
      <c r="H289" s="0" t="s">
        <v>103</v>
      </c>
      <c r="I289" s="15" t="n">
        <v>43358.7890740741</v>
      </c>
    </row>
    <row r="290" customFormat="false" ht="15" hidden="false" customHeight="false" outlineLevel="0" collapsed="false">
      <c r="F290" s="6" t="s">
        <v>78</v>
      </c>
      <c r="G290" s="0" t="n">
        <v>1</v>
      </c>
      <c r="H290" s="0" t="s">
        <v>16</v>
      </c>
      <c r="I290" s="15" t="n">
        <v>43358.7889583333</v>
      </c>
    </row>
    <row r="291" customFormat="false" ht="15" hidden="false" customHeight="false" outlineLevel="0" collapsed="false">
      <c r="F291" s="6" t="s">
        <v>25</v>
      </c>
      <c r="G291" s="0" t="n">
        <v>14</v>
      </c>
      <c r="H291" s="0" t="s">
        <v>103</v>
      </c>
      <c r="I291" s="15" t="n">
        <v>43358.7888425926</v>
      </c>
    </row>
    <row r="292" customFormat="false" ht="15" hidden="false" customHeight="false" outlineLevel="0" collapsed="false">
      <c r="F292" s="6" t="s">
        <v>116</v>
      </c>
      <c r="G292" s="0" t="n">
        <v>3</v>
      </c>
      <c r="H292" s="0" t="s">
        <v>16</v>
      </c>
      <c r="I292" s="15" t="n">
        <v>43358.7886921296</v>
      </c>
    </row>
    <row r="293" customFormat="false" ht="15" hidden="false" customHeight="false" outlineLevel="0" collapsed="false">
      <c r="F293" s="6" t="s">
        <v>31</v>
      </c>
      <c r="G293" s="0" t="n">
        <v>2</v>
      </c>
      <c r="H293" s="0" t="s">
        <v>16</v>
      </c>
      <c r="I293" s="15" t="n">
        <v>43358.788587963</v>
      </c>
    </row>
    <row r="294" customFormat="false" ht="15" hidden="false" customHeight="false" outlineLevel="0" collapsed="false">
      <c r="F294" s="6" t="s">
        <v>21</v>
      </c>
      <c r="G294" s="0" t="n">
        <v>16</v>
      </c>
      <c r="H294" s="0" t="s">
        <v>103</v>
      </c>
      <c r="I294" s="15" t="n">
        <v>43358.7883564815</v>
      </c>
    </row>
    <row r="295" customFormat="false" ht="15" hidden="false" customHeight="false" outlineLevel="0" collapsed="false">
      <c r="F295" s="6" t="s">
        <v>117</v>
      </c>
      <c r="G295" s="0" t="n">
        <v>1</v>
      </c>
      <c r="H295" s="0" t="s">
        <v>16</v>
      </c>
      <c r="I295" s="15" t="n">
        <v>43358.7883101852</v>
      </c>
    </row>
    <row r="296" customFormat="false" ht="15" hidden="false" customHeight="false" outlineLevel="0" collapsed="false">
      <c r="F296" s="6" t="s">
        <v>118</v>
      </c>
      <c r="G296" s="0" t="n">
        <v>2</v>
      </c>
      <c r="H296" s="0" t="s">
        <v>16</v>
      </c>
      <c r="I296" s="15" t="n">
        <v>43358.7880324074</v>
      </c>
    </row>
    <row r="297" customFormat="false" ht="15" hidden="false" customHeight="false" outlineLevel="0" collapsed="false">
      <c r="F297" s="6" t="s">
        <v>21</v>
      </c>
      <c r="G297" s="0" t="n">
        <v>12</v>
      </c>
      <c r="H297" s="0" t="s">
        <v>103</v>
      </c>
      <c r="I297" s="15" t="n">
        <v>43358.7879976852</v>
      </c>
    </row>
    <row r="298" customFormat="false" ht="15" hidden="false" customHeight="false" outlineLevel="0" collapsed="false">
      <c r="F298" s="6" t="s">
        <v>119</v>
      </c>
      <c r="G298" s="0" t="n">
        <v>1</v>
      </c>
      <c r="H298" s="0" t="s">
        <v>16</v>
      </c>
      <c r="I298" s="15" t="n">
        <v>43358.7879513889</v>
      </c>
    </row>
    <row r="299" customFormat="false" ht="15" hidden="false" customHeight="false" outlineLevel="0" collapsed="false">
      <c r="F299" s="6" t="s">
        <v>29</v>
      </c>
      <c r="G299" s="0" t="n">
        <v>1</v>
      </c>
      <c r="H299" s="0" t="s">
        <v>16</v>
      </c>
      <c r="I299" s="15" t="n">
        <v>43358.7877430556</v>
      </c>
    </row>
    <row r="300" customFormat="false" ht="15" hidden="false" customHeight="false" outlineLevel="0" collapsed="false">
      <c r="F300" s="6" t="s">
        <v>15</v>
      </c>
      <c r="G300" s="0" t="n">
        <v>11</v>
      </c>
      <c r="H300" s="0" t="s">
        <v>103</v>
      </c>
      <c r="I300" s="15" t="n">
        <v>43358.7876736111</v>
      </c>
    </row>
    <row r="301" customFormat="false" ht="15" hidden="false" customHeight="false" outlineLevel="0" collapsed="false">
      <c r="F301" s="6" t="s">
        <v>120</v>
      </c>
      <c r="G301" s="0" t="n">
        <v>1</v>
      </c>
      <c r="H301" s="0" t="s">
        <v>16</v>
      </c>
      <c r="I301" s="15" t="n">
        <v>43358.7876273148</v>
      </c>
    </row>
    <row r="302" customFormat="false" ht="15" hidden="false" customHeight="false" outlineLevel="0" collapsed="false">
      <c r="F302" s="6" t="s">
        <v>72</v>
      </c>
      <c r="G302" s="0" t="n">
        <v>2</v>
      </c>
      <c r="H302" s="0" t="s">
        <v>103</v>
      </c>
      <c r="I302" s="15" t="n">
        <v>43358.7875925926</v>
      </c>
    </row>
    <row r="303" customFormat="false" ht="15" hidden="false" customHeight="false" outlineLevel="0" collapsed="false">
      <c r="F303" s="6" t="s">
        <v>121</v>
      </c>
      <c r="G303" s="0" t="n">
        <v>1</v>
      </c>
      <c r="H303" s="0" t="s">
        <v>16</v>
      </c>
      <c r="I303" s="15" t="n">
        <v>43358.7874768519</v>
      </c>
    </row>
    <row r="304" customFormat="false" ht="15" hidden="false" customHeight="false" outlineLevel="0" collapsed="false">
      <c r="F304" s="6" t="s">
        <v>33</v>
      </c>
      <c r="G304" s="0" t="n">
        <v>1</v>
      </c>
      <c r="H304" s="0" t="s">
        <v>103</v>
      </c>
      <c r="I304" s="15" t="n">
        <v>43358.7874537037</v>
      </c>
    </row>
    <row r="305" customFormat="false" ht="15" hidden="false" customHeight="false" outlineLevel="0" collapsed="false">
      <c r="F305" s="6" t="s">
        <v>122</v>
      </c>
      <c r="G305" s="0" t="n">
        <v>3</v>
      </c>
      <c r="H305" s="0" t="s">
        <v>109</v>
      </c>
      <c r="I305" s="15" t="n">
        <v>43358.7873842593</v>
      </c>
    </row>
    <row r="306" customFormat="false" ht="15" hidden="false" customHeight="false" outlineLevel="0" collapsed="false">
      <c r="F306" s="6" t="s">
        <v>31</v>
      </c>
      <c r="G306" s="0" t="n">
        <v>16</v>
      </c>
      <c r="H306" s="0" t="s">
        <v>103</v>
      </c>
      <c r="I306" s="15" t="n">
        <v>43358.7872685185</v>
      </c>
    </row>
    <row r="307" customFormat="false" ht="15" hidden="false" customHeight="false" outlineLevel="0" collapsed="false">
      <c r="F307" s="6" t="s">
        <v>25</v>
      </c>
      <c r="G307" s="0" t="n">
        <v>3</v>
      </c>
      <c r="H307" s="0" t="s">
        <v>109</v>
      </c>
      <c r="I307" s="15" t="n">
        <v>43358.7871875</v>
      </c>
    </row>
    <row r="308" customFormat="false" ht="15" hidden="false" customHeight="false" outlineLevel="0" collapsed="false">
      <c r="F308" s="6" t="s">
        <v>31</v>
      </c>
      <c r="G308" s="0" t="n">
        <v>25</v>
      </c>
      <c r="H308" s="0" t="s">
        <v>103</v>
      </c>
      <c r="I308" s="15" t="n">
        <v>43358.7871759259</v>
      </c>
    </row>
    <row r="309" customFormat="false" ht="15" hidden="false" customHeight="false" outlineLevel="0" collapsed="false">
      <c r="F309" s="6" t="s">
        <v>107</v>
      </c>
      <c r="G309" s="0" t="n">
        <v>41</v>
      </c>
      <c r="H309" s="0" t="s">
        <v>103</v>
      </c>
      <c r="I309" s="15" t="n">
        <v>43358.7870949074</v>
      </c>
    </row>
    <row r="310" customFormat="false" ht="15" hidden="false" customHeight="false" outlineLevel="0" collapsed="false">
      <c r="F310" s="6" t="s">
        <v>67</v>
      </c>
      <c r="G310" s="0" t="n">
        <v>1</v>
      </c>
      <c r="H310" s="0" t="s">
        <v>16</v>
      </c>
      <c r="I310" s="15" t="n">
        <v>43358.7870949074</v>
      </c>
    </row>
    <row r="311" customFormat="false" ht="15" hidden="false" customHeight="false" outlineLevel="0" collapsed="false">
      <c r="F311" s="6" t="s">
        <v>41</v>
      </c>
      <c r="G311" s="0" t="n">
        <v>4</v>
      </c>
      <c r="H311" s="0" t="s">
        <v>109</v>
      </c>
      <c r="I311" s="15" t="n">
        <v>43358.787025463</v>
      </c>
    </row>
    <row r="312" customFormat="false" ht="15" hidden="false" customHeight="false" outlineLevel="0" collapsed="false">
      <c r="F312" s="6" t="s">
        <v>107</v>
      </c>
      <c r="G312" s="0" t="n">
        <v>1</v>
      </c>
      <c r="H312" s="0" t="s">
        <v>103</v>
      </c>
      <c r="I312" s="15" t="n">
        <v>43358.7869907407</v>
      </c>
    </row>
    <row r="313" customFormat="false" ht="15" hidden="false" customHeight="false" outlineLevel="0" collapsed="false">
      <c r="F313" s="6" t="s">
        <v>123</v>
      </c>
      <c r="G313" s="0" t="n">
        <v>1</v>
      </c>
      <c r="H313" s="0" t="s">
        <v>16</v>
      </c>
      <c r="I313" s="15" t="n">
        <v>43358.7869907407</v>
      </c>
    </row>
    <row r="314" customFormat="false" ht="15" hidden="false" customHeight="false" outlineLevel="0" collapsed="false">
      <c r="F314" s="6" t="s">
        <v>18</v>
      </c>
      <c r="G314" s="0" t="n">
        <v>1</v>
      </c>
      <c r="H314" s="0" t="s">
        <v>109</v>
      </c>
      <c r="I314" s="15" t="n">
        <v>43358.7869212963</v>
      </c>
    </row>
    <row r="315" customFormat="false" ht="15" hidden="false" customHeight="false" outlineLevel="0" collapsed="false">
      <c r="F315" s="6" t="s">
        <v>39</v>
      </c>
      <c r="G315" s="0" t="n">
        <v>1</v>
      </c>
      <c r="H315" s="0" t="s">
        <v>109</v>
      </c>
      <c r="I315" s="15" t="n">
        <v>43358.7868287037</v>
      </c>
    </row>
    <row r="316" customFormat="false" ht="15" hidden="false" customHeight="false" outlineLevel="0" collapsed="false">
      <c r="F316" s="6" t="s">
        <v>40</v>
      </c>
      <c r="G316" s="0" t="n">
        <v>1</v>
      </c>
      <c r="H316" s="0" t="s">
        <v>109</v>
      </c>
      <c r="I316" s="15" t="n">
        <v>43358.786724537</v>
      </c>
    </row>
    <row r="317" customFormat="false" ht="15" hidden="false" customHeight="false" outlineLevel="0" collapsed="false">
      <c r="F317" s="6" t="s">
        <v>19</v>
      </c>
      <c r="G317" s="0" t="n">
        <v>1</v>
      </c>
      <c r="H317" s="0" t="s">
        <v>109</v>
      </c>
      <c r="I317" s="15" t="n">
        <v>43358.7865972222</v>
      </c>
    </row>
    <row r="318" customFormat="false" ht="15" hidden="false" customHeight="false" outlineLevel="0" collapsed="false">
      <c r="F318" s="6" t="s">
        <v>25</v>
      </c>
      <c r="G318" s="0" t="n">
        <v>17</v>
      </c>
      <c r="H318" s="0" t="s">
        <v>103</v>
      </c>
      <c r="I318" s="15" t="n">
        <v>43358.7865162037</v>
      </c>
    </row>
    <row r="319" customFormat="false" ht="15" hidden="false" customHeight="false" outlineLevel="0" collapsed="false">
      <c r="F319" s="6" t="s">
        <v>71</v>
      </c>
      <c r="G319" s="0" t="n">
        <v>1</v>
      </c>
      <c r="H319" s="0" t="s">
        <v>109</v>
      </c>
      <c r="I319" s="15" t="n">
        <v>43358.7865046296</v>
      </c>
    </row>
    <row r="320" customFormat="false" ht="15" hidden="false" customHeight="false" outlineLevel="0" collapsed="false">
      <c r="F320" s="6" t="s">
        <v>12</v>
      </c>
      <c r="G320" s="0" t="n">
        <v>1</v>
      </c>
      <c r="H320" s="0" t="s">
        <v>109</v>
      </c>
      <c r="I320" s="15" t="n">
        <v>43358.7863888889</v>
      </c>
    </row>
    <row r="321" customFormat="false" ht="15" hidden="false" customHeight="false" outlineLevel="0" collapsed="false">
      <c r="F321" s="6" t="s">
        <v>34</v>
      </c>
      <c r="G321" s="0" t="n">
        <v>17</v>
      </c>
      <c r="H321" s="0" t="s">
        <v>103</v>
      </c>
      <c r="I321" s="15" t="n">
        <v>43358.7863657407</v>
      </c>
    </row>
    <row r="322" customFormat="false" ht="15" hidden="false" customHeight="false" outlineLevel="0" collapsed="false">
      <c r="F322" s="6" t="s">
        <v>76</v>
      </c>
      <c r="G322" s="0" t="n">
        <v>1</v>
      </c>
      <c r="H322" s="0" t="s">
        <v>16</v>
      </c>
      <c r="I322" s="15" t="n">
        <v>43358.7863194444</v>
      </c>
    </row>
    <row r="323" customFormat="false" ht="15" hidden="false" customHeight="false" outlineLevel="0" collapsed="false">
      <c r="F323" s="6" t="s">
        <v>27</v>
      </c>
      <c r="G323" s="0" t="n">
        <v>2</v>
      </c>
      <c r="H323" s="0" t="s">
        <v>109</v>
      </c>
      <c r="I323" s="15" t="n">
        <v>43358.7862847222</v>
      </c>
    </row>
    <row r="324" customFormat="false" ht="15" hidden="false" customHeight="false" outlineLevel="0" collapsed="false">
      <c r="F324" s="6" t="s">
        <v>21</v>
      </c>
      <c r="G324" s="0" t="n">
        <v>3</v>
      </c>
      <c r="H324" s="0" t="s">
        <v>16</v>
      </c>
      <c r="I324" s="15" t="n">
        <v>43358.7861921296</v>
      </c>
    </row>
    <row r="325" customFormat="false" ht="15" hidden="false" customHeight="false" outlineLevel="0" collapsed="false">
      <c r="F325" s="6" t="s">
        <v>89</v>
      </c>
      <c r="G325" s="0" t="n">
        <v>1</v>
      </c>
      <c r="H325" s="0" t="s">
        <v>124</v>
      </c>
      <c r="I325" s="15" t="n">
        <v>43358.7861458333</v>
      </c>
    </row>
    <row r="326" customFormat="false" ht="15" hidden="false" customHeight="false" outlineLevel="0" collapsed="false">
      <c r="F326" s="6" t="s">
        <v>40</v>
      </c>
      <c r="G326" s="0" t="n">
        <v>1</v>
      </c>
      <c r="H326" s="0" t="s">
        <v>16</v>
      </c>
      <c r="I326" s="15" t="n">
        <v>43358.7860763889</v>
      </c>
    </row>
    <row r="327" customFormat="false" ht="15" hidden="false" customHeight="false" outlineLevel="0" collapsed="false">
      <c r="F327" s="6" t="s">
        <v>18</v>
      </c>
      <c r="G327" s="0" t="n">
        <v>1</v>
      </c>
      <c r="H327" s="0" t="s">
        <v>124</v>
      </c>
      <c r="I327" s="15" t="n">
        <v>43358.7860648148</v>
      </c>
    </row>
    <row r="328" customFormat="false" ht="15" hidden="false" customHeight="false" outlineLevel="0" collapsed="false">
      <c r="F328" s="6" t="s">
        <v>125</v>
      </c>
      <c r="G328" s="0" t="n">
        <v>1</v>
      </c>
      <c r="H328" s="0" t="s">
        <v>124</v>
      </c>
      <c r="I328" s="15" t="n">
        <v>43358.7860069444</v>
      </c>
    </row>
    <row r="329" customFormat="false" ht="15" hidden="false" customHeight="false" outlineLevel="0" collapsed="false">
      <c r="F329" s="6" t="s">
        <v>53</v>
      </c>
      <c r="G329" s="0" t="n">
        <v>1</v>
      </c>
      <c r="H329" s="0" t="s">
        <v>124</v>
      </c>
      <c r="I329" s="15" t="n">
        <v>43358.7859375</v>
      </c>
    </row>
    <row r="330" customFormat="false" ht="15" hidden="false" customHeight="false" outlineLevel="0" collapsed="false">
      <c r="F330" s="6" t="s">
        <v>57</v>
      </c>
      <c r="G330" s="0" t="n">
        <v>1</v>
      </c>
      <c r="H330" s="0" t="s">
        <v>124</v>
      </c>
      <c r="I330" s="15" t="n">
        <v>43358.7858796296</v>
      </c>
    </row>
    <row r="331" customFormat="false" ht="15" hidden="false" customHeight="false" outlineLevel="0" collapsed="false">
      <c r="F331" s="6" t="s">
        <v>29</v>
      </c>
      <c r="G331" s="0" t="n">
        <v>3</v>
      </c>
      <c r="H331" s="0" t="s">
        <v>109</v>
      </c>
      <c r="I331" s="15" t="n">
        <v>43358.7858449074</v>
      </c>
    </row>
    <row r="332" customFormat="false" ht="15" hidden="false" customHeight="false" outlineLevel="0" collapsed="false">
      <c r="F332" s="6" t="s">
        <v>34</v>
      </c>
      <c r="G332" s="0" t="n">
        <v>17</v>
      </c>
      <c r="H332" s="0" t="s">
        <v>16</v>
      </c>
      <c r="I332" s="15" t="n">
        <v>43358.7858449074</v>
      </c>
    </row>
    <row r="333" customFormat="false" ht="15" hidden="false" customHeight="false" outlineLevel="0" collapsed="false">
      <c r="F333" s="6" t="s">
        <v>30</v>
      </c>
      <c r="G333" s="0" t="n">
        <v>1</v>
      </c>
      <c r="H333" s="0" t="s">
        <v>109</v>
      </c>
      <c r="I333" s="15" t="n">
        <v>43358.7857407407</v>
      </c>
    </row>
    <row r="334" customFormat="false" ht="15" hidden="false" customHeight="false" outlineLevel="0" collapsed="false">
      <c r="F334" s="6" t="s">
        <v>41</v>
      </c>
      <c r="G334" s="0" t="n">
        <v>1</v>
      </c>
      <c r="H334" s="0" t="s">
        <v>124</v>
      </c>
      <c r="I334" s="15" t="n">
        <v>43358.7857175926</v>
      </c>
    </row>
    <row r="335" customFormat="false" ht="15" hidden="false" customHeight="false" outlineLevel="0" collapsed="false">
      <c r="F335" s="6" t="s">
        <v>121</v>
      </c>
      <c r="G335" s="0" t="n">
        <v>2</v>
      </c>
      <c r="H335" s="0" t="s">
        <v>109</v>
      </c>
      <c r="I335" s="15" t="n">
        <v>43358.7856481481</v>
      </c>
    </row>
    <row r="336" customFormat="false" ht="15" hidden="false" customHeight="false" outlineLevel="0" collapsed="false">
      <c r="F336" s="6" t="s">
        <v>88</v>
      </c>
      <c r="G336" s="0" t="n">
        <v>1</v>
      </c>
      <c r="H336" s="0" t="s">
        <v>124</v>
      </c>
      <c r="I336" s="15" t="n">
        <v>43358.7856365741</v>
      </c>
    </row>
    <row r="337" customFormat="false" ht="15" hidden="false" customHeight="false" outlineLevel="0" collapsed="false">
      <c r="F337" s="6" t="s">
        <v>59</v>
      </c>
      <c r="G337" s="0" t="n">
        <v>1</v>
      </c>
      <c r="H337" s="0" t="s">
        <v>124</v>
      </c>
      <c r="I337" s="15" t="n">
        <v>43358.7855439815</v>
      </c>
    </row>
    <row r="338" customFormat="false" ht="15" hidden="false" customHeight="false" outlineLevel="0" collapsed="false">
      <c r="F338" s="6" t="s">
        <v>59</v>
      </c>
      <c r="G338" s="0" t="n">
        <v>1</v>
      </c>
      <c r="H338" s="0" t="s">
        <v>124</v>
      </c>
      <c r="I338" s="15" t="n">
        <v>43358.7854861111</v>
      </c>
    </row>
    <row r="339" customFormat="false" ht="15" hidden="false" customHeight="false" outlineLevel="0" collapsed="false">
      <c r="F339" s="6" t="s">
        <v>27</v>
      </c>
      <c r="G339" s="0" t="n">
        <v>20</v>
      </c>
      <c r="H339" s="0" t="s">
        <v>16</v>
      </c>
      <c r="I339" s="15" t="n">
        <v>43358.785462963</v>
      </c>
    </row>
    <row r="340" customFormat="false" ht="15" hidden="false" customHeight="false" outlineLevel="0" collapsed="false">
      <c r="F340" s="6" t="s">
        <v>126</v>
      </c>
      <c r="G340" s="0" t="n">
        <v>1</v>
      </c>
      <c r="H340" s="0" t="s">
        <v>124</v>
      </c>
      <c r="I340" s="15" t="n">
        <v>43358.7853935185</v>
      </c>
    </row>
    <row r="341" customFormat="false" ht="15" hidden="false" customHeight="false" outlineLevel="0" collapsed="false">
      <c r="F341" s="6" t="s">
        <v>106</v>
      </c>
      <c r="G341" s="0" t="n">
        <v>1</v>
      </c>
      <c r="H341" s="0" t="s">
        <v>109</v>
      </c>
      <c r="I341" s="15" t="n">
        <v>43358.7853935185</v>
      </c>
    </row>
    <row r="342" customFormat="false" ht="15" hidden="false" customHeight="false" outlineLevel="0" collapsed="false">
      <c r="F342" s="6" t="s">
        <v>21</v>
      </c>
      <c r="G342" s="0" t="n">
        <v>1</v>
      </c>
      <c r="H342" s="0" t="s">
        <v>124</v>
      </c>
      <c r="I342" s="15" t="n">
        <v>43358.7853009259</v>
      </c>
    </row>
    <row r="343" customFormat="false" ht="15" hidden="false" customHeight="false" outlineLevel="0" collapsed="false">
      <c r="F343" s="6" t="s">
        <v>127</v>
      </c>
      <c r="G343" s="0" t="n">
        <v>1</v>
      </c>
      <c r="H343" s="0" t="s">
        <v>124</v>
      </c>
      <c r="I343" s="15" t="n">
        <v>43358.7852314815</v>
      </c>
    </row>
    <row r="344" customFormat="false" ht="15" hidden="false" customHeight="false" outlineLevel="0" collapsed="false">
      <c r="F344" s="6" t="s">
        <v>128</v>
      </c>
      <c r="G344" s="0" t="n">
        <v>1</v>
      </c>
      <c r="H344" s="0" t="s">
        <v>124</v>
      </c>
      <c r="I344" s="15" t="n">
        <v>43358.7851388889</v>
      </c>
    </row>
    <row r="345" customFormat="false" ht="15" hidden="false" customHeight="false" outlineLevel="0" collapsed="false">
      <c r="F345" s="6" t="s">
        <v>129</v>
      </c>
      <c r="G345" s="0" t="n">
        <v>1</v>
      </c>
      <c r="H345" s="0" t="s">
        <v>109</v>
      </c>
      <c r="I345" s="15" t="n">
        <v>43358.7851041667</v>
      </c>
    </row>
    <row r="346" customFormat="false" ht="15" hidden="false" customHeight="false" outlineLevel="0" collapsed="false">
      <c r="F346" s="6" t="s">
        <v>32</v>
      </c>
      <c r="G346" s="0" t="n">
        <v>4</v>
      </c>
      <c r="H346" s="0" t="s">
        <v>109</v>
      </c>
      <c r="I346" s="15" t="n">
        <v>43358.785</v>
      </c>
    </row>
    <row r="347" customFormat="false" ht="15" hidden="false" customHeight="false" outlineLevel="0" collapsed="false">
      <c r="F347" s="6" t="s">
        <v>25</v>
      </c>
      <c r="G347" s="0" t="n">
        <v>13</v>
      </c>
      <c r="H347" s="0" t="s">
        <v>38</v>
      </c>
      <c r="I347" s="15" t="n">
        <v>43358.7848958333</v>
      </c>
    </row>
    <row r="348" customFormat="false" ht="15" hidden="false" customHeight="false" outlineLevel="0" collapsed="false">
      <c r="F348" s="6" t="s">
        <v>57</v>
      </c>
      <c r="G348" s="0" t="n">
        <v>6</v>
      </c>
      <c r="H348" s="0" t="s">
        <v>109</v>
      </c>
      <c r="I348" s="15" t="n">
        <v>43358.7848726852</v>
      </c>
    </row>
    <row r="349" customFormat="false" ht="15" hidden="false" customHeight="false" outlineLevel="0" collapsed="false">
      <c r="F349" s="6" t="s">
        <v>85</v>
      </c>
      <c r="G349" s="0" t="n">
        <v>1</v>
      </c>
      <c r="H349" s="0" t="s">
        <v>124</v>
      </c>
      <c r="I349" s="15" t="n">
        <v>43358.784849537</v>
      </c>
    </row>
    <row r="350" customFormat="false" ht="15" hidden="false" customHeight="false" outlineLevel="0" collapsed="false">
      <c r="F350" s="6" t="s">
        <v>31</v>
      </c>
      <c r="G350" s="0" t="n">
        <v>37</v>
      </c>
      <c r="H350" s="0" t="s">
        <v>109</v>
      </c>
      <c r="I350" s="15" t="n">
        <v>43358.7847453704</v>
      </c>
    </row>
    <row r="351" customFormat="false" ht="15" hidden="false" customHeight="false" outlineLevel="0" collapsed="false">
      <c r="F351" s="6" t="s">
        <v>114</v>
      </c>
      <c r="G351" s="0" t="n">
        <v>1</v>
      </c>
      <c r="H351" s="0" t="s">
        <v>124</v>
      </c>
      <c r="I351" s="15" t="n">
        <v>43358.7846643519</v>
      </c>
    </row>
    <row r="352" customFormat="false" ht="15" hidden="false" customHeight="false" outlineLevel="0" collapsed="false">
      <c r="F352" s="6" t="s">
        <v>130</v>
      </c>
      <c r="G352" s="0" t="n">
        <v>1</v>
      </c>
      <c r="H352" s="0" t="s">
        <v>16</v>
      </c>
      <c r="I352" s="15" t="n">
        <v>43358.7844444444</v>
      </c>
    </row>
    <row r="353" customFormat="false" ht="15" hidden="false" customHeight="false" outlineLevel="0" collapsed="false">
      <c r="F353" s="6" t="s">
        <v>104</v>
      </c>
      <c r="G353" s="0" t="n">
        <v>1</v>
      </c>
      <c r="H353" s="0" t="s">
        <v>124</v>
      </c>
      <c r="I353" s="15" t="n">
        <v>43358.7844097222</v>
      </c>
    </row>
    <row r="354" customFormat="false" ht="15" hidden="false" customHeight="false" outlineLevel="0" collapsed="false">
      <c r="F354" s="6" t="s">
        <v>131</v>
      </c>
      <c r="G354" s="0" t="n">
        <v>1</v>
      </c>
      <c r="H354" s="0" t="s">
        <v>16</v>
      </c>
      <c r="I354" s="15" t="n">
        <v>43358.7843402778</v>
      </c>
    </row>
    <row r="355" customFormat="false" ht="15" hidden="false" customHeight="false" outlineLevel="0" collapsed="false">
      <c r="F355" s="6" t="s">
        <v>76</v>
      </c>
      <c r="G355" s="0" t="n">
        <v>1</v>
      </c>
      <c r="H355" s="0" t="s">
        <v>124</v>
      </c>
      <c r="I355" s="15" t="n">
        <v>43358.7843287037</v>
      </c>
    </row>
    <row r="356" customFormat="false" ht="15" hidden="false" customHeight="false" outlineLevel="0" collapsed="false">
      <c r="F356" s="6" t="s">
        <v>23</v>
      </c>
      <c r="G356" s="0" t="n">
        <v>1</v>
      </c>
      <c r="H356" s="0" t="s">
        <v>109</v>
      </c>
      <c r="I356" s="15" t="n">
        <v>43358.7842361111</v>
      </c>
    </row>
    <row r="357" customFormat="false" ht="15" hidden="false" customHeight="false" outlineLevel="0" collapsed="false">
      <c r="F357" s="6" t="s">
        <v>70</v>
      </c>
      <c r="G357" s="0" t="n">
        <v>1</v>
      </c>
      <c r="H357" s="0" t="s">
        <v>124</v>
      </c>
      <c r="I357" s="15" t="n">
        <v>43358.784224537</v>
      </c>
    </row>
    <row r="358" customFormat="false" ht="15" hidden="false" customHeight="false" outlineLevel="0" collapsed="false">
      <c r="F358" s="6" t="s">
        <v>71</v>
      </c>
      <c r="G358" s="0" t="n">
        <v>1</v>
      </c>
      <c r="H358" s="0" t="s">
        <v>16</v>
      </c>
      <c r="I358" s="15" t="n">
        <v>43358.784224537</v>
      </c>
    </row>
    <row r="359" customFormat="false" ht="15" hidden="false" customHeight="false" outlineLevel="0" collapsed="false">
      <c r="F359" s="6" t="s">
        <v>48</v>
      </c>
      <c r="G359" s="0" t="n">
        <v>1</v>
      </c>
      <c r="H359" s="0" t="s">
        <v>109</v>
      </c>
      <c r="I359" s="15" t="n">
        <v>43358.7841435185</v>
      </c>
    </row>
    <row r="360" customFormat="false" ht="15" hidden="false" customHeight="false" outlineLevel="0" collapsed="false">
      <c r="F360" s="6" t="s">
        <v>122</v>
      </c>
      <c r="G360" s="0" t="n">
        <v>2</v>
      </c>
      <c r="H360" s="0" t="s">
        <v>124</v>
      </c>
      <c r="I360" s="15" t="n">
        <v>43358.7841319444</v>
      </c>
    </row>
    <row r="361" customFormat="false" ht="15" hidden="false" customHeight="false" outlineLevel="0" collapsed="false">
      <c r="F361" s="6" t="s">
        <v>73</v>
      </c>
      <c r="G361" s="0" t="n">
        <v>1</v>
      </c>
      <c r="H361" s="0" t="s">
        <v>16</v>
      </c>
      <c r="I361" s="15" t="n">
        <v>43358.7841087963</v>
      </c>
    </row>
    <row r="362" customFormat="false" ht="15" hidden="false" customHeight="false" outlineLevel="0" collapsed="false">
      <c r="F362" s="6" t="s">
        <v>26</v>
      </c>
      <c r="G362" s="0" t="n">
        <v>7</v>
      </c>
      <c r="H362" s="0" t="s">
        <v>16</v>
      </c>
      <c r="I362" s="15" t="n">
        <v>43358.7839236111</v>
      </c>
    </row>
    <row r="363" customFormat="false" ht="15" hidden="false" customHeight="false" outlineLevel="0" collapsed="false">
      <c r="F363" s="6" t="s">
        <v>22</v>
      </c>
      <c r="G363" s="0" t="n">
        <v>1</v>
      </c>
      <c r="H363" s="0" t="s">
        <v>109</v>
      </c>
      <c r="I363" s="15" t="n">
        <v>43358.7838888889</v>
      </c>
    </row>
    <row r="364" customFormat="false" ht="15" hidden="false" customHeight="false" outlineLevel="0" collapsed="false">
      <c r="F364" s="6" t="s">
        <v>27</v>
      </c>
      <c r="G364" s="0" t="n">
        <v>1</v>
      </c>
      <c r="H364" s="0" t="s">
        <v>124</v>
      </c>
      <c r="I364" s="15" t="n">
        <v>43358.7838773148</v>
      </c>
    </row>
    <row r="365" customFormat="false" ht="15" hidden="false" customHeight="false" outlineLevel="0" collapsed="false">
      <c r="F365" s="6" t="s">
        <v>25</v>
      </c>
      <c r="G365" s="0" t="n">
        <v>16</v>
      </c>
      <c r="H365" s="0" t="s">
        <v>16</v>
      </c>
      <c r="I365" s="15" t="n">
        <v>43358.7838194444</v>
      </c>
    </row>
    <row r="366" customFormat="false" ht="15" hidden="false" customHeight="false" outlineLevel="0" collapsed="false">
      <c r="F366" s="6" t="s">
        <v>25</v>
      </c>
      <c r="G366" s="0" t="n">
        <v>1</v>
      </c>
      <c r="H366" s="0" t="s">
        <v>124</v>
      </c>
      <c r="I366" s="15" t="n">
        <v>43358.7838078704</v>
      </c>
    </row>
    <row r="367" customFormat="false" ht="15" hidden="false" customHeight="false" outlineLevel="0" collapsed="false">
      <c r="F367" s="6" t="s">
        <v>132</v>
      </c>
      <c r="G367" s="0" t="n">
        <v>1</v>
      </c>
      <c r="H367" s="0" t="s">
        <v>124</v>
      </c>
      <c r="I367" s="15" t="n">
        <v>43358.7837037037</v>
      </c>
    </row>
    <row r="368" customFormat="false" ht="15" hidden="false" customHeight="false" outlineLevel="0" collapsed="false">
      <c r="F368" s="6" t="s">
        <v>133</v>
      </c>
      <c r="G368" s="0" t="n">
        <v>1</v>
      </c>
      <c r="H368" s="0" t="s">
        <v>109</v>
      </c>
      <c r="I368" s="15" t="n">
        <v>43358.7836226852</v>
      </c>
    </row>
    <row r="369" customFormat="false" ht="15" hidden="false" customHeight="false" outlineLevel="0" collapsed="false">
      <c r="F369" s="6" t="s">
        <v>22</v>
      </c>
      <c r="G369" s="0" t="n">
        <v>1</v>
      </c>
      <c r="H369" s="0" t="s">
        <v>16</v>
      </c>
      <c r="I369" s="15" t="n">
        <v>43358.783587963</v>
      </c>
    </row>
    <row r="370" customFormat="false" ht="15" hidden="false" customHeight="false" outlineLevel="0" collapsed="false">
      <c r="F370" s="6" t="s">
        <v>23</v>
      </c>
      <c r="G370" s="0" t="n">
        <v>1</v>
      </c>
      <c r="H370" s="0" t="s">
        <v>124</v>
      </c>
      <c r="I370" s="15" t="n">
        <v>43358.7833564815</v>
      </c>
    </row>
    <row r="371" customFormat="false" ht="15" hidden="false" customHeight="false" outlineLevel="0" collapsed="false">
      <c r="F371" s="6" t="s">
        <v>102</v>
      </c>
      <c r="G371" s="0" t="n">
        <v>1</v>
      </c>
      <c r="H371" s="0" t="s">
        <v>16</v>
      </c>
      <c r="I371" s="15" t="n">
        <v>43358.7833101852</v>
      </c>
    </row>
    <row r="372" customFormat="false" ht="15" hidden="false" customHeight="false" outlineLevel="0" collapsed="false">
      <c r="F372" s="6" t="s">
        <v>86</v>
      </c>
      <c r="G372" s="0" t="n">
        <v>1</v>
      </c>
      <c r="H372" s="0" t="s">
        <v>16</v>
      </c>
      <c r="I372" s="15" t="n">
        <v>43358.7831712963</v>
      </c>
    </row>
    <row r="373" customFormat="false" ht="15" hidden="false" customHeight="false" outlineLevel="0" collapsed="false">
      <c r="F373" s="6" t="s">
        <v>25</v>
      </c>
      <c r="G373" s="0" t="n">
        <v>4</v>
      </c>
      <c r="H373" s="0" t="s">
        <v>109</v>
      </c>
      <c r="I373" s="15" t="n">
        <v>43358.783125</v>
      </c>
    </row>
    <row r="374" customFormat="false" ht="15" hidden="false" customHeight="false" outlineLevel="0" collapsed="false">
      <c r="F374" s="6" t="s">
        <v>12</v>
      </c>
      <c r="G374" s="0" t="n">
        <v>5</v>
      </c>
      <c r="H374" s="0" t="s">
        <v>124</v>
      </c>
      <c r="I374" s="15" t="n">
        <v>43358.7830902778</v>
      </c>
    </row>
    <row r="375" customFormat="false" ht="15" hidden="false" customHeight="false" outlineLevel="0" collapsed="false">
      <c r="F375" s="6" t="s">
        <v>29</v>
      </c>
      <c r="G375" s="0" t="n">
        <v>3</v>
      </c>
      <c r="H375" s="0" t="s">
        <v>124</v>
      </c>
      <c r="I375" s="15" t="n">
        <v>43358.7830092593</v>
      </c>
    </row>
    <row r="376" customFormat="false" ht="15" hidden="false" customHeight="false" outlineLevel="0" collapsed="false">
      <c r="F376" s="6" t="s">
        <v>32</v>
      </c>
      <c r="G376" s="0" t="n">
        <v>3</v>
      </c>
      <c r="H376" s="0" t="s">
        <v>16</v>
      </c>
      <c r="I376" s="15" t="n">
        <v>43358.782974537</v>
      </c>
    </row>
    <row r="377" customFormat="false" ht="15" hidden="false" customHeight="false" outlineLevel="0" collapsed="false">
      <c r="F377" s="6" t="s">
        <v>15</v>
      </c>
      <c r="G377" s="0" t="n">
        <v>11</v>
      </c>
      <c r="H377" s="0" t="s">
        <v>109</v>
      </c>
      <c r="I377" s="15" t="n">
        <v>43358.7828472222</v>
      </c>
    </row>
    <row r="378" customFormat="false" ht="15" hidden="false" customHeight="false" outlineLevel="0" collapsed="false">
      <c r="F378" s="6" t="s">
        <v>33</v>
      </c>
      <c r="G378" s="0" t="n">
        <v>1</v>
      </c>
      <c r="H378" s="0" t="s">
        <v>109</v>
      </c>
      <c r="I378" s="15" t="n">
        <v>43358.7827430556</v>
      </c>
    </row>
    <row r="379" customFormat="false" ht="15" hidden="false" customHeight="false" outlineLevel="0" collapsed="false">
      <c r="F379" s="6" t="s">
        <v>105</v>
      </c>
      <c r="G379" s="0" t="n">
        <v>1</v>
      </c>
      <c r="H379" s="0" t="s">
        <v>124</v>
      </c>
      <c r="I379" s="15" t="n">
        <v>43358.7827199074</v>
      </c>
    </row>
    <row r="380" customFormat="false" ht="15" hidden="false" customHeight="false" outlineLevel="0" collapsed="false">
      <c r="F380" s="6" t="s">
        <v>32</v>
      </c>
      <c r="G380" s="0" t="n">
        <v>3</v>
      </c>
      <c r="H380" s="0" t="s">
        <v>16</v>
      </c>
      <c r="I380" s="15" t="n">
        <v>43358.782662037</v>
      </c>
    </row>
    <row r="381" customFormat="false" ht="15" hidden="false" customHeight="false" outlineLevel="0" collapsed="false">
      <c r="F381" s="6" t="s">
        <v>134</v>
      </c>
      <c r="G381" s="0" t="n">
        <v>1</v>
      </c>
      <c r="H381" s="0" t="s">
        <v>109</v>
      </c>
      <c r="I381" s="15" t="n">
        <v>43358.7825347222</v>
      </c>
    </row>
    <row r="382" customFormat="false" ht="15" hidden="false" customHeight="false" outlineLevel="0" collapsed="false">
      <c r="F382" s="6" t="s">
        <v>32</v>
      </c>
      <c r="G382" s="0" t="n">
        <v>4</v>
      </c>
      <c r="H382" s="0" t="s">
        <v>16</v>
      </c>
      <c r="I382" s="15" t="n">
        <v>43358.7825231481</v>
      </c>
    </row>
    <row r="383" customFormat="false" ht="15" hidden="false" customHeight="false" outlineLevel="0" collapsed="false">
      <c r="F383" s="6" t="s">
        <v>57</v>
      </c>
      <c r="G383" s="0" t="n">
        <v>9</v>
      </c>
      <c r="H383" s="0" t="s">
        <v>16</v>
      </c>
      <c r="I383" s="15" t="n">
        <v>43358.7823032407</v>
      </c>
    </row>
    <row r="384" customFormat="false" ht="15" hidden="false" customHeight="false" outlineLevel="0" collapsed="false">
      <c r="F384" s="6" t="s">
        <v>135</v>
      </c>
      <c r="G384" s="0" t="n">
        <v>1</v>
      </c>
      <c r="H384" s="0" t="s">
        <v>124</v>
      </c>
      <c r="I384" s="15" t="n">
        <v>43358.7821759259</v>
      </c>
    </row>
    <row r="385" customFormat="false" ht="15" hidden="false" customHeight="false" outlineLevel="0" collapsed="false">
      <c r="F385" s="6" t="s">
        <v>57</v>
      </c>
      <c r="G385" s="0" t="n">
        <v>8</v>
      </c>
      <c r="H385" s="0" t="s">
        <v>16</v>
      </c>
      <c r="I385" s="15" t="n">
        <v>43358.7821643519</v>
      </c>
    </row>
    <row r="386" customFormat="false" ht="15" hidden="false" customHeight="false" outlineLevel="0" collapsed="false">
      <c r="F386" s="6" t="s">
        <v>33</v>
      </c>
      <c r="G386" s="0" t="n">
        <v>1</v>
      </c>
      <c r="H386" s="0" t="s">
        <v>16</v>
      </c>
      <c r="I386" s="15" t="n">
        <v>43358.7820486111</v>
      </c>
    </row>
    <row r="387" customFormat="false" ht="15" hidden="false" customHeight="false" outlineLevel="0" collapsed="false">
      <c r="F387" s="6" t="s">
        <v>15</v>
      </c>
      <c r="G387" s="0" t="n">
        <v>2</v>
      </c>
      <c r="H387" s="0" t="s">
        <v>16</v>
      </c>
      <c r="I387" s="15" t="n">
        <v>43358.7819444444</v>
      </c>
    </row>
    <row r="388" customFormat="false" ht="15" hidden="false" customHeight="false" outlineLevel="0" collapsed="false">
      <c r="F388" s="6" t="s">
        <v>74</v>
      </c>
      <c r="G388" s="0" t="n">
        <v>1</v>
      </c>
      <c r="H388" s="0" t="s">
        <v>16</v>
      </c>
      <c r="I388" s="15" t="n">
        <v>43358.7818518519</v>
      </c>
    </row>
    <row r="389" customFormat="false" ht="15" hidden="false" customHeight="false" outlineLevel="0" collapsed="false">
      <c r="F389" s="6" t="s">
        <v>54</v>
      </c>
      <c r="G389" s="0" t="n">
        <v>5</v>
      </c>
      <c r="H389" s="0" t="s">
        <v>16</v>
      </c>
      <c r="I389" s="15" t="n">
        <v>43358.781712963</v>
      </c>
    </row>
    <row r="390" customFormat="false" ht="15" hidden="false" customHeight="false" outlineLevel="0" collapsed="false">
      <c r="F390" s="6" t="s">
        <v>136</v>
      </c>
      <c r="G390" s="0" t="n">
        <v>1</v>
      </c>
      <c r="H390" s="0" t="s">
        <v>16</v>
      </c>
      <c r="I390" s="15" t="n">
        <v>43358.7815972222</v>
      </c>
    </row>
    <row r="391" customFormat="false" ht="15" hidden="false" customHeight="false" outlineLevel="0" collapsed="false">
      <c r="F391" s="6" t="s">
        <v>43</v>
      </c>
      <c r="G391" s="0" t="n">
        <v>1</v>
      </c>
      <c r="H391" s="0" t="s">
        <v>124</v>
      </c>
      <c r="I391" s="15" t="n">
        <v>43358.7815393519</v>
      </c>
    </row>
    <row r="392" customFormat="false" ht="15" hidden="false" customHeight="false" outlineLevel="0" collapsed="false">
      <c r="F392" s="6" t="s">
        <v>137</v>
      </c>
      <c r="G392" s="0" t="n">
        <v>1</v>
      </c>
      <c r="H392" s="0" t="s">
        <v>124</v>
      </c>
      <c r="I392" s="15" t="n">
        <v>43358.7814351852</v>
      </c>
    </row>
    <row r="393" customFormat="false" ht="15" hidden="false" customHeight="false" outlineLevel="0" collapsed="false">
      <c r="F393" s="6" t="s">
        <v>41</v>
      </c>
      <c r="G393" s="0" t="n">
        <v>5</v>
      </c>
      <c r="H393" s="0" t="s">
        <v>16</v>
      </c>
      <c r="I393" s="15" t="n">
        <v>43358.78125</v>
      </c>
    </row>
    <row r="394" customFormat="false" ht="15" hidden="false" customHeight="false" outlineLevel="0" collapsed="false">
      <c r="F394" s="6" t="s">
        <v>40</v>
      </c>
      <c r="G394" s="0" t="n">
        <v>2</v>
      </c>
      <c r="H394" s="0" t="s">
        <v>16</v>
      </c>
      <c r="I394" s="15" t="n">
        <v>43358.7811458333</v>
      </c>
    </row>
    <row r="395" customFormat="false" ht="15" hidden="false" customHeight="false" outlineLevel="0" collapsed="false">
      <c r="F395" s="6" t="s">
        <v>71</v>
      </c>
      <c r="G395" s="0" t="n">
        <v>1</v>
      </c>
      <c r="H395" s="0" t="s">
        <v>16</v>
      </c>
      <c r="I395" s="15" t="n">
        <v>43358.7810069445</v>
      </c>
    </row>
    <row r="396" customFormat="false" ht="15" hidden="false" customHeight="false" outlineLevel="0" collapsed="false">
      <c r="F396" s="6" t="s">
        <v>18</v>
      </c>
      <c r="G396" s="0" t="n">
        <v>2</v>
      </c>
      <c r="H396" s="0" t="s">
        <v>16</v>
      </c>
      <c r="I396" s="15" t="n">
        <v>43358.7808796296</v>
      </c>
    </row>
    <row r="397" customFormat="false" ht="15" hidden="false" customHeight="false" outlineLevel="0" collapsed="false">
      <c r="F397" s="6" t="s">
        <v>80</v>
      </c>
      <c r="G397" s="0" t="n">
        <v>1</v>
      </c>
      <c r="H397" s="0" t="s">
        <v>109</v>
      </c>
      <c r="I397" s="15" t="n">
        <v>43358.7808564815</v>
      </c>
    </row>
    <row r="398" customFormat="false" ht="15" hidden="false" customHeight="false" outlineLevel="0" collapsed="false">
      <c r="F398" s="6" t="s">
        <v>46</v>
      </c>
      <c r="G398" s="0" t="n">
        <v>1</v>
      </c>
      <c r="H398" s="0" t="s">
        <v>109</v>
      </c>
      <c r="I398" s="15" t="n">
        <v>43358.7808564815</v>
      </c>
    </row>
    <row r="399" customFormat="false" ht="15" hidden="false" customHeight="false" outlineLevel="0" collapsed="false">
      <c r="F399" s="6" t="s">
        <v>88</v>
      </c>
      <c r="G399" s="0" t="n">
        <v>1</v>
      </c>
      <c r="H399" s="0" t="s">
        <v>109</v>
      </c>
      <c r="I399" s="15" t="n">
        <v>43358.780775463</v>
      </c>
    </row>
    <row r="400" customFormat="false" ht="15" hidden="false" customHeight="false" outlineLevel="0" collapsed="false">
      <c r="F400" s="6" t="s">
        <v>37</v>
      </c>
      <c r="G400" s="0" t="n">
        <v>1</v>
      </c>
      <c r="H400" s="0" t="s">
        <v>16</v>
      </c>
      <c r="I400" s="15" t="n">
        <v>43358.780775463</v>
      </c>
    </row>
    <row r="401" customFormat="false" ht="15" hidden="false" customHeight="false" outlineLevel="0" collapsed="false">
      <c r="F401" s="6" t="s">
        <v>26</v>
      </c>
      <c r="G401" s="0" t="n">
        <v>1</v>
      </c>
      <c r="H401" s="0" t="s">
        <v>109</v>
      </c>
      <c r="I401" s="15" t="n">
        <v>43358.7806712963</v>
      </c>
    </row>
    <row r="402" customFormat="false" ht="15" hidden="false" customHeight="false" outlineLevel="0" collapsed="false">
      <c r="F402" s="6" t="s">
        <v>36</v>
      </c>
      <c r="G402" s="0" t="n">
        <v>1</v>
      </c>
      <c r="H402" s="0" t="s">
        <v>16</v>
      </c>
      <c r="I402" s="15" t="n">
        <v>43358.7806134259</v>
      </c>
    </row>
    <row r="403" customFormat="false" ht="15" hidden="false" customHeight="false" outlineLevel="0" collapsed="false">
      <c r="F403" s="6" t="s">
        <v>96</v>
      </c>
      <c r="G403" s="0" t="n">
        <v>2</v>
      </c>
      <c r="H403" s="0" t="s">
        <v>109</v>
      </c>
      <c r="I403" s="15" t="n">
        <v>43358.7805787037</v>
      </c>
    </row>
    <row r="404" customFormat="false" ht="15" hidden="false" customHeight="false" outlineLevel="0" collapsed="false">
      <c r="F404" s="6" t="s">
        <v>46</v>
      </c>
      <c r="G404" s="0" t="n">
        <v>36</v>
      </c>
      <c r="H404" s="0" t="s">
        <v>16</v>
      </c>
      <c r="I404" s="15" t="n">
        <v>43358.780474537</v>
      </c>
    </row>
    <row r="405" customFormat="false" ht="15" hidden="false" customHeight="false" outlineLevel="0" collapsed="false">
      <c r="F405" s="6" t="s">
        <v>138</v>
      </c>
      <c r="G405" s="0" t="n">
        <v>2</v>
      </c>
      <c r="H405" s="0" t="s">
        <v>124</v>
      </c>
      <c r="I405" s="15" t="n">
        <v>43358.7803819444</v>
      </c>
    </row>
    <row r="406" customFormat="false" ht="15" hidden="false" customHeight="false" outlineLevel="0" collapsed="false">
      <c r="F406" s="6" t="s">
        <v>86</v>
      </c>
      <c r="G406" s="0" t="n">
        <v>1</v>
      </c>
      <c r="H406" s="0" t="s">
        <v>75</v>
      </c>
      <c r="I406" s="15" t="n">
        <v>43358.7801967593</v>
      </c>
    </row>
    <row r="407" customFormat="false" ht="15" hidden="false" customHeight="false" outlineLevel="0" collapsed="false">
      <c r="F407" s="6" t="s">
        <v>41</v>
      </c>
      <c r="G407" s="0" t="n">
        <v>7</v>
      </c>
      <c r="H407" s="0" t="s">
        <v>109</v>
      </c>
      <c r="I407" s="15" t="n">
        <v>43358.7801736111</v>
      </c>
    </row>
    <row r="408" customFormat="false" ht="15" hidden="false" customHeight="false" outlineLevel="0" collapsed="false">
      <c r="F408" s="6" t="s">
        <v>21</v>
      </c>
      <c r="G408" s="0" t="n">
        <v>6</v>
      </c>
      <c r="H408" s="0" t="s">
        <v>109</v>
      </c>
      <c r="I408" s="15" t="n">
        <v>43358.7800925926</v>
      </c>
    </row>
    <row r="409" customFormat="false" ht="15" hidden="false" customHeight="false" outlineLevel="0" collapsed="false">
      <c r="F409" s="6" t="s">
        <v>118</v>
      </c>
      <c r="G409" s="0" t="n">
        <v>4</v>
      </c>
      <c r="H409" s="0" t="s">
        <v>124</v>
      </c>
      <c r="I409" s="15" t="n">
        <v>43358.7800694444</v>
      </c>
    </row>
    <row r="410" customFormat="false" ht="15" hidden="false" customHeight="false" outlineLevel="0" collapsed="false">
      <c r="F410" s="6" t="s">
        <v>48</v>
      </c>
      <c r="G410" s="0" t="n">
        <v>1</v>
      </c>
      <c r="H410" s="0" t="s">
        <v>75</v>
      </c>
      <c r="I410" s="15" t="n">
        <v>43358.7800231481</v>
      </c>
    </row>
    <row r="411" customFormat="false" ht="15" hidden="false" customHeight="false" outlineLevel="0" collapsed="false">
      <c r="F411" s="6" t="s">
        <v>101</v>
      </c>
      <c r="G411" s="0" t="n">
        <v>2</v>
      </c>
      <c r="H411" s="0" t="s">
        <v>124</v>
      </c>
      <c r="I411" s="15" t="n">
        <v>43358.779849537</v>
      </c>
    </row>
    <row r="412" customFormat="false" ht="15" hidden="false" customHeight="false" outlineLevel="0" collapsed="false">
      <c r="F412" s="6" t="s">
        <v>12</v>
      </c>
      <c r="G412" s="0" t="n">
        <v>1</v>
      </c>
      <c r="H412" s="0" t="s">
        <v>75</v>
      </c>
      <c r="I412" s="15" t="n">
        <v>43358.7798148148</v>
      </c>
    </row>
    <row r="413" customFormat="false" ht="15" hidden="false" customHeight="false" outlineLevel="0" collapsed="false">
      <c r="F413" s="6" t="s">
        <v>88</v>
      </c>
      <c r="G413" s="0" t="n">
        <v>1</v>
      </c>
      <c r="H413" s="0" t="s">
        <v>124</v>
      </c>
      <c r="I413" s="15" t="n">
        <v>43358.7797916667</v>
      </c>
    </row>
    <row r="414" customFormat="false" ht="15" hidden="false" customHeight="false" outlineLevel="0" collapsed="false">
      <c r="F414" s="6" t="s">
        <v>96</v>
      </c>
      <c r="G414" s="0" t="n">
        <v>1</v>
      </c>
      <c r="H414" s="0" t="s">
        <v>124</v>
      </c>
      <c r="I414" s="15" t="n">
        <v>43358.7797222222</v>
      </c>
    </row>
    <row r="415" customFormat="false" ht="15" hidden="false" customHeight="false" outlineLevel="0" collapsed="false">
      <c r="F415" s="6" t="s">
        <v>22</v>
      </c>
      <c r="G415" s="0" t="n">
        <v>1</v>
      </c>
      <c r="H415" s="0" t="s">
        <v>75</v>
      </c>
      <c r="I415" s="15" t="n">
        <v>43358.7796990741</v>
      </c>
    </row>
    <row r="416" customFormat="false" ht="15" hidden="false" customHeight="false" outlineLevel="0" collapsed="false">
      <c r="F416" s="6" t="s">
        <v>88</v>
      </c>
      <c r="G416" s="0" t="n">
        <v>2</v>
      </c>
      <c r="H416" s="0" t="s">
        <v>124</v>
      </c>
      <c r="I416" s="15" t="n">
        <v>43358.7794328704</v>
      </c>
    </row>
    <row r="417" customFormat="false" ht="15" hidden="false" customHeight="false" outlineLevel="0" collapsed="false">
      <c r="F417" s="6" t="s">
        <v>139</v>
      </c>
      <c r="G417" s="0" t="n">
        <v>3</v>
      </c>
      <c r="H417" s="0" t="s">
        <v>75</v>
      </c>
      <c r="I417" s="15" t="n">
        <v>43358.7793981481</v>
      </c>
    </row>
    <row r="418" customFormat="false" ht="15" hidden="false" customHeight="false" outlineLevel="0" collapsed="false">
      <c r="F418" s="6" t="s">
        <v>80</v>
      </c>
      <c r="G418" s="0" t="n">
        <v>2</v>
      </c>
      <c r="H418" s="0" t="s">
        <v>124</v>
      </c>
      <c r="I418" s="15" t="n">
        <v>43358.7793634259</v>
      </c>
    </row>
    <row r="419" customFormat="false" ht="15" hidden="false" customHeight="false" outlineLevel="0" collapsed="false">
      <c r="F419" s="6" t="s">
        <v>12</v>
      </c>
      <c r="G419" s="0" t="n">
        <v>2</v>
      </c>
      <c r="H419" s="0" t="s">
        <v>124</v>
      </c>
      <c r="I419" s="15" t="n">
        <v>43358.779224537</v>
      </c>
    </row>
    <row r="420" customFormat="false" ht="15" hidden="false" customHeight="false" outlineLevel="0" collapsed="false">
      <c r="F420" s="6" t="s">
        <v>107</v>
      </c>
      <c r="G420" s="0" t="n">
        <v>2</v>
      </c>
      <c r="H420" s="0" t="s">
        <v>75</v>
      </c>
      <c r="I420" s="15" t="n">
        <v>43358.7790972222</v>
      </c>
    </row>
    <row r="421" customFormat="false" ht="15" hidden="false" customHeight="false" outlineLevel="0" collapsed="false">
      <c r="F421" s="6" t="s">
        <v>27</v>
      </c>
      <c r="G421" s="0" t="n">
        <v>1</v>
      </c>
      <c r="H421" s="0" t="s">
        <v>75</v>
      </c>
      <c r="I421" s="15" t="n">
        <v>43358.7789930556</v>
      </c>
    </row>
    <row r="422" customFormat="false" ht="15" hidden="false" customHeight="false" outlineLevel="0" collapsed="false">
      <c r="F422" s="6" t="s">
        <v>27</v>
      </c>
      <c r="G422" s="0" t="n">
        <v>3</v>
      </c>
      <c r="H422" s="0" t="s">
        <v>124</v>
      </c>
      <c r="I422" s="15" t="n">
        <v>43358.7789236111</v>
      </c>
    </row>
    <row r="423" customFormat="false" ht="15" hidden="false" customHeight="false" outlineLevel="0" collapsed="false">
      <c r="F423" s="6" t="s">
        <v>102</v>
      </c>
      <c r="G423" s="0" t="n">
        <v>1</v>
      </c>
      <c r="H423" s="0" t="s">
        <v>75</v>
      </c>
      <c r="I423" s="15" t="n">
        <v>43358.778900463</v>
      </c>
    </row>
    <row r="424" customFormat="false" ht="15" hidden="false" customHeight="false" outlineLevel="0" collapsed="false">
      <c r="F424" s="6" t="s">
        <v>31</v>
      </c>
      <c r="G424" s="0" t="n">
        <v>21</v>
      </c>
      <c r="H424" s="0" t="s">
        <v>124</v>
      </c>
      <c r="I424" s="15" t="n">
        <v>43358.7788425926</v>
      </c>
    </row>
    <row r="425" customFormat="false" ht="15" hidden="false" customHeight="false" outlineLevel="0" collapsed="false">
      <c r="F425" s="6" t="s">
        <v>31</v>
      </c>
      <c r="G425" s="0" t="n">
        <v>14</v>
      </c>
      <c r="H425" s="0" t="s">
        <v>124</v>
      </c>
      <c r="I425" s="15" t="n">
        <v>43358.7787731482</v>
      </c>
    </row>
    <row r="426" customFormat="false" ht="15" hidden="false" customHeight="false" outlineLevel="0" collapsed="false">
      <c r="F426" s="6" t="s">
        <v>25</v>
      </c>
      <c r="G426" s="0" t="n">
        <v>9</v>
      </c>
      <c r="H426" s="0" t="s">
        <v>140</v>
      </c>
      <c r="I426" s="15" t="n">
        <v>43358.7787268519</v>
      </c>
    </row>
    <row r="427" customFormat="false" ht="15" hidden="false" customHeight="false" outlineLevel="0" collapsed="false">
      <c r="F427" s="6" t="s">
        <v>32</v>
      </c>
      <c r="G427" s="0" t="n">
        <v>14</v>
      </c>
      <c r="H427" s="0" t="s">
        <v>124</v>
      </c>
      <c r="I427" s="15" t="n">
        <v>43358.7786805556</v>
      </c>
    </row>
    <row r="428" customFormat="false" ht="15" hidden="false" customHeight="false" outlineLevel="0" collapsed="false">
      <c r="F428" s="6" t="s">
        <v>49</v>
      </c>
      <c r="G428" s="0" t="n">
        <v>1</v>
      </c>
      <c r="H428" s="0" t="s">
        <v>75</v>
      </c>
      <c r="I428" s="15" t="n">
        <v>43358.7786458333</v>
      </c>
    </row>
    <row r="429" customFormat="false" ht="15" hidden="false" customHeight="false" outlineLevel="0" collapsed="false">
      <c r="F429" s="6" t="s">
        <v>18</v>
      </c>
      <c r="G429" s="0" t="n">
        <v>1</v>
      </c>
      <c r="H429" s="0" t="s">
        <v>124</v>
      </c>
      <c r="I429" s="15" t="n">
        <v>43358.7785185185</v>
      </c>
    </row>
    <row r="430" customFormat="false" ht="15" hidden="false" customHeight="false" outlineLevel="0" collapsed="false">
      <c r="F430" s="6" t="s">
        <v>34</v>
      </c>
      <c r="G430" s="0" t="n">
        <v>11</v>
      </c>
      <c r="H430" s="0" t="s">
        <v>109</v>
      </c>
      <c r="I430" s="15" t="n">
        <v>43358.7784953704</v>
      </c>
    </row>
    <row r="431" customFormat="false" ht="15" hidden="false" customHeight="false" outlineLevel="0" collapsed="false">
      <c r="F431" s="6" t="s">
        <v>33</v>
      </c>
      <c r="G431" s="0" t="n">
        <v>1</v>
      </c>
      <c r="H431" s="0" t="s">
        <v>124</v>
      </c>
      <c r="I431" s="15" t="n">
        <v>43358.7784490741</v>
      </c>
    </row>
    <row r="432" customFormat="false" ht="15" hidden="false" customHeight="false" outlineLevel="0" collapsed="false">
      <c r="F432" s="6" t="s">
        <v>89</v>
      </c>
      <c r="G432" s="0" t="n">
        <v>1</v>
      </c>
      <c r="H432" s="0" t="s">
        <v>109</v>
      </c>
      <c r="I432" s="15" t="n">
        <v>43358.7784027778</v>
      </c>
    </row>
    <row r="433" customFormat="false" ht="15" hidden="false" customHeight="false" outlineLevel="0" collapsed="false">
      <c r="F433" s="6" t="s">
        <v>15</v>
      </c>
      <c r="G433" s="0" t="n">
        <v>5</v>
      </c>
      <c r="H433" s="0" t="s">
        <v>124</v>
      </c>
      <c r="I433" s="15" t="n">
        <v>43358.7783680556</v>
      </c>
    </row>
    <row r="434" customFormat="false" ht="15" hidden="false" customHeight="false" outlineLevel="0" collapsed="false">
      <c r="F434" s="6" t="s">
        <v>126</v>
      </c>
      <c r="G434" s="0" t="n">
        <v>1</v>
      </c>
      <c r="H434" s="0" t="s">
        <v>75</v>
      </c>
      <c r="I434" s="15" t="n">
        <v>43358.7783101852</v>
      </c>
    </row>
    <row r="435" customFormat="false" ht="15" hidden="false" customHeight="false" outlineLevel="0" collapsed="false">
      <c r="F435" s="6" t="s">
        <v>27</v>
      </c>
      <c r="G435" s="0" t="n">
        <v>12</v>
      </c>
      <c r="H435" s="0" t="s">
        <v>109</v>
      </c>
      <c r="I435" s="15" t="n">
        <v>43358.778275463</v>
      </c>
    </row>
    <row r="436" customFormat="false" ht="15" hidden="false" customHeight="false" outlineLevel="0" collapsed="false">
      <c r="F436" s="6" t="s">
        <v>72</v>
      </c>
      <c r="G436" s="0" t="n">
        <v>2</v>
      </c>
      <c r="H436" s="0" t="s">
        <v>124</v>
      </c>
      <c r="I436" s="15" t="n">
        <v>43358.7782407408</v>
      </c>
    </row>
    <row r="437" customFormat="false" ht="15" hidden="false" customHeight="false" outlineLevel="0" collapsed="false">
      <c r="F437" s="6" t="s">
        <v>41</v>
      </c>
      <c r="G437" s="0" t="n">
        <v>1</v>
      </c>
      <c r="H437" s="0" t="s">
        <v>75</v>
      </c>
      <c r="I437" s="15" t="n">
        <v>43358.7782060185</v>
      </c>
    </row>
    <row r="438" customFormat="false" ht="15" hidden="false" customHeight="false" outlineLevel="0" collapsed="false">
      <c r="F438" s="6" t="s">
        <v>141</v>
      </c>
      <c r="G438" s="0" t="n">
        <v>1</v>
      </c>
      <c r="H438" s="0" t="s">
        <v>124</v>
      </c>
      <c r="I438" s="15" t="n">
        <v>43358.7781481482</v>
      </c>
    </row>
    <row r="439" customFormat="false" ht="15" hidden="false" customHeight="false" outlineLevel="0" collapsed="false">
      <c r="F439" s="6" t="s">
        <v>26</v>
      </c>
      <c r="G439" s="0" t="n">
        <v>9</v>
      </c>
      <c r="H439" s="0" t="s">
        <v>109</v>
      </c>
      <c r="I439" s="15" t="n">
        <v>43358.7781481482</v>
      </c>
    </row>
    <row r="440" customFormat="false" ht="15" hidden="false" customHeight="false" outlineLevel="0" collapsed="false">
      <c r="F440" s="6" t="s">
        <v>28</v>
      </c>
      <c r="G440" s="0" t="n">
        <v>1</v>
      </c>
      <c r="H440" s="0" t="s">
        <v>75</v>
      </c>
      <c r="I440" s="15" t="n">
        <v>43358.7780902778</v>
      </c>
    </row>
    <row r="441" customFormat="false" ht="15" hidden="false" customHeight="false" outlineLevel="0" collapsed="false">
      <c r="F441" s="6" t="s">
        <v>36</v>
      </c>
      <c r="G441" s="0" t="n">
        <v>3</v>
      </c>
      <c r="H441" s="0" t="s">
        <v>124</v>
      </c>
      <c r="I441" s="15" t="n">
        <v>43358.7780555556</v>
      </c>
    </row>
    <row r="442" customFormat="false" ht="15" hidden="false" customHeight="false" outlineLevel="0" collapsed="false">
      <c r="F442" s="6" t="s">
        <v>52</v>
      </c>
      <c r="G442" s="0" t="n">
        <v>5</v>
      </c>
      <c r="H442" s="0" t="s">
        <v>109</v>
      </c>
      <c r="I442" s="15" t="n">
        <v>43358.7778356482</v>
      </c>
    </row>
    <row r="443" customFormat="false" ht="15" hidden="false" customHeight="false" outlineLevel="0" collapsed="false">
      <c r="F443" s="6" t="s">
        <v>142</v>
      </c>
      <c r="G443" s="0" t="n">
        <v>1</v>
      </c>
      <c r="H443" s="0" t="s">
        <v>75</v>
      </c>
      <c r="I443" s="15" t="n">
        <v>43358.7777777778</v>
      </c>
    </row>
    <row r="444" customFormat="false" ht="15" hidden="false" customHeight="false" outlineLevel="0" collapsed="false">
      <c r="F444" s="6" t="s">
        <v>15</v>
      </c>
      <c r="G444" s="0" t="n">
        <v>5</v>
      </c>
      <c r="H444" s="0" t="s">
        <v>109</v>
      </c>
      <c r="I444" s="15" t="n">
        <v>43358.7777430556</v>
      </c>
    </row>
    <row r="445" customFormat="false" ht="15" hidden="false" customHeight="false" outlineLevel="0" collapsed="false">
      <c r="F445" s="6" t="s">
        <v>34</v>
      </c>
      <c r="G445" s="0" t="n">
        <v>3</v>
      </c>
      <c r="H445" s="0" t="s">
        <v>109</v>
      </c>
      <c r="I445" s="15" t="n">
        <v>43358.777650463</v>
      </c>
    </row>
    <row r="446" customFormat="false" ht="15" hidden="false" customHeight="false" outlineLevel="0" collapsed="false">
      <c r="F446" s="6" t="s">
        <v>51</v>
      </c>
      <c r="G446" s="0" t="n">
        <v>1</v>
      </c>
      <c r="H446" s="0" t="s">
        <v>75</v>
      </c>
      <c r="I446" s="15" t="n">
        <v>43358.7774884259</v>
      </c>
    </row>
    <row r="447" customFormat="false" ht="15" hidden="false" customHeight="false" outlineLevel="0" collapsed="false">
      <c r="F447" s="6" t="s">
        <v>41</v>
      </c>
      <c r="G447" s="0" t="n">
        <v>6</v>
      </c>
      <c r="H447" s="0" t="s">
        <v>124</v>
      </c>
      <c r="I447" s="15" t="n">
        <v>43358.7774421296</v>
      </c>
    </row>
    <row r="448" customFormat="false" ht="15" hidden="false" customHeight="false" outlineLevel="0" collapsed="false">
      <c r="F448" s="6" t="s">
        <v>61</v>
      </c>
      <c r="G448" s="0" t="n">
        <v>2</v>
      </c>
      <c r="H448" s="0" t="s">
        <v>124</v>
      </c>
      <c r="I448" s="15" t="n">
        <v>43358.777337963</v>
      </c>
    </row>
    <row r="449" customFormat="false" ht="15" hidden="false" customHeight="false" outlineLevel="0" collapsed="false">
      <c r="F449" s="6" t="s">
        <v>52</v>
      </c>
      <c r="G449" s="0" t="n">
        <v>2</v>
      </c>
      <c r="H449" s="0" t="s">
        <v>75</v>
      </c>
      <c r="I449" s="15" t="n">
        <v>43358.7771759259</v>
      </c>
    </row>
    <row r="450" customFormat="false" ht="15" hidden="false" customHeight="false" outlineLevel="0" collapsed="false">
      <c r="F450" s="6" t="s">
        <v>25</v>
      </c>
      <c r="G450" s="0" t="n">
        <v>11</v>
      </c>
      <c r="H450" s="0" t="s">
        <v>109</v>
      </c>
      <c r="I450" s="15" t="n">
        <v>43358.7770023148</v>
      </c>
    </row>
    <row r="451" customFormat="false" ht="15" hidden="false" customHeight="false" outlineLevel="0" collapsed="false">
      <c r="F451" s="6" t="s">
        <v>143</v>
      </c>
      <c r="G451" s="0" t="n">
        <v>3</v>
      </c>
      <c r="H451" s="0" t="s">
        <v>75</v>
      </c>
      <c r="I451" s="15" t="n">
        <v>43358.7768981482</v>
      </c>
    </row>
    <row r="452" customFormat="false" ht="15" hidden="false" customHeight="false" outlineLevel="0" collapsed="false">
      <c r="F452" s="6" t="s">
        <v>25</v>
      </c>
      <c r="G452" s="0" t="n">
        <v>10</v>
      </c>
      <c r="H452" s="0" t="s">
        <v>109</v>
      </c>
      <c r="I452" s="15" t="n">
        <v>43358.7767824074</v>
      </c>
    </row>
    <row r="453" customFormat="false" ht="15" hidden="false" customHeight="false" outlineLevel="0" collapsed="false">
      <c r="F453" s="6" t="s">
        <v>67</v>
      </c>
      <c r="G453" s="0" t="n">
        <v>1</v>
      </c>
      <c r="H453" s="0" t="s">
        <v>75</v>
      </c>
      <c r="I453" s="15" t="n">
        <v>43358.776400463</v>
      </c>
    </row>
    <row r="454" customFormat="false" ht="15" hidden="false" customHeight="false" outlineLevel="0" collapsed="false">
      <c r="F454" s="6" t="s">
        <v>25</v>
      </c>
      <c r="G454" s="0" t="n">
        <v>11</v>
      </c>
      <c r="H454" s="0" t="s">
        <v>140</v>
      </c>
      <c r="I454" s="15" t="n">
        <v>43358.7761574074</v>
      </c>
    </row>
    <row r="455" customFormat="false" ht="15" hidden="false" customHeight="false" outlineLevel="0" collapsed="false">
      <c r="F455" s="6" t="s">
        <v>80</v>
      </c>
      <c r="G455" s="0" t="n">
        <v>2</v>
      </c>
      <c r="H455" s="0" t="s">
        <v>75</v>
      </c>
      <c r="I455" s="15" t="n">
        <v>43358.7760532407</v>
      </c>
    </row>
    <row r="456" customFormat="false" ht="15" hidden="false" customHeight="false" outlineLevel="0" collapsed="false">
      <c r="F456" s="6" t="s">
        <v>21</v>
      </c>
      <c r="G456" s="0" t="n">
        <v>7</v>
      </c>
      <c r="H456" s="0" t="s">
        <v>124</v>
      </c>
      <c r="I456" s="15" t="n">
        <v>43358.7759375</v>
      </c>
    </row>
    <row r="457" customFormat="false" ht="15" hidden="false" customHeight="false" outlineLevel="0" collapsed="false">
      <c r="F457" s="6" t="s">
        <v>25</v>
      </c>
      <c r="G457" s="0" t="n">
        <v>8</v>
      </c>
      <c r="H457" s="0" t="s">
        <v>140</v>
      </c>
      <c r="I457" s="15" t="n">
        <v>43358.7759375</v>
      </c>
    </row>
    <row r="458" customFormat="false" ht="15" hidden="false" customHeight="false" outlineLevel="0" collapsed="false">
      <c r="F458" s="6" t="s">
        <v>112</v>
      </c>
      <c r="G458" s="0" t="n">
        <v>1</v>
      </c>
      <c r="H458" s="0" t="s">
        <v>75</v>
      </c>
      <c r="I458" s="15" t="n">
        <v>43358.7759259259</v>
      </c>
    </row>
    <row r="459" customFormat="false" ht="15" hidden="false" customHeight="false" outlineLevel="0" collapsed="false">
      <c r="F459" s="6" t="s">
        <v>26</v>
      </c>
      <c r="G459" s="0" t="n">
        <v>7</v>
      </c>
      <c r="H459" s="0" t="s">
        <v>124</v>
      </c>
      <c r="I459" s="15" t="n">
        <v>43358.7758333333</v>
      </c>
    </row>
    <row r="460" customFormat="false" ht="15" hidden="false" customHeight="false" outlineLevel="0" collapsed="false">
      <c r="F460" s="6" t="s">
        <v>15</v>
      </c>
      <c r="G460" s="0" t="n">
        <v>12</v>
      </c>
      <c r="H460" s="0" t="s">
        <v>124</v>
      </c>
      <c r="I460" s="15" t="n">
        <v>43358.7756712963</v>
      </c>
    </row>
    <row r="461" customFormat="false" ht="15" hidden="false" customHeight="false" outlineLevel="0" collapsed="false">
      <c r="F461" s="6" t="s">
        <v>144</v>
      </c>
      <c r="G461" s="0" t="n">
        <v>1</v>
      </c>
      <c r="H461" s="0" t="s">
        <v>75</v>
      </c>
      <c r="I461" s="15" t="n">
        <v>43358.7755902778</v>
      </c>
    </row>
    <row r="462" customFormat="false" ht="15" hidden="false" customHeight="false" outlineLevel="0" collapsed="false">
      <c r="F462" s="6" t="s">
        <v>145</v>
      </c>
      <c r="G462" s="0" t="n">
        <v>1</v>
      </c>
      <c r="H462" s="0" t="s">
        <v>75</v>
      </c>
      <c r="I462" s="15" t="n">
        <v>43358.7754861111</v>
      </c>
    </row>
    <row r="463" customFormat="false" ht="15" hidden="false" customHeight="false" outlineLevel="0" collapsed="false">
      <c r="F463" s="6" t="s">
        <v>25</v>
      </c>
      <c r="G463" s="0" t="n">
        <v>13</v>
      </c>
      <c r="H463" s="0" t="s">
        <v>124</v>
      </c>
      <c r="I463" s="15" t="n">
        <v>43358.7754398148</v>
      </c>
    </row>
    <row r="464" customFormat="false" ht="15" hidden="false" customHeight="false" outlineLevel="0" collapsed="false">
      <c r="F464" s="6" t="s">
        <v>31</v>
      </c>
      <c r="G464" s="0" t="n">
        <v>7</v>
      </c>
      <c r="H464" s="0" t="s">
        <v>75</v>
      </c>
      <c r="I464" s="15" t="n">
        <v>43358.7752314815</v>
      </c>
    </row>
    <row r="465" customFormat="false" ht="15" hidden="false" customHeight="false" outlineLevel="0" collapsed="false">
      <c r="F465" s="6" t="s">
        <v>34</v>
      </c>
      <c r="G465" s="0" t="n">
        <v>20</v>
      </c>
      <c r="H465" s="0" t="s">
        <v>124</v>
      </c>
      <c r="I465" s="15" t="n">
        <v>43358.7750694444</v>
      </c>
    </row>
    <row r="466" customFormat="false" ht="15" hidden="false" customHeight="false" outlineLevel="0" collapsed="false">
      <c r="F466" s="6" t="s">
        <v>41</v>
      </c>
      <c r="G466" s="0" t="n">
        <v>6</v>
      </c>
      <c r="H466" s="0" t="s">
        <v>75</v>
      </c>
      <c r="I466" s="15" t="n">
        <v>43358.7749768519</v>
      </c>
    </row>
    <row r="467" customFormat="false" ht="15" hidden="false" customHeight="false" outlineLevel="0" collapsed="false">
      <c r="F467" s="6" t="s">
        <v>37</v>
      </c>
      <c r="G467" s="0" t="n">
        <v>3</v>
      </c>
      <c r="H467" s="0" t="s">
        <v>124</v>
      </c>
      <c r="I467" s="15" t="n">
        <v>43358.7748958333</v>
      </c>
    </row>
    <row r="468" customFormat="false" ht="15" hidden="false" customHeight="false" outlineLevel="0" collapsed="false">
      <c r="F468" s="6" t="s">
        <v>64</v>
      </c>
      <c r="G468" s="0" t="n">
        <v>2</v>
      </c>
      <c r="H468" s="0" t="s">
        <v>75</v>
      </c>
      <c r="I468" s="15" t="n">
        <v>43358.7748611111</v>
      </c>
    </row>
    <row r="469" customFormat="false" ht="15" hidden="false" customHeight="false" outlineLevel="0" collapsed="false">
      <c r="F469" s="6" t="s">
        <v>76</v>
      </c>
      <c r="G469" s="0" t="n">
        <v>1</v>
      </c>
      <c r="H469" s="0" t="s">
        <v>75</v>
      </c>
      <c r="I469" s="15" t="n">
        <v>43358.7746990741</v>
      </c>
    </row>
    <row r="470" customFormat="false" ht="15" hidden="false" customHeight="false" outlineLevel="0" collapsed="false">
      <c r="F470" s="6" t="s">
        <v>40</v>
      </c>
      <c r="G470" s="0" t="n">
        <v>1</v>
      </c>
      <c r="H470" s="0" t="s">
        <v>75</v>
      </c>
      <c r="I470" s="15" t="n">
        <v>43358.7744444445</v>
      </c>
    </row>
    <row r="471" customFormat="false" ht="15" hidden="false" customHeight="false" outlineLevel="0" collapsed="false">
      <c r="F471" s="6" t="s">
        <v>25</v>
      </c>
      <c r="G471" s="0" t="n">
        <v>11</v>
      </c>
      <c r="H471" s="0" t="s">
        <v>124</v>
      </c>
      <c r="I471" s="15" t="n">
        <v>43358.774375</v>
      </c>
    </row>
    <row r="472" customFormat="false" ht="15" hidden="false" customHeight="false" outlineLevel="0" collapsed="false">
      <c r="F472" s="6" t="s">
        <v>28</v>
      </c>
      <c r="G472" s="0" t="n">
        <v>2</v>
      </c>
      <c r="H472" s="0" t="s">
        <v>79</v>
      </c>
      <c r="I472" s="15" t="n">
        <v>43358.7733449074</v>
      </c>
    </row>
    <row r="473" customFormat="false" ht="15" hidden="false" customHeight="false" outlineLevel="0" collapsed="false">
      <c r="F473" s="6" t="s">
        <v>23</v>
      </c>
      <c r="G473" s="0" t="n">
        <v>4</v>
      </c>
      <c r="H473" s="0" t="s">
        <v>75</v>
      </c>
      <c r="I473" s="15" t="n">
        <v>43358.7733101852</v>
      </c>
    </row>
    <row r="474" customFormat="false" ht="15" hidden="false" customHeight="false" outlineLevel="0" collapsed="false">
      <c r="F474" s="6" t="s">
        <v>25</v>
      </c>
      <c r="G474" s="0" t="n">
        <v>8</v>
      </c>
      <c r="H474" s="0" t="s">
        <v>79</v>
      </c>
      <c r="I474" s="15" t="n">
        <v>43358.7730902778</v>
      </c>
    </row>
    <row r="475" customFormat="false" ht="15" hidden="false" customHeight="false" outlineLevel="0" collapsed="false">
      <c r="F475" s="6" t="s">
        <v>29</v>
      </c>
      <c r="G475" s="0" t="n">
        <v>2</v>
      </c>
      <c r="H475" s="0" t="s">
        <v>146</v>
      </c>
      <c r="I475" s="15" t="n">
        <v>43358.772962963</v>
      </c>
    </row>
    <row r="476" customFormat="false" ht="15" hidden="false" customHeight="false" outlineLevel="0" collapsed="false">
      <c r="F476" s="6" t="s">
        <v>46</v>
      </c>
      <c r="G476" s="0" t="n">
        <v>12</v>
      </c>
      <c r="H476" s="0" t="s">
        <v>75</v>
      </c>
      <c r="I476" s="15" t="n">
        <v>43358.7728703704</v>
      </c>
    </row>
    <row r="477" customFormat="false" ht="15" hidden="false" customHeight="false" outlineLevel="0" collapsed="false">
      <c r="F477" s="6" t="s">
        <v>126</v>
      </c>
      <c r="G477" s="0" t="n">
        <v>1</v>
      </c>
      <c r="H477" s="0" t="s">
        <v>79</v>
      </c>
      <c r="I477" s="15" t="n">
        <v>43358.7728587963</v>
      </c>
    </row>
    <row r="478" customFormat="false" ht="15" hidden="false" customHeight="false" outlineLevel="0" collapsed="false">
      <c r="F478" s="6" t="s">
        <v>147</v>
      </c>
      <c r="G478" s="0" t="n">
        <v>1</v>
      </c>
      <c r="H478" s="0" t="s">
        <v>146</v>
      </c>
      <c r="I478" s="15" t="n">
        <v>43358.7728472222</v>
      </c>
    </row>
    <row r="479" customFormat="false" ht="15" hidden="false" customHeight="false" outlineLevel="0" collapsed="false">
      <c r="F479" s="6" t="s">
        <v>41</v>
      </c>
      <c r="G479" s="0" t="n">
        <v>11</v>
      </c>
      <c r="H479" s="0" t="s">
        <v>79</v>
      </c>
      <c r="I479" s="15" t="n">
        <v>43358.7727777778</v>
      </c>
    </row>
    <row r="480" customFormat="false" ht="15" hidden="false" customHeight="false" outlineLevel="0" collapsed="false">
      <c r="F480" s="6" t="s">
        <v>25</v>
      </c>
      <c r="G480" s="0" t="n">
        <v>16</v>
      </c>
      <c r="H480" s="0" t="s">
        <v>79</v>
      </c>
      <c r="I480" s="15" t="n">
        <v>43358.7726851852</v>
      </c>
    </row>
    <row r="481" customFormat="false" ht="15" hidden="false" customHeight="false" outlineLevel="0" collapsed="false">
      <c r="F481" s="6" t="s">
        <v>74</v>
      </c>
      <c r="G481" s="0" t="n">
        <v>1</v>
      </c>
      <c r="H481" s="0" t="s">
        <v>75</v>
      </c>
      <c r="I481" s="15" t="n">
        <v>43358.7726736111</v>
      </c>
    </row>
    <row r="482" customFormat="false" ht="15" hidden="false" customHeight="false" outlineLevel="0" collapsed="false">
      <c r="F482" s="6" t="s">
        <v>104</v>
      </c>
      <c r="G482" s="0" t="n">
        <v>1</v>
      </c>
      <c r="H482" s="0" t="s">
        <v>146</v>
      </c>
      <c r="I482" s="15" t="n">
        <v>43358.7725347222</v>
      </c>
    </row>
    <row r="483" customFormat="false" ht="15" hidden="false" customHeight="false" outlineLevel="0" collapsed="false">
      <c r="F483" s="6" t="s">
        <v>148</v>
      </c>
      <c r="G483" s="0" t="n">
        <v>1</v>
      </c>
      <c r="H483" s="0" t="s">
        <v>146</v>
      </c>
      <c r="I483" s="15" t="n">
        <v>43358.7724305556</v>
      </c>
    </row>
    <row r="484" customFormat="false" ht="15" hidden="false" customHeight="false" outlineLevel="0" collapsed="false">
      <c r="F484" s="6" t="s">
        <v>36</v>
      </c>
      <c r="G484" s="0" t="n">
        <v>2</v>
      </c>
      <c r="H484" s="0" t="s">
        <v>79</v>
      </c>
      <c r="I484" s="15" t="n">
        <v>43358.7724074074</v>
      </c>
    </row>
    <row r="485" customFormat="false" ht="15" hidden="false" customHeight="false" outlineLevel="0" collapsed="false">
      <c r="F485" s="6" t="s">
        <v>15</v>
      </c>
      <c r="G485" s="0" t="n">
        <v>2</v>
      </c>
      <c r="H485" s="0" t="s">
        <v>75</v>
      </c>
      <c r="I485" s="15" t="n">
        <v>43358.7723263889</v>
      </c>
    </row>
    <row r="486" customFormat="false" ht="15" hidden="false" customHeight="false" outlineLevel="0" collapsed="false">
      <c r="F486" s="6" t="s">
        <v>141</v>
      </c>
      <c r="G486" s="0" t="n">
        <v>1</v>
      </c>
      <c r="H486" s="0" t="s">
        <v>79</v>
      </c>
      <c r="I486" s="15" t="n">
        <v>43358.7722916667</v>
      </c>
    </row>
    <row r="487" customFormat="false" ht="15" hidden="false" customHeight="false" outlineLevel="0" collapsed="false">
      <c r="F487" s="6" t="s">
        <v>149</v>
      </c>
      <c r="G487" s="0" t="n">
        <v>1</v>
      </c>
      <c r="H487" s="0" t="s">
        <v>146</v>
      </c>
      <c r="I487" s="15" t="n">
        <v>43358.7722569444</v>
      </c>
    </row>
    <row r="488" customFormat="false" ht="15" hidden="false" customHeight="false" outlineLevel="0" collapsed="false">
      <c r="F488" s="6" t="s">
        <v>25</v>
      </c>
      <c r="G488" s="0" t="n">
        <v>8</v>
      </c>
      <c r="H488" s="0" t="s">
        <v>75</v>
      </c>
      <c r="I488" s="15" t="n">
        <v>43358.7722106481</v>
      </c>
    </row>
    <row r="489" customFormat="false" ht="15" hidden="false" customHeight="false" outlineLevel="0" collapsed="false">
      <c r="F489" s="6" t="s">
        <v>34</v>
      </c>
      <c r="G489" s="0" t="n">
        <v>2</v>
      </c>
      <c r="H489" s="0" t="s">
        <v>79</v>
      </c>
      <c r="I489" s="15" t="n">
        <v>43358.772037037</v>
      </c>
    </row>
    <row r="490" customFormat="false" ht="15" hidden="false" customHeight="false" outlineLevel="0" collapsed="false">
      <c r="F490" s="6" t="s">
        <v>127</v>
      </c>
      <c r="G490" s="0" t="n">
        <v>1</v>
      </c>
      <c r="H490" s="0" t="s">
        <v>146</v>
      </c>
      <c r="I490" s="15" t="n">
        <v>43358.7719791667</v>
      </c>
    </row>
    <row r="491" customFormat="false" ht="15" hidden="false" customHeight="false" outlineLevel="0" collapsed="false">
      <c r="F491" s="6" t="s">
        <v>89</v>
      </c>
      <c r="G491" s="0" t="n">
        <v>1</v>
      </c>
      <c r="H491" s="0" t="s">
        <v>79</v>
      </c>
      <c r="I491" s="15" t="n">
        <v>43358.7719560185</v>
      </c>
    </row>
    <row r="492" customFormat="false" ht="15" hidden="false" customHeight="false" outlineLevel="0" collapsed="false">
      <c r="F492" s="6" t="s">
        <v>118</v>
      </c>
      <c r="G492" s="0" t="n">
        <v>2</v>
      </c>
      <c r="H492" s="0" t="s">
        <v>75</v>
      </c>
      <c r="I492" s="15" t="n">
        <v>43358.771875</v>
      </c>
    </row>
    <row r="493" customFormat="false" ht="15" hidden="false" customHeight="false" outlineLevel="0" collapsed="false">
      <c r="F493" s="6" t="s">
        <v>15</v>
      </c>
      <c r="G493" s="0" t="n">
        <v>1</v>
      </c>
      <c r="H493" s="0" t="s">
        <v>146</v>
      </c>
      <c r="I493" s="15" t="n">
        <v>43358.7718634259</v>
      </c>
    </row>
    <row r="494" customFormat="false" ht="15" hidden="false" customHeight="false" outlineLevel="0" collapsed="false">
      <c r="F494" s="6" t="s">
        <v>21</v>
      </c>
      <c r="G494" s="0" t="n">
        <v>1</v>
      </c>
      <c r="H494" s="0" t="s">
        <v>79</v>
      </c>
      <c r="I494" s="15" t="n">
        <v>43358.7718402778</v>
      </c>
    </row>
    <row r="495" customFormat="false" ht="15" hidden="false" customHeight="false" outlineLevel="0" collapsed="false">
      <c r="F495" s="6" t="s">
        <v>57</v>
      </c>
      <c r="G495" s="0" t="n">
        <v>4</v>
      </c>
      <c r="H495" s="0" t="s">
        <v>75</v>
      </c>
      <c r="I495" s="15" t="n">
        <v>43358.7717824074</v>
      </c>
    </row>
    <row r="496" customFormat="false" ht="15" hidden="false" customHeight="false" outlineLevel="0" collapsed="false">
      <c r="F496" s="6" t="s">
        <v>138</v>
      </c>
      <c r="G496" s="0" t="n">
        <v>1</v>
      </c>
      <c r="H496" s="0" t="s">
        <v>146</v>
      </c>
      <c r="I496" s="15" t="n">
        <v>43358.7717476852</v>
      </c>
    </row>
    <row r="497" customFormat="false" ht="15" hidden="false" customHeight="false" outlineLevel="0" collapsed="false">
      <c r="F497" s="6" t="s">
        <v>106</v>
      </c>
      <c r="G497" s="0" t="n">
        <v>1</v>
      </c>
      <c r="H497" s="0" t="s">
        <v>79</v>
      </c>
      <c r="I497" s="15" t="n">
        <v>43358.7716898148</v>
      </c>
    </row>
    <row r="498" customFormat="false" ht="15" hidden="false" customHeight="false" outlineLevel="0" collapsed="false">
      <c r="F498" s="6" t="s">
        <v>32</v>
      </c>
      <c r="G498" s="0" t="n">
        <v>10</v>
      </c>
      <c r="H498" s="0" t="s">
        <v>75</v>
      </c>
      <c r="I498" s="15" t="n">
        <v>43358.7716435185</v>
      </c>
    </row>
    <row r="499" customFormat="false" ht="15" hidden="false" customHeight="false" outlineLevel="0" collapsed="false">
      <c r="F499" s="6" t="s">
        <v>23</v>
      </c>
      <c r="G499" s="0" t="n">
        <v>1</v>
      </c>
      <c r="H499" s="0" t="s">
        <v>79</v>
      </c>
      <c r="I499" s="15" t="n">
        <v>43358.7715740741</v>
      </c>
    </row>
    <row r="500" customFormat="false" ht="15" hidden="false" customHeight="false" outlineLevel="0" collapsed="false">
      <c r="F500" s="6" t="s">
        <v>29</v>
      </c>
      <c r="G500" s="0" t="n">
        <v>2</v>
      </c>
      <c r="H500" s="0" t="s">
        <v>75</v>
      </c>
      <c r="I500" s="15" t="n">
        <v>43358.7715393519</v>
      </c>
    </row>
    <row r="501" customFormat="false" ht="15" hidden="false" customHeight="false" outlineLevel="0" collapsed="false">
      <c r="F501" s="6" t="s">
        <v>150</v>
      </c>
      <c r="G501" s="0" t="n">
        <v>2</v>
      </c>
      <c r="H501" s="0" t="s">
        <v>79</v>
      </c>
      <c r="I501" s="15" t="n">
        <v>43358.7715162037</v>
      </c>
    </row>
    <row r="502" customFormat="false" ht="15" hidden="false" customHeight="false" outlineLevel="0" collapsed="false">
      <c r="F502" s="6" t="s">
        <v>139</v>
      </c>
      <c r="G502" s="0" t="n">
        <v>1</v>
      </c>
      <c r="H502" s="0" t="s">
        <v>146</v>
      </c>
      <c r="I502" s="15" t="n">
        <v>43358.7714351852</v>
      </c>
    </row>
    <row r="503" customFormat="false" ht="15" hidden="false" customHeight="false" outlineLevel="0" collapsed="false">
      <c r="F503" s="6" t="s">
        <v>26</v>
      </c>
      <c r="G503" s="0" t="n">
        <v>4</v>
      </c>
      <c r="H503" s="0" t="s">
        <v>75</v>
      </c>
      <c r="I503" s="15" t="n">
        <v>43358.7713773148</v>
      </c>
    </row>
    <row r="504" customFormat="false" ht="15" hidden="false" customHeight="false" outlineLevel="0" collapsed="false">
      <c r="F504" s="6" t="s">
        <v>59</v>
      </c>
      <c r="G504" s="0" t="n">
        <v>1</v>
      </c>
      <c r="H504" s="0" t="s">
        <v>79</v>
      </c>
      <c r="I504" s="15" t="n">
        <v>43358.7712731482</v>
      </c>
    </row>
    <row r="505" customFormat="false" ht="15" hidden="false" customHeight="false" outlineLevel="0" collapsed="false">
      <c r="F505" s="6" t="s">
        <v>32</v>
      </c>
      <c r="G505" s="0" t="n">
        <v>3</v>
      </c>
      <c r="H505" s="0" t="s">
        <v>79</v>
      </c>
      <c r="I505" s="15" t="n">
        <v>43358.7711921296</v>
      </c>
    </row>
    <row r="506" customFormat="false" ht="15" hidden="false" customHeight="false" outlineLevel="0" collapsed="false">
      <c r="F506" s="6" t="s">
        <v>118</v>
      </c>
      <c r="G506" s="0" t="n">
        <v>1</v>
      </c>
      <c r="H506" s="0" t="s">
        <v>146</v>
      </c>
      <c r="I506" s="15" t="n">
        <v>43358.7711921296</v>
      </c>
    </row>
    <row r="507" customFormat="false" ht="15" hidden="false" customHeight="false" outlineLevel="0" collapsed="false">
      <c r="F507" s="6" t="s">
        <v>89</v>
      </c>
      <c r="G507" s="0" t="n">
        <v>1</v>
      </c>
      <c r="H507" s="0" t="s">
        <v>75</v>
      </c>
      <c r="I507" s="15" t="n">
        <v>43358.7711805556</v>
      </c>
    </row>
    <row r="508" customFormat="false" ht="15" hidden="false" customHeight="false" outlineLevel="0" collapsed="false">
      <c r="F508" s="6" t="s">
        <v>27</v>
      </c>
      <c r="G508" s="0" t="n">
        <v>1</v>
      </c>
      <c r="H508" s="0" t="s">
        <v>79</v>
      </c>
      <c r="I508" s="15" t="n">
        <v>43358.7711226852</v>
      </c>
    </row>
    <row r="509" customFormat="false" ht="15" hidden="false" customHeight="false" outlineLevel="0" collapsed="false">
      <c r="F509" s="6" t="s">
        <v>34</v>
      </c>
      <c r="G509" s="0" t="n">
        <v>7</v>
      </c>
      <c r="H509" s="0" t="s">
        <v>75</v>
      </c>
      <c r="I509" s="15" t="n">
        <v>43358.7710648148</v>
      </c>
    </row>
    <row r="510" customFormat="false" ht="15" hidden="false" customHeight="false" outlineLevel="0" collapsed="false">
      <c r="F510" s="6" t="s">
        <v>26</v>
      </c>
      <c r="G510" s="0" t="n">
        <v>1</v>
      </c>
      <c r="H510" s="0" t="s">
        <v>146</v>
      </c>
      <c r="I510" s="15" t="n">
        <v>43358.7710532408</v>
      </c>
    </row>
    <row r="511" customFormat="false" ht="15" hidden="false" customHeight="false" outlineLevel="0" collapsed="false">
      <c r="F511" s="6" t="s">
        <v>56</v>
      </c>
      <c r="G511" s="0" t="n">
        <v>2</v>
      </c>
      <c r="H511" s="0" t="s">
        <v>79</v>
      </c>
      <c r="I511" s="15" t="n">
        <v>43358.7710300926</v>
      </c>
    </row>
    <row r="512" customFormat="false" ht="15" hidden="false" customHeight="false" outlineLevel="0" collapsed="false">
      <c r="F512" s="6" t="s">
        <v>54</v>
      </c>
      <c r="G512" s="0" t="n">
        <v>1</v>
      </c>
      <c r="H512" s="0" t="s">
        <v>79</v>
      </c>
      <c r="I512" s="15" t="n">
        <v>43358.7709606482</v>
      </c>
    </row>
    <row r="513" customFormat="false" ht="15" hidden="false" customHeight="false" outlineLevel="0" collapsed="false">
      <c r="F513" s="6" t="s">
        <v>37</v>
      </c>
      <c r="G513" s="0" t="n">
        <v>2</v>
      </c>
      <c r="H513" s="0" t="s">
        <v>75</v>
      </c>
      <c r="I513" s="15" t="n">
        <v>43358.7709490741</v>
      </c>
    </row>
    <row r="514" customFormat="false" ht="15" hidden="false" customHeight="false" outlineLevel="0" collapsed="false">
      <c r="F514" s="6" t="s">
        <v>59</v>
      </c>
      <c r="G514" s="0" t="n">
        <v>1</v>
      </c>
      <c r="H514" s="0" t="s">
        <v>146</v>
      </c>
      <c r="I514" s="15" t="n">
        <v>43358.7709375</v>
      </c>
    </row>
    <row r="515" customFormat="false" ht="15" hidden="false" customHeight="false" outlineLevel="0" collapsed="false">
      <c r="F515" s="6" t="s">
        <v>47</v>
      </c>
      <c r="G515" s="0" t="n">
        <v>2</v>
      </c>
      <c r="H515" s="0" t="s">
        <v>79</v>
      </c>
      <c r="I515" s="15" t="n">
        <v>43358.7708912037</v>
      </c>
    </row>
    <row r="516" customFormat="false" ht="15" hidden="false" customHeight="false" outlineLevel="0" collapsed="false">
      <c r="F516" s="6" t="s">
        <v>40</v>
      </c>
      <c r="G516" s="0" t="n">
        <v>3</v>
      </c>
      <c r="H516" s="0" t="s">
        <v>146</v>
      </c>
      <c r="I516" s="15" t="n">
        <v>43358.7708333333</v>
      </c>
    </row>
    <row r="517" customFormat="false" ht="15" hidden="false" customHeight="false" outlineLevel="0" collapsed="false">
      <c r="F517" s="6" t="s">
        <v>36</v>
      </c>
      <c r="G517" s="0" t="n">
        <v>2</v>
      </c>
      <c r="H517" s="0" t="s">
        <v>75</v>
      </c>
      <c r="I517" s="15" t="n">
        <v>43358.770775463</v>
      </c>
    </row>
    <row r="518" customFormat="false" ht="15" hidden="false" customHeight="false" outlineLevel="0" collapsed="false">
      <c r="F518" s="6" t="s">
        <v>31</v>
      </c>
      <c r="G518" s="0" t="n">
        <v>25</v>
      </c>
      <c r="H518" s="0" t="s">
        <v>79</v>
      </c>
      <c r="I518" s="15" t="n">
        <v>43358.7707523148</v>
      </c>
    </row>
    <row r="519" customFormat="false" ht="15" hidden="false" customHeight="false" outlineLevel="0" collapsed="false">
      <c r="F519" s="6" t="s">
        <v>76</v>
      </c>
      <c r="G519" s="0" t="n">
        <v>3</v>
      </c>
      <c r="H519" s="0" t="s">
        <v>146</v>
      </c>
      <c r="I519" s="15" t="n">
        <v>43358.7707291667</v>
      </c>
    </row>
    <row r="520" customFormat="false" ht="15" hidden="false" customHeight="false" outlineLevel="0" collapsed="false">
      <c r="F520" s="6" t="s">
        <v>33</v>
      </c>
      <c r="G520" s="0" t="n">
        <v>1</v>
      </c>
      <c r="H520" s="0" t="s">
        <v>79</v>
      </c>
      <c r="I520" s="15" t="n">
        <v>43358.7706597222</v>
      </c>
    </row>
    <row r="521" customFormat="false" ht="15" hidden="false" customHeight="false" outlineLevel="0" collapsed="false">
      <c r="F521" s="6" t="s">
        <v>15</v>
      </c>
      <c r="G521" s="0" t="n">
        <v>2</v>
      </c>
      <c r="H521" s="0" t="s">
        <v>79</v>
      </c>
      <c r="I521" s="15" t="n">
        <v>43358.7705787037</v>
      </c>
    </row>
    <row r="522" customFormat="false" ht="15" hidden="false" customHeight="false" outlineLevel="0" collapsed="false">
      <c r="F522" s="6" t="s">
        <v>41</v>
      </c>
      <c r="G522" s="0" t="n">
        <v>5</v>
      </c>
      <c r="H522" s="0" t="s">
        <v>146</v>
      </c>
      <c r="I522" s="15" t="n">
        <v>43358.7704976852</v>
      </c>
    </row>
    <row r="523" customFormat="false" ht="15" hidden="false" customHeight="false" outlineLevel="0" collapsed="false">
      <c r="F523" s="6" t="s">
        <v>25</v>
      </c>
      <c r="G523" s="0" t="n">
        <v>5</v>
      </c>
      <c r="H523" s="0" t="s">
        <v>79</v>
      </c>
      <c r="I523" s="15" t="n">
        <v>43358.7704166667</v>
      </c>
    </row>
    <row r="524" customFormat="false" ht="15" hidden="false" customHeight="false" outlineLevel="0" collapsed="false">
      <c r="F524" s="6" t="s">
        <v>12</v>
      </c>
      <c r="G524" s="0" t="n">
        <v>1</v>
      </c>
      <c r="H524" s="0" t="s">
        <v>146</v>
      </c>
      <c r="I524" s="15" t="n">
        <v>43358.7703819444</v>
      </c>
    </row>
    <row r="525" customFormat="false" ht="15" hidden="false" customHeight="false" outlineLevel="0" collapsed="false">
      <c r="F525" s="6" t="s">
        <v>25</v>
      </c>
      <c r="G525" s="0" t="n">
        <v>7</v>
      </c>
      <c r="H525" s="0" t="s">
        <v>79</v>
      </c>
      <c r="I525" s="15" t="n">
        <v>43358.770150463</v>
      </c>
    </row>
    <row r="526" customFormat="false" ht="15" hidden="false" customHeight="false" outlineLevel="0" collapsed="false">
      <c r="F526" s="6" t="s">
        <v>86</v>
      </c>
      <c r="G526" s="0" t="n">
        <v>1</v>
      </c>
      <c r="H526" s="0" t="s">
        <v>146</v>
      </c>
      <c r="I526" s="15" t="n">
        <v>43358.7700925926</v>
      </c>
    </row>
    <row r="527" customFormat="false" ht="15" hidden="false" customHeight="false" outlineLevel="0" collapsed="false">
      <c r="F527" s="6" t="s">
        <v>151</v>
      </c>
      <c r="G527" s="0" t="n">
        <v>1</v>
      </c>
      <c r="H527" s="0" t="s">
        <v>146</v>
      </c>
      <c r="I527" s="15" t="n">
        <v>43358.7699884259</v>
      </c>
    </row>
    <row r="528" customFormat="false" ht="15" hidden="false" customHeight="false" outlineLevel="0" collapsed="false">
      <c r="F528" s="6" t="s">
        <v>152</v>
      </c>
      <c r="G528" s="0" t="n">
        <v>1</v>
      </c>
      <c r="H528" s="0" t="s">
        <v>79</v>
      </c>
      <c r="I528" s="15" t="n">
        <v>43358.7699537037</v>
      </c>
    </row>
    <row r="529" customFormat="false" ht="15" hidden="false" customHeight="false" outlineLevel="0" collapsed="false">
      <c r="F529" s="6" t="s">
        <v>34</v>
      </c>
      <c r="G529" s="0" t="n">
        <v>1</v>
      </c>
      <c r="H529" s="0" t="s">
        <v>79</v>
      </c>
      <c r="I529" s="15" t="n">
        <v>43358.7698842593</v>
      </c>
    </row>
    <row r="530" customFormat="false" ht="15" hidden="false" customHeight="false" outlineLevel="0" collapsed="false">
      <c r="F530" s="6" t="s">
        <v>25</v>
      </c>
      <c r="G530" s="0" t="n">
        <v>20</v>
      </c>
      <c r="H530" s="0" t="s">
        <v>75</v>
      </c>
      <c r="I530" s="15" t="n">
        <v>43358.7698263889</v>
      </c>
    </row>
    <row r="531" customFormat="false" ht="15" hidden="false" customHeight="false" outlineLevel="0" collapsed="false">
      <c r="F531" s="6" t="s">
        <v>72</v>
      </c>
      <c r="G531" s="0" t="n">
        <v>1</v>
      </c>
      <c r="H531" s="0" t="s">
        <v>79</v>
      </c>
      <c r="I531" s="15" t="n">
        <v>43358.7698032407</v>
      </c>
    </row>
    <row r="532" customFormat="false" ht="15" hidden="false" customHeight="false" outlineLevel="0" collapsed="false">
      <c r="F532" s="6" t="s">
        <v>36</v>
      </c>
      <c r="G532" s="0" t="n">
        <v>2</v>
      </c>
      <c r="H532" s="0" t="s">
        <v>79</v>
      </c>
      <c r="I532" s="15" t="n">
        <v>43358.7696990741</v>
      </c>
    </row>
    <row r="533" customFormat="false" ht="15" hidden="false" customHeight="false" outlineLevel="0" collapsed="false">
      <c r="F533" s="6" t="s">
        <v>37</v>
      </c>
      <c r="G533" s="0" t="n">
        <v>1</v>
      </c>
      <c r="H533" s="0" t="s">
        <v>79</v>
      </c>
      <c r="I533" s="15" t="n">
        <v>43358.7696180556</v>
      </c>
    </row>
    <row r="534" customFormat="false" ht="15" hidden="false" customHeight="false" outlineLevel="0" collapsed="false">
      <c r="F534" s="6" t="s">
        <v>53</v>
      </c>
      <c r="G534" s="0" t="n">
        <v>2</v>
      </c>
      <c r="H534" s="0" t="s">
        <v>146</v>
      </c>
      <c r="I534" s="15" t="n">
        <v>43358.7696064815</v>
      </c>
    </row>
    <row r="535" customFormat="false" ht="15" hidden="false" customHeight="false" outlineLevel="0" collapsed="false">
      <c r="F535" s="6" t="s">
        <v>15</v>
      </c>
      <c r="G535" s="0" t="n">
        <v>6</v>
      </c>
      <c r="H535" s="0" t="s">
        <v>75</v>
      </c>
      <c r="I535" s="15" t="n">
        <v>43358.7695717593</v>
      </c>
    </row>
    <row r="536" customFormat="false" ht="15" hidden="false" customHeight="false" outlineLevel="0" collapsed="false">
      <c r="F536" s="6" t="s">
        <v>54</v>
      </c>
      <c r="G536" s="0" t="n">
        <v>5</v>
      </c>
      <c r="H536" s="0" t="s">
        <v>146</v>
      </c>
      <c r="I536" s="15" t="n">
        <v>43358.7694907407</v>
      </c>
    </row>
    <row r="537" customFormat="false" ht="15" hidden="false" customHeight="false" outlineLevel="0" collapsed="false">
      <c r="F537" s="6" t="s">
        <v>153</v>
      </c>
      <c r="G537" s="0" t="n">
        <v>2</v>
      </c>
      <c r="H537" s="0" t="s">
        <v>79</v>
      </c>
      <c r="I537" s="15" t="n">
        <v>43358.7694444444</v>
      </c>
    </row>
    <row r="538" customFormat="false" ht="15" hidden="false" customHeight="false" outlineLevel="0" collapsed="false">
      <c r="F538" s="6" t="s">
        <v>154</v>
      </c>
      <c r="G538" s="0" t="n">
        <v>5</v>
      </c>
      <c r="H538" s="0" t="s">
        <v>146</v>
      </c>
      <c r="I538" s="15" t="n">
        <v>43358.769375</v>
      </c>
    </row>
    <row r="539" customFormat="false" ht="15" hidden="false" customHeight="false" outlineLevel="0" collapsed="false">
      <c r="F539" s="6" t="s">
        <v>26</v>
      </c>
      <c r="G539" s="0" t="n">
        <v>11</v>
      </c>
      <c r="H539" s="0" t="s">
        <v>75</v>
      </c>
      <c r="I539" s="15" t="n">
        <v>43358.7693055556</v>
      </c>
    </row>
    <row r="540" customFormat="false" ht="15" hidden="false" customHeight="false" outlineLevel="0" collapsed="false">
      <c r="F540" s="6" t="s">
        <v>50</v>
      </c>
      <c r="G540" s="0" t="n">
        <v>1</v>
      </c>
      <c r="H540" s="0" t="s">
        <v>146</v>
      </c>
      <c r="I540" s="15" t="n">
        <v>43358.7690625</v>
      </c>
    </row>
    <row r="541" customFormat="false" ht="15" hidden="false" customHeight="false" outlineLevel="0" collapsed="false">
      <c r="F541" s="6" t="s">
        <v>52</v>
      </c>
      <c r="G541" s="0" t="n">
        <v>2</v>
      </c>
      <c r="H541" s="0" t="s">
        <v>146</v>
      </c>
      <c r="I541" s="15" t="n">
        <v>43358.7688773148</v>
      </c>
    </row>
    <row r="542" customFormat="false" ht="15" hidden="false" customHeight="false" outlineLevel="0" collapsed="false">
      <c r="F542" s="6" t="s">
        <v>98</v>
      </c>
      <c r="G542" s="0" t="n">
        <v>1</v>
      </c>
      <c r="H542" s="0" t="s">
        <v>146</v>
      </c>
      <c r="I542" s="15" t="n">
        <v>43358.7687615741</v>
      </c>
    </row>
    <row r="543" customFormat="false" ht="15" hidden="false" customHeight="false" outlineLevel="0" collapsed="false">
      <c r="F543" s="6" t="s">
        <v>99</v>
      </c>
      <c r="G543" s="0" t="n">
        <v>1</v>
      </c>
      <c r="H543" s="0" t="s">
        <v>146</v>
      </c>
      <c r="I543" s="15" t="n">
        <v>43358.7686458333</v>
      </c>
    </row>
    <row r="544" customFormat="false" ht="15" hidden="false" customHeight="false" outlineLevel="0" collapsed="false">
      <c r="F544" s="6" t="s">
        <v>27</v>
      </c>
      <c r="G544" s="0" t="n">
        <v>9</v>
      </c>
      <c r="H544" s="0" t="s">
        <v>146</v>
      </c>
      <c r="I544" s="15" t="n">
        <v>43358.7685069444</v>
      </c>
    </row>
    <row r="545" customFormat="false" ht="15" hidden="false" customHeight="false" outlineLevel="0" collapsed="false">
      <c r="F545" s="6" t="s">
        <v>27</v>
      </c>
      <c r="G545" s="0" t="n">
        <v>10</v>
      </c>
      <c r="H545" s="0" t="s">
        <v>75</v>
      </c>
      <c r="I545" s="15" t="n">
        <v>43358.7683333333</v>
      </c>
    </row>
    <row r="546" customFormat="false" ht="15" hidden="false" customHeight="false" outlineLevel="0" collapsed="false">
      <c r="F546" s="6" t="s">
        <v>62</v>
      </c>
      <c r="G546" s="0" t="n">
        <v>1</v>
      </c>
      <c r="H546" s="0" t="s">
        <v>146</v>
      </c>
      <c r="I546" s="15" t="n">
        <v>43358.7679282407</v>
      </c>
    </row>
    <row r="547" customFormat="false" ht="15" hidden="false" customHeight="false" outlineLevel="0" collapsed="false">
      <c r="F547" s="6" t="s">
        <v>21</v>
      </c>
      <c r="G547" s="0" t="n">
        <v>23</v>
      </c>
      <c r="H547" s="0" t="s">
        <v>75</v>
      </c>
      <c r="I547" s="15" t="n">
        <v>43358.767662037</v>
      </c>
    </row>
    <row r="548" customFormat="false" ht="15" hidden="false" customHeight="false" outlineLevel="0" collapsed="false">
      <c r="F548" s="6" t="s">
        <v>31</v>
      </c>
      <c r="G548" s="0" t="n">
        <v>1</v>
      </c>
      <c r="H548" s="0" t="s">
        <v>146</v>
      </c>
      <c r="I548" s="15" t="n">
        <v>43358.7675810185</v>
      </c>
    </row>
    <row r="549" customFormat="false" ht="15" hidden="false" customHeight="false" outlineLevel="0" collapsed="false">
      <c r="F549" s="6" t="s">
        <v>107</v>
      </c>
      <c r="G549" s="0" t="n">
        <v>19</v>
      </c>
      <c r="H549" s="0" t="s">
        <v>146</v>
      </c>
      <c r="I549" s="15" t="n">
        <v>43358.7674652778</v>
      </c>
    </row>
    <row r="550" customFormat="false" ht="15" hidden="false" customHeight="false" outlineLevel="0" collapsed="false">
      <c r="F550" s="6" t="s">
        <v>32</v>
      </c>
      <c r="G550" s="0" t="n">
        <v>22</v>
      </c>
      <c r="H550" s="0" t="s">
        <v>146</v>
      </c>
      <c r="I550" s="15" t="n">
        <v>43358.767349537</v>
      </c>
    </row>
    <row r="551" customFormat="false" ht="15" hidden="false" customHeight="false" outlineLevel="0" collapsed="false">
      <c r="F551" s="6" t="s">
        <v>129</v>
      </c>
      <c r="G551" s="0" t="n">
        <v>1</v>
      </c>
      <c r="H551" s="0" t="s">
        <v>146</v>
      </c>
      <c r="I551" s="15" t="n">
        <v>43358.7672569445</v>
      </c>
    </row>
    <row r="552" customFormat="false" ht="15" hidden="false" customHeight="false" outlineLevel="0" collapsed="false">
      <c r="F552" s="6" t="s">
        <v>31</v>
      </c>
      <c r="G552" s="0" t="n">
        <v>41</v>
      </c>
      <c r="H552" s="0" t="s">
        <v>146</v>
      </c>
      <c r="I552" s="15" t="n">
        <v>43358.7671643519</v>
      </c>
    </row>
    <row r="553" customFormat="false" ht="15" hidden="false" customHeight="false" outlineLevel="0" collapsed="false">
      <c r="F553" s="6" t="s">
        <v>37</v>
      </c>
      <c r="G553" s="0" t="n">
        <v>2</v>
      </c>
      <c r="H553" s="0" t="s">
        <v>146</v>
      </c>
      <c r="I553" s="15" t="n">
        <v>43358.7669791667</v>
      </c>
    </row>
    <row r="554" customFormat="false" ht="15" hidden="false" customHeight="false" outlineLevel="0" collapsed="false">
      <c r="F554" s="6" t="s">
        <v>72</v>
      </c>
      <c r="G554" s="0" t="n">
        <v>1</v>
      </c>
      <c r="H554" s="0" t="s">
        <v>146</v>
      </c>
      <c r="I554" s="15" t="n">
        <v>43358.7668981482</v>
      </c>
    </row>
    <row r="555" customFormat="false" ht="15" hidden="false" customHeight="false" outlineLevel="0" collapsed="false">
      <c r="F555" s="6" t="s">
        <v>36</v>
      </c>
      <c r="G555" s="0" t="n">
        <v>1</v>
      </c>
      <c r="H555" s="0" t="s">
        <v>146</v>
      </c>
      <c r="I555" s="15" t="n">
        <v>43358.7667708333</v>
      </c>
    </row>
    <row r="556" customFormat="false" ht="15" hidden="false" customHeight="false" outlineLevel="0" collapsed="false">
      <c r="F556" s="6" t="s">
        <v>21</v>
      </c>
      <c r="G556" s="0" t="n">
        <v>6</v>
      </c>
      <c r="H556" s="0" t="s">
        <v>146</v>
      </c>
      <c r="I556" s="15" t="n">
        <v>43358.7666435185</v>
      </c>
    </row>
    <row r="557" customFormat="false" ht="15" hidden="false" customHeight="false" outlineLevel="0" collapsed="false">
      <c r="F557" s="6" t="s">
        <v>71</v>
      </c>
      <c r="G557" s="0" t="n">
        <v>3</v>
      </c>
      <c r="H557" s="0" t="s">
        <v>146</v>
      </c>
      <c r="I557" s="15" t="n">
        <v>43358.7665046296</v>
      </c>
    </row>
    <row r="558" customFormat="false" ht="15" hidden="false" customHeight="false" outlineLevel="0" collapsed="false">
      <c r="F558" s="6" t="s">
        <v>90</v>
      </c>
      <c r="G558" s="0" t="n">
        <v>1</v>
      </c>
      <c r="H558" s="0" t="s">
        <v>146</v>
      </c>
      <c r="I558" s="15" t="n">
        <v>43358.7663888889</v>
      </c>
    </row>
    <row r="559" customFormat="false" ht="15" hidden="false" customHeight="false" outlineLevel="0" collapsed="false">
      <c r="F559" s="6" t="s">
        <v>23</v>
      </c>
      <c r="G559" s="0" t="n">
        <v>2</v>
      </c>
      <c r="H559" s="0" t="s">
        <v>146</v>
      </c>
      <c r="I559" s="15" t="n">
        <v>43358.766099537</v>
      </c>
    </row>
    <row r="560" customFormat="false" ht="15" hidden="false" customHeight="false" outlineLevel="0" collapsed="false">
      <c r="F560" s="6" t="s">
        <v>155</v>
      </c>
      <c r="G560" s="0" t="n">
        <v>1</v>
      </c>
      <c r="H560" s="0" t="s">
        <v>146</v>
      </c>
      <c r="I560" s="15" t="n">
        <v>43358.7660069444</v>
      </c>
    </row>
    <row r="561" customFormat="false" ht="15" hidden="false" customHeight="false" outlineLevel="0" collapsed="false">
      <c r="F561" s="6" t="s">
        <v>86</v>
      </c>
      <c r="G561" s="0" t="n">
        <v>1</v>
      </c>
      <c r="H561" s="0" t="s">
        <v>146</v>
      </c>
      <c r="I561" s="15" t="n">
        <v>43358.7657638889</v>
      </c>
    </row>
    <row r="562" customFormat="false" ht="15" hidden="false" customHeight="false" outlineLevel="0" collapsed="false">
      <c r="F562" s="6" t="s">
        <v>34</v>
      </c>
      <c r="G562" s="0" t="n">
        <v>4</v>
      </c>
      <c r="H562" s="0" t="s">
        <v>146</v>
      </c>
      <c r="I562" s="15" t="n">
        <v>43358.7656481481</v>
      </c>
    </row>
    <row r="563" customFormat="false" ht="15" hidden="false" customHeight="false" outlineLevel="0" collapsed="false">
      <c r="F563" s="6" t="s">
        <v>67</v>
      </c>
      <c r="G563" s="0" t="n">
        <v>1</v>
      </c>
      <c r="H563" s="0" t="s">
        <v>146</v>
      </c>
      <c r="I563" s="15" t="n">
        <v>43358.7655555556</v>
      </c>
    </row>
    <row r="564" customFormat="false" ht="15" hidden="false" customHeight="false" outlineLevel="0" collapsed="false">
      <c r="F564" s="6" t="s">
        <v>88</v>
      </c>
      <c r="G564" s="0" t="n">
        <v>1</v>
      </c>
      <c r="H564" s="0" t="s">
        <v>146</v>
      </c>
      <c r="I564" s="15" t="n">
        <v>43358.7654282407</v>
      </c>
    </row>
    <row r="565" customFormat="false" ht="15" hidden="false" customHeight="false" outlineLevel="0" collapsed="false">
      <c r="F565" s="6" t="s">
        <v>80</v>
      </c>
      <c r="G565" s="0" t="n">
        <v>1</v>
      </c>
      <c r="H565" s="0" t="s">
        <v>146</v>
      </c>
      <c r="I565" s="15" t="n">
        <v>43358.7653356481</v>
      </c>
    </row>
    <row r="566" customFormat="false" ht="15" hidden="false" customHeight="false" outlineLevel="0" collapsed="false">
      <c r="F566" s="6" t="s">
        <v>156</v>
      </c>
      <c r="G566" s="0" t="n">
        <v>1</v>
      </c>
      <c r="H566" s="0" t="s">
        <v>146</v>
      </c>
      <c r="I566" s="15" t="n">
        <v>43358.7650462963</v>
      </c>
    </row>
    <row r="567" customFormat="false" ht="15" hidden="false" customHeight="false" outlineLevel="0" collapsed="false">
      <c r="F567" s="6" t="s">
        <v>80</v>
      </c>
      <c r="G567" s="0" t="n">
        <v>1</v>
      </c>
      <c r="H567" s="0" t="s">
        <v>146</v>
      </c>
      <c r="I567" s="15" t="n">
        <v>43358.7649305556</v>
      </c>
    </row>
    <row r="568" customFormat="false" ht="15" hidden="false" customHeight="false" outlineLevel="0" collapsed="false">
      <c r="F568" s="6" t="s">
        <v>26</v>
      </c>
      <c r="G568" s="0" t="n">
        <v>8</v>
      </c>
      <c r="H568" s="0" t="s">
        <v>146</v>
      </c>
      <c r="I568" s="15" t="n">
        <v>43358.7648263889</v>
      </c>
    </row>
    <row r="569" customFormat="false" ht="15" hidden="false" customHeight="false" outlineLevel="0" collapsed="false">
      <c r="F569" s="6" t="s">
        <v>25</v>
      </c>
      <c r="G569" s="0" t="n">
        <v>33</v>
      </c>
      <c r="H569" s="0" t="s">
        <v>146</v>
      </c>
      <c r="I569" s="15" t="n">
        <v>43358.7646296296</v>
      </c>
    </row>
    <row r="570" customFormat="false" ht="15" hidden="false" customHeight="false" outlineLevel="0" collapsed="false">
      <c r="F570" s="6" t="s">
        <v>41</v>
      </c>
      <c r="G570" s="0" t="n">
        <v>8</v>
      </c>
      <c r="H570" s="0" t="s">
        <v>146</v>
      </c>
      <c r="I570" s="15" t="n">
        <v>43358.7640509259</v>
      </c>
    </row>
    <row r="571" customFormat="false" ht="15" hidden="false" customHeight="false" outlineLevel="0" collapsed="false">
      <c r="F571" s="6" t="s">
        <v>34</v>
      </c>
      <c r="G571" s="0" t="n">
        <v>8</v>
      </c>
      <c r="H571" s="0" t="s">
        <v>146</v>
      </c>
      <c r="I571" s="15" t="n">
        <v>43358.7637847222</v>
      </c>
    </row>
    <row r="572" customFormat="false" ht="15" hidden="false" customHeight="false" outlineLevel="0" collapsed="false">
      <c r="F572" s="6" t="s">
        <v>89</v>
      </c>
      <c r="G572" s="0" t="n">
        <v>2</v>
      </c>
      <c r="H572" s="0" t="s">
        <v>146</v>
      </c>
      <c r="I572" s="15" t="n">
        <v>43358.7636805556</v>
      </c>
    </row>
    <row r="573" customFormat="false" ht="15" hidden="false" customHeight="false" outlineLevel="0" collapsed="false">
      <c r="F573" s="6" t="s">
        <v>72</v>
      </c>
      <c r="G573" s="0" t="n">
        <v>2</v>
      </c>
      <c r="H573" s="0" t="s">
        <v>146</v>
      </c>
      <c r="I573" s="15" t="n">
        <v>43358.7635532407</v>
      </c>
    </row>
    <row r="574" customFormat="false" ht="15" hidden="false" customHeight="false" outlineLevel="0" collapsed="false">
      <c r="F574" s="6" t="s">
        <v>15</v>
      </c>
      <c r="G574" s="0" t="n">
        <v>6</v>
      </c>
      <c r="H574" s="0" t="s">
        <v>146</v>
      </c>
      <c r="I574" s="15" t="n">
        <v>43358.7631481482</v>
      </c>
    </row>
    <row r="575" customFormat="false" ht="15" hidden="false" customHeight="false" outlineLevel="0" collapsed="false">
      <c r="F575" s="6" t="s">
        <v>155</v>
      </c>
      <c r="G575" s="0" t="n">
        <v>1</v>
      </c>
      <c r="H575" s="0" t="s">
        <v>157</v>
      </c>
      <c r="I575" s="15" t="n">
        <v>43358.7587962963</v>
      </c>
    </row>
    <row r="576" customFormat="false" ht="15" hidden="false" customHeight="false" outlineLevel="0" collapsed="false">
      <c r="F576" s="6" t="s">
        <v>158</v>
      </c>
      <c r="G576" s="0" t="n">
        <v>1</v>
      </c>
      <c r="H576" s="0" t="s">
        <v>157</v>
      </c>
      <c r="I576" s="15" t="n">
        <v>43358.7584259259</v>
      </c>
    </row>
    <row r="577" customFormat="false" ht="15" hidden="false" customHeight="false" outlineLevel="0" collapsed="false">
      <c r="F577" s="6" t="s">
        <v>145</v>
      </c>
      <c r="G577" s="0" t="n">
        <v>1</v>
      </c>
      <c r="H577" s="0" t="s">
        <v>157</v>
      </c>
      <c r="I577" s="15" t="n">
        <v>43358.758125</v>
      </c>
    </row>
    <row r="578" customFormat="false" ht="15" hidden="false" customHeight="false" outlineLevel="0" collapsed="false">
      <c r="F578" s="6" t="s">
        <v>107</v>
      </c>
      <c r="G578" s="0" t="n">
        <v>2</v>
      </c>
      <c r="H578" s="0" t="s">
        <v>157</v>
      </c>
      <c r="I578" s="15" t="n">
        <v>43358.7579861111</v>
      </c>
    </row>
    <row r="579" customFormat="false" ht="15" hidden="false" customHeight="false" outlineLevel="0" collapsed="false">
      <c r="F579" s="6" t="s">
        <v>31</v>
      </c>
      <c r="G579" s="0" t="n">
        <v>5</v>
      </c>
      <c r="H579" s="0" t="s">
        <v>157</v>
      </c>
      <c r="I579" s="15" t="n">
        <v>43358.7577083333</v>
      </c>
    </row>
    <row r="580" customFormat="false" ht="15" hidden="false" customHeight="false" outlineLevel="0" collapsed="false">
      <c r="F580" s="6" t="s">
        <v>106</v>
      </c>
      <c r="G580" s="0" t="n">
        <v>2</v>
      </c>
      <c r="H580" s="0" t="s">
        <v>157</v>
      </c>
      <c r="I580" s="15" t="n">
        <v>43358.7574305556</v>
      </c>
    </row>
    <row r="581" customFormat="false" ht="15" hidden="false" customHeight="false" outlineLevel="0" collapsed="false">
      <c r="F581" s="6" t="s">
        <v>12</v>
      </c>
      <c r="G581" s="0" t="n">
        <v>1</v>
      </c>
      <c r="H581" s="0" t="s">
        <v>157</v>
      </c>
      <c r="I581" s="15" t="n">
        <v>43358.7572106481</v>
      </c>
    </row>
    <row r="582" customFormat="false" ht="15" hidden="false" customHeight="false" outlineLevel="0" collapsed="false">
      <c r="F582" s="6" t="s">
        <v>52</v>
      </c>
      <c r="G582" s="0" t="n">
        <v>1</v>
      </c>
      <c r="H582" s="0" t="s">
        <v>157</v>
      </c>
      <c r="I582" s="15" t="n">
        <v>43358.7571180556</v>
      </c>
    </row>
    <row r="583" customFormat="false" ht="15" hidden="false" customHeight="false" outlineLevel="0" collapsed="false">
      <c r="F583" s="6" t="s">
        <v>47</v>
      </c>
      <c r="G583" s="0" t="n">
        <v>1</v>
      </c>
      <c r="H583" s="0" t="s">
        <v>157</v>
      </c>
      <c r="I583" s="15" t="n">
        <v>43358.7569328704</v>
      </c>
    </row>
    <row r="584" customFormat="false" ht="15" hidden="false" customHeight="false" outlineLevel="0" collapsed="false">
      <c r="F584" s="6" t="s">
        <v>74</v>
      </c>
      <c r="G584" s="0" t="n">
        <v>1</v>
      </c>
      <c r="H584" s="0" t="s">
        <v>157</v>
      </c>
      <c r="I584" s="15" t="n">
        <v>43358.756724537</v>
      </c>
    </row>
    <row r="585" customFormat="false" ht="15" hidden="false" customHeight="false" outlineLevel="0" collapsed="false">
      <c r="F585" s="6" t="s">
        <v>15</v>
      </c>
      <c r="G585" s="0" t="n">
        <v>3</v>
      </c>
      <c r="H585" s="0" t="s">
        <v>157</v>
      </c>
      <c r="I585" s="15" t="n">
        <v>43358.7566435185</v>
      </c>
    </row>
    <row r="586" customFormat="false" ht="15" hidden="false" customHeight="false" outlineLevel="0" collapsed="false">
      <c r="F586" s="6" t="s">
        <v>96</v>
      </c>
      <c r="G586" s="0" t="n">
        <v>1</v>
      </c>
      <c r="H586" s="0" t="s">
        <v>157</v>
      </c>
      <c r="I586" s="15" t="n">
        <v>43358.7565509259</v>
      </c>
    </row>
    <row r="587" customFormat="false" ht="15" hidden="false" customHeight="false" outlineLevel="0" collapsed="false">
      <c r="F587" s="6" t="s">
        <v>46</v>
      </c>
      <c r="G587" s="0" t="n">
        <v>2</v>
      </c>
      <c r="H587" s="0" t="s">
        <v>157</v>
      </c>
      <c r="I587" s="15" t="n">
        <v>43358.7564583333</v>
      </c>
    </row>
    <row r="588" customFormat="false" ht="15" hidden="false" customHeight="false" outlineLevel="0" collapsed="false">
      <c r="F588" s="6" t="s">
        <v>61</v>
      </c>
      <c r="G588" s="0" t="n">
        <v>4</v>
      </c>
      <c r="H588" s="0" t="s">
        <v>157</v>
      </c>
      <c r="I588" s="15" t="n">
        <v>43358.7563773148</v>
      </c>
    </row>
    <row r="589" customFormat="false" ht="15" hidden="false" customHeight="false" outlineLevel="0" collapsed="false">
      <c r="F589" s="6" t="s">
        <v>25</v>
      </c>
      <c r="G589" s="0" t="n">
        <v>16</v>
      </c>
      <c r="H589" s="0" t="s">
        <v>157</v>
      </c>
      <c r="I589" s="15" t="n">
        <v>43358.7561921296</v>
      </c>
    </row>
    <row r="590" customFormat="false" ht="15" hidden="false" customHeight="false" outlineLevel="0" collapsed="false">
      <c r="F590" s="6" t="s">
        <v>41</v>
      </c>
      <c r="G590" s="0" t="n">
        <v>19</v>
      </c>
      <c r="H590" s="0" t="s">
        <v>157</v>
      </c>
      <c r="I590" s="15" t="n">
        <v>43358.7560416667</v>
      </c>
    </row>
    <row r="591" customFormat="false" ht="15" hidden="false" customHeight="false" outlineLevel="0" collapsed="false">
      <c r="F591" s="6" t="s">
        <v>34</v>
      </c>
      <c r="G591" s="0" t="n">
        <v>11</v>
      </c>
      <c r="H591" s="0" t="s">
        <v>157</v>
      </c>
      <c r="I591" s="15" t="n">
        <v>43358.7558680556</v>
      </c>
    </row>
    <row r="592" customFormat="false" ht="15" hidden="false" customHeight="false" outlineLevel="0" collapsed="false">
      <c r="F592" s="6" t="s">
        <v>57</v>
      </c>
      <c r="G592" s="0" t="n">
        <v>6</v>
      </c>
      <c r="H592" s="0" t="s">
        <v>157</v>
      </c>
      <c r="I592" s="15" t="n">
        <v>43358.7554398148</v>
      </c>
    </row>
    <row r="593" customFormat="false" ht="15" hidden="false" customHeight="false" outlineLevel="0" collapsed="false">
      <c r="F593" s="6" t="s">
        <v>57</v>
      </c>
      <c r="G593" s="0" t="n">
        <v>1</v>
      </c>
      <c r="H593" s="0" t="s">
        <v>157</v>
      </c>
      <c r="I593" s="15" t="n">
        <v>43358.7552893519</v>
      </c>
    </row>
    <row r="594" customFormat="false" ht="15" hidden="false" customHeight="false" outlineLevel="0" collapsed="false">
      <c r="F594" s="6" t="s">
        <v>31</v>
      </c>
      <c r="G594" s="0" t="n">
        <v>1</v>
      </c>
      <c r="H594" s="0" t="s">
        <v>157</v>
      </c>
      <c r="I594" s="15" t="n">
        <v>43358.7551967593</v>
      </c>
    </row>
    <row r="595" customFormat="false" ht="15" hidden="false" customHeight="false" outlineLevel="0" collapsed="false">
      <c r="F595" s="6" t="s">
        <v>31</v>
      </c>
      <c r="G595" s="0" t="n">
        <v>8</v>
      </c>
      <c r="H595" s="0" t="s">
        <v>157</v>
      </c>
      <c r="I595" s="15" t="n">
        <v>43358.755</v>
      </c>
    </row>
    <row r="596" customFormat="false" ht="15" hidden="false" customHeight="false" outlineLevel="0" collapsed="false">
      <c r="F596" s="6" t="s">
        <v>31</v>
      </c>
      <c r="G596" s="0" t="n">
        <v>4</v>
      </c>
      <c r="H596" s="0" t="s">
        <v>157</v>
      </c>
      <c r="I596" s="15" t="n">
        <v>43358.754849537</v>
      </c>
    </row>
    <row r="597" customFormat="false" ht="15" hidden="false" customHeight="false" outlineLevel="0" collapsed="false">
      <c r="F597" s="6" t="s">
        <v>21</v>
      </c>
      <c r="G597" s="0" t="n">
        <v>2</v>
      </c>
      <c r="H597" s="0" t="s">
        <v>157</v>
      </c>
      <c r="I597" s="15" t="n">
        <v>43358.7547106482</v>
      </c>
    </row>
    <row r="598" customFormat="false" ht="15" hidden="false" customHeight="false" outlineLevel="0" collapsed="false">
      <c r="F598" s="6" t="s">
        <v>26</v>
      </c>
      <c r="G598" s="0" t="n">
        <v>5</v>
      </c>
      <c r="H598" s="0" t="s">
        <v>157</v>
      </c>
      <c r="I598" s="15" t="n">
        <v>43358.7546180556</v>
      </c>
    </row>
    <row r="599" customFormat="false" ht="15" hidden="false" customHeight="false" outlineLevel="0" collapsed="false">
      <c r="F599" s="6" t="s">
        <v>37</v>
      </c>
      <c r="G599" s="0" t="n">
        <v>3</v>
      </c>
      <c r="H599" s="0" t="s">
        <v>157</v>
      </c>
      <c r="I599" s="15" t="n">
        <v>43358.754537037</v>
      </c>
    </row>
    <row r="600" customFormat="false" ht="15" hidden="false" customHeight="false" outlineLevel="0" collapsed="false">
      <c r="F600" s="6" t="s">
        <v>72</v>
      </c>
      <c r="G600" s="0" t="n">
        <v>1</v>
      </c>
      <c r="H600" s="0" t="s">
        <v>157</v>
      </c>
      <c r="I600" s="15" t="n">
        <v>43358.754375</v>
      </c>
    </row>
    <row r="601" customFormat="false" ht="15" hidden="false" customHeight="false" outlineLevel="0" collapsed="false">
      <c r="F601" s="6" t="s">
        <v>36</v>
      </c>
      <c r="G601" s="0" t="n">
        <v>2</v>
      </c>
      <c r="H601" s="0" t="s">
        <v>157</v>
      </c>
      <c r="I601" s="15" t="n">
        <v>43358.7542592593</v>
      </c>
    </row>
    <row r="602" customFormat="false" ht="15" hidden="false" customHeight="false" outlineLevel="0" collapsed="false">
      <c r="F602" s="6" t="s">
        <v>27</v>
      </c>
      <c r="G602" s="0" t="n">
        <v>3</v>
      </c>
      <c r="H602" s="0" t="s">
        <v>157</v>
      </c>
      <c r="I602" s="15" t="n">
        <v>43358.7541666667</v>
      </c>
    </row>
    <row r="603" customFormat="false" ht="15" hidden="false" customHeight="false" outlineLevel="0" collapsed="false">
      <c r="F603" s="6" t="s">
        <v>159</v>
      </c>
      <c r="G603" s="0" t="n">
        <v>1</v>
      </c>
      <c r="H603" s="0" t="s">
        <v>157</v>
      </c>
      <c r="I603" s="15" t="n">
        <v>43358.7540625</v>
      </c>
    </row>
    <row r="604" customFormat="false" ht="15" hidden="false" customHeight="false" outlineLevel="0" collapsed="false">
      <c r="F604" s="6" t="s">
        <v>52</v>
      </c>
      <c r="G604" s="0" t="n">
        <v>1</v>
      </c>
      <c r="H604" s="0" t="s">
        <v>79</v>
      </c>
      <c r="I604" s="15" t="n">
        <v>43358.7447916667</v>
      </c>
    </row>
    <row r="605" customFormat="false" ht="15" hidden="false" customHeight="false" outlineLevel="0" collapsed="false">
      <c r="F605" s="6" t="s">
        <v>53</v>
      </c>
      <c r="G605" s="0" t="n">
        <v>7</v>
      </c>
      <c r="H605" s="0" t="s">
        <v>79</v>
      </c>
      <c r="I605" s="15" t="n">
        <v>43358.7443287037</v>
      </c>
    </row>
    <row r="606" customFormat="false" ht="15" hidden="false" customHeight="false" outlineLevel="0" collapsed="false">
      <c r="F606" s="6" t="s">
        <v>31</v>
      </c>
      <c r="G606" s="0" t="n">
        <v>50</v>
      </c>
      <c r="H606" s="0" t="s">
        <v>79</v>
      </c>
      <c r="I606" s="15" t="n">
        <v>43358.7441203704</v>
      </c>
    </row>
    <row r="607" customFormat="false" ht="15" hidden="false" customHeight="false" outlineLevel="0" collapsed="false">
      <c r="F607" s="6" t="s">
        <v>36</v>
      </c>
      <c r="G607" s="0" t="n">
        <v>3</v>
      </c>
      <c r="H607" s="0" t="s">
        <v>79</v>
      </c>
      <c r="I607" s="15" t="n">
        <v>43358.7440162037</v>
      </c>
    </row>
    <row r="608" customFormat="false" ht="15" hidden="false" customHeight="false" outlineLevel="0" collapsed="false">
      <c r="F608" s="6" t="s">
        <v>59</v>
      </c>
      <c r="G608" s="0" t="n">
        <v>1</v>
      </c>
      <c r="H608" s="0" t="s">
        <v>79</v>
      </c>
      <c r="I608" s="15" t="n">
        <v>43358.7439467593</v>
      </c>
    </row>
    <row r="609" customFormat="false" ht="15" hidden="false" customHeight="false" outlineLevel="0" collapsed="false">
      <c r="F609" s="6" t="s">
        <v>160</v>
      </c>
      <c r="G609" s="0" t="n">
        <v>3</v>
      </c>
      <c r="H609" s="0" t="s">
        <v>79</v>
      </c>
      <c r="I609" s="15" t="n">
        <v>43358.7438773148</v>
      </c>
    </row>
    <row r="610" customFormat="false" ht="15" hidden="false" customHeight="false" outlineLevel="0" collapsed="false">
      <c r="F610" s="6" t="s">
        <v>22</v>
      </c>
      <c r="G610" s="0" t="n">
        <v>1</v>
      </c>
      <c r="H610" s="0" t="s">
        <v>79</v>
      </c>
      <c r="I610" s="15" t="n">
        <v>43358.7438078704</v>
      </c>
    </row>
    <row r="611" customFormat="false" ht="15" hidden="false" customHeight="false" outlineLevel="0" collapsed="false">
      <c r="F611" s="6" t="s">
        <v>12</v>
      </c>
      <c r="G611" s="0" t="n">
        <v>2</v>
      </c>
      <c r="H611" s="0" t="s">
        <v>79</v>
      </c>
      <c r="I611" s="15" t="n">
        <v>43358.7437384259</v>
      </c>
    </row>
    <row r="612" customFormat="false" ht="15" hidden="false" customHeight="false" outlineLevel="0" collapsed="false">
      <c r="F612" s="6" t="s">
        <v>161</v>
      </c>
      <c r="G612" s="0" t="n">
        <v>1</v>
      </c>
      <c r="H612" s="0" t="s">
        <v>79</v>
      </c>
      <c r="I612" s="15" t="n">
        <v>43358.7436226852</v>
      </c>
    </row>
    <row r="613" customFormat="false" ht="15" hidden="false" customHeight="false" outlineLevel="0" collapsed="false">
      <c r="F613" s="6" t="s">
        <v>56</v>
      </c>
      <c r="G613" s="0" t="n">
        <v>2</v>
      </c>
      <c r="H613" s="0" t="s">
        <v>79</v>
      </c>
      <c r="I613" s="15" t="n">
        <v>43358.7435300926</v>
      </c>
    </row>
    <row r="614" customFormat="false" ht="15" hidden="false" customHeight="false" outlineLevel="0" collapsed="false">
      <c r="F614" s="6" t="s">
        <v>54</v>
      </c>
      <c r="G614" s="0" t="n">
        <v>5</v>
      </c>
      <c r="H614" s="0" t="s">
        <v>79</v>
      </c>
      <c r="I614" s="15" t="n">
        <v>43358.7434490741</v>
      </c>
    </row>
    <row r="615" customFormat="false" ht="15" hidden="false" customHeight="false" outlineLevel="0" collapsed="false">
      <c r="F615" s="6" t="s">
        <v>63</v>
      </c>
      <c r="G615" s="0" t="n">
        <v>19</v>
      </c>
      <c r="H615" s="0" t="s">
        <v>79</v>
      </c>
      <c r="I615" s="15" t="n">
        <v>43358.7433680556</v>
      </c>
    </row>
    <row r="616" customFormat="false" ht="15" hidden="false" customHeight="false" outlineLevel="0" collapsed="false">
      <c r="F616" s="6" t="s">
        <v>31</v>
      </c>
      <c r="G616" s="0" t="n">
        <v>8</v>
      </c>
      <c r="H616" s="0" t="s">
        <v>79</v>
      </c>
      <c r="I616" s="15" t="n">
        <v>43358.7429976852</v>
      </c>
    </row>
    <row r="617" customFormat="false" ht="15" hidden="false" customHeight="false" outlineLevel="0" collapsed="false">
      <c r="F617" s="6" t="s">
        <v>32</v>
      </c>
      <c r="G617" s="0" t="n">
        <v>7</v>
      </c>
      <c r="H617" s="0" t="s">
        <v>79</v>
      </c>
      <c r="I617" s="15" t="n">
        <v>43358.7429282407</v>
      </c>
    </row>
    <row r="618" customFormat="false" ht="15" hidden="false" customHeight="false" outlineLevel="0" collapsed="false">
      <c r="F618" s="6" t="s">
        <v>12</v>
      </c>
      <c r="G618" s="0" t="n">
        <v>1</v>
      </c>
      <c r="H618" s="0" t="s">
        <v>38</v>
      </c>
      <c r="I618" s="15" t="n">
        <v>43358.7429050926</v>
      </c>
    </row>
    <row r="619" customFormat="false" ht="15" hidden="false" customHeight="false" outlineLevel="0" collapsed="false">
      <c r="F619" s="6" t="s">
        <v>57</v>
      </c>
      <c r="G619" s="0" t="n">
        <v>3</v>
      </c>
      <c r="H619" s="0" t="s">
        <v>79</v>
      </c>
      <c r="I619" s="15" t="n">
        <v>43358.7428472222</v>
      </c>
    </row>
    <row r="620" customFormat="false" ht="15" hidden="false" customHeight="false" outlineLevel="0" collapsed="false">
      <c r="F620" s="6" t="s">
        <v>50</v>
      </c>
      <c r="G620" s="0" t="n">
        <v>1</v>
      </c>
      <c r="H620" s="0" t="s">
        <v>79</v>
      </c>
      <c r="I620" s="15" t="n">
        <v>43358.7427777778</v>
      </c>
    </row>
    <row r="621" customFormat="false" ht="15" hidden="false" customHeight="false" outlineLevel="0" collapsed="false">
      <c r="F621" s="6" t="s">
        <v>50</v>
      </c>
      <c r="G621" s="0" t="n">
        <v>1</v>
      </c>
      <c r="H621" s="0" t="s">
        <v>79</v>
      </c>
      <c r="I621" s="15" t="n">
        <v>43358.7426736111</v>
      </c>
    </row>
    <row r="622" customFormat="false" ht="15" hidden="false" customHeight="false" outlineLevel="0" collapsed="false">
      <c r="F622" s="6" t="s">
        <v>145</v>
      </c>
      <c r="G622" s="0" t="n">
        <v>2</v>
      </c>
      <c r="H622" s="0" t="s">
        <v>79</v>
      </c>
      <c r="I622" s="15" t="n">
        <v>43358.7425578704</v>
      </c>
    </row>
    <row r="623" customFormat="false" ht="15" hidden="false" customHeight="false" outlineLevel="0" collapsed="false">
      <c r="F623" s="6" t="s">
        <v>23</v>
      </c>
      <c r="G623" s="0" t="n">
        <v>1</v>
      </c>
      <c r="H623" s="0" t="s">
        <v>38</v>
      </c>
      <c r="I623" s="15" t="n">
        <v>43358.7424421296</v>
      </c>
    </row>
    <row r="624" customFormat="false" ht="15" hidden="false" customHeight="false" outlineLevel="0" collapsed="false">
      <c r="F624" s="6" t="s">
        <v>52</v>
      </c>
      <c r="G624" s="0" t="n">
        <v>1</v>
      </c>
      <c r="H624" s="0" t="s">
        <v>38</v>
      </c>
      <c r="I624" s="15" t="n">
        <v>43358.742337963</v>
      </c>
    </row>
    <row r="625" customFormat="false" ht="15" hidden="false" customHeight="false" outlineLevel="0" collapsed="false">
      <c r="F625" s="6" t="s">
        <v>55</v>
      </c>
      <c r="G625" s="0" t="n">
        <v>1</v>
      </c>
      <c r="H625" s="0" t="s">
        <v>38</v>
      </c>
      <c r="I625" s="15" t="n">
        <v>43358.7420949074</v>
      </c>
    </row>
    <row r="626" customFormat="false" ht="15" hidden="false" customHeight="false" outlineLevel="0" collapsed="false">
      <c r="F626" s="6" t="s">
        <v>41</v>
      </c>
      <c r="G626" s="0" t="n">
        <v>19</v>
      </c>
      <c r="H626" s="0" t="s">
        <v>79</v>
      </c>
      <c r="I626" s="15" t="n">
        <v>43358.7414583333</v>
      </c>
    </row>
    <row r="627" customFormat="false" ht="15" hidden="false" customHeight="false" outlineLevel="0" collapsed="false">
      <c r="F627" s="6" t="s">
        <v>80</v>
      </c>
      <c r="G627" s="0" t="n">
        <v>3</v>
      </c>
      <c r="H627" s="0" t="s">
        <v>79</v>
      </c>
      <c r="I627" s="15" t="n">
        <v>43358.7413078704</v>
      </c>
    </row>
    <row r="628" customFormat="false" ht="15" hidden="false" customHeight="false" outlineLevel="0" collapsed="false">
      <c r="F628" s="6" t="s">
        <v>101</v>
      </c>
      <c r="G628" s="0" t="n">
        <v>1</v>
      </c>
      <c r="H628" s="0" t="s">
        <v>79</v>
      </c>
      <c r="I628" s="15" t="n">
        <v>43358.74125</v>
      </c>
    </row>
    <row r="629" customFormat="false" ht="15" hidden="false" customHeight="false" outlineLevel="0" collapsed="false">
      <c r="F629" s="6" t="s">
        <v>15</v>
      </c>
      <c r="G629" s="0" t="n">
        <v>4</v>
      </c>
      <c r="H629" s="0" t="s">
        <v>79</v>
      </c>
      <c r="I629" s="15" t="n">
        <v>43358.7411689815</v>
      </c>
    </row>
    <row r="630" customFormat="false" ht="15" hidden="false" customHeight="false" outlineLevel="0" collapsed="false">
      <c r="F630" s="6" t="s">
        <v>56</v>
      </c>
      <c r="G630" s="0" t="n">
        <v>4</v>
      </c>
      <c r="H630" s="0" t="s">
        <v>38</v>
      </c>
      <c r="I630" s="15" t="n">
        <v>43358.7411226852</v>
      </c>
    </row>
    <row r="631" customFormat="false" ht="15" hidden="false" customHeight="false" outlineLevel="0" collapsed="false">
      <c r="F631" s="6" t="s">
        <v>89</v>
      </c>
      <c r="G631" s="0" t="n">
        <v>1</v>
      </c>
      <c r="H631" s="0" t="s">
        <v>79</v>
      </c>
      <c r="I631" s="15" t="n">
        <v>43358.7410532407</v>
      </c>
    </row>
    <row r="632" customFormat="false" ht="15" hidden="false" customHeight="false" outlineLevel="0" collapsed="false">
      <c r="F632" s="6" t="s">
        <v>34</v>
      </c>
      <c r="G632" s="0" t="n">
        <v>8</v>
      </c>
      <c r="H632" s="0" t="s">
        <v>79</v>
      </c>
      <c r="I632" s="15" t="n">
        <v>43358.7409953704</v>
      </c>
    </row>
    <row r="633" customFormat="false" ht="15" hidden="false" customHeight="false" outlineLevel="0" collapsed="false">
      <c r="F633" s="6" t="s">
        <v>162</v>
      </c>
      <c r="G633" s="0" t="n">
        <v>1</v>
      </c>
      <c r="H633" s="0" t="s">
        <v>38</v>
      </c>
      <c r="I633" s="15" t="n">
        <v>43358.7408564815</v>
      </c>
    </row>
    <row r="634" customFormat="false" ht="15" hidden="false" customHeight="false" outlineLevel="0" collapsed="false">
      <c r="F634" s="6" t="s">
        <v>37</v>
      </c>
      <c r="G634" s="0" t="n">
        <v>4</v>
      </c>
      <c r="H634" s="0" t="s">
        <v>79</v>
      </c>
      <c r="I634" s="15" t="n">
        <v>43358.7408217593</v>
      </c>
    </row>
    <row r="635" customFormat="false" ht="15" hidden="false" customHeight="false" outlineLevel="0" collapsed="false">
      <c r="F635" s="6" t="s">
        <v>72</v>
      </c>
      <c r="G635" s="0" t="n">
        <v>5</v>
      </c>
      <c r="H635" s="0" t="s">
        <v>79</v>
      </c>
      <c r="I635" s="15" t="n">
        <v>43358.7407060185</v>
      </c>
    </row>
    <row r="636" customFormat="false" ht="15" hidden="false" customHeight="false" outlineLevel="0" collapsed="false">
      <c r="F636" s="6" t="s">
        <v>57</v>
      </c>
      <c r="G636" s="0" t="n">
        <v>3</v>
      </c>
      <c r="H636" s="0" t="s">
        <v>79</v>
      </c>
      <c r="I636" s="15" t="n">
        <v>43358.7405671296</v>
      </c>
    </row>
    <row r="637" customFormat="false" ht="15" hidden="false" customHeight="false" outlineLevel="0" collapsed="false">
      <c r="F637" s="6" t="s">
        <v>32</v>
      </c>
      <c r="G637" s="0" t="n">
        <v>8</v>
      </c>
      <c r="H637" s="0" t="s">
        <v>79</v>
      </c>
      <c r="I637" s="15" t="n">
        <v>43358.740462963</v>
      </c>
    </row>
    <row r="638" customFormat="false" ht="15" hidden="false" customHeight="false" outlineLevel="0" collapsed="false">
      <c r="F638" s="6" t="s">
        <v>31</v>
      </c>
      <c r="G638" s="0" t="n">
        <v>7</v>
      </c>
      <c r="H638" s="0" t="s">
        <v>38</v>
      </c>
      <c r="I638" s="15" t="n">
        <v>43358.7401157407</v>
      </c>
    </row>
    <row r="639" customFormat="false" ht="15" hidden="false" customHeight="false" outlineLevel="0" collapsed="false">
      <c r="F639" s="6" t="s">
        <v>23</v>
      </c>
      <c r="G639" s="0" t="n">
        <v>4</v>
      </c>
      <c r="H639" s="0" t="s">
        <v>79</v>
      </c>
      <c r="I639" s="15" t="n">
        <v>43358.7400925926</v>
      </c>
    </row>
    <row r="640" customFormat="false" ht="15" hidden="false" customHeight="false" outlineLevel="0" collapsed="false">
      <c r="F640" s="6" t="s">
        <v>27</v>
      </c>
      <c r="G640" s="0" t="n">
        <v>20</v>
      </c>
      <c r="H640" s="0" t="s">
        <v>79</v>
      </c>
      <c r="I640" s="15" t="n">
        <v>43358.74</v>
      </c>
    </row>
    <row r="641" customFormat="false" ht="15" hidden="false" customHeight="false" outlineLevel="0" collapsed="false">
      <c r="F641" s="6" t="s">
        <v>144</v>
      </c>
      <c r="G641" s="0" t="n">
        <v>1</v>
      </c>
      <c r="H641" s="0" t="s">
        <v>38</v>
      </c>
      <c r="I641" s="15" t="n">
        <v>43358.74</v>
      </c>
    </row>
    <row r="642" customFormat="false" ht="15" hidden="false" customHeight="false" outlineLevel="0" collapsed="false">
      <c r="F642" s="6" t="s">
        <v>76</v>
      </c>
      <c r="G642" s="0" t="n">
        <v>1</v>
      </c>
      <c r="H642" s="0" t="s">
        <v>79</v>
      </c>
      <c r="I642" s="15" t="n">
        <v>43358.7398842593</v>
      </c>
    </row>
    <row r="643" customFormat="false" ht="15" hidden="false" customHeight="false" outlineLevel="0" collapsed="false">
      <c r="F643" s="6" t="s">
        <v>35</v>
      </c>
      <c r="G643" s="0" t="n">
        <v>1</v>
      </c>
      <c r="H643" s="0" t="s">
        <v>79</v>
      </c>
      <c r="I643" s="15" t="n">
        <v>43358.7398148148</v>
      </c>
    </row>
    <row r="644" customFormat="false" ht="15" hidden="false" customHeight="false" outlineLevel="0" collapsed="false">
      <c r="F644" s="6" t="s">
        <v>145</v>
      </c>
      <c r="G644" s="0" t="n">
        <v>1</v>
      </c>
      <c r="H644" s="0" t="s">
        <v>38</v>
      </c>
      <c r="I644" s="15" t="n">
        <v>43358.7397916667</v>
      </c>
    </row>
    <row r="645" customFormat="false" ht="15" hidden="false" customHeight="false" outlineLevel="0" collapsed="false">
      <c r="F645" s="6" t="s">
        <v>26</v>
      </c>
      <c r="G645" s="0" t="n">
        <v>3</v>
      </c>
      <c r="H645" s="0" t="s">
        <v>79</v>
      </c>
      <c r="I645" s="15" t="n">
        <v>43358.7396990741</v>
      </c>
    </row>
    <row r="646" customFormat="false" ht="15" hidden="false" customHeight="false" outlineLevel="0" collapsed="false">
      <c r="F646" s="6" t="s">
        <v>163</v>
      </c>
      <c r="G646" s="0" t="n">
        <v>1</v>
      </c>
      <c r="H646" s="0" t="s">
        <v>38</v>
      </c>
      <c r="I646" s="15" t="n">
        <v>43358.7396643519</v>
      </c>
    </row>
    <row r="647" customFormat="false" ht="15" hidden="false" customHeight="false" outlineLevel="0" collapsed="false">
      <c r="F647" s="6" t="s">
        <v>25</v>
      </c>
      <c r="G647" s="0" t="n">
        <v>6</v>
      </c>
      <c r="H647" s="0" t="s">
        <v>79</v>
      </c>
      <c r="I647" s="15" t="n">
        <v>43358.7394212963</v>
      </c>
    </row>
    <row r="648" customFormat="false" ht="15" hidden="false" customHeight="false" outlineLevel="0" collapsed="false">
      <c r="F648" s="6" t="s">
        <v>25</v>
      </c>
      <c r="G648" s="0" t="n">
        <v>1</v>
      </c>
      <c r="H648" s="0" t="s">
        <v>79</v>
      </c>
      <c r="I648" s="15" t="n">
        <v>43358.7391898148</v>
      </c>
    </row>
    <row r="649" customFormat="false" ht="15" hidden="false" customHeight="false" outlineLevel="0" collapsed="false">
      <c r="F649" s="6" t="s">
        <v>34</v>
      </c>
      <c r="G649" s="0" t="n">
        <v>16</v>
      </c>
      <c r="H649" s="0" t="s">
        <v>79</v>
      </c>
      <c r="I649" s="15" t="n">
        <v>43358.7391203704</v>
      </c>
    </row>
    <row r="650" customFormat="false" ht="15" hidden="false" customHeight="false" outlineLevel="0" collapsed="false">
      <c r="F650" s="6" t="s">
        <v>112</v>
      </c>
      <c r="G650" s="0" t="n">
        <v>2</v>
      </c>
      <c r="H650" s="0" t="s">
        <v>38</v>
      </c>
      <c r="I650" s="15" t="n">
        <v>43358.7390625</v>
      </c>
    </row>
    <row r="651" customFormat="false" ht="15" hidden="false" customHeight="false" outlineLevel="0" collapsed="false">
      <c r="F651" s="6" t="s">
        <v>21</v>
      </c>
      <c r="G651" s="0" t="n">
        <v>10</v>
      </c>
      <c r="H651" s="0" t="s">
        <v>79</v>
      </c>
      <c r="I651" s="15" t="n">
        <v>43358.7389930556</v>
      </c>
    </row>
    <row r="652" customFormat="false" ht="15" hidden="false" customHeight="false" outlineLevel="0" collapsed="false">
      <c r="F652" s="6" t="s">
        <v>37</v>
      </c>
      <c r="G652" s="0" t="n">
        <v>1</v>
      </c>
      <c r="H652" s="0" t="s">
        <v>38</v>
      </c>
      <c r="I652" s="15" t="n">
        <v>43358.738900463</v>
      </c>
    </row>
    <row r="653" customFormat="false" ht="15" hidden="false" customHeight="false" outlineLevel="0" collapsed="false">
      <c r="F653" s="6" t="s">
        <v>110</v>
      </c>
      <c r="G653" s="0" t="n">
        <v>2</v>
      </c>
      <c r="H653" s="0" t="s">
        <v>38</v>
      </c>
      <c r="I653" s="15" t="n">
        <v>43358.7387962963</v>
      </c>
    </row>
    <row r="654" customFormat="false" ht="15" hidden="false" customHeight="false" outlineLevel="0" collapsed="false">
      <c r="F654" s="6" t="s">
        <v>25</v>
      </c>
      <c r="G654" s="0" t="n">
        <v>7</v>
      </c>
      <c r="H654" s="0" t="s">
        <v>79</v>
      </c>
      <c r="I654" s="15" t="n">
        <v>43358.7387615741</v>
      </c>
    </row>
    <row r="655" customFormat="false" ht="15" hidden="false" customHeight="false" outlineLevel="0" collapsed="false">
      <c r="F655" s="6" t="s">
        <v>25</v>
      </c>
      <c r="G655" s="0" t="n">
        <v>19</v>
      </c>
      <c r="H655" s="0" t="s">
        <v>79</v>
      </c>
      <c r="I655" s="15" t="n">
        <v>43358.7386111111</v>
      </c>
    </row>
    <row r="656" customFormat="false" ht="15" hidden="false" customHeight="false" outlineLevel="0" collapsed="false">
      <c r="F656" s="6" t="s">
        <v>53</v>
      </c>
      <c r="G656" s="0" t="n">
        <v>14</v>
      </c>
      <c r="H656" s="0" t="s">
        <v>38</v>
      </c>
      <c r="I656" s="15" t="n">
        <v>43358.7385416667</v>
      </c>
    </row>
    <row r="657" customFormat="false" ht="15" hidden="false" customHeight="false" outlineLevel="0" collapsed="false">
      <c r="F657" s="6" t="s">
        <v>25</v>
      </c>
      <c r="G657" s="0" t="n">
        <v>10</v>
      </c>
      <c r="H657" s="0" t="s">
        <v>79</v>
      </c>
      <c r="I657" s="15" t="n">
        <v>43358.7383796296</v>
      </c>
    </row>
    <row r="658" customFormat="false" ht="15" hidden="false" customHeight="false" outlineLevel="0" collapsed="false">
      <c r="F658" s="6" t="s">
        <v>57</v>
      </c>
      <c r="G658" s="0" t="n">
        <v>4</v>
      </c>
      <c r="H658" s="0" t="s">
        <v>38</v>
      </c>
      <c r="I658" s="15" t="n">
        <v>43358.7381481482</v>
      </c>
    </row>
    <row r="659" customFormat="false" ht="15" hidden="false" customHeight="false" outlineLevel="0" collapsed="false">
      <c r="F659" s="6" t="s">
        <v>57</v>
      </c>
      <c r="G659" s="0" t="n">
        <v>2</v>
      </c>
      <c r="H659" s="0" t="s">
        <v>38</v>
      </c>
      <c r="I659" s="15" t="n">
        <v>43358.7380555556</v>
      </c>
    </row>
    <row r="660" customFormat="false" ht="15" hidden="false" customHeight="false" outlineLevel="0" collapsed="false">
      <c r="F660" s="6" t="s">
        <v>129</v>
      </c>
      <c r="G660" s="0" t="n">
        <v>1</v>
      </c>
      <c r="H660" s="0" t="s">
        <v>38</v>
      </c>
      <c r="I660" s="15" t="n">
        <v>43358.7379050926</v>
      </c>
    </row>
    <row r="661" customFormat="false" ht="15" hidden="false" customHeight="false" outlineLevel="0" collapsed="false">
      <c r="F661" s="6" t="s">
        <v>121</v>
      </c>
      <c r="G661" s="0" t="n">
        <v>1</v>
      </c>
      <c r="H661" s="0" t="s">
        <v>79</v>
      </c>
      <c r="I661" s="15" t="n">
        <v>43358.7377199074</v>
      </c>
    </row>
    <row r="662" customFormat="false" ht="15" hidden="false" customHeight="false" outlineLevel="0" collapsed="false">
      <c r="F662" s="6" t="s">
        <v>21</v>
      </c>
      <c r="G662" s="0" t="n">
        <v>7</v>
      </c>
      <c r="H662" s="0" t="s">
        <v>38</v>
      </c>
      <c r="I662" s="15" t="n">
        <v>43358.7372569444</v>
      </c>
    </row>
    <row r="663" customFormat="false" ht="15" hidden="false" customHeight="false" outlineLevel="0" collapsed="false">
      <c r="F663" s="6" t="s">
        <v>84</v>
      </c>
      <c r="G663" s="0" t="n">
        <v>3</v>
      </c>
      <c r="H663" s="0" t="s">
        <v>38</v>
      </c>
      <c r="I663" s="15" t="n">
        <v>43358.7371412037</v>
      </c>
    </row>
    <row r="664" customFormat="false" ht="15" hidden="false" customHeight="false" outlineLevel="0" collapsed="false">
      <c r="F664" s="6" t="s">
        <v>32</v>
      </c>
      <c r="G664" s="0" t="n">
        <v>6</v>
      </c>
      <c r="H664" s="0" t="s">
        <v>38</v>
      </c>
      <c r="I664" s="15" t="n">
        <v>43358.7369212963</v>
      </c>
    </row>
    <row r="665" customFormat="false" ht="15" hidden="false" customHeight="false" outlineLevel="0" collapsed="false">
      <c r="F665" s="6" t="s">
        <v>34</v>
      </c>
      <c r="G665" s="0" t="n">
        <v>20</v>
      </c>
      <c r="H665" s="0" t="s">
        <v>38</v>
      </c>
      <c r="I665" s="15" t="n">
        <v>43358.7366666667</v>
      </c>
    </row>
    <row r="666" customFormat="false" ht="15" hidden="false" customHeight="false" outlineLevel="0" collapsed="false">
      <c r="F666" s="6" t="s">
        <v>54</v>
      </c>
      <c r="G666" s="0" t="n">
        <v>13</v>
      </c>
      <c r="H666" s="0" t="s">
        <v>38</v>
      </c>
      <c r="I666" s="15" t="n">
        <v>43358.7365277778</v>
      </c>
    </row>
    <row r="667" customFormat="false" ht="15" hidden="false" customHeight="false" outlineLevel="0" collapsed="false">
      <c r="F667" s="6" t="s">
        <v>36</v>
      </c>
      <c r="G667" s="0" t="n">
        <v>3</v>
      </c>
      <c r="H667" s="0" t="s">
        <v>38</v>
      </c>
      <c r="I667" s="15" t="n">
        <v>43358.7363888889</v>
      </c>
    </row>
    <row r="668" customFormat="false" ht="15" hidden="false" customHeight="false" outlineLevel="0" collapsed="false">
      <c r="F668" s="6" t="s">
        <v>26</v>
      </c>
      <c r="G668" s="0" t="n">
        <v>12</v>
      </c>
      <c r="H668" s="0" t="s">
        <v>38</v>
      </c>
      <c r="I668" s="15" t="n">
        <v>43358.7361805556</v>
      </c>
    </row>
    <row r="669" customFormat="false" ht="15" hidden="false" customHeight="false" outlineLevel="0" collapsed="false">
      <c r="F669" s="6" t="s">
        <v>30</v>
      </c>
      <c r="G669" s="0" t="n">
        <v>1</v>
      </c>
      <c r="H669" s="0" t="s">
        <v>38</v>
      </c>
      <c r="I669" s="15" t="n">
        <v>43358.7360532407</v>
      </c>
    </row>
    <row r="670" customFormat="false" ht="15" hidden="false" customHeight="false" outlineLevel="0" collapsed="false">
      <c r="F670" s="6" t="s">
        <v>121</v>
      </c>
      <c r="G670" s="0" t="n">
        <v>1</v>
      </c>
      <c r="H670" s="0" t="s">
        <v>38</v>
      </c>
      <c r="I670" s="15" t="n">
        <v>43358.7358796296</v>
      </c>
    </row>
    <row r="671" customFormat="false" ht="15" hidden="false" customHeight="false" outlineLevel="0" collapsed="false">
      <c r="F671" s="6" t="s">
        <v>37</v>
      </c>
      <c r="G671" s="0" t="n">
        <v>1</v>
      </c>
      <c r="H671" s="0" t="s">
        <v>38</v>
      </c>
      <c r="I671" s="15" t="n">
        <v>43358.7356365741</v>
      </c>
    </row>
    <row r="672" customFormat="false" ht="15" hidden="false" customHeight="false" outlineLevel="0" collapsed="false">
      <c r="F672" s="6" t="s">
        <v>74</v>
      </c>
      <c r="G672" s="0" t="n">
        <v>1</v>
      </c>
      <c r="H672" s="0" t="s">
        <v>38</v>
      </c>
      <c r="I672" s="15" t="n">
        <v>43358.7355092593</v>
      </c>
    </row>
    <row r="673" customFormat="false" ht="15" hidden="false" customHeight="false" outlineLevel="0" collapsed="false">
      <c r="F673" s="6" t="s">
        <v>37</v>
      </c>
      <c r="G673" s="0" t="n">
        <v>3</v>
      </c>
      <c r="H673" s="0" t="s">
        <v>38</v>
      </c>
      <c r="I673" s="15" t="n">
        <v>43358.7353819445</v>
      </c>
    </row>
    <row r="674" customFormat="false" ht="15" hidden="false" customHeight="false" outlineLevel="0" collapsed="false">
      <c r="F674" s="6" t="s">
        <v>81</v>
      </c>
      <c r="G674" s="0" t="n">
        <v>1</v>
      </c>
      <c r="H674" s="0" t="s">
        <v>38</v>
      </c>
      <c r="I674" s="15" t="n">
        <v>43358.7115046296</v>
      </c>
    </row>
    <row r="675" customFormat="false" ht="15" hidden="false" customHeight="false" outlineLevel="0" collapsed="false">
      <c r="F675" s="6" t="s">
        <v>26</v>
      </c>
      <c r="G675" s="0" t="n">
        <v>1</v>
      </c>
      <c r="H675" s="0" t="s">
        <v>38</v>
      </c>
      <c r="I675" s="15" t="n">
        <v>43358.7112731482</v>
      </c>
    </row>
    <row r="676" customFormat="false" ht="15" hidden="false" customHeight="false" outlineLevel="0" collapsed="false">
      <c r="F676" s="6" t="s">
        <v>23</v>
      </c>
      <c r="G676" s="0" t="n">
        <v>1</v>
      </c>
      <c r="H676" s="0" t="s">
        <v>38</v>
      </c>
      <c r="I676" s="15" t="n">
        <v>43358.7111342593</v>
      </c>
    </row>
    <row r="677" customFormat="false" ht="15" hidden="false" customHeight="false" outlineLevel="0" collapsed="false">
      <c r="F677" s="6" t="s">
        <v>86</v>
      </c>
      <c r="G677" s="0" t="n">
        <v>1</v>
      </c>
      <c r="H677" s="0" t="s">
        <v>38</v>
      </c>
      <c r="I677" s="15" t="n">
        <v>43358.7109837963</v>
      </c>
    </row>
    <row r="678" customFormat="false" ht="15" hidden="false" customHeight="false" outlineLevel="0" collapsed="false">
      <c r="F678" s="6" t="s">
        <v>59</v>
      </c>
      <c r="G678" s="0" t="n">
        <v>1</v>
      </c>
      <c r="H678" s="0" t="s">
        <v>38</v>
      </c>
      <c r="I678" s="15" t="n">
        <v>43358.7108333333</v>
      </c>
    </row>
    <row r="679" customFormat="false" ht="15" hidden="false" customHeight="false" outlineLevel="0" collapsed="false">
      <c r="F679" s="6" t="s">
        <v>118</v>
      </c>
      <c r="G679" s="0" t="n">
        <v>1</v>
      </c>
      <c r="H679" s="0" t="s">
        <v>38</v>
      </c>
      <c r="I679" s="15" t="n">
        <v>43358.7106828704</v>
      </c>
    </row>
    <row r="680" customFormat="false" ht="15" hidden="false" customHeight="false" outlineLevel="0" collapsed="false">
      <c r="F680" s="6" t="s">
        <v>50</v>
      </c>
      <c r="G680" s="0" t="n">
        <v>2</v>
      </c>
      <c r="H680" s="0" t="s">
        <v>38</v>
      </c>
      <c r="I680" s="15" t="n">
        <v>43358.7105324074</v>
      </c>
    </row>
    <row r="681" customFormat="false" ht="15" hidden="false" customHeight="false" outlineLevel="0" collapsed="false">
      <c r="F681" s="6" t="s">
        <v>98</v>
      </c>
      <c r="G681" s="0" t="n">
        <v>3</v>
      </c>
      <c r="H681" s="0" t="s">
        <v>38</v>
      </c>
      <c r="I681" s="15" t="n">
        <v>43358.7103819445</v>
      </c>
    </row>
    <row r="682" customFormat="false" ht="15" hidden="false" customHeight="false" outlineLevel="0" collapsed="false">
      <c r="F682" s="6" t="s">
        <v>98</v>
      </c>
      <c r="G682" s="0" t="n">
        <v>3</v>
      </c>
      <c r="H682" s="0" t="s">
        <v>38</v>
      </c>
      <c r="I682" s="15" t="n">
        <v>43358.7100231481</v>
      </c>
    </row>
    <row r="683" customFormat="false" ht="15" hidden="false" customHeight="false" outlineLevel="0" collapsed="false">
      <c r="F683" s="6" t="s">
        <v>57</v>
      </c>
      <c r="G683" s="0" t="n">
        <v>4</v>
      </c>
      <c r="H683" s="0" t="s">
        <v>38</v>
      </c>
      <c r="I683" s="15" t="n">
        <v>43358.7096527778</v>
      </c>
    </row>
    <row r="684" customFormat="false" ht="15" hidden="false" customHeight="false" outlineLevel="0" collapsed="false">
      <c r="F684" s="6" t="s">
        <v>32</v>
      </c>
      <c r="G684" s="0" t="n">
        <v>2</v>
      </c>
      <c r="H684" s="0" t="s">
        <v>38</v>
      </c>
      <c r="I684" s="15" t="n">
        <v>43358.7095486111</v>
      </c>
    </row>
    <row r="685" customFormat="false" ht="15" hidden="false" customHeight="false" outlineLevel="0" collapsed="false">
      <c r="F685" s="6" t="s">
        <v>112</v>
      </c>
      <c r="G685" s="0" t="n">
        <v>4</v>
      </c>
      <c r="H685" s="0" t="s">
        <v>38</v>
      </c>
      <c r="I685" s="15" t="n">
        <v>43358.7093055556</v>
      </c>
    </row>
    <row r="686" customFormat="false" ht="15" hidden="false" customHeight="false" outlineLevel="0" collapsed="false">
      <c r="F686" s="6" t="s">
        <v>63</v>
      </c>
      <c r="G686" s="0" t="n">
        <v>10</v>
      </c>
      <c r="H686" s="0" t="s">
        <v>38</v>
      </c>
      <c r="I686" s="15" t="n">
        <v>43358.7089930556</v>
      </c>
    </row>
    <row r="687" customFormat="false" ht="15" hidden="false" customHeight="false" outlineLevel="0" collapsed="false">
      <c r="F687" s="6" t="s">
        <v>30</v>
      </c>
      <c r="G687" s="0" t="n">
        <v>1</v>
      </c>
      <c r="H687" s="0" t="s">
        <v>38</v>
      </c>
      <c r="I687" s="15" t="n">
        <v>43358.7084722222</v>
      </c>
    </row>
    <row r="688" customFormat="false" ht="15" hidden="false" customHeight="false" outlineLevel="0" collapsed="false">
      <c r="F688" s="6" t="s">
        <v>89</v>
      </c>
      <c r="G688" s="0" t="n">
        <v>1</v>
      </c>
      <c r="H688" s="0" t="s">
        <v>38</v>
      </c>
      <c r="I688" s="15" t="n">
        <v>43358.7082407407</v>
      </c>
    </row>
    <row r="689" customFormat="false" ht="15" hidden="false" customHeight="false" outlineLevel="0" collapsed="false">
      <c r="F689" s="6" t="s">
        <v>34</v>
      </c>
      <c r="G689" s="0" t="n">
        <v>2</v>
      </c>
      <c r="H689" s="0" t="s">
        <v>38</v>
      </c>
      <c r="I689" s="15" t="n">
        <v>43358.707974537</v>
      </c>
    </row>
    <row r="690" customFormat="false" ht="15" hidden="false" customHeight="false" outlineLevel="0" collapsed="false">
      <c r="F690" s="6" t="s">
        <v>21</v>
      </c>
      <c r="G690" s="0" t="n">
        <v>9</v>
      </c>
      <c r="H690" s="0" t="s">
        <v>38</v>
      </c>
      <c r="I690" s="15" t="n">
        <v>43358.7078356482</v>
      </c>
    </row>
    <row r="691" customFormat="false" ht="15" hidden="false" customHeight="false" outlineLevel="0" collapsed="false">
      <c r="F691" s="6" t="s">
        <v>21</v>
      </c>
      <c r="G691" s="0" t="n">
        <v>10</v>
      </c>
      <c r="H691" s="0" t="s">
        <v>38</v>
      </c>
      <c r="I691" s="15" t="n">
        <v>43358.7077199074</v>
      </c>
    </row>
    <row r="692" customFormat="false" ht="15" hidden="false" customHeight="false" outlineLevel="0" collapsed="false">
      <c r="F692" s="6" t="s">
        <v>61</v>
      </c>
      <c r="G692" s="0" t="n">
        <v>1</v>
      </c>
      <c r="H692" s="0" t="s">
        <v>38</v>
      </c>
      <c r="I692" s="15" t="n">
        <v>43358.7076157407</v>
      </c>
    </row>
    <row r="693" customFormat="false" ht="15" hidden="false" customHeight="false" outlineLevel="0" collapsed="false">
      <c r="F693" s="6" t="s">
        <v>41</v>
      </c>
      <c r="G693" s="0" t="n">
        <v>4</v>
      </c>
      <c r="H693" s="0" t="s">
        <v>38</v>
      </c>
      <c r="I693" s="15" t="n">
        <v>43358.707337963</v>
      </c>
    </row>
    <row r="694" customFormat="false" ht="15" hidden="false" customHeight="false" outlineLevel="0" collapsed="false">
      <c r="F694" s="6" t="s">
        <v>164</v>
      </c>
      <c r="G694" s="0" t="n">
        <v>1</v>
      </c>
      <c r="H694" s="0" t="s">
        <v>38</v>
      </c>
      <c r="I694" s="15" t="n">
        <v>43358.7072222222</v>
      </c>
    </row>
    <row r="695" customFormat="false" ht="15" hidden="false" customHeight="false" outlineLevel="0" collapsed="false">
      <c r="F695" s="6" t="s">
        <v>142</v>
      </c>
      <c r="G695" s="0" t="n">
        <v>1</v>
      </c>
      <c r="H695" s="0" t="s">
        <v>38</v>
      </c>
      <c r="I695" s="15" t="n">
        <v>43358.7069444444</v>
      </c>
    </row>
    <row r="696" customFormat="false" ht="15" hidden="false" customHeight="false" outlineLevel="0" collapsed="false">
      <c r="F696" s="6" t="s">
        <v>28</v>
      </c>
      <c r="G696" s="0" t="n">
        <v>1</v>
      </c>
      <c r="H696" s="0" t="s">
        <v>38</v>
      </c>
      <c r="I696" s="15" t="n">
        <v>43358.7066898148</v>
      </c>
    </row>
    <row r="697" customFormat="false" ht="15" hidden="false" customHeight="false" outlineLevel="0" collapsed="false">
      <c r="F697" s="6" t="s">
        <v>15</v>
      </c>
      <c r="G697" s="0" t="n">
        <v>3</v>
      </c>
      <c r="H697" s="0" t="s">
        <v>38</v>
      </c>
      <c r="I697" s="15" t="n">
        <v>43358.7063541667</v>
      </c>
    </row>
    <row r="698" customFormat="false" ht="15" hidden="false" customHeight="false" outlineLevel="0" collapsed="false">
      <c r="F698" s="6" t="s">
        <v>27</v>
      </c>
      <c r="G698" s="0" t="n">
        <v>2</v>
      </c>
      <c r="H698" s="0" t="s">
        <v>38</v>
      </c>
      <c r="I698" s="15" t="n">
        <v>43358.7062037037</v>
      </c>
    </row>
    <row r="699" customFormat="false" ht="15" hidden="false" customHeight="false" outlineLevel="0" collapsed="false">
      <c r="F699" s="6" t="s">
        <v>25</v>
      </c>
      <c r="G699" s="0" t="n">
        <v>9</v>
      </c>
      <c r="H699" s="0" t="s">
        <v>38</v>
      </c>
      <c r="I699" s="15" t="n">
        <v>43358.706099537</v>
      </c>
    </row>
    <row r="700" customFormat="false" ht="15" hidden="false" customHeight="false" outlineLevel="0" collapsed="false">
      <c r="F700" s="6" t="s">
        <v>34</v>
      </c>
      <c r="G700" s="0" t="n">
        <v>10</v>
      </c>
      <c r="H700" s="0" t="s">
        <v>38</v>
      </c>
      <c r="I700" s="15" t="n">
        <v>43358.7059606482</v>
      </c>
    </row>
    <row r="701" customFormat="false" ht="15" hidden="false" customHeight="false" outlineLevel="0" collapsed="false">
      <c r="F701" s="6" t="s">
        <v>26</v>
      </c>
      <c r="G701" s="0" t="n">
        <v>6</v>
      </c>
      <c r="H701" s="0" t="s">
        <v>38</v>
      </c>
      <c r="I701" s="15" t="n">
        <v>43358.7058333333</v>
      </c>
    </row>
    <row r="702" customFormat="false" ht="15" hidden="false" customHeight="false" outlineLevel="0" collapsed="false">
      <c r="F702" s="6" t="s">
        <v>46</v>
      </c>
      <c r="G702" s="0" t="n">
        <v>3</v>
      </c>
      <c r="H702" s="0" t="s">
        <v>38</v>
      </c>
      <c r="I702" s="15" t="n">
        <v>43358.7056365741</v>
      </c>
    </row>
    <row r="703" customFormat="false" ht="15" hidden="false" customHeight="false" outlineLevel="0" collapsed="false">
      <c r="F703" s="6" t="s">
        <v>37</v>
      </c>
      <c r="G703" s="0" t="n">
        <v>2</v>
      </c>
      <c r="H703" s="0" t="s">
        <v>38</v>
      </c>
      <c r="I703" s="15" t="n">
        <v>43358.7053819444</v>
      </c>
    </row>
    <row r="704" customFormat="false" ht="15" hidden="false" customHeight="false" outlineLevel="0" collapsed="false">
      <c r="F704" s="6" t="s">
        <v>72</v>
      </c>
      <c r="G704" s="0" t="n">
        <v>1</v>
      </c>
      <c r="H704" s="0" t="s">
        <v>38</v>
      </c>
      <c r="I704" s="15" t="n">
        <v>43358.7052662037</v>
      </c>
    </row>
    <row r="705" customFormat="false" ht="15" hidden="false" customHeight="false" outlineLevel="0" collapsed="false">
      <c r="F705" s="6" t="s">
        <v>36</v>
      </c>
      <c r="G705" s="0" t="n">
        <v>4</v>
      </c>
      <c r="H705" s="0" t="s">
        <v>38</v>
      </c>
      <c r="I705" s="15" t="n">
        <v>43358.7051736111</v>
      </c>
    </row>
    <row r="706" customFormat="false" ht="15" hidden="false" customHeight="false" outlineLevel="0" collapsed="false">
      <c r="F706" s="6" t="s">
        <v>80</v>
      </c>
      <c r="G706" s="0" t="n">
        <v>8</v>
      </c>
      <c r="H706" s="0" t="s">
        <v>38</v>
      </c>
      <c r="I706" s="15" t="n">
        <v>43358.7050462963</v>
      </c>
    </row>
    <row r="707" customFormat="false" ht="15" hidden="false" customHeight="false" outlineLevel="0" collapsed="false">
      <c r="F707" s="6" t="s">
        <v>34</v>
      </c>
      <c r="G707" s="0" t="n">
        <v>10</v>
      </c>
      <c r="H707" s="0" t="s">
        <v>38</v>
      </c>
      <c r="I707" s="15" t="n">
        <v>43358.7049074074</v>
      </c>
    </row>
    <row r="708" customFormat="false" ht="15" hidden="false" customHeight="false" outlineLevel="0" collapsed="false">
      <c r="F708" s="6" t="s">
        <v>27</v>
      </c>
      <c r="G708" s="0" t="n">
        <v>3</v>
      </c>
      <c r="H708" s="0" t="s">
        <v>91</v>
      </c>
      <c r="I708" s="15" t="n">
        <v>43358.6798148148</v>
      </c>
    </row>
    <row r="709" customFormat="false" ht="15" hidden="false" customHeight="false" outlineLevel="0" collapsed="false">
      <c r="F709" s="6" t="s">
        <v>23</v>
      </c>
      <c r="G709" s="0" t="n">
        <v>1</v>
      </c>
      <c r="H709" s="0" t="s">
        <v>91</v>
      </c>
      <c r="I709" s="15" t="n">
        <v>43358.6797106482</v>
      </c>
    </row>
    <row r="710" customFormat="false" ht="15" hidden="false" customHeight="false" outlineLevel="0" collapsed="false">
      <c r="F710" s="6" t="s">
        <v>52</v>
      </c>
      <c r="G710" s="0" t="n">
        <v>1</v>
      </c>
      <c r="H710" s="0" t="s">
        <v>91</v>
      </c>
      <c r="I710" s="15" t="n">
        <v>43358.6795949074</v>
      </c>
    </row>
    <row r="711" customFormat="false" ht="15" hidden="false" customHeight="false" outlineLevel="0" collapsed="false">
      <c r="F711" s="6" t="s">
        <v>165</v>
      </c>
      <c r="G711" s="0" t="n">
        <v>1</v>
      </c>
      <c r="H711" s="0" t="s">
        <v>91</v>
      </c>
      <c r="I711" s="15" t="n">
        <v>43358.6793634259</v>
      </c>
    </row>
    <row r="712" customFormat="false" ht="15" hidden="false" customHeight="false" outlineLevel="0" collapsed="false">
      <c r="F712" s="6" t="s">
        <v>166</v>
      </c>
      <c r="G712" s="0" t="n">
        <v>2</v>
      </c>
      <c r="H712" s="0" t="s">
        <v>91</v>
      </c>
      <c r="I712" s="15" t="n">
        <v>43358.6779398148</v>
      </c>
    </row>
    <row r="713" customFormat="false" ht="15" hidden="false" customHeight="false" outlineLevel="0" collapsed="false">
      <c r="F713" s="6" t="s">
        <v>31</v>
      </c>
      <c r="G713" s="0" t="n">
        <v>25</v>
      </c>
      <c r="H713" s="0" t="s">
        <v>91</v>
      </c>
      <c r="I713" s="15" t="n">
        <v>43358.6770833333</v>
      </c>
    </row>
    <row r="714" customFormat="false" ht="15" hidden="false" customHeight="false" outlineLevel="0" collapsed="false">
      <c r="F714" s="6" t="s">
        <v>62</v>
      </c>
      <c r="G714" s="0" t="n">
        <v>1</v>
      </c>
      <c r="H714" s="0" t="s">
        <v>91</v>
      </c>
      <c r="I714" s="15" t="n">
        <v>43358.6769675926</v>
      </c>
    </row>
    <row r="715" customFormat="false" ht="15" hidden="false" customHeight="false" outlineLevel="0" collapsed="false">
      <c r="F715" s="6" t="s">
        <v>31</v>
      </c>
      <c r="G715" s="0" t="n">
        <v>11</v>
      </c>
      <c r="H715" s="0" t="s">
        <v>91</v>
      </c>
      <c r="I715" s="15" t="n">
        <v>43358.6766782407</v>
      </c>
    </row>
    <row r="716" customFormat="false" ht="15" hidden="false" customHeight="false" outlineLevel="0" collapsed="false">
      <c r="F716" s="6" t="s">
        <v>57</v>
      </c>
      <c r="G716" s="0" t="n">
        <v>14</v>
      </c>
      <c r="H716" s="0" t="s">
        <v>91</v>
      </c>
      <c r="I716" s="15" t="n">
        <v>43358.6765277778</v>
      </c>
    </row>
    <row r="717" customFormat="false" ht="15" hidden="false" customHeight="false" outlineLevel="0" collapsed="false">
      <c r="F717" s="6" t="s">
        <v>32</v>
      </c>
      <c r="G717" s="0" t="n">
        <v>19</v>
      </c>
      <c r="H717" s="0" t="s">
        <v>91</v>
      </c>
      <c r="I717" s="15" t="n">
        <v>43358.6764236111</v>
      </c>
    </row>
    <row r="718" customFormat="false" ht="15" hidden="false" customHeight="false" outlineLevel="0" collapsed="false">
      <c r="F718" s="6" t="s">
        <v>72</v>
      </c>
      <c r="G718" s="0" t="n">
        <v>1</v>
      </c>
      <c r="H718" s="0" t="s">
        <v>91</v>
      </c>
      <c r="I718" s="15" t="n">
        <v>43358.6760648148</v>
      </c>
    </row>
    <row r="719" customFormat="false" ht="15" hidden="false" customHeight="false" outlineLevel="0" collapsed="false">
      <c r="F719" s="6" t="s">
        <v>26</v>
      </c>
      <c r="G719" s="0" t="n">
        <v>1</v>
      </c>
      <c r="H719" s="0" t="s">
        <v>91</v>
      </c>
      <c r="I719" s="15" t="n">
        <v>43358.6758449074</v>
      </c>
    </row>
    <row r="720" customFormat="false" ht="15" hidden="false" customHeight="false" outlineLevel="0" collapsed="false">
      <c r="F720" s="6" t="s">
        <v>167</v>
      </c>
      <c r="G720" s="0" t="n">
        <v>1</v>
      </c>
      <c r="H720" s="0" t="s">
        <v>91</v>
      </c>
      <c r="I720" s="15" t="n">
        <v>43358.6757175926</v>
      </c>
    </row>
    <row r="721" customFormat="false" ht="15" hidden="false" customHeight="false" outlineLevel="0" collapsed="false">
      <c r="F721" s="6" t="s">
        <v>64</v>
      </c>
      <c r="G721" s="0" t="n">
        <v>1</v>
      </c>
      <c r="H721" s="0" t="s">
        <v>91</v>
      </c>
      <c r="I721" s="15" t="n">
        <v>43358.6753935185</v>
      </c>
    </row>
    <row r="722" customFormat="false" ht="15" hidden="false" customHeight="false" outlineLevel="0" collapsed="false">
      <c r="F722" s="6" t="s">
        <v>40</v>
      </c>
      <c r="G722" s="0" t="n">
        <v>1</v>
      </c>
      <c r="H722" s="0" t="s">
        <v>91</v>
      </c>
      <c r="I722" s="15" t="n">
        <v>43358.6751736111</v>
      </c>
    </row>
    <row r="723" customFormat="false" ht="15" hidden="false" customHeight="false" outlineLevel="0" collapsed="false">
      <c r="F723" s="6" t="s">
        <v>97</v>
      </c>
      <c r="G723" s="0" t="n">
        <v>1</v>
      </c>
      <c r="H723" s="0" t="s">
        <v>91</v>
      </c>
      <c r="I723" s="15" t="n">
        <v>43358.6751041667</v>
      </c>
    </row>
    <row r="724" customFormat="false" ht="15" hidden="false" customHeight="false" outlineLevel="0" collapsed="false">
      <c r="F724" s="6" t="s">
        <v>41</v>
      </c>
      <c r="G724" s="0" t="n">
        <v>18</v>
      </c>
      <c r="H724" s="0" t="s">
        <v>91</v>
      </c>
      <c r="I724" s="15" t="n">
        <v>43358.6746759259</v>
      </c>
    </row>
    <row r="725" customFormat="false" ht="15" hidden="false" customHeight="false" outlineLevel="0" collapsed="false">
      <c r="F725" s="6" t="s">
        <v>21</v>
      </c>
      <c r="G725" s="0" t="n">
        <v>10</v>
      </c>
      <c r="H725" s="0" t="s">
        <v>91</v>
      </c>
      <c r="I725" s="15" t="n">
        <v>43358.6744907407</v>
      </c>
    </row>
    <row r="726" customFormat="false" ht="15" hidden="false" customHeight="false" outlineLevel="0" collapsed="false">
      <c r="F726" s="6" t="s">
        <v>98</v>
      </c>
      <c r="G726" s="0" t="n">
        <v>2</v>
      </c>
      <c r="H726" s="0" t="s">
        <v>91</v>
      </c>
      <c r="I726" s="15" t="n">
        <v>43358.6742476852</v>
      </c>
    </row>
    <row r="727" customFormat="false" ht="15" hidden="false" customHeight="false" outlineLevel="0" collapsed="false">
      <c r="F727" s="6" t="s">
        <v>15</v>
      </c>
      <c r="G727" s="0" t="n">
        <v>6</v>
      </c>
      <c r="H727" s="0" t="s">
        <v>91</v>
      </c>
      <c r="I727" s="15" t="n">
        <v>43358.6738078704</v>
      </c>
    </row>
    <row r="728" customFormat="false" ht="15" hidden="false" customHeight="false" outlineLevel="0" collapsed="false">
      <c r="F728" s="6" t="s">
        <v>29</v>
      </c>
      <c r="G728" s="0" t="n">
        <v>3</v>
      </c>
      <c r="H728" s="0" t="s">
        <v>91</v>
      </c>
      <c r="I728" s="15" t="n">
        <v>43358.6737037037</v>
      </c>
    </row>
    <row r="729" customFormat="false" ht="15" hidden="false" customHeight="false" outlineLevel="0" collapsed="false">
      <c r="F729" s="6" t="s">
        <v>36</v>
      </c>
      <c r="G729" s="0" t="n">
        <v>4</v>
      </c>
      <c r="H729" s="0" t="s">
        <v>91</v>
      </c>
      <c r="I729" s="15" t="n">
        <v>43358.6736226852</v>
      </c>
    </row>
    <row r="730" customFormat="false" ht="15" hidden="false" customHeight="false" outlineLevel="0" collapsed="false">
      <c r="F730" s="6" t="s">
        <v>72</v>
      </c>
      <c r="G730" s="0" t="n">
        <v>3</v>
      </c>
      <c r="H730" s="0" t="s">
        <v>91</v>
      </c>
      <c r="I730" s="15" t="n">
        <v>43358.6735532407</v>
      </c>
    </row>
    <row r="731" customFormat="false" ht="15" hidden="false" customHeight="false" outlineLevel="0" collapsed="false">
      <c r="F731" s="6" t="s">
        <v>37</v>
      </c>
      <c r="G731" s="0" t="n">
        <v>1</v>
      </c>
      <c r="H731" s="0" t="s">
        <v>91</v>
      </c>
      <c r="I731" s="15" t="n">
        <v>43358.6734837963</v>
      </c>
    </row>
    <row r="732" customFormat="false" ht="15" hidden="false" customHeight="false" outlineLevel="0" collapsed="false">
      <c r="F732" s="6" t="s">
        <v>25</v>
      </c>
      <c r="G732" s="0" t="n">
        <v>13</v>
      </c>
      <c r="H732" s="0" t="s">
        <v>91</v>
      </c>
      <c r="I732" s="15" t="n">
        <v>43358.6722222222</v>
      </c>
    </row>
    <row r="733" customFormat="false" ht="15" hidden="false" customHeight="false" outlineLevel="0" collapsed="false">
      <c r="F733" s="6" t="s">
        <v>34</v>
      </c>
      <c r="G733" s="0" t="n">
        <v>11</v>
      </c>
      <c r="H733" s="0" t="s">
        <v>91</v>
      </c>
      <c r="I733" s="15" t="n">
        <v>43358.672025463</v>
      </c>
    </row>
    <row r="734" customFormat="false" ht="15" hidden="false" customHeight="false" outlineLevel="0" collapsed="false">
      <c r="F734" s="6" t="s">
        <v>25</v>
      </c>
      <c r="G734" s="0" t="n">
        <v>19</v>
      </c>
      <c r="H734" s="0" t="s">
        <v>91</v>
      </c>
      <c r="I734" s="15" t="n">
        <v>43358.6716898148</v>
      </c>
    </row>
    <row r="735" customFormat="false" ht="15" hidden="false" customHeight="false" outlineLevel="0" collapsed="false">
      <c r="F735" s="6" t="s">
        <v>21</v>
      </c>
      <c r="G735" s="0" t="n">
        <v>1</v>
      </c>
      <c r="H735" s="0" t="s">
        <v>79</v>
      </c>
      <c r="I735" s="15" t="n">
        <v>43358.6634837963</v>
      </c>
    </row>
    <row r="736" customFormat="false" ht="15" hidden="false" customHeight="false" outlineLevel="0" collapsed="false">
      <c r="F736" s="6" t="s">
        <v>31</v>
      </c>
      <c r="G736" s="0" t="n">
        <v>2</v>
      </c>
      <c r="H736" s="0" t="s">
        <v>146</v>
      </c>
      <c r="I736" s="15" t="n">
        <v>43358.6626388889</v>
      </c>
    </row>
    <row r="737" customFormat="false" ht="15" hidden="false" customHeight="false" outlineLevel="0" collapsed="false">
      <c r="F737" s="6" t="s">
        <v>18</v>
      </c>
      <c r="G737" s="0" t="n">
        <v>1</v>
      </c>
      <c r="H737" s="0" t="s">
        <v>146</v>
      </c>
      <c r="I737" s="15" t="n">
        <v>43358.6625462963</v>
      </c>
    </row>
    <row r="738" customFormat="false" ht="15" hidden="false" customHeight="false" outlineLevel="0" collapsed="false">
      <c r="F738" s="6" t="s">
        <v>26</v>
      </c>
      <c r="G738" s="0" t="n">
        <v>1</v>
      </c>
      <c r="H738" s="0" t="s">
        <v>146</v>
      </c>
      <c r="I738" s="15" t="n">
        <v>43358.6624652778</v>
      </c>
    </row>
    <row r="739" customFormat="false" ht="15" hidden="false" customHeight="false" outlineLevel="0" collapsed="false">
      <c r="F739" s="6" t="s">
        <v>32</v>
      </c>
      <c r="G739" s="0" t="n">
        <v>1</v>
      </c>
      <c r="H739" s="0" t="s">
        <v>146</v>
      </c>
      <c r="I739" s="15" t="n">
        <v>43358.6623032408</v>
      </c>
    </row>
    <row r="740" customFormat="false" ht="15" hidden="false" customHeight="false" outlineLevel="0" collapsed="false">
      <c r="F740" s="6" t="s">
        <v>41</v>
      </c>
      <c r="G740" s="0" t="n">
        <v>1</v>
      </c>
      <c r="H740" s="0" t="s">
        <v>146</v>
      </c>
      <c r="I740" s="15" t="n">
        <v>43358.6622222222</v>
      </c>
    </row>
    <row r="741" customFormat="false" ht="15" hidden="false" customHeight="false" outlineLevel="0" collapsed="false">
      <c r="F741" s="6" t="s">
        <v>97</v>
      </c>
      <c r="G741" s="0" t="n">
        <v>2</v>
      </c>
      <c r="H741" s="0" t="s">
        <v>146</v>
      </c>
      <c r="I741" s="15" t="n">
        <v>43358.6619675926</v>
      </c>
    </row>
    <row r="742" customFormat="false" ht="15" hidden="false" customHeight="false" outlineLevel="0" collapsed="false">
      <c r="F742" s="6" t="s">
        <v>101</v>
      </c>
      <c r="G742" s="0" t="n">
        <v>1</v>
      </c>
      <c r="H742" s="0" t="s">
        <v>146</v>
      </c>
      <c r="I742" s="15" t="n">
        <v>43358.661875</v>
      </c>
    </row>
    <row r="743" customFormat="false" ht="15" hidden="false" customHeight="false" outlineLevel="0" collapsed="false">
      <c r="F743" s="6" t="s">
        <v>67</v>
      </c>
      <c r="G743" s="0" t="n">
        <v>1</v>
      </c>
      <c r="H743" s="0" t="s">
        <v>146</v>
      </c>
      <c r="I743" s="15" t="n">
        <v>43358.6617939815</v>
      </c>
    </row>
    <row r="744" customFormat="false" ht="15" hidden="false" customHeight="false" outlineLevel="0" collapsed="false">
      <c r="F744" s="6" t="s">
        <v>80</v>
      </c>
      <c r="G744" s="0" t="n">
        <v>5</v>
      </c>
      <c r="H744" s="0" t="s">
        <v>146</v>
      </c>
      <c r="I744" s="15" t="n">
        <v>43358.6616435185</v>
      </c>
    </row>
    <row r="745" customFormat="false" ht="15" hidden="false" customHeight="false" outlineLevel="0" collapsed="false">
      <c r="F745" s="6" t="s">
        <v>154</v>
      </c>
      <c r="G745" s="0" t="n">
        <v>1</v>
      </c>
      <c r="H745" s="0" t="s">
        <v>79</v>
      </c>
      <c r="I745" s="15" t="n">
        <v>43358.6616203704</v>
      </c>
    </row>
    <row r="746" customFormat="false" ht="15" hidden="false" customHeight="false" outlineLevel="0" collapsed="false">
      <c r="F746" s="6" t="s">
        <v>19</v>
      </c>
      <c r="G746" s="0" t="n">
        <v>1</v>
      </c>
      <c r="H746" s="0" t="s">
        <v>79</v>
      </c>
      <c r="I746" s="15" t="n">
        <v>43358.6614351852</v>
      </c>
    </row>
    <row r="747" customFormat="false" ht="15" hidden="false" customHeight="false" outlineLevel="0" collapsed="false">
      <c r="F747" s="6" t="s">
        <v>27</v>
      </c>
      <c r="G747" s="0" t="n">
        <v>2</v>
      </c>
      <c r="H747" s="0" t="s">
        <v>79</v>
      </c>
      <c r="I747" s="15" t="n">
        <v>43358.6611689815</v>
      </c>
    </row>
    <row r="748" customFormat="false" ht="15" hidden="false" customHeight="false" outlineLevel="0" collapsed="false">
      <c r="F748" s="6" t="s">
        <v>34</v>
      </c>
      <c r="G748" s="0" t="n">
        <v>7</v>
      </c>
      <c r="H748" s="0" t="s">
        <v>146</v>
      </c>
      <c r="I748" s="15" t="n">
        <v>43358.6610300926</v>
      </c>
    </row>
    <row r="749" customFormat="false" ht="15" hidden="false" customHeight="false" outlineLevel="0" collapsed="false">
      <c r="F749" s="6" t="s">
        <v>97</v>
      </c>
      <c r="G749" s="0" t="n">
        <v>1</v>
      </c>
      <c r="H749" s="0" t="s">
        <v>157</v>
      </c>
      <c r="I749" s="15" t="n">
        <v>43358.6609259259</v>
      </c>
    </row>
    <row r="750" customFormat="false" ht="15" hidden="false" customHeight="false" outlineLevel="0" collapsed="false">
      <c r="F750" s="6" t="s">
        <v>88</v>
      </c>
      <c r="G750" s="0" t="n">
        <v>2</v>
      </c>
      <c r="H750" s="0" t="s">
        <v>157</v>
      </c>
      <c r="I750" s="15" t="n">
        <v>43358.6608217593</v>
      </c>
    </row>
    <row r="751" customFormat="false" ht="15" hidden="false" customHeight="false" outlineLevel="0" collapsed="false">
      <c r="F751" s="6" t="s">
        <v>72</v>
      </c>
      <c r="G751" s="0" t="n">
        <v>1</v>
      </c>
      <c r="H751" s="0" t="s">
        <v>146</v>
      </c>
      <c r="I751" s="15" t="n">
        <v>43358.6607986111</v>
      </c>
    </row>
    <row r="752" customFormat="false" ht="15" hidden="false" customHeight="false" outlineLevel="0" collapsed="false">
      <c r="F752" s="6" t="s">
        <v>106</v>
      </c>
      <c r="G752" s="0" t="n">
        <v>1</v>
      </c>
      <c r="H752" s="0" t="s">
        <v>146</v>
      </c>
      <c r="I752" s="15" t="n">
        <v>43358.6606018519</v>
      </c>
    </row>
    <row r="753" customFormat="false" ht="15" hidden="false" customHeight="false" outlineLevel="0" collapsed="false">
      <c r="F753" s="6" t="s">
        <v>46</v>
      </c>
      <c r="G753" s="0" t="n">
        <v>2</v>
      </c>
      <c r="H753" s="0" t="s">
        <v>157</v>
      </c>
      <c r="I753" s="15" t="n">
        <v>43358.6605787037</v>
      </c>
    </row>
    <row r="754" customFormat="false" ht="15" hidden="false" customHeight="false" outlineLevel="0" collapsed="false">
      <c r="F754" s="6" t="s">
        <v>96</v>
      </c>
      <c r="G754" s="0" t="n">
        <v>3</v>
      </c>
      <c r="H754" s="0" t="s">
        <v>157</v>
      </c>
      <c r="I754" s="15" t="n">
        <v>43358.6605092593</v>
      </c>
    </row>
    <row r="755" customFormat="false" ht="15" hidden="false" customHeight="false" outlineLevel="0" collapsed="false">
      <c r="F755" s="6" t="s">
        <v>71</v>
      </c>
      <c r="G755" s="0" t="n">
        <v>1</v>
      </c>
      <c r="H755" s="0" t="s">
        <v>146</v>
      </c>
      <c r="I755" s="15" t="n">
        <v>43358.6604976852</v>
      </c>
    </row>
    <row r="756" customFormat="false" ht="15" hidden="false" customHeight="false" outlineLevel="0" collapsed="false">
      <c r="F756" s="6" t="s">
        <v>90</v>
      </c>
      <c r="G756" s="0" t="n">
        <v>1</v>
      </c>
      <c r="H756" s="0" t="s">
        <v>146</v>
      </c>
      <c r="I756" s="15" t="n">
        <v>43358.6604166667</v>
      </c>
    </row>
    <row r="757" customFormat="false" ht="15" hidden="false" customHeight="false" outlineLevel="0" collapsed="false">
      <c r="F757" s="6" t="s">
        <v>71</v>
      </c>
      <c r="G757" s="0" t="n">
        <v>1</v>
      </c>
      <c r="H757" s="0" t="s">
        <v>146</v>
      </c>
      <c r="I757" s="15" t="n">
        <v>43358.6602430556</v>
      </c>
    </row>
    <row r="758" customFormat="false" ht="15" hidden="false" customHeight="false" outlineLevel="0" collapsed="false">
      <c r="F758" s="6" t="s">
        <v>88</v>
      </c>
      <c r="G758" s="0" t="n">
        <v>1</v>
      </c>
      <c r="H758" s="0" t="s">
        <v>157</v>
      </c>
      <c r="I758" s="15" t="n">
        <v>43358.6602314815</v>
      </c>
    </row>
    <row r="759" customFormat="false" ht="15" hidden="false" customHeight="false" outlineLevel="0" collapsed="false">
      <c r="F759" s="6" t="s">
        <v>88</v>
      </c>
      <c r="G759" s="0" t="n">
        <v>2</v>
      </c>
      <c r="H759" s="0" t="s">
        <v>157</v>
      </c>
      <c r="I759" s="15" t="n">
        <v>43358.6601273148</v>
      </c>
    </row>
    <row r="760" customFormat="false" ht="15" hidden="false" customHeight="false" outlineLevel="0" collapsed="false">
      <c r="F760" s="6" t="s">
        <v>25</v>
      </c>
      <c r="G760" s="0" t="n">
        <v>10</v>
      </c>
      <c r="H760" s="0" t="s">
        <v>146</v>
      </c>
      <c r="I760" s="15" t="n">
        <v>43358.6601273148</v>
      </c>
    </row>
    <row r="761" customFormat="false" ht="15" hidden="false" customHeight="false" outlineLevel="0" collapsed="false">
      <c r="F761" s="6" t="s">
        <v>15</v>
      </c>
      <c r="G761" s="0" t="n">
        <v>6</v>
      </c>
      <c r="H761" s="0" t="s">
        <v>146</v>
      </c>
      <c r="I761" s="15" t="n">
        <v>43358.6600347222</v>
      </c>
    </row>
    <row r="762" customFormat="false" ht="15" hidden="false" customHeight="false" outlineLevel="0" collapsed="false">
      <c r="F762" s="6" t="s">
        <v>21</v>
      </c>
      <c r="G762" s="0" t="n">
        <v>9</v>
      </c>
      <c r="H762" s="0" t="s">
        <v>146</v>
      </c>
      <c r="I762" s="15" t="n">
        <v>43358.6599421296</v>
      </c>
    </row>
    <row r="763" customFormat="false" ht="15" hidden="false" customHeight="false" outlineLevel="0" collapsed="false">
      <c r="F763" s="6" t="s">
        <v>156</v>
      </c>
      <c r="G763" s="0" t="n">
        <v>2</v>
      </c>
      <c r="H763" s="0" t="s">
        <v>157</v>
      </c>
      <c r="I763" s="15" t="n">
        <v>43358.6597916667</v>
      </c>
    </row>
    <row r="764" customFormat="false" ht="15" hidden="false" customHeight="false" outlineLevel="0" collapsed="false">
      <c r="F764" s="6" t="s">
        <v>86</v>
      </c>
      <c r="G764" s="0" t="n">
        <v>1</v>
      </c>
      <c r="H764" s="0" t="s">
        <v>140</v>
      </c>
      <c r="I764" s="15" t="n">
        <v>43358.6597569444</v>
      </c>
    </row>
    <row r="765" customFormat="false" ht="15" hidden="false" customHeight="false" outlineLevel="0" collapsed="false">
      <c r="F765" s="6" t="s">
        <v>168</v>
      </c>
      <c r="G765" s="0" t="n">
        <v>1</v>
      </c>
      <c r="H765" s="0" t="s">
        <v>140</v>
      </c>
      <c r="I765" s="15" t="n">
        <v>43358.6596527778</v>
      </c>
    </row>
    <row r="766" customFormat="false" ht="15" hidden="false" customHeight="false" outlineLevel="0" collapsed="false">
      <c r="F766" s="6" t="s">
        <v>169</v>
      </c>
      <c r="G766" s="0" t="n">
        <v>1</v>
      </c>
      <c r="H766" s="0" t="s">
        <v>140</v>
      </c>
      <c r="I766" s="15" t="n">
        <v>43358.6594560185</v>
      </c>
    </row>
    <row r="767" customFormat="false" ht="15" hidden="false" customHeight="false" outlineLevel="0" collapsed="false">
      <c r="F767" s="6" t="s">
        <v>101</v>
      </c>
      <c r="G767" s="0" t="n">
        <v>2</v>
      </c>
      <c r="H767" s="0" t="s">
        <v>157</v>
      </c>
      <c r="I767" s="15" t="n">
        <v>43358.6593518519</v>
      </c>
    </row>
    <row r="768" customFormat="false" ht="15" hidden="false" customHeight="false" outlineLevel="0" collapsed="false">
      <c r="F768" s="6" t="s">
        <v>67</v>
      </c>
      <c r="G768" s="0" t="n">
        <v>2</v>
      </c>
      <c r="H768" s="0" t="s">
        <v>157</v>
      </c>
      <c r="I768" s="15" t="n">
        <v>43358.6592592593</v>
      </c>
    </row>
    <row r="769" customFormat="false" ht="15" hidden="false" customHeight="false" outlineLevel="0" collapsed="false">
      <c r="F769" s="6" t="s">
        <v>88</v>
      </c>
      <c r="G769" s="0" t="n">
        <v>1</v>
      </c>
      <c r="H769" s="0" t="s">
        <v>140</v>
      </c>
      <c r="I769" s="15" t="n">
        <v>43358.6590162037</v>
      </c>
    </row>
    <row r="770" customFormat="false" ht="15" hidden="false" customHeight="false" outlineLevel="0" collapsed="false">
      <c r="F770" s="6" t="s">
        <v>88</v>
      </c>
      <c r="G770" s="0" t="n">
        <v>1</v>
      </c>
      <c r="H770" s="0" t="s">
        <v>140</v>
      </c>
      <c r="I770" s="15" t="n">
        <v>43358.6589351852</v>
      </c>
    </row>
    <row r="771" customFormat="false" ht="15" hidden="false" customHeight="false" outlineLevel="0" collapsed="false">
      <c r="F771" s="6" t="s">
        <v>12</v>
      </c>
      <c r="G771" s="0" t="n">
        <v>2</v>
      </c>
      <c r="H771" s="0" t="s">
        <v>75</v>
      </c>
      <c r="I771" s="15" t="n">
        <v>43358.6588773148</v>
      </c>
    </row>
    <row r="772" customFormat="false" ht="15" hidden="false" customHeight="false" outlineLevel="0" collapsed="false">
      <c r="F772" s="6" t="s">
        <v>27</v>
      </c>
      <c r="G772" s="0" t="n">
        <v>5</v>
      </c>
      <c r="H772" s="0" t="s">
        <v>140</v>
      </c>
      <c r="I772" s="15" t="n">
        <v>43358.6588310185</v>
      </c>
    </row>
    <row r="773" customFormat="false" ht="15" hidden="false" customHeight="false" outlineLevel="0" collapsed="false">
      <c r="F773" s="6" t="s">
        <v>76</v>
      </c>
      <c r="G773" s="0" t="n">
        <v>1</v>
      </c>
      <c r="H773" s="0" t="s">
        <v>157</v>
      </c>
      <c r="I773" s="15" t="n">
        <v>43358.6587962963</v>
      </c>
    </row>
    <row r="774" customFormat="false" ht="15" hidden="false" customHeight="false" outlineLevel="0" collapsed="false">
      <c r="F774" s="6" t="s">
        <v>26</v>
      </c>
      <c r="G774" s="0" t="n">
        <v>2</v>
      </c>
      <c r="H774" s="0" t="s">
        <v>157</v>
      </c>
      <c r="I774" s="15" t="n">
        <v>43358.6587037037</v>
      </c>
    </row>
    <row r="775" customFormat="false" ht="15" hidden="false" customHeight="false" outlineLevel="0" collapsed="false">
      <c r="F775" s="6" t="s">
        <v>26</v>
      </c>
      <c r="G775" s="0" t="n">
        <v>9</v>
      </c>
      <c r="H775" s="0" t="s">
        <v>140</v>
      </c>
      <c r="I775" s="15" t="n">
        <v>43358.6587037037</v>
      </c>
    </row>
    <row r="776" customFormat="false" ht="15" hidden="false" customHeight="false" outlineLevel="0" collapsed="false">
      <c r="F776" s="6" t="s">
        <v>21</v>
      </c>
      <c r="G776" s="0" t="n">
        <v>3</v>
      </c>
      <c r="H776" s="0" t="s">
        <v>157</v>
      </c>
      <c r="I776" s="15" t="n">
        <v>43358.6586111111</v>
      </c>
    </row>
    <row r="777" customFormat="false" ht="15" hidden="false" customHeight="false" outlineLevel="0" collapsed="false">
      <c r="F777" s="6" t="s">
        <v>21</v>
      </c>
      <c r="G777" s="0" t="n">
        <v>5</v>
      </c>
      <c r="H777" s="0" t="s">
        <v>140</v>
      </c>
      <c r="I777" s="15" t="n">
        <v>43358.6586111111</v>
      </c>
    </row>
    <row r="778" customFormat="false" ht="15" hidden="false" customHeight="false" outlineLevel="0" collapsed="false">
      <c r="F778" s="6" t="s">
        <v>71</v>
      </c>
      <c r="G778" s="0" t="n">
        <v>1</v>
      </c>
      <c r="H778" s="0" t="s">
        <v>157</v>
      </c>
      <c r="I778" s="15" t="n">
        <v>43358.6585300926</v>
      </c>
    </row>
    <row r="779" customFormat="false" ht="15" hidden="false" customHeight="false" outlineLevel="0" collapsed="false">
      <c r="F779" s="6" t="s">
        <v>83</v>
      </c>
      <c r="G779" s="0" t="n">
        <v>1</v>
      </c>
      <c r="H779" s="0" t="s">
        <v>75</v>
      </c>
      <c r="I779" s="15" t="n">
        <v>43358.6584837963</v>
      </c>
    </row>
    <row r="780" customFormat="false" ht="15" hidden="false" customHeight="false" outlineLevel="0" collapsed="false">
      <c r="F780" s="6" t="s">
        <v>50</v>
      </c>
      <c r="G780" s="0" t="n">
        <v>1</v>
      </c>
      <c r="H780" s="0" t="s">
        <v>140</v>
      </c>
      <c r="I780" s="15" t="n">
        <v>43358.6584490741</v>
      </c>
    </row>
    <row r="781" customFormat="false" ht="15" hidden="false" customHeight="false" outlineLevel="0" collapsed="false">
      <c r="F781" s="6" t="s">
        <v>46</v>
      </c>
      <c r="G781" s="0" t="n">
        <v>6</v>
      </c>
      <c r="H781" s="0" t="s">
        <v>75</v>
      </c>
      <c r="I781" s="15" t="n">
        <v>43358.6583912037</v>
      </c>
    </row>
    <row r="782" customFormat="false" ht="15" hidden="false" customHeight="false" outlineLevel="0" collapsed="false">
      <c r="F782" s="6" t="s">
        <v>53</v>
      </c>
      <c r="G782" s="0" t="n">
        <v>1</v>
      </c>
      <c r="H782" s="0" t="s">
        <v>140</v>
      </c>
      <c r="I782" s="15" t="n">
        <v>43358.6583333333</v>
      </c>
    </row>
    <row r="783" customFormat="false" ht="15" hidden="false" customHeight="false" outlineLevel="0" collapsed="false">
      <c r="F783" s="6" t="s">
        <v>47</v>
      </c>
      <c r="G783" s="0" t="n">
        <v>1</v>
      </c>
      <c r="H783" s="0" t="s">
        <v>157</v>
      </c>
      <c r="I783" s="15" t="n">
        <v>43358.658287037</v>
      </c>
    </row>
    <row r="784" customFormat="false" ht="15" hidden="false" customHeight="false" outlineLevel="0" collapsed="false">
      <c r="F784" s="6" t="s">
        <v>32</v>
      </c>
      <c r="G784" s="0" t="n">
        <v>7</v>
      </c>
      <c r="H784" s="0" t="s">
        <v>140</v>
      </c>
      <c r="I784" s="15" t="n">
        <v>43358.6581712963</v>
      </c>
    </row>
    <row r="785" customFormat="false" ht="15" hidden="false" customHeight="false" outlineLevel="0" collapsed="false">
      <c r="F785" s="6" t="s">
        <v>170</v>
      </c>
      <c r="G785" s="0" t="n">
        <v>1</v>
      </c>
      <c r="H785" s="0" t="s">
        <v>157</v>
      </c>
      <c r="I785" s="15" t="n">
        <v>43358.6580902778</v>
      </c>
    </row>
    <row r="786" customFormat="false" ht="15" hidden="false" customHeight="false" outlineLevel="0" collapsed="false">
      <c r="F786" s="6" t="s">
        <v>31</v>
      </c>
      <c r="G786" s="0" t="n">
        <v>24</v>
      </c>
      <c r="H786" s="0" t="s">
        <v>140</v>
      </c>
      <c r="I786" s="15" t="n">
        <v>43358.657962963</v>
      </c>
    </row>
    <row r="787" customFormat="false" ht="15" hidden="false" customHeight="false" outlineLevel="0" collapsed="false">
      <c r="F787" s="6" t="s">
        <v>27</v>
      </c>
      <c r="G787" s="0" t="n">
        <v>3</v>
      </c>
      <c r="H787" s="0" t="s">
        <v>157</v>
      </c>
      <c r="I787" s="15" t="n">
        <v>43358.6579513889</v>
      </c>
    </row>
    <row r="788" customFormat="false" ht="15" hidden="false" customHeight="false" outlineLevel="0" collapsed="false">
      <c r="F788" s="6" t="s">
        <v>61</v>
      </c>
      <c r="G788" s="0" t="n">
        <v>1</v>
      </c>
      <c r="H788" s="0" t="s">
        <v>140</v>
      </c>
      <c r="I788" s="15" t="n">
        <v>43358.6578356482</v>
      </c>
    </row>
    <row r="789" customFormat="false" ht="15" hidden="false" customHeight="false" outlineLevel="0" collapsed="false">
      <c r="F789" s="6" t="s">
        <v>18</v>
      </c>
      <c r="G789" s="0" t="n">
        <v>1</v>
      </c>
      <c r="H789" s="0" t="s">
        <v>75</v>
      </c>
      <c r="I789" s="15" t="n">
        <v>43358.6577893519</v>
      </c>
    </row>
    <row r="790" customFormat="false" ht="15" hidden="false" customHeight="false" outlineLevel="0" collapsed="false">
      <c r="F790" s="6" t="s">
        <v>74</v>
      </c>
      <c r="G790" s="0" t="n">
        <v>1</v>
      </c>
      <c r="H790" s="0" t="s">
        <v>157</v>
      </c>
      <c r="I790" s="15" t="n">
        <v>43358.6577430556</v>
      </c>
    </row>
    <row r="791" customFormat="false" ht="15" hidden="false" customHeight="false" outlineLevel="0" collapsed="false">
      <c r="F791" s="6" t="s">
        <v>171</v>
      </c>
      <c r="G791" s="0" t="n">
        <v>1</v>
      </c>
      <c r="H791" s="0" t="s">
        <v>140</v>
      </c>
      <c r="I791" s="15" t="n">
        <v>43358.6577199074</v>
      </c>
    </row>
    <row r="792" customFormat="false" ht="15" hidden="false" customHeight="false" outlineLevel="0" collapsed="false">
      <c r="F792" s="6" t="s">
        <v>41</v>
      </c>
      <c r="G792" s="0" t="n">
        <v>2</v>
      </c>
      <c r="H792" s="0" t="s">
        <v>75</v>
      </c>
      <c r="I792" s="15" t="n">
        <v>43358.6577199074</v>
      </c>
    </row>
    <row r="793" customFormat="false" ht="15" hidden="false" customHeight="false" outlineLevel="0" collapsed="false">
      <c r="F793" s="6" t="s">
        <v>15</v>
      </c>
      <c r="G793" s="0" t="n">
        <v>1</v>
      </c>
      <c r="H793" s="0" t="s">
        <v>157</v>
      </c>
      <c r="I793" s="15" t="n">
        <v>43358.6576736111</v>
      </c>
    </row>
    <row r="794" customFormat="false" ht="15" hidden="false" customHeight="false" outlineLevel="0" collapsed="false">
      <c r="F794" s="6" t="s">
        <v>45</v>
      </c>
      <c r="G794" s="0" t="n">
        <v>1</v>
      </c>
      <c r="H794" s="0" t="s">
        <v>140</v>
      </c>
      <c r="I794" s="15" t="n">
        <v>43358.6576157407</v>
      </c>
    </row>
    <row r="795" customFormat="false" ht="15" hidden="false" customHeight="false" outlineLevel="0" collapsed="false">
      <c r="F795" s="6" t="s">
        <v>172</v>
      </c>
      <c r="G795" s="0" t="n">
        <v>2</v>
      </c>
      <c r="H795" s="0" t="s">
        <v>75</v>
      </c>
      <c r="I795" s="15" t="n">
        <v>43358.6576041667</v>
      </c>
    </row>
    <row r="796" customFormat="false" ht="15" hidden="false" customHeight="false" outlineLevel="0" collapsed="false">
      <c r="F796" s="6" t="s">
        <v>173</v>
      </c>
      <c r="G796" s="0" t="n">
        <v>1</v>
      </c>
      <c r="H796" s="0" t="s">
        <v>140</v>
      </c>
      <c r="I796" s="15" t="n">
        <v>43358.6574074074</v>
      </c>
    </row>
    <row r="797" customFormat="false" ht="15" hidden="false" customHeight="false" outlineLevel="0" collapsed="false">
      <c r="F797" s="6" t="s">
        <v>29</v>
      </c>
      <c r="G797" s="0" t="n">
        <v>1</v>
      </c>
      <c r="H797" s="0" t="s">
        <v>75</v>
      </c>
      <c r="I797" s="15" t="n">
        <v>43358.657349537</v>
      </c>
    </row>
    <row r="798" customFormat="false" ht="15" hidden="false" customHeight="false" outlineLevel="0" collapsed="false">
      <c r="F798" s="6" t="s">
        <v>100</v>
      </c>
      <c r="G798" s="0" t="n">
        <v>1</v>
      </c>
      <c r="H798" s="0" t="s">
        <v>140</v>
      </c>
      <c r="I798" s="15" t="n">
        <v>43358.6573263889</v>
      </c>
    </row>
    <row r="799" customFormat="false" ht="15" hidden="false" customHeight="false" outlineLevel="0" collapsed="false">
      <c r="F799" s="6" t="s">
        <v>77</v>
      </c>
      <c r="G799" s="0" t="n">
        <v>1</v>
      </c>
      <c r="H799" s="0" t="s">
        <v>140</v>
      </c>
      <c r="I799" s="15" t="n">
        <v>43358.6572222222</v>
      </c>
    </row>
    <row r="800" customFormat="false" ht="15" hidden="false" customHeight="false" outlineLevel="0" collapsed="false">
      <c r="F800" s="6" t="s">
        <v>26</v>
      </c>
      <c r="G800" s="0" t="n">
        <v>1</v>
      </c>
      <c r="H800" s="0" t="s">
        <v>75</v>
      </c>
      <c r="I800" s="15" t="n">
        <v>43358.6571412037</v>
      </c>
    </row>
    <row r="801" customFormat="false" ht="15" hidden="false" customHeight="false" outlineLevel="0" collapsed="false">
      <c r="F801" s="6" t="s">
        <v>150</v>
      </c>
      <c r="G801" s="0" t="n">
        <v>1</v>
      </c>
      <c r="H801" s="0" t="s">
        <v>140</v>
      </c>
      <c r="I801" s="15" t="n">
        <v>43358.6570833333</v>
      </c>
    </row>
    <row r="802" customFormat="false" ht="15" hidden="false" customHeight="false" outlineLevel="0" collapsed="false">
      <c r="F802" s="6" t="s">
        <v>21</v>
      </c>
      <c r="G802" s="0" t="n">
        <v>5</v>
      </c>
      <c r="H802" s="0" t="s">
        <v>75</v>
      </c>
      <c r="I802" s="15" t="n">
        <v>43358.6570717593</v>
      </c>
    </row>
    <row r="803" customFormat="false" ht="15" hidden="false" customHeight="false" outlineLevel="0" collapsed="false">
      <c r="F803" s="6" t="s">
        <v>31</v>
      </c>
      <c r="G803" s="0" t="n">
        <v>7</v>
      </c>
      <c r="H803" s="0" t="s">
        <v>157</v>
      </c>
      <c r="I803" s="15" t="n">
        <v>43358.657037037</v>
      </c>
    </row>
    <row r="804" customFormat="false" ht="15" hidden="false" customHeight="false" outlineLevel="0" collapsed="false">
      <c r="F804" s="6" t="s">
        <v>57</v>
      </c>
      <c r="G804" s="0" t="n">
        <v>6</v>
      </c>
      <c r="H804" s="0" t="s">
        <v>157</v>
      </c>
      <c r="I804" s="15" t="n">
        <v>43358.6569791667</v>
      </c>
    </row>
    <row r="805" customFormat="false" ht="15" hidden="false" customHeight="false" outlineLevel="0" collapsed="false">
      <c r="F805" s="6" t="s">
        <v>18</v>
      </c>
      <c r="G805" s="0" t="n">
        <v>1</v>
      </c>
      <c r="H805" s="0" t="s">
        <v>140</v>
      </c>
      <c r="I805" s="15" t="n">
        <v>43358.6568287037</v>
      </c>
    </row>
    <row r="806" customFormat="false" ht="15" hidden="false" customHeight="false" outlineLevel="0" collapsed="false">
      <c r="F806" s="6" t="s">
        <v>41</v>
      </c>
      <c r="G806" s="0" t="n">
        <v>11</v>
      </c>
      <c r="H806" s="0" t="s">
        <v>157</v>
      </c>
      <c r="I806" s="15" t="n">
        <v>43358.6567592593</v>
      </c>
    </row>
    <row r="807" customFormat="false" ht="15" hidden="false" customHeight="false" outlineLevel="0" collapsed="false">
      <c r="F807" s="6" t="s">
        <v>32</v>
      </c>
      <c r="G807" s="0" t="n">
        <v>9</v>
      </c>
      <c r="H807" s="0" t="s">
        <v>75</v>
      </c>
      <c r="I807" s="15" t="n">
        <v>43358.6567592593</v>
      </c>
    </row>
    <row r="808" customFormat="false" ht="15" hidden="false" customHeight="false" outlineLevel="0" collapsed="false">
      <c r="F808" s="6" t="s">
        <v>59</v>
      </c>
      <c r="G808" s="0" t="n">
        <v>1</v>
      </c>
      <c r="H808" s="0" t="s">
        <v>140</v>
      </c>
      <c r="I808" s="15" t="n">
        <v>43358.6567361111</v>
      </c>
    </row>
    <row r="809" customFormat="false" ht="15" hidden="false" customHeight="false" outlineLevel="0" collapsed="false">
      <c r="F809" s="6" t="s">
        <v>167</v>
      </c>
      <c r="G809" s="0" t="n">
        <v>1</v>
      </c>
      <c r="H809" s="0" t="s">
        <v>157</v>
      </c>
      <c r="I809" s="15" t="n">
        <v>43358.6566898148</v>
      </c>
    </row>
    <row r="810" customFormat="false" ht="15" hidden="false" customHeight="false" outlineLevel="0" collapsed="false">
      <c r="F810" s="6" t="s">
        <v>145</v>
      </c>
      <c r="G810" s="0" t="n">
        <v>2</v>
      </c>
      <c r="H810" s="0" t="s">
        <v>75</v>
      </c>
      <c r="I810" s="15" t="n">
        <v>43358.6566666667</v>
      </c>
    </row>
    <row r="811" customFormat="false" ht="15" hidden="false" customHeight="false" outlineLevel="0" collapsed="false">
      <c r="F811" s="6" t="s">
        <v>25</v>
      </c>
      <c r="G811" s="0" t="n">
        <v>1</v>
      </c>
      <c r="H811" s="0" t="s">
        <v>140</v>
      </c>
      <c r="I811" s="15" t="n">
        <v>43358.6566319444</v>
      </c>
    </row>
    <row r="812" customFormat="false" ht="15" hidden="false" customHeight="false" outlineLevel="0" collapsed="false">
      <c r="F812" s="6" t="s">
        <v>31</v>
      </c>
      <c r="G812" s="0" t="n">
        <v>20</v>
      </c>
      <c r="H812" s="0" t="s">
        <v>75</v>
      </c>
      <c r="I812" s="15" t="n">
        <v>43358.6565740741</v>
      </c>
    </row>
    <row r="813" customFormat="false" ht="15" hidden="false" customHeight="false" outlineLevel="0" collapsed="false">
      <c r="F813" s="6" t="s">
        <v>36</v>
      </c>
      <c r="G813" s="0" t="n">
        <v>4</v>
      </c>
      <c r="H813" s="0" t="s">
        <v>157</v>
      </c>
      <c r="I813" s="15" t="n">
        <v>43358.6565625</v>
      </c>
    </row>
    <row r="814" customFormat="false" ht="15" hidden="false" customHeight="false" outlineLevel="0" collapsed="false">
      <c r="F814" s="6" t="s">
        <v>72</v>
      </c>
      <c r="G814" s="0" t="n">
        <v>3</v>
      </c>
      <c r="H814" s="0" t="s">
        <v>157</v>
      </c>
      <c r="I814" s="15" t="n">
        <v>43358.6564583333</v>
      </c>
    </row>
    <row r="815" customFormat="false" ht="15" hidden="false" customHeight="false" outlineLevel="0" collapsed="false">
      <c r="F815" s="6" t="s">
        <v>37</v>
      </c>
      <c r="G815" s="0" t="n">
        <v>2</v>
      </c>
      <c r="H815" s="0" t="s">
        <v>140</v>
      </c>
      <c r="I815" s="15" t="n">
        <v>43358.6564583333</v>
      </c>
    </row>
    <row r="816" customFormat="false" ht="15" hidden="false" customHeight="false" outlineLevel="0" collapsed="false">
      <c r="F816" s="6" t="s">
        <v>25</v>
      </c>
      <c r="G816" s="0" t="n">
        <v>13</v>
      </c>
      <c r="H816" s="0" t="s">
        <v>75</v>
      </c>
      <c r="I816" s="15" t="n">
        <v>43358.6563888889</v>
      </c>
    </row>
    <row r="817" customFormat="false" ht="15" hidden="false" customHeight="false" outlineLevel="0" collapsed="false">
      <c r="F817" s="6" t="s">
        <v>72</v>
      </c>
      <c r="G817" s="0" t="n">
        <v>1</v>
      </c>
      <c r="H817" s="0" t="s">
        <v>140</v>
      </c>
      <c r="I817" s="15" t="n">
        <v>43358.6563657407</v>
      </c>
    </row>
    <row r="818" customFormat="false" ht="15" hidden="false" customHeight="false" outlineLevel="0" collapsed="false">
      <c r="F818" s="6" t="s">
        <v>90</v>
      </c>
      <c r="G818" s="0" t="n">
        <v>1</v>
      </c>
      <c r="H818" s="0" t="s">
        <v>140</v>
      </c>
      <c r="I818" s="15" t="n">
        <v>43358.6562731481</v>
      </c>
    </row>
    <row r="819" customFormat="false" ht="15" hidden="false" customHeight="false" outlineLevel="0" collapsed="false">
      <c r="F819" s="6" t="s">
        <v>36</v>
      </c>
      <c r="G819" s="0" t="n">
        <v>1</v>
      </c>
      <c r="H819" s="0" t="s">
        <v>75</v>
      </c>
      <c r="I819" s="15" t="n">
        <v>43358.6562731481</v>
      </c>
    </row>
    <row r="820" customFormat="false" ht="15" hidden="false" customHeight="false" outlineLevel="0" collapsed="false">
      <c r="F820" s="6" t="s">
        <v>33</v>
      </c>
      <c r="G820" s="0" t="n">
        <v>1</v>
      </c>
      <c r="H820" s="0" t="s">
        <v>75</v>
      </c>
      <c r="I820" s="15" t="n">
        <v>43358.6562037037</v>
      </c>
    </row>
    <row r="821" customFormat="false" ht="15" hidden="false" customHeight="false" outlineLevel="0" collapsed="false">
      <c r="F821" s="6" t="s">
        <v>71</v>
      </c>
      <c r="G821" s="0" t="n">
        <v>1</v>
      </c>
      <c r="H821" s="0" t="s">
        <v>140</v>
      </c>
      <c r="I821" s="15" t="n">
        <v>43358.6561921296</v>
      </c>
    </row>
    <row r="822" customFormat="false" ht="15" hidden="false" customHeight="false" outlineLevel="0" collapsed="false">
      <c r="F822" s="6" t="s">
        <v>15</v>
      </c>
      <c r="G822" s="0" t="n">
        <v>2</v>
      </c>
      <c r="H822" s="0" t="s">
        <v>75</v>
      </c>
      <c r="I822" s="15" t="n">
        <v>43358.6561226852</v>
      </c>
    </row>
    <row r="823" customFormat="false" ht="15" hidden="false" customHeight="false" outlineLevel="0" collapsed="false">
      <c r="F823" s="6" t="s">
        <v>106</v>
      </c>
      <c r="G823" s="0" t="n">
        <v>1</v>
      </c>
      <c r="H823" s="0" t="s">
        <v>140</v>
      </c>
      <c r="I823" s="15" t="n">
        <v>43358.656087963</v>
      </c>
    </row>
    <row r="824" customFormat="false" ht="15" hidden="false" customHeight="false" outlineLevel="0" collapsed="false">
      <c r="F824" s="6" t="s">
        <v>35</v>
      </c>
      <c r="G824" s="0" t="n">
        <v>2</v>
      </c>
      <c r="H824" s="0" t="s">
        <v>75</v>
      </c>
      <c r="I824" s="15" t="n">
        <v>43358.6559953704</v>
      </c>
    </row>
    <row r="825" customFormat="false" ht="15" hidden="false" customHeight="false" outlineLevel="0" collapsed="false">
      <c r="F825" s="6" t="s">
        <v>29</v>
      </c>
      <c r="G825" s="0" t="n">
        <v>2</v>
      </c>
      <c r="H825" s="0" t="s">
        <v>140</v>
      </c>
      <c r="I825" s="15" t="n">
        <v>43358.6559722222</v>
      </c>
    </row>
    <row r="826" customFormat="false" ht="15" hidden="false" customHeight="false" outlineLevel="0" collapsed="false">
      <c r="F826" s="6" t="s">
        <v>34</v>
      </c>
      <c r="G826" s="0" t="n">
        <v>6</v>
      </c>
      <c r="H826" s="0" t="s">
        <v>75</v>
      </c>
      <c r="I826" s="15" t="n">
        <v>43358.6559143519</v>
      </c>
    </row>
    <row r="827" customFormat="false" ht="15" hidden="false" customHeight="false" outlineLevel="0" collapsed="false">
      <c r="F827" s="6" t="s">
        <v>41</v>
      </c>
      <c r="G827" s="0" t="n">
        <v>14</v>
      </c>
      <c r="H827" s="0" t="s">
        <v>140</v>
      </c>
      <c r="I827" s="15" t="n">
        <v>43358.6558796296</v>
      </c>
    </row>
    <row r="828" customFormat="false" ht="15" hidden="false" customHeight="false" outlineLevel="0" collapsed="false">
      <c r="F828" s="6" t="s">
        <v>34</v>
      </c>
      <c r="G828" s="0" t="n">
        <v>4</v>
      </c>
      <c r="H828" s="0" t="s">
        <v>157</v>
      </c>
      <c r="I828" s="15" t="n">
        <v>43358.6557638889</v>
      </c>
    </row>
    <row r="829" customFormat="false" ht="15" hidden="false" customHeight="false" outlineLevel="0" collapsed="false">
      <c r="F829" s="6" t="s">
        <v>34</v>
      </c>
      <c r="G829" s="0" t="n">
        <v>9</v>
      </c>
      <c r="H829" s="0" t="s">
        <v>140</v>
      </c>
      <c r="I829" s="15" t="n">
        <v>43358.6557523148</v>
      </c>
    </row>
    <row r="830" customFormat="false" ht="15" hidden="false" customHeight="false" outlineLevel="0" collapsed="false">
      <c r="F830" s="6" t="s">
        <v>26</v>
      </c>
      <c r="G830" s="0" t="n">
        <v>2</v>
      </c>
      <c r="H830" s="0" t="s">
        <v>16</v>
      </c>
      <c r="I830" s="15" t="n">
        <v>43358.6556018519</v>
      </c>
    </row>
    <row r="831" customFormat="false" ht="15" hidden="false" customHeight="false" outlineLevel="0" collapsed="false">
      <c r="F831" s="6" t="s">
        <v>15</v>
      </c>
      <c r="G831" s="0" t="n">
        <v>8</v>
      </c>
      <c r="H831" s="0" t="s">
        <v>140</v>
      </c>
      <c r="I831" s="15" t="n">
        <v>43358.6555902778</v>
      </c>
    </row>
    <row r="832" customFormat="false" ht="15" hidden="false" customHeight="false" outlineLevel="0" collapsed="false">
      <c r="F832" s="6" t="s">
        <v>21</v>
      </c>
      <c r="G832" s="0" t="n">
        <v>1</v>
      </c>
      <c r="H832" s="0" t="s">
        <v>16</v>
      </c>
      <c r="I832" s="15" t="n">
        <v>43358.6554513889</v>
      </c>
    </row>
    <row r="833" customFormat="false" ht="15" hidden="false" customHeight="false" outlineLevel="0" collapsed="false">
      <c r="F833" s="6" t="s">
        <v>98</v>
      </c>
      <c r="G833" s="0" t="n">
        <v>1</v>
      </c>
      <c r="H833" s="0" t="s">
        <v>16</v>
      </c>
      <c r="I833" s="15" t="n">
        <v>43358.6553587963</v>
      </c>
    </row>
    <row r="834" customFormat="false" ht="15" hidden="false" customHeight="false" outlineLevel="0" collapsed="false">
      <c r="F834" s="6" t="s">
        <v>25</v>
      </c>
      <c r="G834" s="0" t="n">
        <v>10</v>
      </c>
      <c r="H834" s="0" t="s">
        <v>157</v>
      </c>
      <c r="I834" s="15" t="n">
        <v>43358.6550231482</v>
      </c>
    </row>
    <row r="835" customFormat="false" ht="15" hidden="false" customHeight="false" outlineLevel="0" collapsed="false">
      <c r="F835" s="6" t="s">
        <v>37</v>
      </c>
      <c r="G835" s="0" t="n">
        <v>2</v>
      </c>
      <c r="H835" s="0" t="s">
        <v>16</v>
      </c>
      <c r="I835" s="15" t="n">
        <v>43358.6549305556</v>
      </c>
    </row>
    <row r="836" customFormat="false" ht="15" hidden="false" customHeight="false" outlineLevel="0" collapsed="false">
      <c r="F836" s="6" t="s">
        <v>36</v>
      </c>
      <c r="G836" s="0" t="n">
        <v>1</v>
      </c>
      <c r="H836" s="0" t="s">
        <v>16</v>
      </c>
      <c r="I836" s="15" t="n">
        <v>43358.654849537</v>
      </c>
    </row>
    <row r="837" customFormat="false" ht="15" hidden="false" customHeight="false" outlineLevel="0" collapsed="false">
      <c r="F837" s="6" t="s">
        <v>107</v>
      </c>
      <c r="G837" s="0" t="n">
        <v>4</v>
      </c>
      <c r="H837" s="0" t="s">
        <v>109</v>
      </c>
      <c r="I837" s="15" t="n">
        <v>43358.6548263889</v>
      </c>
    </row>
    <row r="838" customFormat="false" ht="15" hidden="false" customHeight="false" outlineLevel="0" collapsed="false">
      <c r="F838" s="6" t="s">
        <v>57</v>
      </c>
      <c r="G838" s="0" t="n">
        <v>3</v>
      </c>
      <c r="H838" s="0" t="s">
        <v>109</v>
      </c>
      <c r="I838" s="15" t="n">
        <v>43358.6545601852</v>
      </c>
    </row>
    <row r="839" customFormat="false" ht="15" hidden="false" customHeight="false" outlineLevel="0" collapsed="false">
      <c r="F839" s="6" t="s">
        <v>27</v>
      </c>
      <c r="G839" s="0" t="n">
        <v>4</v>
      </c>
      <c r="H839" s="0" t="s">
        <v>16</v>
      </c>
      <c r="I839" s="15" t="n">
        <v>43358.654525463</v>
      </c>
    </row>
    <row r="840" customFormat="false" ht="15" hidden="false" customHeight="false" outlineLevel="0" collapsed="false">
      <c r="F840" s="6" t="s">
        <v>127</v>
      </c>
      <c r="G840" s="0" t="n">
        <v>1</v>
      </c>
      <c r="H840" s="0" t="s">
        <v>109</v>
      </c>
      <c r="I840" s="15" t="n">
        <v>43358.6544791667</v>
      </c>
    </row>
    <row r="841" customFormat="false" ht="15" hidden="false" customHeight="false" outlineLevel="0" collapsed="false">
      <c r="F841" s="6" t="s">
        <v>19</v>
      </c>
      <c r="G841" s="0" t="n">
        <v>1</v>
      </c>
      <c r="H841" s="0" t="s">
        <v>16</v>
      </c>
      <c r="I841" s="15" t="n">
        <v>43358.6544328704</v>
      </c>
    </row>
    <row r="842" customFormat="false" ht="15" hidden="false" customHeight="false" outlineLevel="0" collapsed="false">
      <c r="F842" s="6" t="s">
        <v>59</v>
      </c>
      <c r="G842" s="0" t="n">
        <v>1</v>
      </c>
      <c r="H842" s="0" t="s">
        <v>109</v>
      </c>
      <c r="I842" s="15" t="n">
        <v>43358.6543981482</v>
      </c>
    </row>
    <row r="843" customFormat="false" ht="15" hidden="false" customHeight="false" outlineLevel="0" collapsed="false">
      <c r="F843" s="6" t="s">
        <v>86</v>
      </c>
      <c r="G843" s="0" t="n">
        <v>1</v>
      </c>
      <c r="H843" s="0" t="s">
        <v>109</v>
      </c>
      <c r="I843" s="15" t="n">
        <v>43358.6543055556</v>
      </c>
    </row>
    <row r="844" customFormat="false" ht="15" hidden="false" customHeight="false" outlineLevel="0" collapsed="false">
      <c r="F844" s="6" t="s">
        <v>22</v>
      </c>
      <c r="G844" s="0" t="n">
        <v>1</v>
      </c>
      <c r="H844" s="0" t="s">
        <v>16</v>
      </c>
      <c r="I844" s="15" t="n">
        <v>43358.6540509259</v>
      </c>
    </row>
    <row r="845" customFormat="false" ht="15" hidden="false" customHeight="false" outlineLevel="0" collapsed="false">
      <c r="F845" s="6" t="s">
        <v>27</v>
      </c>
      <c r="G845" s="0" t="n">
        <v>2</v>
      </c>
      <c r="H845" s="0" t="s">
        <v>109</v>
      </c>
      <c r="I845" s="15" t="n">
        <v>43358.6540277778</v>
      </c>
    </row>
    <row r="846" customFormat="false" ht="15" hidden="false" customHeight="false" outlineLevel="0" collapsed="false">
      <c r="F846" s="6" t="s">
        <v>23</v>
      </c>
      <c r="G846" s="0" t="n">
        <v>2</v>
      </c>
      <c r="H846" s="0" t="s">
        <v>109</v>
      </c>
      <c r="I846" s="15" t="n">
        <v>43358.653912037</v>
      </c>
    </row>
    <row r="847" customFormat="false" ht="15" hidden="false" customHeight="false" outlineLevel="0" collapsed="false">
      <c r="F847" s="6" t="s">
        <v>26</v>
      </c>
      <c r="G847" s="0" t="n">
        <v>3</v>
      </c>
      <c r="H847" s="0" t="s">
        <v>109</v>
      </c>
      <c r="I847" s="15" t="n">
        <v>43358.6538310185</v>
      </c>
    </row>
    <row r="848" customFormat="false" ht="15" hidden="false" customHeight="false" outlineLevel="0" collapsed="false">
      <c r="F848" s="6" t="s">
        <v>22</v>
      </c>
      <c r="G848" s="0" t="n">
        <v>2</v>
      </c>
      <c r="H848" s="0" t="s">
        <v>16</v>
      </c>
      <c r="I848" s="15" t="n">
        <v>43358.6537847222</v>
      </c>
    </row>
    <row r="849" customFormat="false" ht="15" hidden="false" customHeight="false" outlineLevel="0" collapsed="false">
      <c r="F849" s="6" t="s">
        <v>25</v>
      </c>
      <c r="G849" s="0" t="n">
        <v>31</v>
      </c>
      <c r="H849" s="0" t="s">
        <v>174</v>
      </c>
      <c r="I849" s="15" t="n">
        <v>43358.6537615741</v>
      </c>
    </row>
    <row r="850" customFormat="false" ht="15" hidden="false" customHeight="false" outlineLevel="0" collapsed="false">
      <c r="F850" s="6" t="s">
        <v>80</v>
      </c>
      <c r="G850" s="0" t="n">
        <v>1</v>
      </c>
      <c r="H850" s="0" t="s">
        <v>16</v>
      </c>
      <c r="I850" s="15" t="n">
        <v>43358.6536689815</v>
      </c>
    </row>
    <row r="851" customFormat="false" ht="15" hidden="false" customHeight="false" outlineLevel="0" collapsed="false">
      <c r="F851" s="6" t="s">
        <v>46</v>
      </c>
      <c r="G851" s="0" t="n">
        <v>5</v>
      </c>
      <c r="H851" s="0" t="s">
        <v>16</v>
      </c>
      <c r="I851" s="15" t="n">
        <v>43358.653599537</v>
      </c>
    </row>
    <row r="852" customFormat="false" ht="15" hidden="false" customHeight="false" outlineLevel="0" collapsed="false">
      <c r="F852" s="6" t="s">
        <v>41</v>
      </c>
      <c r="G852" s="0" t="n">
        <v>2</v>
      </c>
      <c r="H852" s="0" t="s">
        <v>16</v>
      </c>
      <c r="I852" s="15" t="n">
        <v>43358.6535069444</v>
      </c>
    </row>
    <row r="853" customFormat="false" ht="15" hidden="false" customHeight="false" outlineLevel="0" collapsed="false">
      <c r="F853" s="6" t="s">
        <v>57</v>
      </c>
      <c r="G853" s="0" t="n">
        <v>2</v>
      </c>
      <c r="H853" s="0" t="s">
        <v>16</v>
      </c>
      <c r="I853" s="15" t="n">
        <v>43358.6534490741</v>
      </c>
    </row>
    <row r="854" customFormat="false" ht="15" hidden="false" customHeight="false" outlineLevel="0" collapsed="false">
      <c r="F854" s="6" t="s">
        <v>110</v>
      </c>
      <c r="G854" s="0" t="n">
        <v>1</v>
      </c>
      <c r="H854" s="0" t="s">
        <v>16</v>
      </c>
      <c r="I854" s="15" t="n">
        <v>43358.6533680556</v>
      </c>
    </row>
    <row r="855" customFormat="false" ht="15" hidden="false" customHeight="false" outlineLevel="0" collapsed="false">
      <c r="F855" s="6" t="s">
        <v>106</v>
      </c>
      <c r="G855" s="0" t="n">
        <v>1</v>
      </c>
      <c r="H855" s="0" t="s">
        <v>109</v>
      </c>
      <c r="I855" s="15" t="n">
        <v>43358.6532986111</v>
      </c>
    </row>
    <row r="856" customFormat="false" ht="15" hidden="false" customHeight="false" outlineLevel="0" collapsed="false">
      <c r="F856" s="6" t="s">
        <v>29</v>
      </c>
      <c r="G856" s="0" t="n">
        <v>3</v>
      </c>
      <c r="H856" s="0" t="s">
        <v>109</v>
      </c>
      <c r="I856" s="15" t="n">
        <v>43358.6532175926</v>
      </c>
    </row>
    <row r="857" customFormat="false" ht="15" hidden="false" customHeight="false" outlineLevel="0" collapsed="false">
      <c r="F857" s="6" t="s">
        <v>77</v>
      </c>
      <c r="G857" s="0" t="n">
        <v>1</v>
      </c>
      <c r="H857" s="0" t="s">
        <v>16</v>
      </c>
      <c r="I857" s="15" t="n">
        <v>43358.6531365741</v>
      </c>
    </row>
    <row r="858" customFormat="false" ht="15" hidden="false" customHeight="false" outlineLevel="0" collapsed="false">
      <c r="F858" s="6" t="s">
        <v>50</v>
      </c>
      <c r="G858" s="0" t="n">
        <v>1</v>
      </c>
      <c r="H858" s="0" t="s">
        <v>16</v>
      </c>
      <c r="I858" s="15" t="n">
        <v>43358.6530208333</v>
      </c>
    </row>
    <row r="859" customFormat="false" ht="15" hidden="false" customHeight="false" outlineLevel="0" collapsed="false">
      <c r="F859" s="6" t="s">
        <v>34</v>
      </c>
      <c r="G859" s="0" t="n">
        <v>4</v>
      </c>
      <c r="H859" s="0" t="s">
        <v>109</v>
      </c>
      <c r="I859" s="15" t="n">
        <v>43358.652962963</v>
      </c>
    </row>
    <row r="860" customFormat="false" ht="15" hidden="false" customHeight="false" outlineLevel="0" collapsed="false">
      <c r="F860" s="6" t="s">
        <v>50</v>
      </c>
      <c r="G860" s="0" t="n">
        <v>1</v>
      </c>
      <c r="H860" s="0" t="s">
        <v>79</v>
      </c>
      <c r="I860" s="15" t="n">
        <v>43358.6529282407</v>
      </c>
    </row>
    <row r="861" customFormat="false" ht="15" hidden="false" customHeight="false" outlineLevel="0" collapsed="false">
      <c r="F861" s="6" t="s">
        <v>15</v>
      </c>
      <c r="G861" s="0" t="n">
        <v>2</v>
      </c>
      <c r="H861" s="0" t="s">
        <v>16</v>
      </c>
      <c r="I861" s="15" t="n">
        <v>43358.6529050926</v>
      </c>
    </row>
    <row r="862" customFormat="false" ht="15" hidden="false" customHeight="false" outlineLevel="0" collapsed="false">
      <c r="F862" s="6" t="s">
        <v>56</v>
      </c>
      <c r="G862" s="0" t="n">
        <v>5</v>
      </c>
      <c r="H862" s="0" t="s">
        <v>79</v>
      </c>
      <c r="I862" s="15" t="n">
        <v>43358.6528356482</v>
      </c>
    </row>
    <row r="863" customFormat="false" ht="15" hidden="false" customHeight="false" outlineLevel="0" collapsed="false">
      <c r="F863" s="6" t="s">
        <v>15</v>
      </c>
      <c r="G863" s="0" t="n">
        <v>1</v>
      </c>
      <c r="H863" s="0" t="s">
        <v>109</v>
      </c>
      <c r="I863" s="15" t="n">
        <v>43358.6527893519</v>
      </c>
    </row>
    <row r="864" customFormat="false" ht="15" hidden="false" customHeight="false" outlineLevel="0" collapsed="false">
      <c r="F864" s="6" t="s">
        <v>175</v>
      </c>
      <c r="G864" s="0" t="n">
        <v>1</v>
      </c>
      <c r="H864" s="0" t="s">
        <v>16</v>
      </c>
      <c r="I864" s="15" t="n">
        <v>43358.6527777778</v>
      </c>
    </row>
    <row r="865" customFormat="false" ht="15" hidden="false" customHeight="false" outlineLevel="0" collapsed="false">
      <c r="F865" s="6" t="s">
        <v>31</v>
      </c>
      <c r="G865" s="0" t="n">
        <v>43</v>
      </c>
      <c r="H865" s="0" t="s">
        <v>79</v>
      </c>
      <c r="I865" s="15" t="n">
        <v>43358.6527083333</v>
      </c>
    </row>
    <row r="866" customFormat="false" ht="15" hidden="false" customHeight="false" outlineLevel="0" collapsed="false">
      <c r="F866" s="6" t="s">
        <v>76</v>
      </c>
      <c r="G866" s="0" t="n">
        <v>3</v>
      </c>
      <c r="H866" s="0" t="s">
        <v>16</v>
      </c>
      <c r="I866" s="15" t="n">
        <v>43358.6526967593</v>
      </c>
    </row>
    <row r="867" customFormat="false" ht="15" hidden="false" customHeight="false" outlineLevel="0" collapsed="false">
      <c r="F867" s="6" t="s">
        <v>19</v>
      </c>
      <c r="G867" s="0" t="n">
        <v>1</v>
      </c>
      <c r="H867" s="0" t="s">
        <v>79</v>
      </c>
      <c r="I867" s="15" t="n">
        <v>43358.6526157407</v>
      </c>
    </row>
    <row r="868" customFormat="false" ht="15" hidden="false" customHeight="false" outlineLevel="0" collapsed="false">
      <c r="F868" s="6" t="s">
        <v>25</v>
      </c>
      <c r="G868" s="0" t="n">
        <v>8</v>
      </c>
      <c r="H868" s="0" t="s">
        <v>16</v>
      </c>
      <c r="I868" s="15" t="n">
        <v>43358.6525694444</v>
      </c>
    </row>
    <row r="869" customFormat="false" ht="15" hidden="false" customHeight="false" outlineLevel="0" collapsed="false">
      <c r="F869" s="6" t="s">
        <v>37</v>
      </c>
      <c r="G869" s="0" t="n">
        <v>2</v>
      </c>
      <c r="H869" s="0" t="s">
        <v>109</v>
      </c>
      <c r="I869" s="15" t="n">
        <v>43358.6524537037</v>
      </c>
    </row>
    <row r="870" customFormat="false" ht="15" hidden="false" customHeight="false" outlineLevel="0" collapsed="false">
      <c r="F870" s="6" t="s">
        <v>25</v>
      </c>
      <c r="G870" s="0" t="n">
        <v>10</v>
      </c>
      <c r="H870" s="0" t="s">
        <v>109</v>
      </c>
      <c r="I870" s="15" t="n">
        <v>43358.6523842593</v>
      </c>
    </row>
    <row r="871" customFormat="false" ht="15" hidden="false" customHeight="false" outlineLevel="0" collapsed="false">
      <c r="F871" s="6" t="s">
        <v>27</v>
      </c>
      <c r="G871" s="0" t="n">
        <v>1</v>
      </c>
      <c r="H871" s="0" t="s">
        <v>79</v>
      </c>
      <c r="I871" s="15" t="n">
        <v>43358.652349537</v>
      </c>
    </row>
    <row r="872" customFormat="false" ht="15" hidden="false" customHeight="false" outlineLevel="0" collapsed="false">
      <c r="F872" s="6" t="s">
        <v>176</v>
      </c>
      <c r="G872" s="0" t="n">
        <v>1</v>
      </c>
      <c r="H872" s="0" t="s">
        <v>79</v>
      </c>
      <c r="I872" s="15" t="n">
        <v>43358.6522916667</v>
      </c>
    </row>
    <row r="873" customFormat="false" ht="15" hidden="false" customHeight="false" outlineLevel="0" collapsed="false">
      <c r="F873" s="6" t="s">
        <v>177</v>
      </c>
      <c r="G873" s="0" t="n">
        <v>1</v>
      </c>
      <c r="H873" s="0" t="s">
        <v>109</v>
      </c>
      <c r="I873" s="15" t="n">
        <v>43358.6520486111</v>
      </c>
    </row>
    <row r="874" customFormat="false" ht="15" hidden="false" customHeight="false" outlineLevel="0" collapsed="false">
      <c r="F874" s="6" t="s">
        <v>34</v>
      </c>
      <c r="G874" s="0" t="n">
        <v>11</v>
      </c>
      <c r="H874" s="0" t="s">
        <v>16</v>
      </c>
      <c r="I874" s="15" t="n">
        <v>43358.6520486111</v>
      </c>
    </row>
    <row r="875" customFormat="false" ht="15" hidden="false" customHeight="false" outlineLevel="0" collapsed="false">
      <c r="F875" s="6" t="s">
        <v>21</v>
      </c>
      <c r="G875" s="0" t="n">
        <v>13</v>
      </c>
      <c r="H875" s="0" t="s">
        <v>16</v>
      </c>
      <c r="I875" s="15" t="n">
        <v>43358.6519675926</v>
      </c>
    </row>
    <row r="876" customFormat="false" ht="15" hidden="false" customHeight="false" outlineLevel="0" collapsed="false">
      <c r="F876" s="6" t="s">
        <v>25</v>
      </c>
      <c r="G876" s="0" t="n">
        <v>10</v>
      </c>
      <c r="H876" s="0" t="s">
        <v>16</v>
      </c>
      <c r="I876" s="15" t="n">
        <v>43358.6517592593</v>
      </c>
    </row>
    <row r="877" customFormat="false" ht="15" hidden="false" customHeight="false" outlineLevel="0" collapsed="false">
      <c r="F877" s="6" t="s">
        <v>167</v>
      </c>
      <c r="G877" s="0" t="n">
        <v>1</v>
      </c>
      <c r="H877" s="0" t="s">
        <v>109</v>
      </c>
      <c r="I877" s="15" t="n">
        <v>43358.6514699074</v>
      </c>
    </row>
    <row r="878" customFormat="false" ht="15" hidden="false" customHeight="false" outlineLevel="0" collapsed="false">
      <c r="F878" s="6" t="s">
        <v>57</v>
      </c>
      <c r="G878" s="0" t="n">
        <v>7</v>
      </c>
      <c r="H878" s="0" t="s">
        <v>16</v>
      </c>
      <c r="I878" s="15" t="n">
        <v>43358.6514583333</v>
      </c>
    </row>
    <row r="879" customFormat="false" ht="15" hidden="false" customHeight="false" outlineLevel="0" collapsed="false">
      <c r="F879" s="6" t="s">
        <v>80</v>
      </c>
      <c r="G879" s="0" t="n">
        <v>1</v>
      </c>
      <c r="H879" s="0" t="s">
        <v>109</v>
      </c>
      <c r="I879" s="15" t="n">
        <v>43358.651400463</v>
      </c>
    </row>
    <row r="880" customFormat="false" ht="15" hidden="false" customHeight="false" outlineLevel="0" collapsed="false">
      <c r="F880" s="6" t="s">
        <v>116</v>
      </c>
      <c r="G880" s="0" t="n">
        <v>1</v>
      </c>
      <c r="H880" s="0" t="s">
        <v>16</v>
      </c>
      <c r="I880" s="15" t="n">
        <v>43358.6513657407</v>
      </c>
    </row>
    <row r="881" customFormat="false" ht="15" hidden="false" customHeight="false" outlineLevel="0" collapsed="false">
      <c r="F881" s="6" t="s">
        <v>88</v>
      </c>
      <c r="G881" s="0" t="n">
        <v>1</v>
      </c>
      <c r="H881" s="0" t="s">
        <v>109</v>
      </c>
      <c r="I881" s="15" t="n">
        <v>43358.6513194444</v>
      </c>
    </row>
    <row r="882" customFormat="false" ht="15" hidden="false" customHeight="false" outlineLevel="0" collapsed="false">
      <c r="F882" s="6" t="s">
        <v>21</v>
      </c>
      <c r="G882" s="0" t="n">
        <v>6</v>
      </c>
      <c r="H882" s="0" t="s">
        <v>109</v>
      </c>
      <c r="I882" s="15" t="n">
        <v>43358.6512037037</v>
      </c>
    </row>
    <row r="883" customFormat="false" ht="15" hidden="false" customHeight="false" outlineLevel="0" collapsed="false">
      <c r="F883" s="6" t="s">
        <v>31</v>
      </c>
      <c r="G883" s="0" t="n">
        <v>17</v>
      </c>
      <c r="H883" s="0" t="s">
        <v>16</v>
      </c>
      <c r="I883" s="15" t="n">
        <v>43358.6511805556</v>
      </c>
    </row>
    <row r="884" customFormat="false" ht="15" hidden="false" customHeight="false" outlineLevel="0" collapsed="false">
      <c r="F884" s="6" t="s">
        <v>107</v>
      </c>
      <c r="G884" s="0" t="n">
        <v>6</v>
      </c>
      <c r="H884" s="0" t="s">
        <v>79</v>
      </c>
      <c r="I884" s="15" t="n">
        <v>43358.651087963</v>
      </c>
    </row>
    <row r="885" customFormat="false" ht="15" hidden="false" customHeight="false" outlineLevel="0" collapsed="false">
      <c r="F885" s="6" t="s">
        <v>57</v>
      </c>
      <c r="G885" s="0" t="n">
        <v>6</v>
      </c>
      <c r="H885" s="0" t="s">
        <v>79</v>
      </c>
      <c r="I885" s="15" t="n">
        <v>43358.6510185185</v>
      </c>
    </row>
    <row r="886" customFormat="false" ht="15" hidden="false" customHeight="false" outlineLevel="0" collapsed="false">
      <c r="F886" s="6" t="s">
        <v>80</v>
      </c>
      <c r="G886" s="0" t="n">
        <v>1</v>
      </c>
      <c r="H886" s="0" t="s">
        <v>38</v>
      </c>
      <c r="I886" s="15" t="n">
        <v>43358.6509490741</v>
      </c>
    </row>
    <row r="887" customFormat="false" ht="15" hidden="false" customHeight="false" outlineLevel="0" collapsed="false">
      <c r="F887" s="6" t="s">
        <v>129</v>
      </c>
      <c r="G887" s="0" t="n">
        <v>1</v>
      </c>
      <c r="H887" s="0" t="s">
        <v>79</v>
      </c>
      <c r="I887" s="15" t="n">
        <v>43358.6509143519</v>
      </c>
    </row>
    <row r="888" customFormat="false" ht="15" hidden="false" customHeight="false" outlineLevel="0" collapsed="false">
      <c r="F888" s="6" t="s">
        <v>88</v>
      </c>
      <c r="G888" s="0" t="n">
        <v>2</v>
      </c>
      <c r="H888" s="0" t="s">
        <v>38</v>
      </c>
      <c r="I888" s="15" t="n">
        <v>43358.6508564815</v>
      </c>
    </row>
    <row r="889" customFormat="false" ht="15" hidden="false" customHeight="false" outlineLevel="0" collapsed="false">
      <c r="F889" s="6" t="s">
        <v>32</v>
      </c>
      <c r="G889" s="0" t="n">
        <v>18</v>
      </c>
      <c r="H889" s="0" t="s">
        <v>79</v>
      </c>
      <c r="I889" s="15" t="n">
        <v>43358.6508333333</v>
      </c>
    </row>
    <row r="890" customFormat="false" ht="15" hidden="false" customHeight="false" outlineLevel="0" collapsed="false">
      <c r="F890" s="6" t="s">
        <v>35</v>
      </c>
      <c r="G890" s="0" t="n">
        <v>2</v>
      </c>
      <c r="H890" s="0" t="s">
        <v>38</v>
      </c>
      <c r="I890" s="15" t="n">
        <v>43358.6505324074</v>
      </c>
    </row>
    <row r="891" customFormat="false" ht="15" hidden="false" customHeight="false" outlineLevel="0" collapsed="false">
      <c r="F891" s="6" t="s">
        <v>121</v>
      </c>
      <c r="G891" s="0" t="n">
        <v>1</v>
      </c>
      <c r="H891" s="0" t="s">
        <v>38</v>
      </c>
      <c r="I891" s="15" t="n">
        <v>43358.6504513889</v>
      </c>
    </row>
    <row r="892" customFormat="false" ht="15" hidden="false" customHeight="false" outlineLevel="0" collapsed="false">
      <c r="F892" s="6" t="s">
        <v>121</v>
      </c>
      <c r="G892" s="0" t="n">
        <v>1</v>
      </c>
      <c r="H892" s="0" t="s">
        <v>38</v>
      </c>
      <c r="I892" s="15" t="n">
        <v>43358.6503356482</v>
      </c>
    </row>
    <row r="893" customFormat="false" ht="15" hidden="false" customHeight="false" outlineLevel="0" collapsed="false">
      <c r="F893" s="6" t="s">
        <v>106</v>
      </c>
      <c r="G893" s="0" t="n">
        <v>1</v>
      </c>
      <c r="H893" s="0" t="s">
        <v>79</v>
      </c>
      <c r="I893" s="15" t="n">
        <v>43358.650162037</v>
      </c>
    </row>
    <row r="894" customFormat="false" ht="15" hidden="false" customHeight="false" outlineLevel="0" collapsed="false">
      <c r="F894" s="6" t="s">
        <v>178</v>
      </c>
      <c r="G894" s="0" t="n">
        <v>1</v>
      </c>
      <c r="H894" s="0" t="s">
        <v>79</v>
      </c>
      <c r="I894" s="15" t="n">
        <v>43358.6500810185</v>
      </c>
    </row>
    <row r="895" customFormat="false" ht="15" hidden="false" customHeight="false" outlineLevel="0" collapsed="false">
      <c r="F895" s="6" t="s">
        <v>71</v>
      </c>
      <c r="G895" s="0" t="n">
        <v>3</v>
      </c>
      <c r="H895" s="0" t="s">
        <v>79</v>
      </c>
      <c r="I895" s="15" t="n">
        <v>43358.6499421296</v>
      </c>
    </row>
    <row r="896" customFormat="false" ht="15" hidden="false" customHeight="false" outlineLevel="0" collapsed="false">
      <c r="F896" s="6" t="s">
        <v>179</v>
      </c>
      <c r="G896" s="0" t="n">
        <v>1</v>
      </c>
      <c r="H896" s="0" t="s">
        <v>38</v>
      </c>
      <c r="I896" s="15" t="n">
        <v>43358.6496875</v>
      </c>
    </row>
    <row r="897" customFormat="false" ht="15" hidden="false" customHeight="false" outlineLevel="0" collapsed="false">
      <c r="F897" s="6" t="s">
        <v>96</v>
      </c>
      <c r="G897" s="0" t="n">
        <v>1</v>
      </c>
      <c r="H897" s="0" t="s">
        <v>79</v>
      </c>
      <c r="I897" s="15" t="n">
        <v>43358.6496643519</v>
      </c>
    </row>
    <row r="898" customFormat="false" ht="15" hidden="false" customHeight="false" outlineLevel="0" collapsed="false">
      <c r="F898" s="6" t="s">
        <v>114</v>
      </c>
      <c r="G898" s="0" t="n">
        <v>3</v>
      </c>
      <c r="H898" s="0" t="s">
        <v>38</v>
      </c>
      <c r="I898" s="15" t="n">
        <v>43358.6494560185</v>
      </c>
    </row>
    <row r="899" customFormat="false" ht="15" hidden="false" customHeight="false" outlineLevel="0" collapsed="false">
      <c r="F899" s="6" t="s">
        <v>80</v>
      </c>
      <c r="G899" s="0" t="n">
        <v>1</v>
      </c>
      <c r="H899" s="0" t="s">
        <v>79</v>
      </c>
      <c r="I899" s="15" t="n">
        <v>43358.6494444444</v>
      </c>
    </row>
    <row r="900" customFormat="false" ht="15" hidden="false" customHeight="false" outlineLevel="0" collapsed="false">
      <c r="F900" s="6" t="s">
        <v>59</v>
      </c>
      <c r="G900" s="0" t="n">
        <v>1</v>
      </c>
      <c r="H900" s="0" t="s">
        <v>79</v>
      </c>
      <c r="I900" s="15" t="n">
        <v>43358.6493634259</v>
      </c>
    </row>
    <row r="901" customFormat="false" ht="15" hidden="false" customHeight="false" outlineLevel="0" collapsed="false">
      <c r="F901" s="6" t="s">
        <v>54</v>
      </c>
      <c r="G901" s="0" t="n">
        <v>1</v>
      </c>
      <c r="H901" s="0" t="s">
        <v>38</v>
      </c>
      <c r="I901" s="15" t="n">
        <v>43358.6492939815</v>
      </c>
    </row>
    <row r="902" customFormat="false" ht="15" hidden="false" customHeight="false" outlineLevel="0" collapsed="false">
      <c r="F902" s="6" t="s">
        <v>21</v>
      </c>
      <c r="G902" s="0" t="n">
        <v>15</v>
      </c>
      <c r="H902" s="0" t="s">
        <v>79</v>
      </c>
      <c r="I902" s="15" t="n">
        <v>43358.6492592593</v>
      </c>
    </row>
    <row r="903" customFormat="false" ht="15" hidden="false" customHeight="false" outlineLevel="0" collapsed="false">
      <c r="F903" s="6" t="s">
        <v>27</v>
      </c>
      <c r="G903" s="0" t="n">
        <v>1</v>
      </c>
      <c r="H903" s="0" t="s">
        <v>38</v>
      </c>
      <c r="I903" s="15" t="n">
        <v>43358.6492013889</v>
      </c>
    </row>
    <row r="904" customFormat="false" ht="15" hidden="false" customHeight="false" outlineLevel="0" collapsed="false">
      <c r="F904" s="6" t="s">
        <v>29</v>
      </c>
      <c r="G904" s="0" t="n">
        <v>3</v>
      </c>
      <c r="H904" s="0" t="s">
        <v>38</v>
      </c>
      <c r="I904" s="15" t="n">
        <v>43358.6490856481</v>
      </c>
    </row>
    <row r="905" customFormat="false" ht="15" hidden="false" customHeight="false" outlineLevel="0" collapsed="false">
      <c r="F905" s="6" t="s">
        <v>72</v>
      </c>
      <c r="G905" s="0" t="n">
        <v>4</v>
      </c>
      <c r="H905" s="0" t="s">
        <v>79</v>
      </c>
      <c r="I905" s="15" t="n">
        <v>43358.6489699074</v>
      </c>
    </row>
    <row r="906" customFormat="false" ht="15" hidden="false" customHeight="false" outlineLevel="0" collapsed="false">
      <c r="F906" s="6" t="s">
        <v>37</v>
      </c>
      <c r="G906" s="0" t="n">
        <v>1</v>
      </c>
      <c r="H906" s="0" t="s">
        <v>79</v>
      </c>
      <c r="I906" s="15" t="n">
        <v>43358.6489236111</v>
      </c>
    </row>
    <row r="907" customFormat="false" ht="15" hidden="false" customHeight="false" outlineLevel="0" collapsed="false">
      <c r="F907" s="6" t="s">
        <v>35</v>
      </c>
      <c r="G907" s="0" t="n">
        <v>2</v>
      </c>
      <c r="H907" s="0" t="s">
        <v>79</v>
      </c>
      <c r="I907" s="15" t="n">
        <v>43358.6487962963</v>
      </c>
    </row>
    <row r="908" customFormat="false" ht="15" hidden="false" customHeight="false" outlineLevel="0" collapsed="false">
      <c r="F908" s="6" t="s">
        <v>18</v>
      </c>
      <c r="G908" s="0" t="n">
        <v>1</v>
      </c>
      <c r="H908" s="0" t="s">
        <v>79</v>
      </c>
      <c r="I908" s="15" t="n">
        <v>43358.6487384259</v>
      </c>
    </row>
    <row r="909" customFormat="false" ht="15" hidden="false" customHeight="false" outlineLevel="0" collapsed="false">
      <c r="F909" s="6" t="s">
        <v>15</v>
      </c>
      <c r="G909" s="0" t="n">
        <v>4</v>
      </c>
      <c r="H909" s="0" t="s">
        <v>79</v>
      </c>
      <c r="I909" s="15" t="n">
        <v>43358.6486805556</v>
      </c>
    </row>
    <row r="910" customFormat="false" ht="15" hidden="false" customHeight="false" outlineLevel="0" collapsed="false">
      <c r="F910" s="6" t="s">
        <v>36</v>
      </c>
      <c r="G910" s="0" t="n">
        <v>2</v>
      </c>
      <c r="H910" s="0" t="s">
        <v>79</v>
      </c>
      <c r="I910" s="15" t="n">
        <v>43358.648599537</v>
      </c>
    </row>
    <row r="911" customFormat="false" ht="15" hidden="false" customHeight="false" outlineLevel="0" collapsed="false">
      <c r="F911" s="6" t="s">
        <v>26</v>
      </c>
      <c r="G911" s="0" t="n">
        <v>4</v>
      </c>
      <c r="H911" s="0" t="s">
        <v>79</v>
      </c>
      <c r="I911" s="15" t="n">
        <v>43358.6485069444</v>
      </c>
    </row>
    <row r="912" customFormat="false" ht="15" hidden="false" customHeight="false" outlineLevel="0" collapsed="false">
      <c r="F912" s="6" t="s">
        <v>34</v>
      </c>
      <c r="G912" s="0" t="n">
        <v>14</v>
      </c>
      <c r="H912" s="0" t="s">
        <v>79</v>
      </c>
      <c r="I912" s="15" t="n">
        <v>43358.6484027778</v>
      </c>
    </row>
    <row r="913" customFormat="false" ht="15" hidden="false" customHeight="false" outlineLevel="0" collapsed="false">
      <c r="F913" s="6" t="s">
        <v>173</v>
      </c>
      <c r="G913" s="0" t="n">
        <v>1</v>
      </c>
      <c r="H913" s="0" t="s">
        <v>79</v>
      </c>
      <c r="I913" s="15" t="n">
        <v>43358.648287037</v>
      </c>
    </row>
    <row r="914" customFormat="false" ht="15" hidden="false" customHeight="false" outlineLevel="0" collapsed="false">
      <c r="F914" s="6" t="s">
        <v>37</v>
      </c>
      <c r="G914" s="0" t="n">
        <v>2</v>
      </c>
      <c r="H914" s="0" t="s">
        <v>38</v>
      </c>
      <c r="I914" s="15" t="n">
        <v>43358.6481365741</v>
      </c>
    </row>
    <row r="915" customFormat="false" ht="15" hidden="false" customHeight="false" outlineLevel="0" collapsed="false">
      <c r="F915" s="6" t="s">
        <v>41</v>
      </c>
      <c r="G915" s="0" t="n">
        <v>3</v>
      </c>
      <c r="H915" s="0" t="s">
        <v>79</v>
      </c>
      <c r="I915" s="15" t="n">
        <v>43358.6481018519</v>
      </c>
    </row>
    <row r="916" customFormat="false" ht="15" hidden="false" customHeight="false" outlineLevel="0" collapsed="false">
      <c r="F916" s="6" t="s">
        <v>34</v>
      </c>
      <c r="G916" s="0" t="n">
        <v>1</v>
      </c>
      <c r="H916" s="0" t="s">
        <v>38</v>
      </c>
      <c r="I916" s="15" t="n">
        <v>43358.6479976852</v>
      </c>
    </row>
    <row r="917" customFormat="false" ht="15" hidden="false" customHeight="false" outlineLevel="0" collapsed="false">
      <c r="F917" s="6" t="s">
        <v>41</v>
      </c>
      <c r="G917" s="0" t="n">
        <v>13</v>
      </c>
      <c r="H917" s="0" t="s">
        <v>79</v>
      </c>
      <c r="I917" s="15" t="n">
        <v>43358.6476967593</v>
      </c>
    </row>
    <row r="918" customFormat="false" ht="15" hidden="false" customHeight="false" outlineLevel="0" collapsed="false">
      <c r="F918" s="6" t="s">
        <v>46</v>
      </c>
      <c r="G918" s="0" t="n">
        <v>8</v>
      </c>
      <c r="H918" s="0" t="s">
        <v>38</v>
      </c>
      <c r="I918" s="15" t="n">
        <v>43358.6472916667</v>
      </c>
    </row>
    <row r="919" customFormat="false" ht="15" hidden="false" customHeight="false" outlineLevel="0" collapsed="false">
      <c r="F919" s="6" t="s">
        <v>26</v>
      </c>
      <c r="G919" s="0" t="n">
        <v>5</v>
      </c>
      <c r="H919" s="0" t="s">
        <v>38</v>
      </c>
      <c r="I919" s="15" t="n">
        <v>43358.6472106482</v>
      </c>
    </row>
    <row r="920" customFormat="false" ht="15" hidden="false" customHeight="false" outlineLevel="0" collapsed="false">
      <c r="F920" s="6" t="s">
        <v>15</v>
      </c>
      <c r="G920" s="0" t="n">
        <v>6</v>
      </c>
      <c r="H920" s="0" t="s">
        <v>38</v>
      </c>
      <c r="I920" s="15" t="n">
        <v>43358.647025463</v>
      </c>
    </row>
    <row r="921" customFormat="false" ht="15" hidden="false" customHeight="false" outlineLevel="0" collapsed="false">
      <c r="F921" s="6" t="s">
        <v>25</v>
      </c>
      <c r="G921" s="0" t="n">
        <v>27</v>
      </c>
      <c r="H921" s="0" t="s">
        <v>79</v>
      </c>
      <c r="I921" s="15" t="n">
        <v>43358.6470138889</v>
      </c>
    </row>
    <row r="922" customFormat="false" ht="15" hidden="false" customHeight="false" outlineLevel="0" collapsed="false">
      <c r="F922" s="6" t="s">
        <v>145</v>
      </c>
      <c r="G922" s="0" t="n">
        <v>1</v>
      </c>
      <c r="H922" s="0" t="s">
        <v>38</v>
      </c>
      <c r="I922" s="15" t="n">
        <v>43358.6469097222</v>
      </c>
    </row>
    <row r="923" customFormat="false" ht="15" hidden="false" customHeight="false" outlineLevel="0" collapsed="false">
      <c r="F923" s="6" t="s">
        <v>107</v>
      </c>
      <c r="G923" s="0" t="n">
        <v>2</v>
      </c>
      <c r="H923" s="0" t="s">
        <v>38</v>
      </c>
      <c r="I923" s="15" t="n">
        <v>43358.6468055556</v>
      </c>
    </row>
    <row r="924" customFormat="false" ht="15" hidden="false" customHeight="false" outlineLevel="0" collapsed="false">
      <c r="F924" s="6" t="s">
        <v>107</v>
      </c>
      <c r="G924" s="0" t="n">
        <v>1</v>
      </c>
      <c r="H924" s="0" t="s">
        <v>38</v>
      </c>
      <c r="I924" s="15" t="n">
        <v>43358.6466782407</v>
      </c>
    </row>
    <row r="925" customFormat="false" ht="15" hidden="false" customHeight="false" outlineLevel="0" collapsed="false">
      <c r="F925" s="6" t="s">
        <v>90</v>
      </c>
      <c r="G925" s="0" t="n">
        <v>1</v>
      </c>
      <c r="H925" s="0" t="s">
        <v>103</v>
      </c>
      <c r="I925" s="15" t="n">
        <v>43358.6465046296</v>
      </c>
    </row>
    <row r="926" customFormat="false" ht="15" hidden="false" customHeight="false" outlineLevel="0" collapsed="false">
      <c r="F926" s="6" t="s">
        <v>90</v>
      </c>
      <c r="G926" s="0" t="n">
        <v>1</v>
      </c>
      <c r="H926" s="0" t="s">
        <v>103</v>
      </c>
      <c r="I926" s="15" t="n">
        <v>43358.6464699074</v>
      </c>
    </row>
    <row r="927" customFormat="false" ht="15" hidden="false" customHeight="false" outlineLevel="0" collapsed="false">
      <c r="F927" s="6" t="s">
        <v>71</v>
      </c>
      <c r="G927" s="0" t="n">
        <v>1</v>
      </c>
      <c r="H927" s="0" t="s">
        <v>103</v>
      </c>
      <c r="I927" s="15" t="n">
        <v>43358.6463657407</v>
      </c>
    </row>
    <row r="928" customFormat="false" ht="15" hidden="false" customHeight="false" outlineLevel="0" collapsed="false">
      <c r="F928" s="6" t="s">
        <v>57</v>
      </c>
      <c r="G928" s="0" t="n">
        <v>1</v>
      </c>
      <c r="H928" s="0" t="s">
        <v>38</v>
      </c>
      <c r="I928" s="15" t="n">
        <v>43358.6463194444</v>
      </c>
    </row>
    <row r="929" customFormat="false" ht="15" hidden="false" customHeight="false" outlineLevel="0" collapsed="false">
      <c r="F929" s="6" t="s">
        <v>178</v>
      </c>
      <c r="G929" s="0" t="n">
        <v>1</v>
      </c>
      <c r="H929" s="0" t="s">
        <v>103</v>
      </c>
      <c r="I929" s="15" t="n">
        <v>43358.6462615741</v>
      </c>
    </row>
    <row r="930" customFormat="false" ht="15" hidden="false" customHeight="false" outlineLevel="0" collapsed="false">
      <c r="F930" s="6" t="s">
        <v>32</v>
      </c>
      <c r="G930" s="0" t="n">
        <v>4</v>
      </c>
      <c r="H930" s="0" t="s">
        <v>38</v>
      </c>
      <c r="I930" s="15" t="n">
        <v>43358.6462384259</v>
      </c>
    </row>
    <row r="931" customFormat="false" ht="15" hidden="false" customHeight="false" outlineLevel="0" collapsed="false">
      <c r="F931" s="6" t="s">
        <v>70</v>
      </c>
      <c r="G931" s="0" t="n">
        <v>1</v>
      </c>
      <c r="H931" s="0" t="s">
        <v>103</v>
      </c>
      <c r="I931" s="15" t="n">
        <v>43358.6462037037</v>
      </c>
    </row>
    <row r="932" customFormat="false" ht="15" hidden="false" customHeight="false" outlineLevel="0" collapsed="false">
      <c r="F932" s="6" t="s">
        <v>70</v>
      </c>
      <c r="G932" s="0" t="n">
        <v>1</v>
      </c>
      <c r="H932" s="0" t="s">
        <v>103</v>
      </c>
      <c r="I932" s="15" t="n">
        <v>43358.6461689815</v>
      </c>
    </row>
    <row r="933" customFormat="false" ht="15" hidden="false" customHeight="false" outlineLevel="0" collapsed="false">
      <c r="F933" s="6" t="s">
        <v>110</v>
      </c>
      <c r="G933" s="0" t="n">
        <v>1</v>
      </c>
      <c r="H933" s="0" t="s">
        <v>103</v>
      </c>
      <c r="I933" s="15" t="n">
        <v>43358.6460763889</v>
      </c>
    </row>
    <row r="934" customFormat="false" ht="15" hidden="false" customHeight="false" outlineLevel="0" collapsed="false">
      <c r="F934" s="6" t="s">
        <v>25</v>
      </c>
      <c r="G934" s="0" t="n">
        <v>1</v>
      </c>
      <c r="H934" s="0" t="s">
        <v>103</v>
      </c>
      <c r="I934" s="15" t="n">
        <v>43358.6459143519</v>
      </c>
    </row>
    <row r="935" customFormat="false" ht="15" hidden="false" customHeight="false" outlineLevel="0" collapsed="false">
      <c r="F935" s="6" t="s">
        <v>121</v>
      </c>
      <c r="G935" s="0" t="n">
        <v>1</v>
      </c>
      <c r="H935" s="0" t="s">
        <v>103</v>
      </c>
      <c r="I935" s="15" t="n">
        <v>43358.645775463</v>
      </c>
    </row>
    <row r="936" customFormat="false" ht="15" hidden="false" customHeight="false" outlineLevel="0" collapsed="false">
      <c r="F936" s="6" t="s">
        <v>29</v>
      </c>
      <c r="G936" s="0" t="n">
        <v>4</v>
      </c>
      <c r="H936" s="0" t="s">
        <v>103</v>
      </c>
      <c r="I936" s="15" t="n">
        <v>43358.6456828704</v>
      </c>
    </row>
    <row r="937" customFormat="false" ht="15" hidden="false" customHeight="false" outlineLevel="0" collapsed="false">
      <c r="F937" s="6" t="s">
        <v>34</v>
      </c>
      <c r="G937" s="0" t="n">
        <v>11</v>
      </c>
      <c r="H937" s="0" t="s">
        <v>103</v>
      </c>
      <c r="I937" s="15" t="n">
        <v>43358.6455092593</v>
      </c>
    </row>
    <row r="938" customFormat="false" ht="15" hidden="false" customHeight="false" outlineLevel="0" collapsed="false">
      <c r="F938" s="6" t="s">
        <v>180</v>
      </c>
      <c r="G938" s="0" t="n">
        <v>1</v>
      </c>
      <c r="H938" s="0" t="s">
        <v>103</v>
      </c>
      <c r="I938" s="15" t="n">
        <v>43358.6454050926</v>
      </c>
    </row>
    <row r="939" customFormat="false" ht="15" hidden="false" customHeight="false" outlineLevel="0" collapsed="false">
      <c r="F939" s="6" t="s">
        <v>25</v>
      </c>
      <c r="G939" s="0" t="n">
        <v>7</v>
      </c>
      <c r="H939" s="0" t="s">
        <v>38</v>
      </c>
      <c r="I939" s="15" t="n">
        <v>43358.6452083333</v>
      </c>
    </row>
    <row r="940" customFormat="false" ht="15" hidden="false" customHeight="false" outlineLevel="0" collapsed="false">
      <c r="F940" s="6" t="s">
        <v>41</v>
      </c>
      <c r="G940" s="0" t="n">
        <v>11</v>
      </c>
      <c r="H940" s="0" t="s">
        <v>38</v>
      </c>
      <c r="I940" s="15" t="n">
        <v>43358.6449537037</v>
      </c>
    </row>
    <row r="941" customFormat="false" ht="15" hidden="false" customHeight="false" outlineLevel="0" collapsed="false">
      <c r="F941" s="6" t="s">
        <v>15</v>
      </c>
      <c r="G941" s="0" t="n">
        <v>5</v>
      </c>
      <c r="H941" s="0" t="s">
        <v>103</v>
      </c>
      <c r="I941" s="15" t="n">
        <v>43358.6448958333</v>
      </c>
    </row>
    <row r="942" customFormat="false" ht="15" hidden="false" customHeight="false" outlineLevel="0" collapsed="false">
      <c r="F942" s="6" t="s">
        <v>77</v>
      </c>
      <c r="G942" s="0" t="n">
        <v>2</v>
      </c>
      <c r="H942" s="0" t="s">
        <v>103</v>
      </c>
      <c r="I942" s="15" t="n">
        <v>43358.6447916667</v>
      </c>
    </row>
    <row r="943" customFormat="false" ht="15" hidden="false" customHeight="false" outlineLevel="0" collapsed="false">
      <c r="F943" s="6" t="s">
        <v>18</v>
      </c>
      <c r="G943" s="0" t="n">
        <v>1</v>
      </c>
      <c r="H943" s="0" t="s">
        <v>103</v>
      </c>
      <c r="I943" s="15" t="n">
        <v>43358.6447106481</v>
      </c>
    </row>
    <row r="944" customFormat="false" ht="15" hidden="false" customHeight="false" outlineLevel="0" collapsed="false">
      <c r="F944" s="6" t="s">
        <v>88</v>
      </c>
      <c r="G944" s="0" t="n">
        <v>2</v>
      </c>
      <c r="H944" s="0" t="s">
        <v>103</v>
      </c>
      <c r="I944" s="15" t="n">
        <v>43358.6445601852</v>
      </c>
    </row>
    <row r="945" customFormat="false" ht="15" hidden="false" customHeight="false" outlineLevel="0" collapsed="false">
      <c r="F945" s="6" t="s">
        <v>80</v>
      </c>
      <c r="G945" s="0" t="n">
        <v>4</v>
      </c>
      <c r="H945" s="0" t="s">
        <v>103</v>
      </c>
      <c r="I945" s="15" t="n">
        <v>43358.6443287037</v>
      </c>
    </row>
    <row r="946" customFormat="false" ht="15" hidden="false" customHeight="false" outlineLevel="0" collapsed="false">
      <c r="F946" s="6" t="s">
        <v>88</v>
      </c>
      <c r="G946" s="0" t="n">
        <v>3</v>
      </c>
      <c r="H946" s="0" t="s">
        <v>103</v>
      </c>
      <c r="I946" s="15" t="n">
        <v>43358.6442476852</v>
      </c>
    </row>
    <row r="947" customFormat="false" ht="15" hidden="false" customHeight="false" outlineLevel="0" collapsed="false">
      <c r="F947" s="6" t="s">
        <v>76</v>
      </c>
      <c r="G947" s="0" t="n">
        <v>1</v>
      </c>
      <c r="H947" s="0" t="s">
        <v>38</v>
      </c>
      <c r="I947" s="15" t="n">
        <v>43358.6441319444</v>
      </c>
    </row>
    <row r="948" customFormat="false" ht="15" hidden="false" customHeight="false" outlineLevel="0" collapsed="false">
      <c r="F948" s="6" t="s">
        <v>46</v>
      </c>
      <c r="G948" s="0" t="n">
        <v>20</v>
      </c>
      <c r="H948" s="0" t="s">
        <v>103</v>
      </c>
      <c r="I948" s="15" t="n">
        <v>43358.6440625</v>
      </c>
    </row>
    <row r="949" customFormat="false" ht="15" hidden="false" customHeight="false" outlineLevel="0" collapsed="false">
      <c r="F949" s="6" t="s">
        <v>21</v>
      </c>
      <c r="G949" s="0" t="n">
        <v>11</v>
      </c>
      <c r="H949" s="0" t="s">
        <v>38</v>
      </c>
      <c r="I949" s="15" t="n">
        <v>43358.6439583333</v>
      </c>
    </row>
    <row r="950" customFormat="false" ht="15" hidden="false" customHeight="false" outlineLevel="0" collapsed="false">
      <c r="F950" s="6" t="s">
        <v>21</v>
      </c>
      <c r="G950" s="0" t="n">
        <v>10</v>
      </c>
      <c r="H950" s="0" t="s">
        <v>103</v>
      </c>
      <c r="I950" s="15" t="n">
        <v>43358.6438773148</v>
      </c>
    </row>
    <row r="951" customFormat="false" ht="15" hidden="false" customHeight="false" outlineLevel="0" collapsed="false">
      <c r="F951" s="6" t="s">
        <v>25</v>
      </c>
      <c r="G951" s="0" t="n">
        <v>2</v>
      </c>
      <c r="H951" s="0" t="s">
        <v>38</v>
      </c>
      <c r="I951" s="15" t="n">
        <v>43358.6438541667</v>
      </c>
    </row>
    <row r="952" customFormat="false" ht="15" hidden="false" customHeight="false" outlineLevel="0" collapsed="false">
      <c r="F952" s="6" t="s">
        <v>34</v>
      </c>
      <c r="G952" s="0" t="n">
        <v>5</v>
      </c>
      <c r="H952" s="0" t="s">
        <v>38</v>
      </c>
      <c r="I952" s="15" t="n">
        <v>43358.6437615741</v>
      </c>
    </row>
    <row r="953" customFormat="false" ht="15" hidden="false" customHeight="false" outlineLevel="0" collapsed="false">
      <c r="F953" s="6" t="s">
        <v>12</v>
      </c>
      <c r="G953" s="0" t="n">
        <v>1</v>
      </c>
      <c r="H953" s="0" t="s">
        <v>103</v>
      </c>
      <c r="I953" s="15" t="n">
        <v>43358.6436921296</v>
      </c>
    </row>
    <row r="954" customFormat="false" ht="15" hidden="false" customHeight="false" outlineLevel="0" collapsed="false">
      <c r="F954" s="6" t="s">
        <v>86</v>
      </c>
      <c r="G954" s="0" t="n">
        <v>2</v>
      </c>
      <c r="H954" s="0" t="s">
        <v>103</v>
      </c>
      <c r="I954" s="15" t="n">
        <v>43358.6436458333</v>
      </c>
    </row>
    <row r="955" customFormat="false" ht="15" hidden="false" customHeight="false" outlineLevel="0" collapsed="false">
      <c r="F955" s="6" t="s">
        <v>181</v>
      </c>
      <c r="G955" s="0" t="n">
        <v>1</v>
      </c>
      <c r="H955" s="0" t="s">
        <v>38</v>
      </c>
      <c r="I955" s="15" t="n">
        <v>43358.6436226852</v>
      </c>
    </row>
    <row r="956" customFormat="false" ht="15" hidden="false" customHeight="false" outlineLevel="0" collapsed="false">
      <c r="F956" s="6" t="s">
        <v>23</v>
      </c>
      <c r="G956" s="0" t="n">
        <v>2</v>
      </c>
      <c r="H956" s="0" t="s">
        <v>103</v>
      </c>
      <c r="I956" s="15" t="n">
        <v>43358.643587963</v>
      </c>
    </row>
    <row r="957" customFormat="false" ht="15" hidden="false" customHeight="false" outlineLevel="0" collapsed="false">
      <c r="F957" s="6" t="s">
        <v>27</v>
      </c>
      <c r="G957" s="0" t="n">
        <v>12</v>
      </c>
      <c r="H957" s="0" t="s">
        <v>103</v>
      </c>
      <c r="I957" s="15" t="n">
        <v>43358.6435416667</v>
      </c>
    </row>
    <row r="958" customFormat="false" ht="15" hidden="false" customHeight="false" outlineLevel="0" collapsed="false">
      <c r="F958" s="6" t="s">
        <v>182</v>
      </c>
      <c r="G958" s="0" t="n">
        <v>1</v>
      </c>
      <c r="H958" s="0" t="s">
        <v>38</v>
      </c>
      <c r="I958" s="15" t="n">
        <v>43358.6435300926</v>
      </c>
    </row>
    <row r="959" customFormat="false" ht="15" hidden="false" customHeight="false" outlineLevel="0" collapsed="false">
      <c r="F959" s="6" t="s">
        <v>183</v>
      </c>
      <c r="G959" s="0" t="n">
        <v>1</v>
      </c>
      <c r="H959" s="0" t="s">
        <v>38</v>
      </c>
      <c r="I959" s="15" t="n">
        <v>43358.6434490741</v>
      </c>
    </row>
    <row r="960" customFormat="false" ht="15" hidden="false" customHeight="false" outlineLevel="0" collapsed="false">
      <c r="F960" s="6" t="s">
        <v>31</v>
      </c>
      <c r="G960" s="0" t="n">
        <v>21</v>
      </c>
      <c r="H960" s="0" t="s">
        <v>103</v>
      </c>
      <c r="I960" s="15" t="n">
        <v>43358.6433564815</v>
      </c>
    </row>
    <row r="961" customFormat="false" ht="15" hidden="false" customHeight="false" outlineLevel="0" collapsed="false">
      <c r="F961" s="6" t="s">
        <v>56</v>
      </c>
      <c r="G961" s="0" t="n">
        <v>1</v>
      </c>
      <c r="H961" s="0" t="s">
        <v>103</v>
      </c>
      <c r="I961" s="15" t="n">
        <v>43358.643287037</v>
      </c>
    </row>
    <row r="962" customFormat="false" ht="15" hidden="false" customHeight="false" outlineLevel="0" collapsed="false">
      <c r="F962" s="6" t="s">
        <v>53</v>
      </c>
      <c r="G962" s="0" t="n">
        <v>2</v>
      </c>
      <c r="H962" s="0" t="s">
        <v>103</v>
      </c>
      <c r="I962" s="15" t="n">
        <v>43358.6432407407</v>
      </c>
    </row>
    <row r="963" customFormat="false" ht="15" hidden="false" customHeight="false" outlineLevel="0" collapsed="false">
      <c r="F963" s="6" t="s">
        <v>182</v>
      </c>
      <c r="G963" s="0" t="n">
        <v>1</v>
      </c>
      <c r="H963" s="0" t="s">
        <v>38</v>
      </c>
      <c r="I963" s="15" t="n">
        <v>43358.6432175926</v>
      </c>
    </row>
    <row r="964" customFormat="false" ht="15" hidden="false" customHeight="false" outlineLevel="0" collapsed="false">
      <c r="F964" s="6" t="s">
        <v>52</v>
      </c>
      <c r="G964" s="0" t="n">
        <v>1</v>
      </c>
      <c r="H964" s="0" t="s">
        <v>103</v>
      </c>
      <c r="I964" s="15" t="n">
        <v>43358.6429976852</v>
      </c>
    </row>
    <row r="965" customFormat="false" ht="15" hidden="false" customHeight="false" outlineLevel="0" collapsed="false">
      <c r="F965" s="6" t="s">
        <v>71</v>
      </c>
      <c r="G965" s="0" t="n">
        <v>2</v>
      </c>
      <c r="H965" s="0" t="s">
        <v>38</v>
      </c>
      <c r="I965" s="15" t="n">
        <v>43358.642974537</v>
      </c>
    </row>
    <row r="966" customFormat="false" ht="15" hidden="false" customHeight="false" outlineLevel="0" collapsed="false">
      <c r="F966" s="6" t="s">
        <v>50</v>
      </c>
      <c r="G966" s="0" t="n">
        <v>1</v>
      </c>
      <c r="H966" s="0" t="s">
        <v>103</v>
      </c>
      <c r="I966" s="15" t="n">
        <v>43358.6426851852</v>
      </c>
    </row>
    <row r="967" customFormat="false" ht="15" hidden="false" customHeight="false" outlineLevel="0" collapsed="false">
      <c r="F967" s="6" t="s">
        <v>32</v>
      </c>
      <c r="G967" s="0" t="n">
        <v>3</v>
      </c>
      <c r="H967" s="0" t="s">
        <v>103</v>
      </c>
      <c r="I967" s="15" t="n">
        <v>43358.6425810185</v>
      </c>
    </row>
    <row r="968" customFormat="false" ht="15" hidden="false" customHeight="false" outlineLevel="0" collapsed="false">
      <c r="F968" s="6" t="s">
        <v>57</v>
      </c>
      <c r="G968" s="0" t="n">
        <v>5</v>
      </c>
      <c r="H968" s="0" t="s">
        <v>103</v>
      </c>
      <c r="I968" s="15" t="n">
        <v>43358.6425115741</v>
      </c>
    </row>
    <row r="969" customFormat="false" ht="15" hidden="false" customHeight="false" outlineLevel="0" collapsed="false">
      <c r="F969" s="6" t="s">
        <v>41</v>
      </c>
      <c r="G969" s="0" t="n">
        <v>19</v>
      </c>
      <c r="H969" s="0" t="s">
        <v>103</v>
      </c>
      <c r="I969" s="15" t="n">
        <v>43358.6424421296</v>
      </c>
    </row>
    <row r="970" customFormat="false" ht="15" hidden="false" customHeight="false" outlineLevel="0" collapsed="false">
      <c r="F970" s="6" t="s">
        <v>26</v>
      </c>
      <c r="G970" s="0" t="n">
        <v>6</v>
      </c>
      <c r="H970" s="0" t="s">
        <v>103</v>
      </c>
      <c r="I970" s="15" t="n">
        <v>43358.6422800926</v>
      </c>
    </row>
    <row r="971" customFormat="false" ht="15" hidden="false" customHeight="false" outlineLevel="0" collapsed="false">
      <c r="F971" s="6" t="s">
        <v>25</v>
      </c>
      <c r="G971" s="0" t="n">
        <v>17</v>
      </c>
      <c r="H971" s="0" t="s">
        <v>103</v>
      </c>
      <c r="I971" s="15" t="n">
        <v>43358.6421643519</v>
      </c>
    </row>
    <row r="972" customFormat="false" ht="15" hidden="false" customHeight="false" outlineLevel="0" collapsed="false">
      <c r="F972" s="6" t="s">
        <v>80</v>
      </c>
      <c r="G972" s="0" t="n">
        <v>1</v>
      </c>
      <c r="H972" s="0" t="s">
        <v>103</v>
      </c>
      <c r="I972" s="15" t="n">
        <v>43358.6419791667</v>
      </c>
    </row>
    <row r="973" customFormat="false" ht="15" hidden="false" customHeight="false" outlineLevel="0" collapsed="false">
      <c r="F973" s="6" t="s">
        <v>80</v>
      </c>
      <c r="G973" s="0" t="n">
        <v>5</v>
      </c>
      <c r="H973" s="0" t="s">
        <v>103</v>
      </c>
      <c r="I973" s="15" t="n">
        <v>43358.6419212963</v>
      </c>
    </row>
    <row r="974" customFormat="false" ht="15" hidden="false" customHeight="false" outlineLevel="0" collapsed="false">
      <c r="F974" s="6" t="s">
        <v>156</v>
      </c>
      <c r="G974" s="0" t="n">
        <v>5</v>
      </c>
      <c r="H974" s="0" t="s">
        <v>103</v>
      </c>
      <c r="I974" s="15" t="n">
        <v>43358.6418402778</v>
      </c>
    </row>
    <row r="975" customFormat="false" ht="15" hidden="false" customHeight="false" outlineLevel="0" collapsed="false">
      <c r="F975" s="6" t="s">
        <v>37</v>
      </c>
      <c r="G975" s="0" t="n">
        <v>1</v>
      </c>
      <c r="H975" s="0" t="s">
        <v>103</v>
      </c>
      <c r="I975" s="15" t="n">
        <v>43358.6417476852</v>
      </c>
    </row>
    <row r="976" customFormat="false" ht="15" hidden="false" customHeight="false" outlineLevel="0" collapsed="false">
      <c r="F976" s="6" t="s">
        <v>36</v>
      </c>
      <c r="G976" s="0" t="n">
        <v>1</v>
      </c>
      <c r="H976" s="0" t="s">
        <v>103</v>
      </c>
      <c r="I976" s="15" t="n">
        <v>43358.6416319444</v>
      </c>
    </row>
    <row r="977" customFormat="false" ht="15" hidden="false" customHeight="false" outlineLevel="0" collapsed="false">
      <c r="F977" s="6" t="s">
        <v>72</v>
      </c>
      <c r="G977" s="0" t="n">
        <v>3</v>
      </c>
      <c r="H977" s="0" t="s">
        <v>103</v>
      </c>
      <c r="I977" s="15" t="n">
        <v>43358.6415509259</v>
      </c>
    </row>
    <row r="978" customFormat="false" ht="15" hidden="false" customHeight="false" outlineLevel="0" collapsed="false">
      <c r="F978" s="6" t="s">
        <v>28</v>
      </c>
      <c r="G978" s="0" t="n">
        <v>1</v>
      </c>
      <c r="H978" s="0" t="s">
        <v>103</v>
      </c>
      <c r="I978" s="15" t="n">
        <v>43358.6413425926</v>
      </c>
    </row>
    <row r="979" customFormat="false" ht="15" hidden="false" customHeight="false" outlineLevel="0" collapsed="false">
      <c r="F979" s="6" t="s">
        <v>25</v>
      </c>
      <c r="G979" s="0" t="n">
        <v>20</v>
      </c>
      <c r="H979" s="0" t="s">
        <v>103</v>
      </c>
      <c r="I979" s="15" t="n">
        <v>43358.6410763889</v>
      </c>
    </row>
    <row r="980" customFormat="false" ht="15" hidden="false" customHeight="false" outlineLevel="0" collapsed="false">
      <c r="F980" s="6" t="s">
        <v>118</v>
      </c>
      <c r="G980" s="0" t="n">
        <v>1</v>
      </c>
      <c r="H980" s="0" t="s">
        <v>124</v>
      </c>
      <c r="I980" s="15" t="n">
        <v>43358.6407291667</v>
      </c>
    </row>
    <row r="981" customFormat="false" ht="15" hidden="false" customHeight="false" outlineLevel="0" collapsed="false">
      <c r="F981" s="6" t="s">
        <v>59</v>
      </c>
      <c r="G981" s="0" t="n">
        <v>1</v>
      </c>
      <c r="H981" s="0" t="s">
        <v>124</v>
      </c>
      <c r="I981" s="15" t="n">
        <v>43358.6406828704</v>
      </c>
    </row>
    <row r="982" customFormat="false" ht="15" hidden="false" customHeight="false" outlineLevel="0" collapsed="false">
      <c r="F982" s="6" t="s">
        <v>32</v>
      </c>
      <c r="G982" s="0" t="n">
        <v>7</v>
      </c>
      <c r="H982" s="0" t="s">
        <v>124</v>
      </c>
      <c r="I982" s="15" t="n">
        <v>43358.6405439815</v>
      </c>
    </row>
    <row r="983" customFormat="false" ht="15" hidden="false" customHeight="false" outlineLevel="0" collapsed="false">
      <c r="F983" s="6" t="s">
        <v>31</v>
      </c>
      <c r="G983" s="0" t="n">
        <v>10</v>
      </c>
      <c r="H983" s="0" t="s">
        <v>124</v>
      </c>
      <c r="I983" s="15" t="n">
        <v>43358.6403587963</v>
      </c>
    </row>
    <row r="984" customFormat="false" ht="15" hidden="false" customHeight="false" outlineLevel="0" collapsed="false">
      <c r="F984" s="6" t="s">
        <v>62</v>
      </c>
      <c r="G984" s="0" t="n">
        <v>2</v>
      </c>
      <c r="H984" s="0" t="s">
        <v>124</v>
      </c>
      <c r="I984" s="15" t="n">
        <v>43358.6402777778</v>
      </c>
    </row>
    <row r="985" customFormat="false" ht="15" hidden="false" customHeight="false" outlineLevel="0" collapsed="false">
      <c r="F985" s="6" t="s">
        <v>41</v>
      </c>
      <c r="G985" s="0" t="n">
        <v>8</v>
      </c>
      <c r="H985" s="0" t="s">
        <v>124</v>
      </c>
      <c r="I985" s="15" t="n">
        <v>43358.6398611111</v>
      </c>
    </row>
    <row r="986" customFormat="false" ht="15" hidden="false" customHeight="false" outlineLevel="0" collapsed="false">
      <c r="F986" s="6" t="s">
        <v>25</v>
      </c>
      <c r="G986" s="0" t="n">
        <v>1</v>
      </c>
      <c r="H986" s="0" t="s">
        <v>124</v>
      </c>
      <c r="I986" s="15" t="n">
        <v>43358.639537037</v>
      </c>
    </row>
    <row r="987" customFormat="false" ht="15" hidden="false" customHeight="false" outlineLevel="0" collapsed="false">
      <c r="F987" s="6" t="s">
        <v>26</v>
      </c>
      <c r="G987" s="0" t="n">
        <v>10</v>
      </c>
      <c r="H987" s="0" t="s">
        <v>124</v>
      </c>
      <c r="I987" s="15" t="n">
        <v>43358.6393981481</v>
      </c>
    </row>
    <row r="988" customFormat="false" ht="15" hidden="false" customHeight="false" outlineLevel="0" collapsed="false">
      <c r="F988" s="6" t="s">
        <v>15</v>
      </c>
      <c r="G988" s="0" t="n">
        <v>3</v>
      </c>
      <c r="H988" s="0" t="s">
        <v>124</v>
      </c>
      <c r="I988" s="15" t="n">
        <v>43358.6390972222</v>
      </c>
    </row>
    <row r="989" customFormat="false" ht="15" hidden="false" customHeight="false" outlineLevel="0" collapsed="false">
      <c r="F989" s="6" t="s">
        <v>74</v>
      </c>
      <c r="G989" s="0" t="n">
        <v>1</v>
      </c>
      <c r="H989" s="0" t="s">
        <v>124</v>
      </c>
      <c r="I989" s="15" t="n">
        <v>43358.6390393519</v>
      </c>
    </row>
    <row r="990" customFormat="false" ht="15" hidden="false" customHeight="false" outlineLevel="0" collapsed="false">
      <c r="F990" s="6" t="s">
        <v>33</v>
      </c>
      <c r="G990" s="0" t="n">
        <v>1</v>
      </c>
      <c r="H990" s="0" t="s">
        <v>124</v>
      </c>
      <c r="I990" s="15" t="n">
        <v>43358.6389930556</v>
      </c>
    </row>
    <row r="991" customFormat="false" ht="15" hidden="false" customHeight="false" outlineLevel="0" collapsed="false">
      <c r="F991" s="6" t="s">
        <v>71</v>
      </c>
      <c r="G991" s="0" t="n">
        <v>1</v>
      </c>
      <c r="H991" s="0" t="s">
        <v>124</v>
      </c>
      <c r="I991" s="15" t="n">
        <v>43358.6388425926</v>
      </c>
    </row>
    <row r="992" customFormat="false" ht="15" hidden="false" customHeight="false" outlineLevel="0" collapsed="false">
      <c r="F992" s="6" t="s">
        <v>93</v>
      </c>
      <c r="G992" s="0" t="n">
        <v>2</v>
      </c>
      <c r="H992" s="0" t="s">
        <v>124</v>
      </c>
      <c r="I992" s="15" t="n">
        <v>43358.6387268519</v>
      </c>
    </row>
    <row r="993" customFormat="false" ht="15" hidden="false" customHeight="false" outlineLevel="0" collapsed="false">
      <c r="F993" s="6" t="s">
        <v>21</v>
      </c>
      <c r="G993" s="0" t="n">
        <v>17</v>
      </c>
      <c r="H993" s="0" t="s">
        <v>124</v>
      </c>
      <c r="I993" s="15" t="n">
        <v>43358.6385069444</v>
      </c>
    </row>
    <row r="994" customFormat="false" ht="15" hidden="false" customHeight="false" outlineLevel="0" collapsed="false">
      <c r="F994" s="6" t="s">
        <v>106</v>
      </c>
      <c r="G994" s="0" t="n">
        <v>4</v>
      </c>
      <c r="H994" s="0" t="s">
        <v>124</v>
      </c>
      <c r="I994" s="15" t="n">
        <v>43358.6383796296</v>
      </c>
    </row>
    <row r="995" customFormat="false" ht="15" hidden="false" customHeight="false" outlineLevel="0" collapsed="false">
      <c r="F995" s="6" t="s">
        <v>29</v>
      </c>
      <c r="G995" s="0" t="n">
        <v>2</v>
      </c>
      <c r="H995" s="0" t="s">
        <v>124</v>
      </c>
      <c r="I995" s="15" t="n">
        <v>43358.638275463</v>
      </c>
    </row>
    <row r="996" customFormat="false" ht="15" hidden="false" customHeight="false" outlineLevel="0" collapsed="false">
      <c r="F996" s="6" t="s">
        <v>34</v>
      </c>
      <c r="G996" s="0" t="n">
        <v>5</v>
      </c>
      <c r="H996" s="0" t="s">
        <v>124</v>
      </c>
      <c r="I996" s="15" t="n">
        <v>43358.638125</v>
      </c>
    </row>
    <row r="997" customFormat="false" ht="15" hidden="false" customHeight="false" outlineLevel="0" collapsed="false">
      <c r="F997" s="6" t="s">
        <v>89</v>
      </c>
      <c r="G997" s="0" t="n">
        <v>1</v>
      </c>
      <c r="H997" s="0" t="s">
        <v>124</v>
      </c>
      <c r="I997" s="15" t="n">
        <v>43358.6380671296</v>
      </c>
    </row>
    <row r="998" customFormat="false" ht="15" hidden="false" customHeight="false" outlineLevel="0" collapsed="false">
      <c r="F998" s="6" t="s">
        <v>96</v>
      </c>
      <c r="G998" s="0" t="n">
        <v>5</v>
      </c>
      <c r="H998" s="0" t="s">
        <v>124</v>
      </c>
      <c r="I998" s="15" t="n">
        <v>43358.6377546296</v>
      </c>
    </row>
    <row r="999" customFormat="false" ht="15" hidden="false" customHeight="false" outlineLevel="0" collapsed="false">
      <c r="F999" s="6" t="s">
        <v>156</v>
      </c>
      <c r="G999" s="0" t="n">
        <v>6</v>
      </c>
      <c r="H999" s="0" t="s">
        <v>124</v>
      </c>
      <c r="I999" s="15" t="n">
        <v>43358.6376851852</v>
      </c>
    </row>
    <row r="1000" customFormat="false" ht="15" hidden="false" customHeight="false" outlineLevel="0" collapsed="false">
      <c r="F1000" s="6" t="s">
        <v>80</v>
      </c>
      <c r="G1000" s="0" t="n">
        <v>3</v>
      </c>
      <c r="H1000" s="0" t="s">
        <v>124</v>
      </c>
      <c r="I1000" s="15" t="n">
        <v>43358.6375231482</v>
      </c>
    </row>
    <row r="1001" customFormat="false" ht="15" hidden="false" customHeight="false" outlineLevel="0" collapsed="false">
      <c r="F1001" s="6" t="s">
        <v>72</v>
      </c>
      <c r="G1001" s="0" t="n">
        <v>3</v>
      </c>
      <c r="H1001" s="0" t="s">
        <v>124</v>
      </c>
      <c r="I1001" s="15" t="n">
        <v>43358.6372800926</v>
      </c>
    </row>
    <row r="1002" customFormat="false" ht="15" hidden="false" customHeight="false" outlineLevel="0" collapsed="false">
      <c r="F1002" s="6" t="s">
        <v>37</v>
      </c>
      <c r="G1002" s="0" t="n">
        <v>3</v>
      </c>
      <c r="H1002" s="0" t="s">
        <v>124</v>
      </c>
      <c r="I1002" s="15" t="n">
        <v>43358.6371990741</v>
      </c>
    </row>
    <row r="1003" customFormat="false" ht="15" hidden="false" customHeight="false" outlineLevel="0" collapsed="false">
      <c r="F1003" s="6" t="s">
        <v>36</v>
      </c>
      <c r="G1003" s="0" t="n">
        <v>1</v>
      </c>
      <c r="H1003" s="0" t="s">
        <v>124</v>
      </c>
      <c r="I1003" s="15" t="n">
        <v>43358.6371180556</v>
      </c>
    </row>
    <row r="1004" customFormat="false" ht="15" hidden="false" customHeight="false" outlineLevel="0" collapsed="false">
      <c r="F1004" s="6" t="s">
        <v>27</v>
      </c>
      <c r="G1004" s="0" t="n">
        <v>1</v>
      </c>
      <c r="H1004" s="0" t="s">
        <v>124</v>
      </c>
      <c r="I1004" s="15" t="n">
        <v>43358.6368981482</v>
      </c>
    </row>
    <row r="1005" customFormat="false" ht="15" hidden="false" customHeight="false" outlineLevel="0" collapsed="false">
      <c r="F1005" s="6" t="s">
        <v>160</v>
      </c>
      <c r="G1005" s="0" t="n">
        <v>1</v>
      </c>
      <c r="H1005" s="0" t="s">
        <v>124</v>
      </c>
      <c r="I1005" s="15" t="n">
        <v>43358.6367476852</v>
      </c>
    </row>
    <row r="1006" customFormat="false" ht="15" hidden="false" customHeight="false" outlineLevel="0" collapsed="false">
      <c r="F1006" s="6" t="s">
        <v>27</v>
      </c>
      <c r="G1006" s="0" t="n">
        <v>17</v>
      </c>
      <c r="H1006" s="0" t="s">
        <v>124</v>
      </c>
      <c r="I1006" s="15" t="n">
        <v>43358.6364467593</v>
      </c>
    </row>
    <row r="1007" customFormat="false" ht="15" hidden="false" customHeight="false" outlineLevel="0" collapsed="false">
      <c r="F1007" s="6" t="s">
        <v>25</v>
      </c>
      <c r="G1007" s="0" t="n">
        <v>15</v>
      </c>
      <c r="H1007" s="0" t="s">
        <v>124</v>
      </c>
      <c r="I1007" s="15" t="n">
        <v>43358.6361921296</v>
      </c>
    </row>
    <row r="1008" customFormat="false" ht="15" hidden="false" customHeight="false" outlineLevel="0" collapsed="false">
      <c r="F1008" s="6" t="s">
        <v>45</v>
      </c>
      <c r="G1008" s="0" t="n">
        <v>1</v>
      </c>
      <c r="H1008" s="0" t="s">
        <v>38</v>
      </c>
      <c r="I1008" s="15" t="n">
        <v>43358.6194444444</v>
      </c>
    </row>
    <row r="1009" customFormat="false" ht="15" hidden="false" customHeight="false" outlineLevel="0" collapsed="false">
      <c r="F1009" s="6" t="s">
        <v>177</v>
      </c>
      <c r="G1009" s="0" t="n">
        <v>1</v>
      </c>
      <c r="H1009" s="0" t="s">
        <v>38</v>
      </c>
      <c r="I1009" s="15" t="n">
        <v>43358.6190972222</v>
      </c>
    </row>
    <row r="1010" customFormat="false" ht="15" hidden="false" customHeight="false" outlineLevel="0" collapsed="false">
      <c r="F1010" s="6" t="s">
        <v>177</v>
      </c>
      <c r="G1010" s="0" t="n">
        <v>1</v>
      </c>
      <c r="H1010" s="0" t="s">
        <v>38</v>
      </c>
      <c r="I1010" s="15" t="n">
        <v>43358.6188657407</v>
      </c>
    </row>
    <row r="1011" customFormat="false" ht="15" hidden="false" customHeight="false" outlineLevel="0" collapsed="false">
      <c r="F1011" s="6" t="s">
        <v>177</v>
      </c>
      <c r="G1011" s="0" t="n">
        <v>1</v>
      </c>
      <c r="H1011" s="0" t="s">
        <v>38</v>
      </c>
      <c r="I1011" s="15" t="n">
        <v>43358.6185532407</v>
      </c>
    </row>
    <row r="1012" customFormat="false" ht="15" hidden="false" customHeight="false" outlineLevel="0" collapsed="false">
      <c r="F1012" s="6" t="s">
        <v>167</v>
      </c>
      <c r="G1012" s="0" t="n">
        <v>1</v>
      </c>
      <c r="H1012" s="0" t="s">
        <v>38</v>
      </c>
      <c r="I1012" s="15" t="n">
        <v>43358.6181712963</v>
      </c>
    </row>
    <row r="1013" customFormat="false" ht="15" hidden="false" customHeight="false" outlineLevel="0" collapsed="false">
      <c r="F1013" s="6" t="s">
        <v>76</v>
      </c>
      <c r="G1013" s="0" t="n">
        <v>1</v>
      </c>
      <c r="H1013" s="0" t="s">
        <v>38</v>
      </c>
      <c r="I1013" s="15" t="n">
        <v>43358.6178587963</v>
      </c>
    </row>
    <row r="1014" customFormat="false" ht="15" hidden="false" customHeight="false" outlineLevel="0" collapsed="false">
      <c r="F1014" s="6" t="s">
        <v>88</v>
      </c>
      <c r="G1014" s="0" t="n">
        <v>1</v>
      </c>
      <c r="H1014" s="0" t="s">
        <v>38</v>
      </c>
      <c r="I1014" s="15" t="n">
        <v>43358.6178009259</v>
      </c>
    </row>
    <row r="1015" customFormat="false" ht="15" hidden="false" customHeight="false" outlineLevel="0" collapsed="false">
      <c r="F1015" s="6" t="s">
        <v>25</v>
      </c>
      <c r="G1015" s="0" t="n">
        <v>3</v>
      </c>
      <c r="H1015" s="0" t="s">
        <v>38</v>
      </c>
      <c r="I1015" s="15" t="n">
        <v>43358.6177314815</v>
      </c>
    </row>
    <row r="1016" customFormat="false" ht="15" hidden="false" customHeight="false" outlineLevel="0" collapsed="false">
      <c r="F1016" s="6" t="s">
        <v>88</v>
      </c>
      <c r="G1016" s="0" t="n">
        <v>1</v>
      </c>
      <c r="H1016" s="0" t="s">
        <v>38</v>
      </c>
      <c r="I1016" s="15" t="n">
        <v>43358.6176157407</v>
      </c>
    </row>
    <row r="1017" customFormat="false" ht="15" hidden="false" customHeight="false" outlineLevel="0" collapsed="false">
      <c r="F1017" s="6" t="s">
        <v>72</v>
      </c>
      <c r="G1017" s="0" t="n">
        <v>1</v>
      </c>
      <c r="H1017" s="0" t="s">
        <v>38</v>
      </c>
      <c r="I1017" s="15" t="n">
        <v>43358.6173032407</v>
      </c>
    </row>
    <row r="1018" customFormat="false" ht="15" hidden="false" customHeight="false" outlineLevel="0" collapsed="false">
      <c r="F1018" s="6" t="s">
        <v>36</v>
      </c>
      <c r="G1018" s="0" t="n">
        <v>2</v>
      </c>
      <c r="H1018" s="0" t="s">
        <v>38</v>
      </c>
      <c r="I1018" s="15" t="n">
        <v>43358.6172337963</v>
      </c>
    </row>
    <row r="1019" customFormat="false" ht="15" hidden="false" customHeight="false" outlineLevel="0" collapsed="false">
      <c r="F1019" s="6" t="s">
        <v>184</v>
      </c>
      <c r="G1019" s="0" t="n">
        <v>1</v>
      </c>
      <c r="H1019" s="0" t="s">
        <v>38</v>
      </c>
      <c r="I1019" s="15" t="n">
        <v>43358.6171064815</v>
      </c>
    </row>
    <row r="1020" customFormat="false" ht="15" hidden="false" customHeight="false" outlineLevel="0" collapsed="false">
      <c r="F1020" s="6" t="s">
        <v>185</v>
      </c>
      <c r="G1020" s="0" t="n">
        <v>3</v>
      </c>
      <c r="H1020" s="0" t="s">
        <v>38</v>
      </c>
      <c r="I1020" s="15" t="n">
        <v>43358.6168981481</v>
      </c>
    </row>
    <row r="1021" customFormat="false" ht="15" hidden="false" customHeight="false" outlineLevel="0" collapsed="false">
      <c r="F1021" s="6" t="s">
        <v>96</v>
      </c>
      <c r="G1021" s="0" t="n">
        <v>1</v>
      </c>
      <c r="H1021" s="0" t="s">
        <v>38</v>
      </c>
      <c r="I1021" s="15" t="n">
        <v>43358.6168287037</v>
      </c>
    </row>
    <row r="1022" customFormat="false" ht="15" hidden="false" customHeight="false" outlineLevel="0" collapsed="false">
      <c r="F1022" s="6" t="s">
        <v>35</v>
      </c>
      <c r="G1022" s="0" t="n">
        <v>1</v>
      </c>
      <c r="H1022" s="0" t="s">
        <v>38</v>
      </c>
      <c r="I1022" s="15" t="n">
        <v>43358.6164583333</v>
      </c>
    </row>
    <row r="1023" customFormat="false" ht="15" hidden="false" customHeight="false" outlineLevel="0" collapsed="false">
      <c r="F1023" s="6" t="s">
        <v>34</v>
      </c>
      <c r="G1023" s="0" t="n">
        <v>5</v>
      </c>
      <c r="H1023" s="0" t="s">
        <v>38</v>
      </c>
      <c r="I1023" s="15" t="n">
        <v>43358.6160185185</v>
      </c>
    </row>
    <row r="1024" customFormat="false" ht="15" hidden="false" customHeight="false" outlineLevel="0" collapsed="false">
      <c r="F1024" s="6" t="s">
        <v>186</v>
      </c>
      <c r="G1024" s="0" t="n">
        <v>1</v>
      </c>
      <c r="H1024" s="0" t="s">
        <v>38</v>
      </c>
      <c r="I1024" s="15" t="n">
        <v>43358.6158912037</v>
      </c>
    </row>
    <row r="1025" customFormat="false" ht="15" hidden="false" customHeight="false" outlineLevel="0" collapsed="false">
      <c r="F1025" s="6" t="s">
        <v>110</v>
      </c>
      <c r="G1025" s="0" t="n">
        <v>1</v>
      </c>
      <c r="H1025" s="0" t="s">
        <v>38</v>
      </c>
      <c r="I1025" s="15" t="n">
        <v>43358.6150578704</v>
      </c>
    </row>
    <row r="1026" customFormat="false" ht="15" hidden="false" customHeight="false" outlineLevel="0" collapsed="false">
      <c r="F1026" s="6" t="s">
        <v>71</v>
      </c>
      <c r="G1026" s="0" t="n">
        <v>1</v>
      </c>
      <c r="H1026" s="0" t="s">
        <v>38</v>
      </c>
      <c r="I1026" s="15" t="n">
        <v>43358.614537037</v>
      </c>
    </row>
    <row r="1027" customFormat="false" ht="15" hidden="false" customHeight="false" outlineLevel="0" collapsed="false">
      <c r="F1027" s="6" t="s">
        <v>90</v>
      </c>
      <c r="G1027" s="0" t="n">
        <v>1</v>
      </c>
      <c r="H1027" s="0" t="s">
        <v>38</v>
      </c>
      <c r="I1027" s="15" t="n">
        <v>43358.6144212963</v>
      </c>
    </row>
    <row r="1028" customFormat="false" ht="15" hidden="false" customHeight="false" outlineLevel="0" collapsed="false">
      <c r="F1028" s="6" t="s">
        <v>187</v>
      </c>
      <c r="G1028" s="0" t="n">
        <v>1</v>
      </c>
      <c r="H1028" s="0" t="s">
        <v>38</v>
      </c>
      <c r="I1028" s="15" t="n">
        <v>43358.6140393519</v>
      </c>
    </row>
    <row r="1029" customFormat="false" ht="15" hidden="false" customHeight="false" outlineLevel="0" collapsed="false">
      <c r="F1029" s="6" t="s">
        <v>155</v>
      </c>
      <c r="G1029" s="0" t="n">
        <v>1</v>
      </c>
      <c r="H1029" s="0" t="s">
        <v>38</v>
      </c>
      <c r="I1029" s="15" t="n">
        <v>43358.6136921296</v>
      </c>
    </row>
    <row r="1030" customFormat="false" ht="15" hidden="false" customHeight="false" outlineLevel="0" collapsed="false">
      <c r="F1030" s="6" t="s">
        <v>37</v>
      </c>
      <c r="G1030" s="0" t="n">
        <v>2</v>
      </c>
      <c r="H1030" s="0" t="s">
        <v>38</v>
      </c>
      <c r="I1030" s="15" t="n">
        <v>43358.613287037</v>
      </c>
    </row>
    <row r="1031" customFormat="false" ht="15" hidden="false" customHeight="false" outlineLevel="0" collapsed="false">
      <c r="F1031" s="6" t="s">
        <v>37</v>
      </c>
      <c r="G1031" s="0" t="n">
        <v>1</v>
      </c>
      <c r="H1031" s="0" t="s">
        <v>38</v>
      </c>
      <c r="I1031" s="15" t="n">
        <v>43358.6131365741</v>
      </c>
    </row>
    <row r="1032" customFormat="false" ht="15" hidden="false" customHeight="false" outlineLevel="0" collapsed="false">
      <c r="F1032" s="6" t="s">
        <v>188</v>
      </c>
      <c r="G1032" s="0" t="n">
        <v>1</v>
      </c>
      <c r="H1032" s="0" t="s">
        <v>38</v>
      </c>
      <c r="I1032" s="15" t="n">
        <v>43358.6130439815</v>
      </c>
    </row>
    <row r="1033" customFormat="false" ht="15" hidden="false" customHeight="false" outlineLevel="0" collapsed="false">
      <c r="F1033" s="6" t="s">
        <v>189</v>
      </c>
      <c r="G1033" s="0" t="n">
        <v>1</v>
      </c>
      <c r="H1033" s="0" t="s">
        <v>38</v>
      </c>
      <c r="I1033" s="15" t="n">
        <v>43358.6123842593</v>
      </c>
    </row>
    <row r="1034" customFormat="false" ht="15" hidden="false" customHeight="false" outlineLevel="0" collapsed="false">
      <c r="F1034" s="6" t="s">
        <v>80</v>
      </c>
      <c r="G1034" s="0" t="n">
        <v>2</v>
      </c>
      <c r="H1034" s="0" t="s">
        <v>38</v>
      </c>
      <c r="I1034" s="15" t="n">
        <v>43358.6117476852</v>
      </c>
    </row>
    <row r="1035" customFormat="false" ht="15" hidden="false" customHeight="false" outlineLevel="0" collapsed="false">
      <c r="F1035" s="6" t="s">
        <v>67</v>
      </c>
      <c r="G1035" s="0" t="n">
        <v>2</v>
      </c>
      <c r="H1035" s="0" t="s">
        <v>38</v>
      </c>
      <c r="I1035" s="15" t="n">
        <v>43358.6116666667</v>
      </c>
    </row>
    <row r="1036" customFormat="false" ht="15" hidden="false" customHeight="false" outlineLevel="0" collapsed="false">
      <c r="F1036" s="6" t="s">
        <v>83</v>
      </c>
      <c r="G1036" s="0" t="n">
        <v>1</v>
      </c>
      <c r="H1036" s="0" t="s">
        <v>38</v>
      </c>
      <c r="I1036" s="15" t="n">
        <v>43358.6114814815</v>
      </c>
    </row>
    <row r="1037" customFormat="false" ht="15" hidden="false" customHeight="false" outlineLevel="0" collapsed="false">
      <c r="F1037" s="6" t="s">
        <v>12</v>
      </c>
      <c r="G1037" s="0" t="n">
        <v>1</v>
      </c>
      <c r="H1037" s="0" t="s">
        <v>38</v>
      </c>
      <c r="I1037" s="15" t="n">
        <v>43358.6113194445</v>
      </c>
    </row>
    <row r="1038" customFormat="false" ht="15" hidden="false" customHeight="false" outlineLevel="0" collapsed="false">
      <c r="F1038" s="6" t="s">
        <v>118</v>
      </c>
      <c r="G1038" s="0" t="n">
        <v>1</v>
      </c>
      <c r="H1038" s="0" t="s">
        <v>38</v>
      </c>
      <c r="I1038" s="15" t="n">
        <v>43358.6111111111</v>
      </c>
    </row>
    <row r="1039" customFormat="false" ht="15" hidden="false" customHeight="false" outlineLevel="0" collapsed="false">
      <c r="F1039" s="6" t="s">
        <v>100</v>
      </c>
      <c r="G1039" s="0" t="n">
        <v>1</v>
      </c>
      <c r="H1039" s="0" t="s">
        <v>38</v>
      </c>
      <c r="I1039" s="15" t="n">
        <v>43358.6110185185</v>
      </c>
    </row>
    <row r="1040" customFormat="false" ht="15" hidden="false" customHeight="false" outlineLevel="0" collapsed="false">
      <c r="F1040" s="6" t="s">
        <v>190</v>
      </c>
      <c r="G1040" s="0" t="n">
        <v>1</v>
      </c>
      <c r="H1040" s="0" t="s">
        <v>38</v>
      </c>
      <c r="I1040" s="15" t="n">
        <v>43358.6108449074</v>
      </c>
    </row>
    <row r="1041" customFormat="false" ht="15" hidden="false" customHeight="false" outlineLevel="0" collapsed="false">
      <c r="F1041" s="6" t="s">
        <v>155</v>
      </c>
      <c r="G1041" s="0" t="n">
        <v>1</v>
      </c>
      <c r="H1041" s="0" t="s">
        <v>38</v>
      </c>
      <c r="I1041" s="15" t="n">
        <v>43358.610775463</v>
      </c>
    </row>
    <row r="1042" customFormat="false" ht="15" hidden="false" customHeight="false" outlineLevel="0" collapsed="false">
      <c r="F1042" s="6" t="s">
        <v>46</v>
      </c>
      <c r="G1042" s="0" t="n">
        <v>24</v>
      </c>
      <c r="H1042" s="0" t="s">
        <v>38</v>
      </c>
      <c r="I1042" s="15" t="n">
        <v>43358.6102662037</v>
      </c>
    </row>
    <row r="1043" customFormat="false" ht="15" hidden="false" customHeight="false" outlineLevel="0" collapsed="false">
      <c r="F1043" s="6" t="s">
        <v>156</v>
      </c>
      <c r="G1043" s="0" t="n">
        <v>6</v>
      </c>
      <c r="H1043" s="0" t="s">
        <v>38</v>
      </c>
      <c r="I1043" s="15" t="n">
        <v>43358.6095717593</v>
      </c>
    </row>
    <row r="1044" customFormat="false" ht="15" hidden="false" customHeight="false" outlineLevel="0" collapsed="false">
      <c r="F1044" s="6" t="s">
        <v>34</v>
      </c>
      <c r="G1044" s="0" t="n">
        <v>3</v>
      </c>
      <c r="H1044" s="0" t="s">
        <v>38</v>
      </c>
      <c r="I1044" s="15" t="n">
        <v>43358.6094444445</v>
      </c>
    </row>
    <row r="1045" customFormat="false" ht="15" hidden="false" customHeight="false" outlineLevel="0" collapsed="false">
      <c r="F1045" s="6" t="s">
        <v>25</v>
      </c>
      <c r="G1045" s="0" t="n">
        <v>3</v>
      </c>
      <c r="H1045" s="0" t="s">
        <v>38</v>
      </c>
      <c r="I1045" s="15" t="n">
        <v>43358.6093865741</v>
      </c>
    </row>
    <row r="1046" customFormat="false" ht="15" hidden="false" customHeight="false" outlineLevel="0" collapsed="false">
      <c r="F1046" s="6" t="s">
        <v>26</v>
      </c>
      <c r="G1046" s="0" t="n">
        <v>4</v>
      </c>
      <c r="H1046" s="0" t="s">
        <v>38</v>
      </c>
      <c r="I1046" s="15" t="n">
        <v>43358.609212963</v>
      </c>
    </row>
    <row r="1047" customFormat="false" ht="15" hidden="false" customHeight="false" outlineLevel="0" collapsed="false">
      <c r="F1047" s="6" t="s">
        <v>23</v>
      </c>
      <c r="G1047" s="0" t="n">
        <v>1</v>
      </c>
      <c r="H1047" s="0" t="s">
        <v>38</v>
      </c>
      <c r="I1047" s="15" t="n">
        <v>43358.6088773148</v>
      </c>
    </row>
    <row r="1048" customFormat="false" ht="15" hidden="false" customHeight="false" outlineLevel="0" collapsed="false">
      <c r="F1048" s="6" t="s">
        <v>19</v>
      </c>
      <c r="G1048" s="0" t="n">
        <v>1</v>
      </c>
      <c r="H1048" s="0" t="s">
        <v>38</v>
      </c>
      <c r="I1048" s="15" t="n">
        <v>43358.6087731482</v>
      </c>
    </row>
    <row r="1049" customFormat="false" ht="15" hidden="false" customHeight="false" outlineLevel="0" collapsed="false">
      <c r="F1049" s="6" t="s">
        <v>27</v>
      </c>
      <c r="G1049" s="0" t="n">
        <v>3</v>
      </c>
      <c r="H1049" s="0" t="s">
        <v>38</v>
      </c>
      <c r="I1049" s="15" t="n">
        <v>43358.6085069445</v>
      </c>
    </row>
    <row r="1050" customFormat="false" ht="15" hidden="false" customHeight="false" outlineLevel="0" collapsed="false">
      <c r="F1050" s="6" t="s">
        <v>145</v>
      </c>
      <c r="G1050" s="0" t="n">
        <v>1</v>
      </c>
      <c r="H1050" s="0" t="s">
        <v>38</v>
      </c>
      <c r="I1050" s="15" t="n">
        <v>43358.6084375</v>
      </c>
    </row>
    <row r="1051" customFormat="false" ht="15" hidden="false" customHeight="false" outlineLevel="0" collapsed="false">
      <c r="F1051" s="6" t="s">
        <v>63</v>
      </c>
      <c r="G1051" s="0" t="n">
        <v>2</v>
      </c>
      <c r="H1051" s="0" t="s">
        <v>38</v>
      </c>
      <c r="I1051" s="15" t="n">
        <v>43358.6083564815</v>
      </c>
    </row>
    <row r="1052" customFormat="false" ht="15" hidden="false" customHeight="false" outlineLevel="0" collapsed="false">
      <c r="F1052" s="6" t="s">
        <v>112</v>
      </c>
      <c r="G1052" s="0" t="n">
        <v>1</v>
      </c>
      <c r="H1052" s="0" t="s">
        <v>38</v>
      </c>
      <c r="I1052" s="15" t="n">
        <v>43358.6078009259</v>
      </c>
    </row>
    <row r="1053" customFormat="false" ht="15" hidden="false" customHeight="false" outlineLevel="0" collapsed="false">
      <c r="F1053" s="6" t="s">
        <v>112</v>
      </c>
      <c r="G1053" s="0" t="n">
        <v>1</v>
      </c>
      <c r="H1053" s="0" t="s">
        <v>38</v>
      </c>
      <c r="I1053" s="15" t="n">
        <v>43358.6077083333</v>
      </c>
    </row>
    <row r="1054" customFormat="false" ht="15" hidden="false" customHeight="false" outlineLevel="0" collapsed="false">
      <c r="F1054" s="6" t="s">
        <v>107</v>
      </c>
      <c r="G1054" s="0" t="n">
        <v>1</v>
      </c>
      <c r="H1054" s="0" t="s">
        <v>38</v>
      </c>
      <c r="I1054" s="15" t="n">
        <v>43358.6076273148</v>
      </c>
    </row>
    <row r="1055" customFormat="false" ht="15" hidden="false" customHeight="false" outlineLevel="0" collapsed="false">
      <c r="F1055" s="6" t="s">
        <v>31</v>
      </c>
      <c r="G1055" s="0" t="n">
        <v>6</v>
      </c>
      <c r="H1055" s="0" t="s">
        <v>38</v>
      </c>
      <c r="I1055" s="15" t="n">
        <v>43358.6075347222</v>
      </c>
    </row>
    <row r="1056" customFormat="false" ht="15" hidden="false" customHeight="false" outlineLevel="0" collapsed="false">
      <c r="F1056" s="6" t="s">
        <v>43</v>
      </c>
      <c r="G1056" s="0" t="n">
        <v>3</v>
      </c>
      <c r="H1056" s="0" t="s">
        <v>38</v>
      </c>
      <c r="I1056" s="15" t="n">
        <v>43358.6074074074</v>
      </c>
    </row>
    <row r="1057" customFormat="false" ht="15" hidden="false" customHeight="false" outlineLevel="0" collapsed="false">
      <c r="F1057" s="6" t="s">
        <v>77</v>
      </c>
      <c r="G1057" s="0" t="n">
        <v>3</v>
      </c>
      <c r="H1057" s="0" t="s">
        <v>38</v>
      </c>
      <c r="I1057" s="15" t="n">
        <v>43358.6072106482</v>
      </c>
    </row>
    <row r="1058" customFormat="false" ht="15" hidden="false" customHeight="false" outlineLevel="0" collapsed="false">
      <c r="F1058" s="6" t="s">
        <v>159</v>
      </c>
      <c r="G1058" s="0" t="n">
        <v>1</v>
      </c>
      <c r="H1058" s="0" t="s">
        <v>38</v>
      </c>
      <c r="I1058" s="15" t="n">
        <v>43358.6071412037</v>
      </c>
    </row>
    <row r="1059" customFormat="false" ht="15" hidden="false" customHeight="false" outlineLevel="0" collapsed="false">
      <c r="F1059" s="6" t="s">
        <v>191</v>
      </c>
      <c r="G1059" s="0" t="n">
        <v>2</v>
      </c>
      <c r="H1059" s="0" t="s">
        <v>38</v>
      </c>
      <c r="I1059" s="15" t="n">
        <v>43358.6070138889</v>
      </c>
    </row>
    <row r="1060" customFormat="false" ht="15" hidden="false" customHeight="false" outlineLevel="0" collapsed="false">
      <c r="F1060" s="6" t="s">
        <v>29</v>
      </c>
      <c r="G1060" s="0" t="n">
        <v>2</v>
      </c>
      <c r="H1060" s="0" t="s">
        <v>146</v>
      </c>
      <c r="I1060" s="15" t="n">
        <v>43358.6061921296</v>
      </c>
    </row>
    <row r="1061" customFormat="false" ht="15" hidden="false" customHeight="false" outlineLevel="0" collapsed="false">
      <c r="F1061" s="6" t="s">
        <v>106</v>
      </c>
      <c r="G1061" s="0" t="n">
        <v>1</v>
      </c>
      <c r="H1061" s="0" t="s">
        <v>146</v>
      </c>
      <c r="I1061" s="15" t="n">
        <v>43358.6061111111</v>
      </c>
    </row>
    <row r="1062" customFormat="false" ht="15" hidden="false" customHeight="false" outlineLevel="0" collapsed="false">
      <c r="F1062" s="6" t="s">
        <v>26</v>
      </c>
      <c r="G1062" s="0" t="n">
        <v>3</v>
      </c>
      <c r="H1062" s="0" t="s">
        <v>75</v>
      </c>
      <c r="I1062" s="15" t="n">
        <v>43358.6060185185</v>
      </c>
    </row>
    <row r="1063" customFormat="false" ht="15" hidden="false" customHeight="false" outlineLevel="0" collapsed="false">
      <c r="F1063" s="6" t="s">
        <v>165</v>
      </c>
      <c r="G1063" s="0" t="n">
        <v>2</v>
      </c>
      <c r="H1063" s="0" t="s">
        <v>146</v>
      </c>
      <c r="I1063" s="15" t="n">
        <v>43358.6059837963</v>
      </c>
    </row>
    <row r="1064" customFormat="false" ht="15" hidden="false" customHeight="false" outlineLevel="0" collapsed="false">
      <c r="F1064" s="6" t="s">
        <v>192</v>
      </c>
      <c r="G1064" s="0" t="n">
        <v>1</v>
      </c>
      <c r="H1064" s="0" t="s">
        <v>146</v>
      </c>
      <c r="I1064" s="15" t="n">
        <v>43358.6058101852</v>
      </c>
    </row>
    <row r="1065" customFormat="false" ht="15" hidden="false" customHeight="false" outlineLevel="0" collapsed="false">
      <c r="F1065" s="6" t="s">
        <v>117</v>
      </c>
      <c r="G1065" s="0" t="n">
        <v>1</v>
      </c>
      <c r="H1065" s="0" t="s">
        <v>146</v>
      </c>
      <c r="I1065" s="15" t="n">
        <v>43358.6050231482</v>
      </c>
    </row>
    <row r="1066" customFormat="false" ht="15" hidden="false" customHeight="false" outlineLevel="0" collapsed="false">
      <c r="F1066" s="6" t="s">
        <v>46</v>
      </c>
      <c r="G1066" s="0" t="n">
        <v>2</v>
      </c>
      <c r="H1066" s="0" t="s">
        <v>75</v>
      </c>
      <c r="I1066" s="15" t="n">
        <v>43358.6049652778</v>
      </c>
    </row>
    <row r="1067" customFormat="false" ht="15" hidden="false" customHeight="false" outlineLevel="0" collapsed="false">
      <c r="F1067" s="6" t="s">
        <v>54</v>
      </c>
      <c r="G1067" s="0" t="n">
        <v>1</v>
      </c>
      <c r="H1067" s="0" t="s">
        <v>75</v>
      </c>
      <c r="I1067" s="15" t="n">
        <v>43358.6048263889</v>
      </c>
    </row>
    <row r="1068" customFormat="false" ht="15" hidden="false" customHeight="false" outlineLevel="0" collapsed="false">
      <c r="F1068" s="6" t="s">
        <v>177</v>
      </c>
      <c r="G1068" s="0" t="n">
        <v>2</v>
      </c>
      <c r="H1068" s="0" t="s">
        <v>75</v>
      </c>
      <c r="I1068" s="15" t="n">
        <v>43358.6046412037</v>
      </c>
    </row>
    <row r="1069" customFormat="false" ht="15" hidden="false" customHeight="false" outlineLevel="0" collapsed="false">
      <c r="F1069" s="6" t="s">
        <v>28</v>
      </c>
      <c r="G1069" s="0" t="n">
        <v>1</v>
      </c>
      <c r="H1069" s="0" t="s">
        <v>75</v>
      </c>
      <c r="I1069" s="15" t="n">
        <v>43358.6045023148</v>
      </c>
    </row>
    <row r="1070" customFormat="false" ht="15" hidden="false" customHeight="false" outlineLevel="0" collapsed="false">
      <c r="F1070" s="6" t="s">
        <v>15</v>
      </c>
      <c r="G1070" s="0" t="n">
        <v>1</v>
      </c>
      <c r="H1070" s="0" t="s">
        <v>75</v>
      </c>
      <c r="I1070" s="15" t="n">
        <v>43358.6041782407</v>
      </c>
    </row>
    <row r="1071" customFormat="false" ht="15" hidden="false" customHeight="false" outlineLevel="0" collapsed="false">
      <c r="F1071" s="6" t="s">
        <v>61</v>
      </c>
      <c r="G1071" s="0" t="n">
        <v>2</v>
      </c>
      <c r="H1071" s="0" t="s">
        <v>75</v>
      </c>
      <c r="I1071" s="15" t="n">
        <v>43358.6040625</v>
      </c>
    </row>
    <row r="1072" customFormat="false" ht="15" hidden="false" customHeight="false" outlineLevel="0" collapsed="false">
      <c r="F1072" s="6" t="s">
        <v>144</v>
      </c>
      <c r="G1072" s="0" t="n">
        <v>1</v>
      </c>
      <c r="H1072" s="0" t="s">
        <v>75</v>
      </c>
      <c r="I1072" s="15" t="n">
        <v>43358.603599537</v>
      </c>
    </row>
    <row r="1073" customFormat="false" ht="15" hidden="false" customHeight="false" outlineLevel="0" collapsed="false">
      <c r="F1073" s="6" t="s">
        <v>18</v>
      </c>
      <c r="G1073" s="0" t="n">
        <v>2</v>
      </c>
      <c r="H1073" s="0" t="s">
        <v>146</v>
      </c>
      <c r="I1073" s="15" t="n">
        <v>43358.6035185185</v>
      </c>
    </row>
    <row r="1074" customFormat="false" ht="15" hidden="false" customHeight="false" outlineLevel="0" collapsed="false">
      <c r="F1074" s="6" t="s">
        <v>145</v>
      </c>
      <c r="G1074" s="0" t="n">
        <v>3</v>
      </c>
      <c r="H1074" s="0" t="s">
        <v>75</v>
      </c>
      <c r="I1074" s="15" t="n">
        <v>43358.6033912037</v>
      </c>
    </row>
    <row r="1075" customFormat="false" ht="15" hidden="false" customHeight="false" outlineLevel="0" collapsed="false">
      <c r="F1075" s="6" t="s">
        <v>77</v>
      </c>
      <c r="G1075" s="0" t="n">
        <v>2</v>
      </c>
      <c r="H1075" s="0" t="s">
        <v>146</v>
      </c>
      <c r="I1075" s="15" t="n">
        <v>43358.6033680556</v>
      </c>
    </row>
    <row r="1076" customFormat="false" ht="15" hidden="false" customHeight="false" outlineLevel="0" collapsed="false">
      <c r="F1076" s="6" t="s">
        <v>31</v>
      </c>
      <c r="G1076" s="0" t="n">
        <v>22</v>
      </c>
      <c r="H1076" s="0" t="s">
        <v>75</v>
      </c>
      <c r="I1076" s="15" t="n">
        <v>43358.6033101852</v>
      </c>
    </row>
    <row r="1077" customFormat="false" ht="15" hidden="false" customHeight="false" outlineLevel="0" collapsed="false">
      <c r="F1077" s="6" t="s">
        <v>81</v>
      </c>
      <c r="G1077" s="0" t="n">
        <v>1</v>
      </c>
      <c r="H1077" s="0" t="s">
        <v>146</v>
      </c>
      <c r="I1077" s="15" t="n">
        <v>43358.6032638889</v>
      </c>
    </row>
    <row r="1078" customFormat="false" ht="15" hidden="false" customHeight="false" outlineLevel="0" collapsed="false">
      <c r="F1078" s="6" t="s">
        <v>155</v>
      </c>
      <c r="G1078" s="0" t="n">
        <v>2</v>
      </c>
      <c r="H1078" s="0" t="s">
        <v>75</v>
      </c>
      <c r="I1078" s="15" t="n">
        <v>43358.6032175926</v>
      </c>
    </row>
    <row r="1079" customFormat="false" ht="15" hidden="false" customHeight="false" outlineLevel="0" collapsed="false">
      <c r="F1079" s="6" t="s">
        <v>27</v>
      </c>
      <c r="G1079" s="0" t="n">
        <v>3</v>
      </c>
      <c r="H1079" s="0" t="s">
        <v>146</v>
      </c>
      <c r="I1079" s="15" t="n">
        <v>43358.6031712963</v>
      </c>
    </row>
    <row r="1080" customFormat="false" ht="15" hidden="false" customHeight="false" outlineLevel="0" collapsed="false">
      <c r="F1080" s="6" t="s">
        <v>41</v>
      </c>
      <c r="G1080" s="0" t="n">
        <v>5</v>
      </c>
      <c r="H1080" s="0" t="s">
        <v>146</v>
      </c>
      <c r="I1080" s="15" t="n">
        <v>43358.6031018519</v>
      </c>
    </row>
    <row r="1081" customFormat="false" ht="15" hidden="false" customHeight="false" outlineLevel="0" collapsed="false">
      <c r="F1081" s="6" t="s">
        <v>34</v>
      </c>
      <c r="G1081" s="0" t="n">
        <v>7</v>
      </c>
      <c r="H1081" s="0" t="s">
        <v>146</v>
      </c>
      <c r="I1081" s="15" t="n">
        <v>43358.6028935185</v>
      </c>
    </row>
    <row r="1082" customFormat="false" ht="15" hidden="false" customHeight="false" outlineLevel="0" collapsed="false">
      <c r="F1082" s="6" t="s">
        <v>32</v>
      </c>
      <c r="G1082" s="0" t="n">
        <v>1</v>
      </c>
      <c r="H1082" s="0" t="s">
        <v>75</v>
      </c>
      <c r="I1082" s="15" t="n">
        <v>43358.6028587963</v>
      </c>
    </row>
    <row r="1083" customFormat="false" ht="15" hidden="false" customHeight="false" outlineLevel="0" collapsed="false">
      <c r="F1083" s="6" t="s">
        <v>89</v>
      </c>
      <c r="G1083" s="0" t="n">
        <v>1</v>
      </c>
      <c r="H1083" s="0" t="s">
        <v>146</v>
      </c>
      <c r="I1083" s="15" t="n">
        <v>43358.6027893519</v>
      </c>
    </row>
    <row r="1084" customFormat="false" ht="15" hidden="false" customHeight="false" outlineLevel="0" collapsed="false">
      <c r="F1084" s="6" t="s">
        <v>172</v>
      </c>
      <c r="G1084" s="0" t="n">
        <v>5</v>
      </c>
      <c r="H1084" s="0" t="s">
        <v>75</v>
      </c>
      <c r="I1084" s="15" t="n">
        <v>43358.6027083333</v>
      </c>
    </row>
    <row r="1085" customFormat="false" ht="15" hidden="false" customHeight="false" outlineLevel="0" collapsed="false">
      <c r="F1085" s="6" t="s">
        <v>101</v>
      </c>
      <c r="G1085" s="0" t="n">
        <v>1</v>
      </c>
      <c r="H1085" s="0" t="s">
        <v>146</v>
      </c>
      <c r="I1085" s="15" t="n">
        <v>43358.6025810185</v>
      </c>
    </row>
    <row r="1086" customFormat="false" ht="15" hidden="false" customHeight="false" outlineLevel="0" collapsed="false">
      <c r="F1086" s="6" t="s">
        <v>88</v>
      </c>
      <c r="G1086" s="0" t="n">
        <v>1</v>
      </c>
      <c r="H1086" s="0" t="s">
        <v>146</v>
      </c>
      <c r="I1086" s="15" t="n">
        <v>43358.6024884259</v>
      </c>
    </row>
    <row r="1087" customFormat="false" ht="15" hidden="false" customHeight="false" outlineLevel="0" collapsed="false">
      <c r="F1087" s="6" t="s">
        <v>156</v>
      </c>
      <c r="G1087" s="0" t="n">
        <v>2</v>
      </c>
      <c r="H1087" s="0" t="s">
        <v>146</v>
      </c>
      <c r="I1087" s="15" t="n">
        <v>43358.6023958333</v>
      </c>
    </row>
    <row r="1088" customFormat="false" ht="15" hidden="false" customHeight="false" outlineLevel="0" collapsed="false">
      <c r="F1088" s="6" t="s">
        <v>32</v>
      </c>
      <c r="G1088" s="0" t="n">
        <v>3</v>
      </c>
      <c r="H1088" s="0" t="s">
        <v>75</v>
      </c>
      <c r="I1088" s="15" t="n">
        <v>43358.6023263889</v>
      </c>
    </row>
    <row r="1089" customFormat="false" ht="15" hidden="false" customHeight="false" outlineLevel="0" collapsed="false">
      <c r="F1089" s="6" t="s">
        <v>67</v>
      </c>
      <c r="G1089" s="0" t="n">
        <v>1</v>
      </c>
      <c r="H1089" s="0" t="s">
        <v>146</v>
      </c>
      <c r="I1089" s="15" t="n">
        <v>43358.6022222222</v>
      </c>
    </row>
    <row r="1090" customFormat="false" ht="15" hidden="false" customHeight="false" outlineLevel="0" collapsed="false">
      <c r="F1090" s="6" t="s">
        <v>100</v>
      </c>
      <c r="G1090" s="0" t="n">
        <v>1</v>
      </c>
      <c r="H1090" s="0" t="s">
        <v>75</v>
      </c>
      <c r="I1090" s="15" t="n">
        <v>43358.6022222222</v>
      </c>
    </row>
    <row r="1091" customFormat="false" ht="15" hidden="false" customHeight="false" outlineLevel="0" collapsed="false">
      <c r="F1091" s="6" t="s">
        <v>41</v>
      </c>
      <c r="G1091" s="0" t="n">
        <v>1</v>
      </c>
      <c r="H1091" s="0" t="s">
        <v>75</v>
      </c>
      <c r="I1091" s="15" t="n">
        <v>43358.6020138889</v>
      </c>
    </row>
    <row r="1092" customFormat="false" ht="15" hidden="false" customHeight="false" outlineLevel="0" collapsed="false">
      <c r="F1092" s="6" t="s">
        <v>80</v>
      </c>
      <c r="G1092" s="0" t="n">
        <v>3</v>
      </c>
      <c r="H1092" s="0" t="s">
        <v>146</v>
      </c>
      <c r="I1092" s="15" t="n">
        <v>43358.6019212963</v>
      </c>
    </row>
    <row r="1093" customFormat="false" ht="15" hidden="false" customHeight="false" outlineLevel="0" collapsed="false">
      <c r="F1093" s="6" t="s">
        <v>193</v>
      </c>
      <c r="G1093" s="0" t="n">
        <v>1</v>
      </c>
      <c r="H1093" s="0" t="s">
        <v>75</v>
      </c>
      <c r="I1093" s="15" t="n">
        <v>43358.6019097222</v>
      </c>
    </row>
    <row r="1094" customFormat="false" ht="15" hidden="false" customHeight="false" outlineLevel="0" collapsed="false">
      <c r="F1094" s="6" t="s">
        <v>111</v>
      </c>
      <c r="G1094" s="0" t="n">
        <v>1</v>
      </c>
      <c r="H1094" s="0" t="s">
        <v>146</v>
      </c>
      <c r="I1094" s="15" t="n">
        <v>43358.6017824074</v>
      </c>
    </row>
    <row r="1095" customFormat="false" ht="15" hidden="false" customHeight="false" outlineLevel="0" collapsed="false">
      <c r="F1095" s="6" t="s">
        <v>34</v>
      </c>
      <c r="G1095" s="0" t="n">
        <v>1</v>
      </c>
      <c r="H1095" s="0" t="s">
        <v>75</v>
      </c>
      <c r="I1095" s="15" t="n">
        <v>43358.6016898148</v>
      </c>
    </row>
    <row r="1096" customFormat="false" ht="15" hidden="false" customHeight="false" outlineLevel="0" collapsed="false">
      <c r="F1096" s="6" t="s">
        <v>68</v>
      </c>
      <c r="G1096" s="0" t="n">
        <v>4</v>
      </c>
      <c r="H1096" s="0" t="s">
        <v>146</v>
      </c>
      <c r="I1096" s="15" t="n">
        <v>43358.6015856482</v>
      </c>
    </row>
    <row r="1097" customFormat="false" ht="15" hidden="false" customHeight="false" outlineLevel="0" collapsed="false">
      <c r="F1097" s="6" t="s">
        <v>59</v>
      </c>
      <c r="G1097" s="0" t="n">
        <v>2</v>
      </c>
      <c r="H1097" s="0" t="s">
        <v>75</v>
      </c>
      <c r="I1097" s="15" t="n">
        <v>43358.6014583333</v>
      </c>
    </row>
    <row r="1098" customFormat="false" ht="15" hidden="false" customHeight="false" outlineLevel="0" collapsed="false">
      <c r="F1098" s="6" t="s">
        <v>97</v>
      </c>
      <c r="G1098" s="0" t="n">
        <v>4</v>
      </c>
      <c r="H1098" s="0" t="s">
        <v>146</v>
      </c>
      <c r="I1098" s="15" t="n">
        <v>43358.6014467593</v>
      </c>
    </row>
    <row r="1099" customFormat="false" ht="15" hidden="false" customHeight="false" outlineLevel="0" collapsed="false">
      <c r="F1099" s="6" t="s">
        <v>118</v>
      </c>
      <c r="G1099" s="0" t="n">
        <v>1</v>
      </c>
      <c r="H1099" s="0" t="s">
        <v>75</v>
      </c>
      <c r="I1099" s="15" t="n">
        <v>43358.6013888889</v>
      </c>
    </row>
    <row r="1100" customFormat="false" ht="15" hidden="false" customHeight="false" outlineLevel="0" collapsed="false">
      <c r="F1100" s="6" t="s">
        <v>113</v>
      </c>
      <c r="G1100" s="0" t="n">
        <v>1</v>
      </c>
      <c r="H1100" s="0" t="s">
        <v>146</v>
      </c>
      <c r="I1100" s="15" t="n">
        <v>43358.6013078704</v>
      </c>
    </row>
    <row r="1101" customFormat="false" ht="15" hidden="false" customHeight="false" outlineLevel="0" collapsed="false">
      <c r="F1101" s="6" t="s">
        <v>190</v>
      </c>
      <c r="G1101" s="0" t="n">
        <v>1</v>
      </c>
      <c r="H1101" s="0" t="s">
        <v>75</v>
      </c>
      <c r="I1101" s="15" t="n">
        <v>43358.6012847222</v>
      </c>
    </row>
    <row r="1102" customFormat="false" ht="15" hidden="false" customHeight="false" outlineLevel="0" collapsed="false">
      <c r="F1102" s="6" t="s">
        <v>29</v>
      </c>
      <c r="G1102" s="0" t="n">
        <v>1</v>
      </c>
      <c r="H1102" s="0" t="s">
        <v>75</v>
      </c>
      <c r="I1102" s="15" t="n">
        <v>43358.6012152778</v>
      </c>
    </row>
    <row r="1103" customFormat="false" ht="15" hidden="false" customHeight="false" outlineLevel="0" collapsed="false">
      <c r="F1103" s="6" t="s">
        <v>46</v>
      </c>
      <c r="G1103" s="0" t="n">
        <v>3</v>
      </c>
      <c r="H1103" s="0" t="s">
        <v>146</v>
      </c>
      <c r="I1103" s="15" t="n">
        <v>43358.6010648148</v>
      </c>
    </row>
    <row r="1104" customFormat="false" ht="15" hidden="false" customHeight="false" outlineLevel="0" collapsed="false">
      <c r="F1104" s="6" t="s">
        <v>76</v>
      </c>
      <c r="G1104" s="0" t="n">
        <v>1</v>
      </c>
      <c r="H1104" s="0" t="s">
        <v>75</v>
      </c>
      <c r="I1104" s="15" t="n">
        <v>43358.6010416667</v>
      </c>
    </row>
    <row r="1105" customFormat="false" ht="15" hidden="false" customHeight="false" outlineLevel="0" collapsed="false">
      <c r="F1105" s="6" t="s">
        <v>194</v>
      </c>
      <c r="G1105" s="0" t="n">
        <v>1</v>
      </c>
      <c r="H1105" s="0" t="s">
        <v>75</v>
      </c>
      <c r="I1105" s="15" t="n">
        <v>43358.600787037</v>
      </c>
    </row>
    <row r="1106" customFormat="false" ht="15" hidden="false" customHeight="false" outlineLevel="0" collapsed="false">
      <c r="F1106" s="6" t="s">
        <v>25</v>
      </c>
      <c r="G1106" s="0" t="n">
        <v>5</v>
      </c>
      <c r="H1106" s="0" t="s">
        <v>146</v>
      </c>
      <c r="I1106" s="15" t="n">
        <v>43358.600625</v>
      </c>
    </row>
    <row r="1107" customFormat="false" ht="15" hidden="false" customHeight="false" outlineLevel="0" collapsed="false">
      <c r="F1107" s="6" t="s">
        <v>25</v>
      </c>
      <c r="G1107" s="0" t="n">
        <v>3</v>
      </c>
      <c r="H1107" s="0" t="s">
        <v>146</v>
      </c>
      <c r="I1107" s="15" t="n">
        <v>43358.6003125</v>
      </c>
    </row>
    <row r="1108" customFormat="false" ht="15" hidden="false" customHeight="false" outlineLevel="0" collapsed="false">
      <c r="F1108" s="6" t="s">
        <v>176</v>
      </c>
      <c r="G1108" s="0" t="n">
        <v>1</v>
      </c>
      <c r="H1108" s="0" t="s">
        <v>75</v>
      </c>
      <c r="I1108" s="15" t="n">
        <v>43358.6001736111</v>
      </c>
    </row>
    <row r="1109" customFormat="false" ht="15" hidden="false" customHeight="false" outlineLevel="0" collapsed="false">
      <c r="F1109" s="6" t="s">
        <v>77</v>
      </c>
      <c r="G1109" s="0" t="n">
        <v>1</v>
      </c>
      <c r="H1109" s="0" t="s">
        <v>75</v>
      </c>
      <c r="I1109" s="15" t="n">
        <v>43358.5998263889</v>
      </c>
    </row>
    <row r="1110" customFormat="false" ht="15" hidden="false" customHeight="false" outlineLevel="0" collapsed="false">
      <c r="F1110" s="6" t="s">
        <v>26</v>
      </c>
      <c r="G1110" s="0" t="n">
        <v>6</v>
      </c>
      <c r="H1110" s="0" t="s">
        <v>75</v>
      </c>
      <c r="I1110" s="15" t="n">
        <v>43358.5995601852</v>
      </c>
    </row>
    <row r="1111" customFormat="false" ht="15" hidden="false" customHeight="false" outlineLevel="0" collapsed="false">
      <c r="F1111" s="6" t="s">
        <v>21</v>
      </c>
      <c r="G1111" s="0" t="n">
        <v>6</v>
      </c>
      <c r="H1111" s="0" t="s">
        <v>146</v>
      </c>
      <c r="I1111" s="15" t="n">
        <v>43358.5994097222</v>
      </c>
    </row>
    <row r="1112" customFormat="false" ht="15" hidden="false" customHeight="false" outlineLevel="0" collapsed="false">
      <c r="F1112" s="6" t="s">
        <v>15</v>
      </c>
      <c r="G1112" s="0" t="n">
        <v>3</v>
      </c>
      <c r="H1112" s="0" t="s">
        <v>146</v>
      </c>
      <c r="I1112" s="15" t="n">
        <v>43358.5993055556</v>
      </c>
    </row>
    <row r="1113" customFormat="false" ht="15" hidden="false" customHeight="false" outlineLevel="0" collapsed="false">
      <c r="F1113" s="6" t="s">
        <v>26</v>
      </c>
      <c r="G1113" s="0" t="n">
        <v>4</v>
      </c>
      <c r="H1113" s="0" t="s">
        <v>146</v>
      </c>
      <c r="I1113" s="15" t="n">
        <v>43358.599212963</v>
      </c>
    </row>
    <row r="1114" customFormat="false" ht="15" hidden="false" customHeight="false" outlineLevel="0" collapsed="false">
      <c r="F1114" s="6" t="s">
        <v>57</v>
      </c>
      <c r="G1114" s="0" t="n">
        <v>10</v>
      </c>
      <c r="H1114" s="0" t="s">
        <v>75</v>
      </c>
      <c r="I1114" s="15" t="n">
        <v>43358.5991550926</v>
      </c>
    </row>
    <row r="1115" customFormat="false" ht="15" hidden="false" customHeight="false" outlineLevel="0" collapsed="false">
      <c r="F1115" s="6" t="s">
        <v>33</v>
      </c>
      <c r="G1115" s="0" t="n">
        <v>2</v>
      </c>
      <c r="H1115" s="0" t="s">
        <v>75</v>
      </c>
      <c r="I1115" s="15" t="n">
        <v>43358.598912037</v>
      </c>
    </row>
    <row r="1116" customFormat="false" ht="15" hidden="false" customHeight="false" outlineLevel="0" collapsed="false">
      <c r="F1116" s="6" t="s">
        <v>15</v>
      </c>
      <c r="G1116" s="0" t="n">
        <v>8</v>
      </c>
      <c r="H1116" s="0" t="s">
        <v>75</v>
      </c>
      <c r="I1116" s="15" t="n">
        <v>43358.5988425926</v>
      </c>
    </row>
    <row r="1117" customFormat="false" ht="15" hidden="false" customHeight="false" outlineLevel="0" collapsed="false">
      <c r="F1117" s="6" t="s">
        <v>32</v>
      </c>
      <c r="G1117" s="0" t="n">
        <v>7</v>
      </c>
      <c r="H1117" s="0" t="s">
        <v>75</v>
      </c>
      <c r="I1117" s="15" t="n">
        <v>43358.598287037</v>
      </c>
    </row>
    <row r="1118" customFormat="false" ht="15" hidden="false" customHeight="false" outlineLevel="0" collapsed="false">
      <c r="F1118" s="6" t="s">
        <v>37</v>
      </c>
      <c r="G1118" s="0" t="n">
        <v>2</v>
      </c>
      <c r="H1118" s="0" t="s">
        <v>146</v>
      </c>
      <c r="I1118" s="15" t="n">
        <v>43358.5978703704</v>
      </c>
    </row>
    <row r="1119" customFormat="false" ht="15" hidden="false" customHeight="false" outlineLevel="0" collapsed="false">
      <c r="F1119" s="6" t="s">
        <v>36</v>
      </c>
      <c r="G1119" s="0" t="n">
        <v>3</v>
      </c>
      <c r="H1119" s="0" t="s">
        <v>146</v>
      </c>
      <c r="I1119" s="15" t="n">
        <v>43358.5977662037</v>
      </c>
    </row>
    <row r="1120" customFormat="false" ht="15" hidden="false" customHeight="false" outlineLevel="0" collapsed="false">
      <c r="F1120" s="6" t="s">
        <v>32</v>
      </c>
      <c r="G1120" s="0" t="n">
        <v>19</v>
      </c>
      <c r="H1120" s="0" t="s">
        <v>146</v>
      </c>
      <c r="I1120" s="15" t="n">
        <v>43358.5976736111</v>
      </c>
    </row>
    <row r="1121" customFormat="false" ht="15" hidden="false" customHeight="false" outlineLevel="0" collapsed="false">
      <c r="F1121" s="6" t="s">
        <v>31</v>
      </c>
      <c r="G1121" s="0" t="n">
        <v>36</v>
      </c>
      <c r="H1121" s="0" t="s">
        <v>146</v>
      </c>
      <c r="I1121" s="15" t="n">
        <v>43358.5975462963</v>
      </c>
    </row>
    <row r="1122" customFormat="false" ht="15" hidden="false" customHeight="false" outlineLevel="0" collapsed="false">
      <c r="F1122" s="6" t="s">
        <v>37</v>
      </c>
      <c r="G1122" s="0" t="n">
        <v>2</v>
      </c>
      <c r="H1122" s="0" t="s">
        <v>75</v>
      </c>
      <c r="I1122" s="15" t="n">
        <v>43358.5972106482</v>
      </c>
    </row>
    <row r="1123" customFormat="false" ht="15" hidden="false" customHeight="false" outlineLevel="0" collapsed="false">
      <c r="F1123" s="6" t="s">
        <v>41</v>
      </c>
      <c r="G1123" s="0" t="n">
        <v>26</v>
      </c>
      <c r="H1123" s="0" t="s">
        <v>75</v>
      </c>
      <c r="I1123" s="15" t="n">
        <v>43358.5965740741</v>
      </c>
    </row>
    <row r="1124" customFormat="false" ht="15" hidden="false" customHeight="false" outlineLevel="0" collapsed="false">
      <c r="F1124" s="6" t="s">
        <v>72</v>
      </c>
      <c r="G1124" s="0" t="n">
        <v>1</v>
      </c>
      <c r="H1124" s="0" t="s">
        <v>146</v>
      </c>
      <c r="I1124" s="15" t="n">
        <v>43358.5961342593</v>
      </c>
    </row>
    <row r="1125" customFormat="false" ht="15" hidden="false" customHeight="false" outlineLevel="0" collapsed="false">
      <c r="F1125" s="6" t="s">
        <v>25</v>
      </c>
      <c r="G1125" s="0" t="n">
        <v>23</v>
      </c>
      <c r="H1125" s="0" t="s">
        <v>75</v>
      </c>
      <c r="I1125" s="15" t="n">
        <v>43358.595775463</v>
      </c>
    </row>
    <row r="1126" customFormat="false" ht="15" hidden="false" customHeight="false" outlineLevel="0" collapsed="false">
      <c r="F1126" s="6" t="s">
        <v>34</v>
      </c>
      <c r="G1126" s="0" t="n">
        <v>11</v>
      </c>
      <c r="H1126" s="0" t="s">
        <v>75</v>
      </c>
      <c r="I1126" s="15" t="n">
        <v>43358.5950925926</v>
      </c>
    </row>
    <row r="1127" customFormat="false" ht="15" hidden="false" customHeight="false" outlineLevel="0" collapsed="false">
      <c r="F1127" s="6" t="s">
        <v>21</v>
      </c>
      <c r="G1127" s="0" t="n">
        <v>16</v>
      </c>
      <c r="H1127" s="0" t="s">
        <v>75</v>
      </c>
      <c r="I1127" s="15" t="n">
        <v>43358.5947337963</v>
      </c>
    </row>
    <row r="1128" customFormat="false" ht="15" hidden="false" customHeight="false" outlineLevel="0" collapsed="false">
      <c r="F1128" s="6" t="s">
        <v>25</v>
      </c>
      <c r="G1128" s="0" t="n">
        <v>7</v>
      </c>
      <c r="H1128" s="0" t="s">
        <v>75</v>
      </c>
      <c r="I1128" s="15" t="n">
        <v>43358.5945949074</v>
      </c>
    </row>
    <row r="1129" customFormat="false" ht="15" hidden="false" customHeight="false" outlineLevel="0" collapsed="false">
      <c r="F1129" s="6" t="s">
        <v>145</v>
      </c>
      <c r="G1129" s="0" t="n">
        <v>1</v>
      </c>
      <c r="H1129" s="0" t="s">
        <v>16</v>
      </c>
      <c r="I1129" s="15" t="n">
        <v>43358.5843981482</v>
      </c>
    </row>
    <row r="1130" customFormat="false" ht="15" hidden="false" customHeight="false" outlineLevel="0" collapsed="false">
      <c r="F1130" s="6" t="s">
        <v>107</v>
      </c>
      <c r="G1130" s="0" t="n">
        <v>6</v>
      </c>
      <c r="H1130" s="0" t="s">
        <v>16</v>
      </c>
      <c r="I1130" s="15" t="n">
        <v>43358.5842824074</v>
      </c>
    </row>
    <row r="1131" customFormat="false" ht="15" hidden="false" customHeight="false" outlineLevel="0" collapsed="false">
      <c r="F1131" s="6" t="s">
        <v>107</v>
      </c>
      <c r="G1131" s="0" t="n">
        <v>7</v>
      </c>
      <c r="H1131" s="0" t="s">
        <v>16</v>
      </c>
      <c r="I1131" s="15" t="n">
        <v>43358.5840856482</v>
      </c>
    </row>
    <row r="1132" customFormat="false" ht="15" hidden="false" customHeight="false" outlineLevel="0" collapsed="false">
      <c r="F1132" s="6" t="s">
        <v>54</v>
      </c>
      <c r="G1132" s="0" t="n">
        <v>1</v>
      </c>
      <c r="H1132" s="0" t="s">
        <v>16</v>
      </c>
      <c r="I1132" s="15" t="n">
        <v>43358.5837152778</v>
      </c>
    </row>
    <row r="1133" customFormat="false" ht="15" hidden="false" customHeight="false" outlineLevel="0" collapsed="false">
      <c r="F1133" s="6" t="s">
        <v>32</v>
      </c>
      <c r="G1133" s="0" t="n">
        <v>15</v>
      </c>
      <c r="H1133" s="0" t="s">
        <v>16</v>
      </c>
      <c r="I1133" s="15" t="n">
        <v>43358.5834027778</v>
      </c>
    </row>
    <row r="1134" customFormat="false" ht="15" hidden="false" customHeight="false" outlineLevel="0" collapsed="false">
      <c r="F1134" s="6" t="s">
        <v>27</v>
      </c>
      <c r="G1134" s="0" t="n">
        <v>4</v>
      </c>
      <c r="H1134" s="0" t="s">
        <v>16</v>
      </c>
      <c r="I1134" s="15" t="n">
        <v>43358.5832407407</v>
      </c>
    </row>
    <row r="1135" customFormat="false" ht="15" hidden="false" customHeight="false" outlineLevel="0" collapsed="false">
      <c r="F1135" s="6" t="s">
        <v>120</v>
      </c>
      <c r="G1135" s="0" t="n">
        <v>1</v>
      </c>
      <c r="H1135" s="0" t="s">
        <v>16</v>
      </c>
      <c r="I1135" s="15" t="n">
        <v>43358.582974537</v>
      </c>
    </row>
    <row r="1136" customFormat="false" ht="15" hidden="false" customHeight="false" outlineLevel="0" collapsed="false">
      <c r="F1136" s="6" t="s">
        <v>23</v>
      </c>
      <c r="G1136" s="0" t="n">
        <v>2</v>
      </c>
      <c r="H1136" s="0" t="s">
        <v>157</v>
      </c>
      <c r="I1136" s="15" t="n">
        <v>43358.5829398148</v>
      </c>
    </row>
    <row r="1137" customFormat="false" ht="15" hidden="false" customHeight="false" outlineLevel="0" collapsed="false">
      <c r="F1137" s="6" t="s">
        <v>86</v>
      </c>
      <c r="G1137" s="0" t="n">
        <v>1</v>
      </c>
      <c r="H1137" s="0" t="s">
        <v>157</v>
      </c>
      <c r="I1137" s="15" t="n">
        <v>43358.5828703704</v>
      </c>
    </row>
    <row r="1138" customFormat="false" ht="15" hidden="false" customHeight="false" outlineLevel="0" collapsed="false">
      <c r="F1138" s="6" t="s">
        <v>41</v>
      </c>
      <c r="G1138" s="0" t="n">
        <v>3</v>
      </c>
      <c r="H1138" s="0" t="s">
        <v>157</v>
      </c>
      <c r="I1138" s="15" t="n">
        <v>43358.5827083333</v>
      </c>
    </row>
    <row r="1139" customFormat="false" ht="15" hidden="false" customHeight="false" outlineLevel="0" collapsed="false">
      <c r="F1139" s="6" t="s">
        <v>34</v>
      </c>
      <c r="G1139" s="0" t="n">
        <v>1</v>
      </c>
      <c r="H1139" s="0" t="s">
        <v>157</v>
      </c>
      <c r="I1139" s="15" t="n">
        <v>43358.5825810185</v>
      </c>
    </row>
    <row r="1140" customFormat="false" ht="15" hidden="false" customHeight="false" outlineLevel="0" collapsed="false">
      <c r="F1140" s="6" t="s">
        <v>25</v>
      </c>
      <c r="G1140" s="0" t="n">
        <v>6</v>
      </c>
      <c r="H1140" s="0" t="s">
        <v>16</v>
      </c>
      <c r="I1140" s="15" t="n">
        <v>43358.5825347222</v>
      </c>
    </row>
    <row r="1141" customFormat="false" ht="15" hidden="false" customHeight="false" outlineLevel="0" collapsed="false">
      <c r="F1141" s="6" t="s">
        <v>40</v>
      </c>
      <c r="G1141" s="0" t="n">
        <v>1</v>
      </c>
      <c r="H1141" s="0" t="s">
        <v>157</v>
      </c>
      <c r="I1141" s="15" t="n">
        <v>43358.5824652778</v>
      </c>
    </row>
    <row r="1142" customFormat="false" ht="15" hidden="false" customHeight="false" outlineLevel="0" collapsed="false">
      <c r="F1142" s="6" t="s">
        <v>39</v>
      </c>
      <c r="G1142" s="0" t="n">
        <v>2</v>
      </c>
      <c r="H1142" s="0" t="s">
        <v>157</v>
      </c>
      <c r="I1142" s="15" t="n">
        <v>43358.582349537</v>
      </c>
    </row>
    <row r="1143" customFormat="false" ht="15" hidden="false" customHeight="false" outlineLevel="0" collapsed="false">
      <c r="F1143" s="6" t="s">
        <v>41</v>
      </c>
      <c r="G1143" s="0" t="n">
        <v>1</v>
      </c>
      <c r="H1143" s="0" t="s">
        <v>16</v>
      </c>
      <c r="I1143" s="15" t="n">
        <v>43358.5823032407</v>
      </c>
    </row>
    <row r="1144" customFormat="false" ht="15" hidden="false" customHeight="false" outlineLevel="0" collapsed="false">
      <c r="F1144" s="6" t="s">
        <v>33</v>
      </c>
      <c r="G1144" s="0" t="n">
        <v>2</v>
      </c>
      <c r="H1144" s="0" t="s">
        <v>16</v>
      </c>
      <c r="I1144" s="15" t="n">
        <v>43358.5822337963</v>
      </c>
    </row>
    <row r="1145" customFormat="false" ht="15" hidden="false" customHeight="false" outlineLevel="0" collapsed="false">
      <c r="F1145" s="6" t="s">
        <v>15</v>
      </c>
      <c r="G1145" s="0" t="n">
        <v>3</v>
      </c>
      <c r="H1145" s="0" t="s">
        <v>16</v>
      </c>
      <c r="I1145" s="15" t="n">
        <v>43358.5820949074</v>
      </c>
    </row>
    <row r="1146" customFormat="false" ht="15" hidden="false" customHeight="false" outlineLevel="0" collapsed="false">
      <c r="F1146" s="6" t="s">
        <v>26</v>
      </c>
      <c r="G1146" s="0" t="n">
        <v>4</v>
      </c>
      <c r="H1146" s="0" t="s">
        <v>16</v>
      </c>
      <c r="I1146" s="15" t="n">
        <v>43358.5819444444</v>
      </c>
    </row>
    <row r="1147" customFormat="false" ht="15" hidden="false" customHeight="false" outlineLevel="0" collapsed="false">
      <c r="F1147" s="6" t="s">
        <v>21</v>
      </c>
      <c r="G1147" s="0" t="n">
        <v>10</v>
      </c>
      <c r="H1147" s="0" t="s">
        <v>16</v>
      </c>
      <c r="I1147" s="15" t="n">
        <v>43358.5818171296</v>
      </c>
    </row>
    <row r="1148" customFormat="false" ht="15" hidden="false" customHeight="false" outlineLevel="0" collapsed="false">
      <c r="F1148" s="6" t="s">
        <v>37</v>
      </c>
      <c r="G1148" s="0" t="n">
        <v>2</v>
      </c>
      <c r="H1148" s="0" t="s">
        <v>16</v>
      </c>
      <c r="I1148" s="15" t="n">
        <v>43358.5816550926</v>
      </c>
    </row>
    <row r="1149" customFormat="false" ht="15" hidden="false" customHeight="false" outlineLevel="0" collapsed="false">
      <c r="F1149" s="6" t="s">
        <v>34</v>
      </c>
      <c r="G1149" s="0" t="n">
        <v>6</v>
      </c>
      <c r="H1149" s="0" t="s">
        <v>16</v>
      </c>
      <c r="I1149" s="15" t="n">
        <v>43358.5815393518</v>
      </c>
    </row>
    <row r="1150" customFormat="false" ht="15" hidden="false" customHeight="false" outlineLevel="0" collapsed="false">
      <c r="F1150" s="6" t="s">
        <v>25</v>
      </c>
      <c r="G1150" s="0" t="n">
        <v>5</v>
      </c>
      <c r="H1150" s="0" t="s">
        <v>16</v>
      </c>
      <c r="I1150" s="15" t="n">
        <v>43358.5812731482</v>
      </c>
    </row>
    <row r="1151" customFormat="false" ht="15" hidden="false" customHeight="false" outlineLevel="0" collapsed="false">
      <c r="F1151" s="6" t="s">
        <v>195</v>
      </c>
      <c r="G1151" s="0" t="n">
        <v>1</v>
      </c>
      <c r="H1151" s="0" t="s">
        <v>157</v>
      </c>
      <c r="I1151" s="15" t="n">
        <v>43358.5811689815</v>
      </c>
    </row>
    <row r="1152" customFormat="false" ht="15" hidden="false" customHeight="false" outlineLevel="0" collapsed="false">
      <c r="F1152" s="6" t="s">
        <v>31</v>
      </c>
      <c r="G1152" s="0" t="n">
        <v>10</v>
      </c>
      <c r="H1152" s="0" t="s">
        <v>157</v>
      </c>
      <c r="I1152" s="15" t="n">
        <v>43358.5809027778</v>
      </c>
    </row>
    <row r="1153" customFormat="false" ht="15" hidden="false" customHeight="false" outlineLevel="0" collapsed="false">
      <c r="F1153" s="6" t="s">
        <v>54</v>
      </c>
      <c r="G1153" s="0" t="n">
        <v>2</v>
      </c>
      <c r="H1153" s="0" t="s">
        <v>157</v>
      </c>
      <c r="I1153" s="15" t="n">
        <v>43358.5807175926</v>
      </c>
    </row>
    <row r="1154" customFormat="false" ht="15" hidden="false" customHeight="false" outlineLevel="0" collapsed="false">
      <c r="F1154" s="6" t="s">
        <v>57</v>
      </c>
      <c r="G1154" s="0" t="n">
        <v>5</v>
      </c>
      <c r="H1154" s="0" t="s">
        <v>157</v>
      </c>
      <c r="I1154" s="15" t="n">
        <v>43358.5805902778</v>
      </c>
    </row>
    <row r="1155" customFormat="false" ht="15" hidden="false" customHeight="false" outlineLevel="0" collapsed="false">
      <c r="F1155" s="6" t="s">
        <v>22</v>
      </c>
      <c r="G1155" s="0" t="n">
        <v>1</v>
      </c>
      <c r="H1155" s="0" t="s">
        <v>16</v>
      </c>
      <c r="I1155" s="15" t="n">
        <v>43358.580462963</v>
      </c>
    </row>
    <row r="1156" customFormat="false" ht="15" hidden="false" customHeight="false" outlineLevel="0" collapsed="false">
      <c r="F1156" s="6" t="s">
        <v>37</v>
      </c>
      <c r="G1156" s="0" t="n">
        <v>1</v>
      </c>
      <c r="H1156" s="0" t="s">
        <v>157</v>
      </c>
      <c r="I1156" s="15" t="n">
        <v>43358.5803125</v>
      </c>
    </row>
    <row r="1157" customFormat="false" ht="15" hidden="false" customHeight="false" outlineLevel="0" collapsed="false">
      <c r="F1157" s="6" t="s">
        <v>72</v>
      </c>
      <c r="G1157" s="0" t="n">
        <v>1</v>
      </c>
      <c r="H1157" s="0" t="s">
        <v>157</v>
      </c>
      <c r="I1157" s="15" t="n">
        <v>43358.5800462963</v>
      </c>
    </row>
    <row r="1158" customFormat="false" ht="15" hidden="false" customHeight="false" outlineLevel="0" collapsed="false">
      <c r="F1158" s="6" t="s">
        <v>15</v>
      </c>
      <c r="G1158" s="0" t="n">
        <v>4</v>
      </c>
      <c r="H1158" s="0" t="s">
        <v>157</v>
      </c>
      <c r="I1158" s="15" t="n">
        <v>43358.5798726852</v>
      </c>
    </row>
    <row r="1159" customFormat="false" ht="15" hidden="false" customHeight="false" outlineLevel="0" collapsed="false">
      <c r="F1159" s="6" t="s">
        <v>110</v>
      </c>
      <c r="G1159" s="0" t="n">
        <v>1</v>
      </c>
      <c r="H1159" s="0" t="s">
        <v>157</v>
      </c>
      <c r="I1159" s="15" t="n">
        <v>43358.5797569445</v>
      </c>
    </row>
    <row r="1160" customFormat="false" ht="15" hidden="false" customHeight="false" outlineLevel="0" collapsed="false">
      <c r="F1160" s="6" t="s">
        <v>147</v>
      </c>
      <c r="G1160" s="0" t="n">
        <v>1</v>
      </c>
      <c r="H1160" s="0" t="s">
        <v>157</v>
      </c>
      <c r="I1160" s="15" t="n">
        <v>43358.5794560185</v>
      </c>
    </row>
    <row r="1161" customFormat="false" ht="15" hidden="false" customHeight="false" outlineLevel="0" collapsed="false">
      <c r="F1161" s="6" t="s">
        <v>26</v>
      </c>
      <c r="G1161" s="0" t="n">
        <v>1</v>
      </c>
      <c r="H1161" s="0" t="s">
        <v>157</v>
      </c>
      <c r="I1161" s="15" t="n">
        <v>43358.5791203704</v>
      </c>
    </row>
    <row r="1162" customFormat="false" ht="15" hidden="false" customHeight="false" outlineLevel="0" collapsed="false">
      <c r="F1162" s="6" t="s">
        <v>25</v>
      </c>
      <c r="G1162" s="0" t="n">
        <v>10</v>
      </c>
      <c r="H1162" s="0" t="s">
        <v>157</v>
      </c>
      <c r="I1162" s="15" t="n">
        <v>43358.5789814815</v>
      </c>
    </row>
    <row r="1163" customFormat="false" ht="15" hidden="false" customHeight="false" outlineLevel="0" collapsed="false">
      <c r="F1163" s="6" t="s">
        <v>25</v>
      </c>
      <c r="G1163" s="0" t="n">
        <v>5</v>
      </c>
      <c r="H1163" s="0" t="s">
        <v>157</v>
      </c>
      <c r="I1163" s="15" t="n">
        <v>43358.5787037037</v>
      </c>
    </row>
    <row r="1164" customFormat="false" ht="15" hidden="false" customHeight="false" outlineLevel="0" collapsed="false">
      <c r="F1164" s="6" t="s">
        <v>21</v>
      </c>
      <c r="G1164" s="0" t="n">
        <v>14</v>
      </c>
      <c r="H1164" s="0" t="s">
        <v>157</v>
      </c>
      <c r="I1164" s="15" t="n">
        <v>43358.5782291667</v>
      </c>
    </row>
    <row r="1165" customFormat="false" ht="15" hidden="false" customHeight="false" outlineLevel="0" collapsed="false">
      <c r="F1165" s="6" t="s">
        <v>89</v>
      </c>
      <c r="G1165" s="0" t="n">
        <v>2</v>
      </c>
      <c r="H1165" s="0" t="s">
        <v>157</v>
      </c>
      <c r="I1165" s="15" t="n">
        <v>43358.5780324074</v>
      </c>
    </row>
    <row r="1166" customFormat="false" ht="15" hidden="false" customHeight="false" outlineLevel="0" collapsed="false">
      <c r="F1166" s="6" t="s">
        <v>34</v>
      </c>
      <c r="G1166" s="0" t="n">
        <v>4</v>
      </c>
      <c r="H1166" s="0" t="s">
        <v>157</v>
      </c>
      <c r="I1166" s="15" t="n">
        <v>43358.5777662037</v>
      </c>
    </row>
    <row r="1167" customFormat="false" ht="15" hidden="false" customHeight="false" outlineLevel="0" collapsed="false">
      <c r="F1167" s="6" t="s">
        <v>25</v>
      </c>
      <c r="G1167" s="0" t="n">
        <v>1</v>
      </c>
      <c r="H1167" s="0" t="s">
        <v>157</v>
      </c>
      <c r="I1167" s="15" t="n">
        <v>43358.5775462963</v>
      </c>
    </row>
    <row r="1168" customFormat="false" ht="15" hidden="false" customHeight="false" outlineLevel="0" collapsed="false">
      <c r="F1168" s="6" t="s">
        <v>32</v>
      </c>
      <c r="G1168" s="0" t="n">
        <v>8</v>
      </c>
      <c r="H1168" s="0" t="s">
        <v>38</v>
      </c>
      <c r="I1168" s="15" t="n">
        <v>43358.5752083333</v>
      </c>
    </row>
    <row r="1169" customFormat="false" ht="15" hidden="false" customHeight="false" outlineLevel="0" collapsed="false">
      <c r="F1169" s="6" t="s">
        <v>31</v>
      </c>
      <c r="G1169" s="0" t="n">
        <v>1</v>
      </c>
      <c r="H1169" s="0" t="s">
        <v>38</v>
      </c>
      <c r="I1169" s="15" t="n">
        <v>43358.5751041667</v>
      </c>
    </row>
    <row r="1170" customFormat="false" ht="15" hidden="false" customHeight="false" outlineLevel="0" collapsed="false">
      <c r="F1170" s="6" t="s">
        <v>115</v>
      </c>
      <c r="G1170" s="0" t="n">
        <v>1</v>
      </c>
      <c r="H1170" s="0" t="s">
        <v>38</v>
      </c>
      <c r="I1170" s="15" t="n">
        <v>43358.5750231482</v>
      </c>
    </row>
    <row r="1171" customFormat="false" ht="15" hidden="false" customHeight="false" outlineLevel="0" collapsed="false">
      <c r="F1171" s="6" t="s">
        <v>145</v>
      </c>
      <c r="G1171" s="0" t="n">
        <v>1</v>
      </c>
      <c r="H1171" s="0" t="s">
        <v>38</v>
      </c>
      <c r="I1171" s="15" t="n">
        <v>43358.5748958333</v>
      </c>
    </row>
    <row r="1172" customFormat="false" ht="15" hidden="false" customHeight="false" outlineLevel="0" collapsed="false">
      <c r="F1172" s="6" t="s">
        <v>15</v>
      </c>
      <c r="G1172" s="0" t="n">
        <v>1</v>
      </c>
      <c r="H1172" s="0" t="s">
        <v>38</v>
      </c>
      <c r="I1172" s="15" t="n">
        <v>43358.5747916667</v>
      </c>
    </row>
    <row r="1173" customFormat="false" ht="15" hidden="false" customHeight="false" outlineLevel="0" collapsed="false">
      <c r="F1173" s="6" t="s">
        <v>40</v>
      </c>
      <c r="G1173" s="0" t="n">
        <v>1</v>
      </c>
      <c r="H1173" s="0" t="s">
        <v>38</v>
      </c>
      <c r="I1173" s="15" t="n">
        <v>43358.5747222222</v>
      </c>
    </row>
    <row r="1174" customFormat="false" ht="15" hidden="false" customHeight="false" outlineLevel="0" collapsed="false">
      <c r="F1174" s="6" t="s">
        <v>34</v>
      </c>
      <c r="G1174" s="0" t="n">
        <v>5</v>
      </c>
      <c r="H1174" s="0" t="s">
        <v>38</v>
      </c>
      <c r="I1174" s="15" t="n">
        <v>43358.5742824074</v>
      </c>
    </row>
    <row r="1175" customFormat="false" ht="15" hidden="false" customHeight="false" outlineLevel="0" collapsed="false">
      <c r="F1175" s="6" t="s">
        <v>196</v>
      </c>
      <c r="G1175" s="0" t="n">
        <v>1</v>
      </c>
      <c r="H1175" s="0" t="s">
        <v>38</v>
      </c>
      <c r="I1175" s="15" t="n">
        <v>43358.5741550926</v>
      </c>
    </row>
    <row r="1176" customFormat="false" ht="15" hidden="false" customHeight="false" outlineLevel="0" collapsed="false">
      <c r="F1176" s="6" t="s">
        <v>156</v>
      </c>
      <c r="G1176" s="0" t="n">
        <v>1</v>
      </c>
      <c r="H1176" s="0" t="s">
        <v>38</v>
      </c>
      <c r="I1176" s="15" t="n">
        <v>43358.5739583333</v>
      </c>
    </row>
    <row r="1177" customFormat="false" ht="15" hidden="false" customHeight="false" outlineLevel="0" collapsed="false">
      <c r="F1177" s="6" t="s">
        <v>36</v>
      </c>
      <c r="G1177" s="0" t="n">
        <v>2</v>
      </c>
      <c r="H1177" s="0" t="s">
        <v>38</v>
      </c>
      <c r="I1177" s="15" t="n">
        <v>43358.5729398148</v>
      </c>
    </row>
    <row r="1178" customFormat="false" ht="15" hidden="false" customHeight="false" outlineLevel="0" collapsed="false">
      <c r="F1178" s="6" t="s">
        <v>40</v>
      </c>
      <c r="G1178" s="0" t="n">
        <v>3</v>
      </c>
      <c r="H1178" s="0" t="s">
        <v>38</v>
      </c>
      <c r="I1178" s="15" t="n">
        <v>43358.5728125</v>
      </c>
    </row>
    <row r="1179" customFormat="false" ht="15" hidden="false" customHeight="false" outlineLevel="0" collapsed="false">
      <c r="F1179" s="6" t="s">
        <v>41</v>
      </c>
      <c r="G1179" s="0" t="n">
        <v>8</v>
      </c>
      <c r="H1179" s="0" t="s">
        <v>38</v>
      </c>
      <c r="I1179" s="15" t="n">
        <v>43358.5727314815</v>
      </c>
    </row>
    <row r="1180" customFormat="false" ht="15" hidden="false" customHeight="false" outlineLevel="0" collapsed="false">
      <c r="F1180" s="6" t="s">
        <v>31</v>
      </c>
      <c r="G1180" s="0" t="n">
        <v>12</v>
      </c>
      <c r="H1180" s="0" t="s">
        <v>109</v>
      </c>
      <c r="I1180" s="15" t="n">
        <v>43358.5711805556</v>
      </c>
    </row>
    <row r="1181" customFormat="false" ht="15" hidden="false" customHeight="false" outlineLevel="0" collapsed="false">
      <c r="F1181" s="6" t="s">
        <v>74</v>
      </c>
      <c r="G1181" s="0" t="n">
        <v>1</v>
      </c>
      <c r="H1181" s="0" t="s">
        <v>38</v>
      </c>
      <c r="I1181" s="15" t="n">
        <v>43358.5710648148</v>
      </c>
    </row>
    <row r="1182" customFormat="false" ht="15" hidden="false" customHeight="false" outlineLevel="0" collapsed="false">
      <c r="F1182" s="6" t="s">
        <v>15</v>
      </c>
      <c r="G1182" s="0" t="n">
        <v>2</v>
      </c>
      <c r="H1182" s="0" t="s">
        <v>38</v>
      </c>
      <c r="I1182" s="15" t="n">
        <v>43358.5709375</v>
      </c>
    </row>
    <row r="1183" customFormat="false" ht="15" hidden="false" customHeight="false" outlineLevel="0" collapsed="false">
      <c r="F1183" s="6" t="s">
        <v>21</v>
      </c>
      <c r="G1183" s="0" t="n">
        <v>1</v>
      </c>
      <c r="H1183" s="0" t="s">
        <v>109</v>
      </c>
      <c r="I1183" s="15" t="n">
        <v>43358.5709143519</v>
      </c>
    </row>
    <row r="1184" customFormat="false" ht="15" hidden="false" customHeight="false" outlineLevel="0" collapsed="false">
      <c r="F1184" s="6" t="s">
        <v>37</v>
      </c>
      <c r="G1184" s="0" t="n">
        <v>2</v>
      </c>
      <c r="H1184" s="0" t="s">
        <v>38</v>
      </c>
      <c r="I1184" s="15" t="n">
        <v>43358.570787037</v>
      </c>
    </row>
    <row r="1185" customFormat="false" ht="15" hidden="false" customHeight="false" outlineLevel="0" collapsed="false">
      <c r="F1185" s="6" t="s">
        <v>63</v>
      </c>
      <c r="G1185" s="0" t="n">
        <v>3</v>
      </c>
      <c r="H1185" s="0" t="s">
        <v>109</v>
      </c>
      <c r="I1185" s="15" t="n">
        <v>43358.5707407407</v>
      </c>
    </row>
    <row r="1186" customFormat="false" ht="15" hidden="false" customHeight="false" outlineLevel="0" collapsed="false">
      <c r="F1186" s="6" t="s">
        <v>26</v>
      </c>
      <c r="G1186" s="0" t="n">
        <v>5</v>
      </c>
      <c r="H1186" s="0" t="s">
        <v>38</v>
      </c>
      <c r="I1186" s="15" t="n">
        <v>43358.5703819445</v>
      </c>
    </row>
    <row r="1187" customFormat="false" ht="15" hidden="false" customHeight="false" outlineLevel="0" collapsed="false">
      <c r="F1187" s="6" t="s">
        <v>57</v>
      </c>
      <c r="G1187" s="0" t="n">
        <v>1</v>
      </c>
      <c r="H1187" s="0" t="s">
        <v>109</v>
      </c>
      <c r="I1187" s="15" t="n">
        <v>43358.5703472222</v>
      </c>
    </row>
    <row r="1188" customFormat="false" ht="15" hidden="false" customHeight="false" outlineLevel="0" collapsed="false">
      <c r="F1188" s="6" t="s">
        <v>27</v>
      </c>
      <c r="G1188" s="0" t="n">
        <v>3</v>
      </c>
      <c r="H1188" s="0" t="s">
        <v>109</v>
      </c>
      <c r="I1188" s="15" t="n">
        <v>43358.5702546296</v>
      </c>
    </row>
    <row r="1189" customFormat="false" ht="15" hidden="false" customHeight="false" outlineLevel="0" collapsed="false">
      <c r="F1189" s="6" t="s">
        <v>36</v>
      </c>
      <c r="G1189" s="0" t="n">
        <v>3</v>
      </c>
      <c r="H1189" s="0" t="s">
        <v>38</v>
      </c>
      <c r="I1189" s="15" t="n">
        <v>43358.5701736111</v>
      </c>
    </row>
    <row r="1190" customFormat="false" ht="15" hidden="false" customHeight="false" outlineLevel="0" collapsed="false">
      <c r="F1190" s="6" t="s">
        <v>26</v>
      </c>
      <c r="G1190" s="0" t="n">
        <v>2</v>
      </c>
      <c r="H1190" s="0" t="s">
        <v>109</v>
      </c>
      <c r="I1190" s="15" t="n">
        <v>43358.5701041667</v>
      </c>
    </row>
    <row r="1191" customFormat="false" ht="15" hidden="false" customHeight="false" outlineLevel="0" collapsed="false">
      <c r="F1191" s="6" t="s">
        <v>25</v>
      </c>
      <c r="G1191" s="0" t="n">
        <v>4</v>
      </c>
      <c r="H1191" s="0" t="s">
        <v>38</v>
      </c>
      <c r="I1191" s="15" t="n">
        <v>43358.5699884259</v>
      </c>
    </row>
    <row r="1192" customFormat="false" ht="15" hidden="false" customHeight="false" outlineLevel="0" collapsed="false">
      <c r="F1192" s="6" t="s">
        <v>41</v>
      </c>
      <c r="G1192" s="0" t="n">
        <v>7</v>
      </c>
      <c r="H1192" s="0" t="s">
        <v>109</v>
      </c>
      <c r="I1192" s="15" t="n">
        <v>43358.5699537037</v>
      </c>
    </row>
    <row r="1193" customFormat="false" ht="15" hidden="false" customHeight="false" outlineLevel="0" collapsed="false">
      <c r="F1193" s="6" t="s">
        <v>15</v>
      </c>
      <c r="G1193" s="0" t="n">
        <v>2</v>
      </c>
      <c r="H1193" s="0" t="s">
        <v>109</v>
      </c>
      <c r="I1193" s="15" t="n">
        <v>43358.5698263889</v>
      </c>
    </row>
    <row r="1194" customFormat="false" ht="15" hidden="false" customHeight="false" outlineLevel="0" collapsed="false">
      <c r="F1194" s="6" t="s">
        <v>27</v>
      </c>
      <c r="G1194" s="0" t="n">
        <v>21</v>
      </c>
      <c r="H1194" s="0" t="s">
        <v>38</v>
      </c>
      <c r="I1194" s="15" t="n">
        <v>43358.5696643519</v>
      </c>
    </row>
    <row r="1195" customFormat="false" ht="15" hidden="false" customHeight="false" outlineLevel="0" collapsed="false">
      <c r="F1195" s="6" t="s">
        <v>71</v>
      </c>
      <c r="G1195" s="0" t="n">
        <v>1</v>
      </c>
      <c r="H1195" s="0" t="s">
        <v>38</v>
      </c>
      <c r="I1195" s="15" t="n">
        <v>43358.5695717593</v>
      </c>
    </row>
    <row r="1196" customFormat="false" ht="15" hidden="false" customHeight="false" outlineLevel="0" collapsed="false">
      <c r="F1196" s="6" t="s">
        <v>34</v>
      </c>
      <c r="G1196" s="0" t="n">
        <v>2</v>
      </c>
      <c r="H1196" s="0" t="s">
        <v>109</v>
      </c>
      <c r="I1196" s="15" t="n">
        <v>43358.569537037</v>
      </c>
    </row>
    <row r="1197" customFormat="false" ht="15" hidden="false" customHeight="false" outlineLevel="0" collapsed="false">
      <c r="F1197" s="6" t="s">
        <v>197</v>
      </c>
      <c r="G1197" s="0" t="n">
        <v>1</v>
      </c>
      <c r="H1197" s="0" t="s">
        <v>38</v>
      </c>
      <c r="I1197" s="15" t="n">
        <v>43358.5694791667</v>
      </c>
    </row>
    <row r="1198" customFormat="false" ht="15" hidden="false" customHeight="false" outlineLevel="0" collapsed="false">
      <c r="F1198" s="6" t="s">
        <v>36</v>
      </c>
      <c r="G1198" s="0" t="n">
        <v>1</v>
      </c>
      <c r="H1198" s="0" t="s">
        <v>109</v>
      </c>
      <c r="I1198" s="15" t="n">
        <v>43358.5694097222</v>
      </c>
    </row>
    <row r="1199" customFormat="false" ht="15" hidden="false" customHeight="false" outlineLevel="0" collapsed="false">
      <c r="F1199" s="6" t="s">
        <v>25</v>
      </c>
      <c r="G1199" s="0" t="n">
        <v>3</v>
      </c>
      <c r="H1199" s="0" t="s">
        <v>38</v>
      </c>
      <c r="I1199" s="15" t="n">
        <v>43358.5690740741</v>
      </c>
    </row>
    <row r="1200" customFormat="false" ht="15" hidden="false" customHeight="false" outlineLevel="0" collapsed="false">
      <c r="F1200" s="6" t="s">
        <v>25</v>
      </c>
      <c r="G1200" s="0" t="n">
        <v>5</v>
      </c>
      <c r="H1200" s="0" t="s">
        <v>38</v>
      </c>
      <c r="I1200" s="15" t="n">
        <v>43358.5690046296</v>
      </c>
    </row>
    <row r="1201" customFormat="false" ht="15" hidden="false" customHeight="false" outlineLevel="0" collapsed="false">
      <c r="F1201" s="6" t="s">
        <v>46</v>
      </c>
      <c r="G1201" s="0" t="n">
        <v>2</v>
      </c>
      <c r="H1201" s="0" t="s">
        <v>38</v>
      </c>
      <c r="I1201" s="15" t="n">
        <v>43358.5687962963</v>
      </c>
    </row>
    <row r="1202" customFormat="false" ht="15" hidden="false" customHeight="false" outlineLevel="0" collapsed="false">
      <c r="F1202" s="6" t="s">
        <v>68</v>
      </c>
      <c r="G1202" s="0" t="n">
        <v>2</v>
      </c>
      <c r="H1202" s="0" t="s">
        <v>38</v>
      </c>
      <c r="I1202" s="15" t="n">
        <v>43358.5686342593</v>
      </c>
    </row>
    <row r="1203" customFormat="false" ht="15" hidden="false" customHeight="false" outlineLevel="0" collapsed="false">
      <c r="F1203" s="6" t="s">
        <v>96</v>
      </c>
      <c r="G1203" s="0" t="n">
        <v>3</v>
      </c>
      <c r="H1203" s="0" t="s">
        <v>38</v>
      </c>
      <c r="I1203" s="15" t="n">
        <v>43358.5685185185</v>
      </c>
    </row>
    <row r="1204" customFormat="false" ht="15" hidden="false" customHeight="false" outlineLevel="0" collapsed="false">
      <c r="F1204" s="6" t="s">
        <v>96</v>
      </c>
      <c r="G1204" s="0" t="n">
        <v>1</v>
      </c>
      <c r="H1204" s="0" t="s">
        <v>38</v>
      </c>
      <c r="I1204" s="15" t="n">
        <v>43358.5680555556</v>
      </c>
    </row>
    <row r="1205" customFormat="false" ht="15" hidden="false" customHeight="false" outlineLevel="0" collapsed="false">
      <c r="F1205" s="6" t="s">
        <v>88</v>
      </c>
      <c r="G1205" s="0" t="n">
        <v>1</v>
      </c>
      <c r="H1205" s="0" t="s">
        <v>38</v>
      </c>
      <c r="I1205" s="15" t="n">
        <v>43358.567974537</v>
      </c>
    </row>
    <row r="1206" customFormat="false" ht="15" hidden="false" customHeight="false" outlineLevel="0" collapsed="false">
      <c r="F1206" s="6" t="s">
        <v>156</v>
      </c>
      <c r="G1206" s="0" t="n">
        <v>1</v>
      </c>
      <c r="H1206" s="0" t="s">
        <v>38</v>
      </c>
      <c r="I1206" s="15" t="n">
        <v>43358.5678703704</v>
      </c>
    </row>
    <row r="1207" customFormat="false" ht="15" hidden="false" customHeight="false" outlineLevel="0" collapsed="false">
      <c r="F1207" s="6" t="s">
        <v>67</v>
      </c>
      <c r="G1207" s="0" t="n">
        <v>2</v>
      </c>
      <c r="H1207" s="0" t="s">
        <v>38</v>
      </c>
      <c r="I1207" s="15" t="n">
        <v>43358.5677893519</v>
      </c>
    </row>
    <row r="1208" customFormat="false" ht="15" hidden="false" customHeight="false" outlineLevel="0" collapsed="false">
      <c r="F1208" s="6" t="s">
        <v>35</v>
      </c>
      <c r="G1208" s="0" t="n">
        <v>2</v>
      </c>
      <c r="H1208" s="0" t="s">
        <v>38</v>
      </c>
      <c r="I1208" s="15" t="n">
        <v>43358.567650463</v>
      </c>
    </row>
    <row r="1209" customFormat="false" ht="15" hidden="false" customHeight="false" outlineLevel="0" collapsed="false">
      <c r="F1209" s="6" t="s">
        <v>25</v>
      </c>
      <c r="G1209" s="0" t="n">
        <v>6</v>
      </c>
      <c r="H1209" s="0" t="s">
        <v>109</v>
      </c>
      <c r="I1209" s="15" t="n">
        <v>43358.5675925926</v>
      </c>
    </row>
    <row r="1210" customFormat="false" ht="15" hidden="false" customHeight="false" outlineLevel="0" collapsed="false">
      <c r="F1210" s="6" t="s">
        <v>64</v>
      </c>
      <c r="G1210" s="0" t="n">
        <v>1</v>
      </c>
      <c r="H1210" s="0" t="s">
        <v>38</v>
      </c>
      <c r="I1210" s="15" t="n">
        <v>43358.5675578704</v>
      </c>
    </row>
    <row r="1211" customFormat="false" ht="15" hidden="false" customHeight="false" outlineLevel="0" collapsed="false">
      <c r="F1211" s="6" t="s">
        <v>35</v>
      </c>
      <c r="G1211" s="0" t="n">
        <v>2</v>
      </c>
      <c r="H1211" s="0" t="s">
        <v>38</v>
      </c>
      <c r="I1211" s="15" t="n">
        <v>43358.5673726852</v>
      </c>
    </row>
    <row r="1212" customFormat="false" ht="15" hidden="false" customHeight="false" outlineLevel="0" collapsed="false">
      <c r="F1212" s="6" t="s">
        <v>67</v>
      </c>
      <c r="G1212" s="0" t="n">
        <v>7</v>
      </c>
      <c r="H1212" s="0" t="s">
        <v>38</v>
      </c>
      <c r="I1212" s="15" t="n">
        <v>43358.5671990741</v>
      </c>
    </row>
    <row r="1213" customFormat="false" ht="15" hidden="false" customHeight="false" outlineLevel="0" collapsed="false">
      <c r="F1213" s="6" t="s">
        <v>72</v>
      </c>
      <c r="G1213" s="0" t="n">
        <v>5</v>
      </c>
      <c r="H1213" s="0" t="s">
        <v>13</v>
      </c>
      <c r="I1213" s="15" t="n">
        <v>43358.5543402778</v>
      </c>
    </row>
    <row r="1214" customFormat="false" ht="15" hidden="false" customHeight="false" outlineLevel="0" collapsed="false">
      <c r="F1214" s="6" t="s">
        <v>36</v>
      </c>
      <c r="G1214" s="0" t="n">
        <v>2</v>
      </c>
      <c r="H1214" s="0" t="s">
        <v>13</v>
      </c>
      <c r="I1214" s="15" t="n">
        <v>43358.554212963</v>
      </c>
    </row>
    <row r="1215" customFormat="false" ht="15" hidden="false" customHeight="false" outlineLevel="0" collapsed="false">
      <c r="F1215" s="6" t="s">
        <v>25</v>
      </c>
      <c r="G1215" s="0" t="n">
        <v>20</v>
      </c>
      <c r="H1215" s="0" t="s">
        <v>13</v>
      </c>
      <c r="I1215" s="15" t="n">
        <v>43358.5541203704</v>
      </c>
    </row>
    <row r="1216" customFormat="false" ht="15" hidden="false" customHeight="false" outlineLevel="0" collapsed="false">
      <c r="F1216" s="6" t="s">
        <v>42</v>
      </c>
      <c r="G1216" s="0" t="n">
        <v>4</v>
      </c>
      <c r="H1216" s="0" t="s">
        <v>13</v>
      </c>
      <c r="I1216" s="15" t="n">
        <v>43358.5539814815</v>
      </c>
    </row>
    <row r="1217" customFormat="false" ht="15" hidden="false" customHeight="false" outlineLevel="0" collapsed="false">
      <c r="F1217" s="6" t="s">
        <v>74</v>
      </c>
      <c r="G1217" s="0" t="n">
        <v>5</v>
      </c>
      <c r="H1217" s="0" t="s">
        <v>38</v>
      </c>
      <c r="I1217" s="15" t="n">
        <v>43358.5539236111</v>
      </c>
    </row>
    <row r="1218" customFormat="false" ht="15" hidden="false" customHeight="false" outlineLevel="0" collapsed="false">
      <c r="F1218" s="6" t="s">
        <v>67</v>
      </c>
      <c r="G1218" s="0" t="n">
        <v>1</v>
      </c>
      <c r="H1218" s="0" t="s">
        <v>38</v>
      </c>
      <c r="I1218" s="15" t="n">
        <v>43358.5538425926</v>
      </c>
    </row>
    <row r="1219" customFormat="false" ht="15" hidden="false" customHeight="false" outlineLevel="0" collapsed="false">
      <c r="F1219" s="6" t="s">
        <v>36</v>
      </c>
      <c r="G1219" s="0" t="n">
        <v>3</v>
      </c>
      <c r="H1219" s="0" t="s">
        <v>38</v>
      </c>
      <c r="I1219" s="15" t="n">
        <v>43358.55375</v>
      </c>
    </row>
    <row r="1220" customFormat="false" ht="15" hidden="false" customHeight="false" outlineLevel="0" collapsed="false">
      <c r="F1220" s="6" t="s">
        <v>59</v>
      </c>
      <c r="G1220" s="0" t="n">
        <v>2</v>
      </c>
      <c r="H1220" s="0" t="s">
        <v>13</v>
      </c>
      <c r="I1220" s="15" t="n">
        <v>43358.5536805556</v>
      </c>
    </row>
    <row r="1221" customFormat="false" ht="15" hidden="false" customHeight="false" outlineLevel="0" collapsed="false">
      <c r="F1221" s="6" t="s">
        <v>142</v>
      </c>
      <c r="G1221" s="0" t="n">
        <v>1</v>
      </c>
      <c r="H1221" s="0" t="s">
        <v>38</v>
      </c>
      <c r="I1221" s="15" t="n">
        <v>43358.5536342593</v>
      </c>
    </row>
    <row r="1222" customFormat="false" ht="15" hidden="false" customHeight="false" outlineLevel="0" collapsed="false">
      <c r="F1222" s="6" t="s">
        <v>26</v>
      </c>
      <c r="G1222" s="0" t="n">
        <v>2</v>
      </c>
      <c r="H1222" s="0" t="s">
        <v>13</v>
      </c>
      <c r="I1222" s="15" t="n">
        <v>43358.553599537</v>
      </c>
    </row>
    <row r="1223" customFormat="false" ht="15" hidden="false" customHeight="false" outlineLevel="0" collapsed="false">
      <c r="F1223" s="6" t="s">
        <v>35</v>
      </c>
      <c r="G1223" s="0" t="n">
        <v>1</v>
      </c>
      <c r="H1223" s="0" t="s">
        <v>13</v>
      </c>
      <c r="I1223" s="15" t="n">
        <v>43358.5534953704</v>
      </c>
    </row>
    <row r="1224" customFormat="false" ht="15" hidden="false" customHeight="false" outlineLevel="0" collapsed="false">
      <c r="F1224" s="6" t="s">
        <v>128</v>
      </c>
      <c r="G1224" s="0" t="n">
        <v>1</v>
      </c>
      <c r="H1224" s="0" t="s">
        <v>13</v>
      </c>
      <c r="I1224" s="15" t="n">
        <v>43358.553287037</v>
      </c>
    </row>
    <row r="1225" customFormat="false" ht="15" hidden="false" customHeight="false" outlineLevel="0" collapsed="false">
      <c r="F1225" s="6" t="s">
        <v>41</v>
      </c>
      <c r="G1225" s="0" t="n">
        <v>1</v>
      </c>
      <c r="H1225" s="0" t="s">
        <v>13</v>
      </c>
      <c r="I1225" s="15" t="n">
        <v>43358.5530787037</v>
      </c>
    </row>
    <row r="1226" customFormat="false" ht="15" hidden="false" customHeight="false" outlineLevel="0" collapsed="false">
      <c r="F1226" s="6" t="s">
        <v>97</v>
      </c>
      <c r="G1226" s="0" t="n">
        <v>4</v>
      </c>
      <c r="H1226" s="0" t="s">
        <v>13</v>
      </c>
      <c r="I1226" s="15" t="n">
        <v>43358.5529861111</v>
      </c>
    </row>
    <row r="1227" customFormat="false" ht="15" hidden="false" customHeight="false" outlineLevel="0" collapsed="false">
      <c r="F1227" s="6" t="s">
        <v>15</v>
      </c>
      <c r="G1227" s="0" t="n">
        <v>4</v>
      </c>
      <c r="H1227" s="0" t="s">
        <v>13</v>
      </c>
      <c r="I1227" s="15" t="n">
        <v>43358.5528587963</v>
      </c>
    </row>
    <row r="1228" customFormat="false" ht="15" hidden="false" customHeight="false" outlineLevel="0" collapsed="false">
      <c r="F1228" s="6" t="s">
        <v>74</v>
      </c>
      <c r="G1228" s="0" t="n">
        <v>1</v>
      </c>
      <c r="H1228" s="0" t="s">
        <v>13</v>
      </c>
      <c r="I1228" s="15" t="n">
        <v>43358.5527893519</v>
      </c>
    </row>
    <row r="1229" customFormat="false" ht="15" hidden="false" customHeight="false" outlineLevel="0" collapsed="false">
      <c r="F1229" s="6" t="s">
        <v>89</v>
      </c>
      <c r="G1229" s="0" t="n">
        <v>1</v>
      </c>
      <c r="H1229" s="0" t="s">
        <v>13</v>
      </c>
      <c r="I1229" s="15" t="n">
        <v>43358.5526967593</v>
      </c>
    </row>
    <row r="1230" customFormat="false" ht="15" hidden="false" customHeight="false" outlineLevel="0" collapsed="false">
      <c r="F1230" s="6" t="s">
        <v>34</v>
      </c>
      <c r="G1230" s="0" t="n">
        <v>8</v>
      </c>
      <c r="H1230" s="0" t="s">
        <v>13</v>
      </c>
      <c r="I1230" s="15" t="n">
        <v>43358.5526157407</v>
      </c>
    </row>
    <row r="1231" customFormat="false" ht="15" hidden="false" customHeight="false" outlineLevel="0" collapsed="false">
      <c r="F1231" s="6" t="s">
        <v>46</v>
      </c>
      <c r="G1231" s="0" t="n">
        <v>8</v>
      </c>
      <c r="H1231" s="0" t="s">
        <v>38</v>
      </c>
      <c r="I1231" s="15" t="n">
        <v>43358.5525810185</v>
      </c>
    </row>
    <row r="1232" customFormat="false" ht="15" hidden="false" customHeight="false" outlineLevel="0" collapsed="false">
      <c r="F1232" s="6" t="s">
        <v>57</v>
      </c>
      <c r="G1232" s="0" t="n">
        <v>1</v>
      </c>
      <c r="H1232" s="0" t="s">
        <v>13</v>
      </c>
      <c r="I1232" s="15" t="n">
        <v>43358.5524652778</v>
      </c>
    </row>
    <row r="1233" customFormat="false" ht="15" hidden="false" customHeight="false" outlineLevel="0" collapsed="false">
      <c r="F1233" s="6" t="s">
        <v>152</v>
      </c>
      <c r="G1233" s="0" t="n">
        <v>1</v>
      </c>
      <c r="H1233" s="0" t="s">
        <v>38</v>
      </c>
      <c r="I1233" s="15" t="n">
        <v>43358.5524421296</v>
      </c>
    </row>
    <row r="1234" customFormat="false" ht="15" hidden="false" customHeight="false" outlineLevel="0" collapsed="false">
      <c r="F1234" s="6" t="s">
        <v>27</v>
      </c>
      <c r="G1234" s="0" t="n">
        <v>4</v>
      </c>
      <c r="H1234" s="0" t="s">
        <v>13</v>
      </c>
      <c r="I1234" s="15" t="n">
        <v>43358.552337963</v>
      </c>
    </row>
    <row r="1235" customFormat="false" ht="15" hidden="false" customHeight="false" outlineLevel="0" collapsed="false">
      <c r="F1235" s="6" t="s">
        <v>31</v>
      </c>
      <c r="G1235" s="0" t="n">
        <v>23</v>
      </c>
      <c r="H1235" s="0" t="s">
        <v>13</v>
      </c>
      <c r="I1235" s="15" t="n">
        <v>43358.5522453704</v>
      </c>
    </row>
    <row r="1236" customFormat="false" ht="15" hidden="false" customHeight="false" outlineLevel="0" collapsed="false">
      <c r="F1236" s="6" t="s">
        <v>72</v>
      </c>
      <c r="G1236" s="0" t="n">
        <v>1</v>
      </c>
      <c r="H1236" s="0" t="s">
        <v>91</v>
      </c>
      <c r="I1236" s="15" t="n">
        <v>43358.552025463</v>
      </c>
    </row>
    <row r="1237" customFormat="false" ht="15" hidden="false" customHeight="false" outlineLevel="0" collapsed="false">
      <c r="F1237" s="6" t="s">
        <v>61</v>
      </c>
      <c r="G1237" s="0" t="n">
        <v>3</v>
      </c>
      <c r="H1237" s="0" t="s">
        <v>38</v>
      </c>
      <c r="I1237" s="15" t="n">
        <v>43358.5520023148</v>
      </c>
    </row>
    <row r="1238" customFormat="false" ht="15" hidden="false" customHeight="false" outlineLevel="0" collapsed="false">
      <c r="F1238" s="6" t="s">
        <v>105</v>
      </c>
      <c r="G1238" s="0" t="n">
        <v>1</v>
      </c>
      <c r="H1238" s="0" t="s">
        <v>91</v>
      </c>
      <c r="I1238" s="15" t="n">
        <v>43358.5518981482</v>
      </c>
    </row>
    <row r="1239" customFormat="false" ht="15" hidden="false" customHeight="false" outlineLevel="0" collapsed="false">
      <c r="F1239" s="6" t="s">
        <v>39</v>
      </c>
      <c r="G1239" s="0" t="n">
        <v>1</v>
      </c>
      <c r="H1239" s="0" t="s">
        <v>38</v>
      </c>
      <c r="I1239" s="15" t="n">
        <v>43358.551875</v>
      </c>
    </row>
    <row r="1240" customFormat="false" ht="15" hidden="false" customHeight="false" outlineLevel="0" collapsed="false">
      <c r="F1240" s="6" t="s">
        <v>99</v>
      </c>
      <c r="G1240" s="0" t="n">
        <v>1</v>
      </c>
      <c r="H1240" s="0" t="s">
        <v>91</v>
      </c>
      <c r="I1240" s="15" t="n">
        <v>43358.5518055556</v>
      </c>
    </row>
    <row r="1241" customFormat="false" ht="15" hidden="false" customHeight="false" outlineLevel="0" collapsed="false">
      <c r="F1241" s="6" t="s">
        <v>40</v>
      </c>
      <c r="G1241" s="0" t="n">
        <v>1</v>
      </c>
      <c r="H1241" s="0" t="s">
        <v>38</v>
      </c>
      <c r="I1241" s="15" t="n">
        <v>43358.5517592593</v>
      </c>
    </row>
    <row r="1242" customFormat="false" ht="15" hidden="false" customHeight="false" outlineLevel="0" collapsed="false">
      <c r="F1242" s="6" t="s">
        <v>198</v>
      </c>
      <c r="G1242" s="0" t="n">
        <v>1</v>
      </c>
      <c r="H1242" s="0" t="s">
        <v>38</v>
      </c>
      <c r="I1242" s="15" t="n">
        <v>43358.5516666667</v>
      </c>
    </row>
    <row r="1243" customFormat="false" ht="15" hidden="false" customHeight="false" outlineLevel="0" collapsed="false">
      <c r="F1243" s="6" t="s">
        <v>23</v>
      </c>
      <c r="G1243" s="0" t="n">
        <v>1</v>
      </c>
      <c r="H1243" s="0" t="s">
        <v>91</v>
      </c>
      <c r="I1243" s="15" t="n">
        <v>43358.5515162037</v>
      </c>
    </row>
    <row r="1244" customFormat="false" ht="15" hidden="false" customHeight="false" outlineLevel="0" collapsed="false">
      <c r="F1244" s="6" t="s">
        <v>97</v>
      </c>
      <c r="G1244" s="0" t="n">
        <v>1</v>
      </c>
      <c r="H1244" s="0" t="s">
        <v>91</v>
      </c>
      <c r="I1244" s="15" t="n">
        <v>43358.5513773148</v>
      </c>
    </row>
    <row r="1245" customFormat="false" ht="15" hidden="false" customHeight="false" outlineLevel="0" collapsed="false">
      <c r="F1245" s="6" t="s">
        <v>67</v>
      </c>
      <c r="G1245" s="0" t="n">
        <v>1</v>
      </c>
      <c r="H1245" s="0" t="s">
        <v>38</v>
      </c>
      <c r="I1245" s="15" t="n">
        <v>43358.5512384259</v>
      </c>
    </row>
    <row r="1246" customFormat="false" ht="15" hidden="false" customHeight="false" outlineLevel="0" collapsed="false">
      <c r="F1246" s="6" t="s">
        <v>68</v>
      </c>
      <c r="G1246" s="0" t="n">
        <v>2</v>
      </c>
      <c r="H1246" s="0" t="s">
        <v>91</v>
      </c>
      <c r="I1246" s="15" t="n">
        <v>43358.5511805556</v>
      </c>
    </row>
    <row r="1247" customFormat="false" ht="15" hidden="false" customHeight="false" outlineLevel="0" collapsed="false">
      <c r="F1247" s="6" t="s">
        <v>156</v>
      </c>
      <c r="G1247" s="0" t="n">
        <v>1</v>
      </c>
      <c r="H1247" s="0" t="s">
        <v>38</v>
      </c>
      <c r="I1247" s="15" t="n">
        <v>43358.5509606482</v>
      </c>
    </row>
    <row r="1248" customFormat="false" ht="15" hidden="false" customHeight="false" outlineLevel="0" collapsed="false">
      <c r="F1248" s="6" t="s">
        <v>156</v>
      </c>
      <c r="G1248" s="0" t="n">
        <v>1</v>
      </c>
      <c r="H1248" s="0" t="s">
        <v>91</v>
      </c>
      <c r="I1248" s="15" t="n">
        <v>43358.5509490741</v>
      </c>
    </row>
    <row r="1249" customFormat="false" ht="15" hidden="false" customHeight="false" outlineLevel="0" collapsed="false">
      <c r="F1249" s="6" t="s">
        <v>80</v>
      </c>
      <c r="G1249" s="0" t="n">
        <v>1</v>
      </c>
      <c r="H1249" s="0" t="s">
        <v>91</v>
      </c>
      <c r="I1249" s="15" t="n">
        <v>43358.5508564815</v>
      </c>
    </row>
    <row r="1250" customFormat="false" ht="15" hidden="false" customHeight="false" outlineLevel="0" collapsed="false">
      <c r="F1250" s="6" t="s">
        <v>59</v>
      </c>
      <c r="G1250" s="0" t="n">
        <v>1</v>
      </c>
      <c r="H1250" s="0" t="s">
        <v>38</v>
      </c>
      <c r="I1250" s="15" t="n">
        <v>43358.5508217593</v>
      </c>
    </row>
    <row r="1251" customFormat="false" ht="15" hidden="false" customHeight="false" outlineLevel="0" collapsed="false">
      <c r="F1251" s="6" t="s">
        <v>88</v>
      </c>
      <c r="G1251" s="0" t="n">
        <v>1</v>
      </c>
      <c r="H1251" s="0" t="s">
        <v>91</v>
      </c>
      <c r="I1251" s="15" t="n">
        <v>43358.5507638889</v>
      </c>
    </row>
    <row r="1252" customFormat="false" ht="15" hidden="false" customHeight="false" outlineLevel="0" collapsed="false">
      <c r="F1252" s="6" t="s">
        <v>18</v>
      </c>
      <c r="G1252" s="0" t="n">
        <v>2</v>
      </c>
      <c r="H1252" s="0" t="s">
        <v>38</v>
      </c>
      <c r="I1252" s="15" t="n">
        <v>43358.5507407407</v>
      </c>
    </row>
    <row r="1253" customFormat="false" ht="15" hidden="false" customHeight="false" outlineLevel="0" collapsed="false">
      <c r="F1253" s="6" t="s">
        <v>76</v>
      </c>
      <c r="G1253" s="0" t="n">
        <v>1</v>
      </c>
      <c r="H1253" s="0" t="s">
        <v>91</v>
      </c>
      <c r="I1253" s="15" t="n">
        <v>43358.5506481482</v>
      </c>
    </row>
    <row r="1254" customFormat="false" ht="15" hidden="false" customHeight="false" outlineLevel="0" collapsed="false">
      <c r="F1254" s="6" t="s">
        <v>23</v>
      </c>
      <c r="G1254" s="0" t="n">
        <v>2</v>
      </c>
      <c r="H1254" s="0" t="s">
        <v>38</v>
      </c>
      <c r="I1254" s="15" t="n">
        <v>43358.5506481482</v>
      </c>
    </row>
    <row r="1255" customFormat="false" ht="15" hidden="false" customHeight="false" outlineLevel="0" collapsed="false">
      <c r="F1255" s="6" t="s">
        <v>86</v>
      </c>
      <c r="G1255" s="0" t="n">
        <v>1</v>
      </c>
      <c r="H1255" s="0" t="s">
        <v>38</v>
      </c>
      <c r="I1255" s="15" t="n">
        <v>43358.5505208333</v>
      </c>
    </row>
    <row r="1256" customFormat="false" ht="15" hidden="false" customHeight="false" outlineLevel="0" collapsed="false">
      <c r="F1256" s="6" t="s">
        <v>15</v>
      </c>
      <c r="G1256" s="0" t="n">
        <v>3</v>
      </c>
      <c r="H1256" s="0" t="s">
        <v>91</v>
      </c>
      <c r="I1256" s="15" t="n">
        <v>43358.5505092593</v>
      </c>
    </row>
    <row r="1257" customFormat="false" ht="15" hidden="false" customHeight="false" outlineLevel="0" collapsed="false">
      <c r="F1257" s="6" t="s">
        <v>34</v>
      </c>
      <c r="G1257" s="0" t="n">
        <v>1</v>
      </c>
      <c r="H1257" s="0" t="s">
        <v>91</v>
      </c>
      <c r="I1257" s="15" t="n">
        <v>43358.5504398148</v>
      </c>
    </row>
    <row r="1258" customFormat="false" ht="15" hidden="false" customHeight="false" outlineLevel="0" collapsed="false">
      <c r="F1258" s="6" t="s">
        <v>199</v>
      </c>
      <c r="G1258" s="0" t="n">
        <v>1</v>
      </c>
      <c r="H1258" s="0" t="s">
        <v>38</v>
      </c>
      <c r="I1258" s="15" t="n">
        <v>43358.5504282407</v>
      </c>
    </row>
    <row r="1259" customFormat="false" ht="15" hidden="false" customHeight="false" outlineLevel="0" collapsed="false">
      <c r="F1259" s="6" t="s">
        <v>25</v>
      </c>
      <c r="G1259" s="0" t="n">
        <v>14</v>
      </c>
      <c r="H1259" s="0" t="s">
        <v>91</v>
      </c>
      <c r="I1259" s="15" t="n">
        <v>43358.5503472222</v>
      </c>
    </row>
    <row r="1260" customFormat="false" ht="15" hidden="false" customHeight="false" outlineLevel="0" collapsed="false">
      <c r="F1260" s="6" t="s">
        <v>92</v>
      </c>
      <c r="G1260" s="0" t="n">
        <v>1</v>
      </c>
      <c r="H1260" s="0" t="s">
        <v>91</v>
      </c>
      <c r="I1260" s="15" t="n">
        <v>43358.5500810185</v>
      </c>
    </row>
    <row r="1261" customFormat="false" ht="15" hidden="false" customHeight="false" outlineLevel="0" collapsed="false">
      <c r="F1261" s="6" t="s">
        <v>117</v>
      </c>
      <c r="G1261" s="0" t="n">
        <v>1</v>
      </c>
      <c r="H1261" s="0" t="s">
        <v>38</v>
      </c>
      <c r="I1261" s="15" t="n">
        <v>43358.5500694444</v>
      </c>
    </row>
    <row r="1262" customFormat="false" ht="15" hidden="false" customHeight="false" outlineLevel="0" collapsed="false">
      <c r="F1262" s="6" t="s">
        <v>22</v>
      </c>
      <c r="G1262" s="0" t="n">
        <v>4</v>
      </c>
      <c r="H1262" s="0" t="s">
        <v>91</v>
      </c>
      <c r="I1262" s="15" t="n">
        <v>43358.5499768518</v>
      </c>
    </row>
    <row r="1263" customFormat="false" ht="15" hidden="false" customHeight="false" outlineLevel="0" collapsed="false">
      <c r="F1263" s="6" t="s">
        <v>27</v>
      </c>
      <c r="G1263" s="0" t="n">
        <v>10</v>
      </c>
      <c r="H1263" s="0" t="s">
        <v>91</v>
      </c>
      <c r="I1263" s="15" t="n">
        <v>43358.5498726852</v>
      </c>
    </row>
    <row r="1264" customFormat="false" ht="15" hidden="false" customHeight="false" outlineLevel="0" collapsed="false">
      <c r="F1264" s="6" t="s">
        <v>37</v>
      </c>
      <c r="G1264" s="0" t="n">
        <v>1</v>
      </c>
      <c r="H1264" s="0" t="s">
        <v>91</v>
      </c>
      <c r="I1264" s="15" t="n">
        <v>43358.5496875</v>
      </c>
    </row>
    <row r="1265" customFormat="false" ht="15" hidden="false" customHeight="false" outlineLevel="0" collapsed="false">
      <c r="F1265" s="6" t="s">
        <v>12</v>
      </c>
      <c r="G1265" s="0" t="n">
        <v>1</v>
      </c>
      <c r="H1265" s="0" t="s">
        <v>38</v>
      </c>
      <c r="I1265" s="15" t="n">
        <v>43358.5496412037</v>
      </c>
    </row>
    <row r="1266" customFormat="false" ht="15" hidden="false" customHeight="false" outlineLevel="0" collapsed="false">
      <c r="F1266" s="6" t="s">
        <v>72</v>
      </c>
      <c r="G1266" s="0" t="n">
        <v>1</v>
      </c>
      <c r="H1266" s="0" t="s">
        <v>91</v>
      </c>
      <c r="I1266" s="15" t="n">
        <v>43358.5496064815</v>
      </c>
    </row>
    <row r="1267" customFormat="false" ht="15" hidden="false" customHeight="false" outlineLevel="0" collapsed="false">
      <c r="F1267" s="6" t="s">
        <v>18</v>
      </c>
      <c r="G1267" s="0" t="n">
        <v>1</v>
      </c>
      <c r="H1267" s="0" t="s">
        <v>91</v>
      </c>
      <c r="I1267" s="15" t="n">
        <v>43358.5495023148</v>
      </c>
    </row>
    <row r="1268" customFormat="false" ht="15" hidden="false" customHeight="false" outlineLevel="0" collapsed="false">
      <c r="F1268" s="6" t="s">
        <v>58</v>
      </c>
      <c r="G1268" s="0" t="n">
        <v>1</v>
      </c>
      <c r="H1268" s="0" t="s">
        <v>38</v>
      </c>
      <c r="I1268" s="15" t="n">
        <v>43358.5494675926</v>
      </c>
    </row>
    <row r="1269" customFormat="false" ht="15" hidden="false" customHeight="false" outlineLevel="0" collapsed="false">
      <c r="F1269" s="6" t="s">
        <v>110</v>
      </c>
      <c r="G1269" s="0" t="n">
        <v>2</v>
      </c>
      <c r="H1269" s="0" t="s">
        <v>91</v>
      </c>
      <c r="I1269" s="15" t="n">
        <v>43358.5494328704</v>
      </c>
    </row>
    <row r="1270" customFormat="false" ht="15" hidden="false" customHeight="false" outlineLevel="0" collapsed="false">
      <c r="F1270" s="6" t="s">
        <v>15</v>
      </c>
      <c r="G1270" s="0" t="n">
        <v>11</v>
      </c>
      <c r="H1270" s="0" t="s">
        <v>91</v>
      </c>
      <c r="I1270" s="15" t="n">
        <v>43358.5491666667</v>
      </c>
    </row>
    <row r="1271" customFormat="false" ht="15" hidden="false" customHeight="false" outlineLevel="0" collapsed="false">
      <c r="F1271" s="6" t="s">
        <v>120</v>
      </c>
      <c r="G1271" s="0" t="n">
        <v>1</v>
      </c>
      <c r="H1271" s="0" t="s">
        <v>38</v>
      </c>
      <c r="I1271" s="15" t="n">
        <v>43358.5491666667</v>
      </c>
    </row>
    <row r="1272" customFormat="false" ht="15" hidden="false" customHeight="false" outlineLevel="0" collapsed="false">
      <c r="F1272" s="6" t="s">
        <v>59</v>
      </c>
      <c r="G1272" s="0" t="n">
        <v>2</v>
      </c>
      <c r="H1272" s="0" t="s">
        <v>124</v>
      </c>
      <c r="I1272" s="15" t="n">
        <v>43358.5490509259</v>
      </c>
    </row>
    <row r="1273" customFormat="false" ht="15" hidden="false" customHeight="false" outlineLevel="0" collapsed="false">
      <c r="F1273" s="6" t="s">
        <v>121</v>
      </c>
      <c r="G1273" s="0" t="n">
        <v>1</v>
      </c>
      <c r="H1273" s="0" t="s">
        <v>91</v>
      </c>
      <c r="I1273" s="15" t="n">
        <v>43358.5490393519</v>
      </c>
    </row>
    <row r="1274" customFormat="false" ht="15" hidden="false" customHeight="false" outlineLevel="0" collapsed="false">
      <c r="F1274" s="6" t="s">
        <v>31</v>
      </c>
      <c r="G1274" s="0" t="n">
        <v>18</v>
      </c>
      <c r="H1274" s="0" t="s">
        <v>38</v>
      </c>
      <c r="I1274" s="15" t="n">
        <v>43358.5490393519</v>
      </c>
    </row>
    <row r="1275" customFormat="false" ht="15" hidden="false" customHeight="false" outlineLevel="0" collapsed="false">
      <c r="F1275" s="6" t="s">
        <v>108</v>
      </c>
      <c r="G1275" s="0" t="n">
        <v>1</v>
      </c>
      <c r="H1275" s="0" t="s">
        <v>124</v>
      </c>
      <c r="I1275" s="15" t="n">
        <v>43358.5489351852</v>
      </c>
    </row>
    <row r="1276" customFormat="false" ht="15" hidden="false" customHeight="false" outlineLevel="0" collapsed="false">
      <c r="F1276" s="6" t="s">
        <v>37</v>
      </c>
      <c r="G1276" s="0" t="n">
        <v>2</v>
      </c>
      <c r="H1276" s="0" t="s">
        <v>124</v>
      </c>
      <c r="I1276" s="15" t="n">
        <v>43358.5488657407</v>
      </c>
    </row>
    <row r="1277" customFormat="false" ht="15" hidden="false" customHeight="false" outlineLevel="0" collapsed="false">
      <c r="F1277" s="6" t="s">
        <v>106</v>
      </c>
      <c r="G1277" s="0" t="n">
        <v>1</v>
      </c>
      <c r="H1277" s="0" t="s">
        <v>91</v>
      </c>
      <c r="I1277" s="15" t="n">
        <v>43358.5487731482</v>
      </c>
    </row>
    <row r="1278" customFormat="false" ht="15" hidden="false" customHeight="false" outlineLevel="0" collapsed="false">
      <c r="F1278" s="6" t="s">
        <v>29</v>
      </c>
      <c r="G1278" s="0" t="n">
        <v>2</v>
      </c>
      <c r="H1278" s="0" t="s">
        <v>91</v>
      </c>
      <c r="I1278" s="15" t="n">
        <v>43358.5486805556</v>
      </c>
    </row>
    <row r="1279" customFormat="false" ht="15" hidden="false" customHeight="false" outlineLevel="0" collapsed="false">
      <c r="F1279" s="6" t="s">
        <v>41</v>
      </c>
      <c r="G1279" s="0" t="n">
        <v>1</v>
      </c>
      <c r="H1279" s="0" t="s">
        <v>124</v>
      </c>
      <c r="I1279" s="15" t="n">
        <v>43358.5486458333</v>
      </c>
    </row>
    <row r="1280" customFormat="false" ht="15" hidden="false" customHeight="false" outlineLevel="0" collapsed="false">
      <c r="F1280" s="6" t="s">
        <v>156</v>
      </c>
      <c r="G1280" s="0" t="n">
        <v>1</v>
      </c>
      <c r="H1280" s="0" t="s">
        <v>124</v>
      </c>
      <c r="I1280" s="15" t="n">
        <v>43358.5485763889</v>
      </c>
    </row>
    <row r="1281" customFormat="false" ht="15" hidden="false" customHeight="false" outlineLevel="0" collapsed="false">
      <c r="F1281" s="6" t="s">
        <v>114</v>
      </c>
      <c r="G1281" s="0" t="n">
        <v>2</v>
      </c>
      <c r="H1281" s="0" t="s">
        <v>38</v>
      </c>
      <c r="I1281" s="15" t="n">
        <v>43358.5485300926</v>
      </c>
    </row>
    <row r="1282" customFormat="false" ht="15" hidden="false" customHeight="false" outlineLevel="0" collapsed="false">
      <c r="F1282" s="6" t="s">
        <v>46</v>
      </c>
      <c r="G1282" s="0" t="n">
        <v>3</v>
      </c>
      <c r="H1282" s="0" t="s">
        <v>124</v>
      </c>
      <c r="I1282" s="15" t="n">
        <v>43358.5485069445</v>
      </c>
    </row>
    <row r="1283" customFormat="false" ht="15" hidden="false" customHeight="false" outlineLevel="0" collapsed="false">
      <c r="F1283" s="6" t="s">
        <v>145</v>
      </c>
      <c r="G1283" s="0" t="n">
        <v>1</v>
      </c>
      <c r="H1283" s="0" t="s">
        <v>38</v>
      </c>
      <c r="I1283" s="15" t="n">
        <v>43358.5482175926</v>
      </c>
    </row>
    <row r="1284" customFormat="false" ht="15" hidden="false" customHeight="false" outlineLevel="0" collapsed="false">
      <c r="F1284" s="6" t="s">
        <v>76</v>
      </c>
      <c r="G1284" s="0" t="n">
        <v>1</v>
      </c>
      <c r="H1284" s="0" t="s">
        <v>124</v>
      </c>
      <c r="I1284" s="15" t="n">
        <v>43358.5481481482</v>
      </c>
    </row>
    <row r="1285" customFormat="false" ht="15" hidden="false" customHeight="false" outlineLevel="0" collapsed="false">
      <c r="F1285" s="6" t="s">
        <v>70</v>
      </c>
      <c r="G1285" s="0" t="n">
        <v>2</v>
      </c>
      <c r="H1285" s="0" t="s">
        <v>124</v>
      </c>
      <c r="I1285" s="15" t="n">
        <v>43358.5480902778</v>
      </c>
    </row>
    <row r="1286" customFormat="false" ht="15" hidden="false" customHeight="false" outlineLevel="0" collapsed="false">
      <c r="F1286" s="6" t="s">
        <v>76</v>
      </c>
      <c r="G1286" s="0" t="n">
        <v>1</v>
      </c>
      <c r="H1286" s="0" t="s">
        <v>124</v>
      </c>
      <c r="I1286" s="15" t="n">
        <v>43358.547974537</v>
      </c>
    </row>
    <row r="1287" customFormat="false" ht="15" hidden="false" customHeight="false" outlineLevel="0" collapsed="false">
      <c r="F1287" s="6" t="s">
        <v>26</v>
      </c>
      <c r="G1287" s="0" t="n">
        <v>3</v>
      </c>
      <c r="H1287" s="0" t="s">
        <v>91</v>
      </c>
      <c r="I1287" s="15" t="n">
        <v>43358.547962963</v>
      </c>
    </row>
    <row r="1288" customFormat="false" ht="15" hidden="false" customHeight="false" outlineLevel="0" collapsed="false">
      <c r="F1288" s="6" t="s">
        <v>112</v>
      </c>
      <c r="G1288" s="0" t="n">
        <v>1</v>
      </c>
      <c r="H1288" s="0" t="s">
        <v>38</v>
      </c>
      <c r="I1288" s="15" t="n">
        <v>43358.5479166667</v>
      </c>
    </row>
    <row r="1289" customFormat="false" ht="15" hidden="false" customHeight="false" outlineLevel="0" collapsed="false">
      <c r="F1289" s="6" t="s">
        <v>41</v>
      </c>
      <c r="G1289" s="0" t="n">
        <v>19</v>
      </c>
      <c r="H1289" s="0" t="s">
        <v>91</v>
      </c>
      <c r="I1289" s="15" t="n">
        <v>43358.5478819445</v>
      </c>
    </row>
    <row r="1290" customFormat="false" ht="15" hidden="false" customHeight="false" outlineLevel="0" collapsed="false">
      <c r="F1290" s="6" t="s">
        <v>40</v>
      </c>
      <c r="G1290" s="0" t="n">
        <v>5</v>
      </c>
      <c r="H1290" s="0" t="s">
        <v>124</v>
      </c>
      <c r="I1290" s="15" t="n">
        <v>43358.5477662037</v>
      </c>
    </row>
    <row r="1291" customFormat="false" ht="15" hidden="false" customHeight="false" outlineLevel="0" collapsed="false">
      <c r="F1291" s="6" t="s">
        <v>112</v>
      </c>
      <c r="G1291" s="0" t="n">
        <v>1</v>
      </c>
      <c r="H1291" s="0" t="s">
        <v>38</v>
      </c>
      <c r="I1291" s="15" t="n">
        <v>43358.5477662037</v>
      </c>
    </row>
    <row r="1292" customFormat="false" ht="15" hidden="false" customHeight="false" outlineLevel="0" collapsed="false">
      <c r="F1292" s="6" t="s">
        <v>63</v>
      </c>
      <c r="G1292" s="0" t="n">
        <v>24</v>
      </c>
      <c r="H1292" s="0" t="s">
        <v>124</v>
      </c>
      <c r="I1292" s="15" t="n">
        <v>43358.5476041667</v>
      </c>
    </row>
    <row r="1293" customFormat="false" ht="15" hidden="false" customHeight="false" outlineLevel="0" collapsed="false">
      <c r="F1293" s="6" t="s">
        <v>31</v>
      </c>
      <c r="G1293" s="0" t="n">
        <v>50</v>
      </c>
      <c r="H1293" s="0" t="s">
        <v>91</v>
      </c>
      <c r="I1293" s="15" t="n">
        <v>43358.5475115741</v>
      </c>
    </row>
    <row r="1294" customFormat="false" ht="15" hidden="false" customHeight="false" outlineLevel="0" collapsed="false">
      <c r="F1294" s="6" t="s">
        <v>32</v>
      </c>
      <c r="G1294" s="0" t="n">
        <v>3</v>
      </c>
      <c r="H1294" s="0" t="s">
        <v>38</v>
      </c>
      <c r="I1294" s="15" t="n">
        <v>43358.5474189815</v>
      </c>
    </row>
    <row r="1295" customFormat="false" ht="15" hidden="false" customHeight="false" outlineLevel="0" collapsed="false">
      <c r="F1295" s="6" t="s">
        <v>21</v>
      </c>
      <c r="G1295" s="0" t="n">
        <v>5</v>
      </c>
      <c r="H1295" s="0" t="s">
        <v>109</v>
      </c>
      <c r="I1295" s="15" t="n">
        <v>43358.5473726852</v>
      </c>
    </row>
    <row r="1296" customFormat="false" ht="15" hidden="false" customHeight="false" outlineLevel="0" collapsed="false">
      <c r="F1296" s="6" t="s">
        <v>32</v>
      </c>
      <c r="G1296" s="0" t="n">
        <v>7</v>
      </c>
      <c r="H1296" s="0" t="s">
        <v>109</v>
      </c>
      <c r="I1296" s="15" t="n">
        <v>43358.5472685185</v>
      </c>
    </row>
    <row r="1297" customFormat="false" ht="15" hidden="false" customHeight="false" outlineLevel="0" collapsed="false">
      <c r="F1297" s="6" t="s">
        <v>12</v>
      </c>
      <c r="G1297" s="0" t="n">
        <v>1</v>
      </c>
      <c r="H1297" s="0" t="s">
        <v>109</v>
      </c>
      <c r="I1297" s="15" t="n">
        <v>43358.5471875</v>
      </c>
    </row>
    <row r="1298" customFormat="false" ht="15" hidden="false" customHeight="false" outlineLevel="0" collapsed="false">
      <c r="F1298" s="6" t="s">
        <v>57</v>
      </c>
      <c r="G1298" s="0" t="n">
        <v>7</v>
      </c>
      <c r="H1298" s="0" t="s">
        <v>38</v>
      </c>
      <c r="I1298" s="15" t="n">
        <v>43358.5471180556</v>
      </c>
    </row>
    <row r="1299" customFormat="false" ht="15" hidden="false" customHeight="false" outlineLevel="0" collapsed="false">
      <c r="F1299" s="6" t="s">
        <v>57</v>
      </c>
      <c r="G1299" s="0" t="n">
        <v>4</v>
      </c>
      <c r="H1299" s="0" t="s">
        <v>109</v>
      </c>
      <c r="I1299" s="15" t="n">
        <v>43358.5470949074</v>
      </c>
    </row>
    <row r="1300" customFormat="false" ht="15" hidden="false" customHeight="false" outlineLevel="0" collapsed="false">
      <c r="F1300" s="6" t="s">
        <v>32</v>
      </c>
      <c r="G1300" s="0" t="n">
        <v>1</v>
      </c>
      <c r="H1300" s="0" t="s">
        <v>38</v>
      </c>
      <c r="I1300" s="15" t="n">
        <v>43358.5470023148</v>
      </c>
    </row>
    <row r="1301" customFormat="false" ht="15" hidden="false" customHeight="false" outlineLevel="0" collapsed="false">
      <c r="F1301" s="6" t="s">
        <v>72</v>
      </c>
      <c r="G1301" s="0" t="n">
        <v>3</v>
      </c>
      <c r="H1301" s="0" t="s">
        <v>124</v>
      </c>
      <c r="I1301" s="15" t="n">
        <v>43358.5469097222</v>
      </c>
    </row>
    <row r="1302" customFormat="false" ht="15" hidden="false" customHeight="false" outlineLevel="0" collapsed="false">
      <c r="F1302" s="6" t="s">
        <v>54</v>
      </c>
      <c r="G1302" s="0" t="n">
        <v>2</v>
      </c>
      <c r="H1302" s="0" t="s">
        <v>109</v>
      </c>
      <c r="I1302" s="15" t="n">
        <v>43358.5468865741</v>
      </c>
    </row>
    <row r="1303" customFormat="false" ht="15" hidden="false" customHeight="false" outlineLevel="0" collapsed="false">
      <c r="F1303" s="6" t="s">
        <v>36</v>
      </c>
      <c r="G1303" s="0" t="n">
        <v>2</v>
      </c>
      <c r="H1303" s="0" t="s">
        <v>124</v>
      </c>
      <c r="I1303" s="15" t="n">
        <v>43358.5468402778</v>
      </c>
    </row>
    <row r="1304" customFormat="false" ht="15" hidden="false" customHeight="false" outlineLevel="0" collapsed="false">
      <c r="F1304" s="6" t="s">
        <v>32</v>
      </c>
      <c r="G1304" s="0" t="n">
        <v>1</v>
      </c>
      <c r="H1304" s="0" t="s">
        <v>38</v>
      </c>
      <c r="I1304" s="15" t="n">
        <v>43358.5467939815</v>
      </c>
    </row>
    <row r="1305" customFormat="false" ht="15" hidden="false" customHeight="false" outlineLevel="0" collapsed="false">
      <c r="F1305" s="6" t="s">
        <v>176</v>
      </c>
      <c r="G1305" s="0" t="n">
        <v>3</v>
      </c>
      <c r="H1305" s="0" t="s">
        <v>109</v>
      </c>
      <c r="I1305" s="15" t="n">
        <v>43358.5467361111</v>
      </c>
    </row>
    <row r="1306" customFormat="false" ht="15" hidden="false" customHeight="false" outlineLevel="0" collapsed="false">
      <c r="F1306" s="6" t="s">
        <v>25</v>
      </c>
      <c r="G1306" s="0" t="n">
        <v>11</v>
      </c>
      <c r="H1306" s="0" t="s">
        <v>124</v>
      </c>
      <c r="I1306" s="15" t="n">
        <v>43358.5466898148</v>
      </c>
    </row>
    <row r="1307" customFormat="false" ht="15" hidden="false" customHeight="false" outlineLevel="0" collapsed="false">
      <c r="F1307" s="6" t="s">
        <v>40</v>
      </c>
      <c r="G1307" s="0" t="n">
        <v>2</v>
      </c>
      <c r="H1307" s="0" t="s">
        <v>109</v>
      </c>
      <c r="I1307" s="15" t="n">
        <v>43358.5466203704</v>
      </c>
    </row>
    <row r="1308" customFormat="false" ht="15" hidden="false" customHeight="false" outlineLevel="0" collapsed="false">
      <c r="F1308" s="6" t="s">
        <v>26</v>
      </c>
      <c r="G1308" s="0" t="n">
        <v>3</v>
      </c>
      <c r="H1308" s="0" t="s">
        <v>109</v>
      </c>
      <c r="I1308" s="15" t="n">
        <v>43358.5465277778</v>
      </c>
    </row>
    <row r="1309" customFormat="false" ht="15" hidden="false" customHeight="false" outlineLevel="0" collapsed="false">
      <c r="F1309" s="6" t="s">
        <v>118</v>
      </c>
      <c r="G1309" s="0" t="n">
        <v>1</v>
      </c>
      <c r="H1309" s="0" t="s">
        <v>124</v>
      </c>
      <c r="I1309" s="15" t="n">
        <v>43358.5464930556</v>
      </c>
    </row>
    <row r="1310" customFormat="false" ht="15" hidden="false" customHeight="false" outlineLevel="0" collapsed="false">
      <c r="F1310" s="6" t="s">
        <v>32</v>
      </c>
      <c r="G1310" s="0" t="n">
        <v>6</v>
      </c>
      <c r="H1310" s="0" t="s">
        <v>124</v>
      </c>
      <c r="I1310" s="15" t="n">
        <v>43358.546400463</v>
      </c>
    </row>
    <row r="1311" customFormat="false" ht="15" hidden="false" customHeight="false" outlineLevel="0" collapsed="false">
      <c r="F1311" s="6" t="s">
        <v>32</v>
      </c>
      <c r="G1311" s="0" t="n">
        <v>1</v>
      </c>
      <c r="H1311" s="0" t="s">
        <v>109</v>
      </c>
      <c r="I1311" s="15" t="n">
        <v>43358.5463657407</v>
      </c>
    </row>
    <row r="1312" customFormat="false" ht="15" hidden="false" customHeight="false" outlineLevel="0" collapsed="false">
      <c r="F1312" s="6" t="s">
        <v>27</v>
      </c>
      <c r="G1312" s="0" t="n">
        <v>6</v>
      </c>
      <c r="H1312" s="0" t="s">
        <v>124</v>
      </c>
      <c r="I1312" s="15" t="n">
        <v>43358.5463425926</v>
      </c>
    </row>
    <row r="1313" customFormat="false" ht="15" hidden="false" customHeight="false" outlineLevel="0" collapsed="false">
      <c r="F1313" s="6" t="s">
        <v>104</v>
      </c>
      <c r="G1313" s="0" t="n">
        <v>1</v>
      </c>
      <c r="H1313" s="0" t="s">
        <v>38</v>
      </c>
      <c r="I1313" s="15" t="n">
        <v>43358.5463310185</v>
      </c>
    </row>
    <row r="1314" customFormat="false" ht="15" hidden="false" customHeight="false" outlineLevel="0" collapsed="false">
      <c r="F1314" s="6" t="s">
        <v>27</v>
      </c>
      <c r="G1314" s="0" t="n">
        <v>3</v>
      </c>
      <c r="H1314" s="0" t="s">
        <v>109</v>
      </c>
      <c r="I1314" s="15" t="n">
        <v>43358.5462847222</v>
      </c>
    </row>
    <row r="1315" customFormat="false" ht="15" hidden="false" customHeight="false" outlineLevel="0" collapsed="false">
      <c r="F1315" s="6" t="s">
        <v>54</v>
      </c>
      <c r="G1315" s="0" t="n">
        <v>1</v>
      </c>
      <c r="H1315" s="0" t="s">
        <v>109</v>
      </c>
      <c r="I1315" s="15" t="n">
        <v>43358.5461921296</v>
      </c>
    </row>
    <row r="1316" customFormat="false" ht="15" hidden="false" customHeight="false" outlineLevel="0" collapsed="false">
      <c r="F1316" s="6" t="s">
        <v>12</v>
      </c>
      <c r="G1316" s="0" t="n">
        <v>1</v>
      </c>
      <c r="H1316" s="0" t="s">
        <v>109</v>
      </c>
      <c r="I1316" s="15" t="n">
        <v>43358.5461226852</v>
      </c>
    </row>
    <row r="1317" customFormat="false" ht="15" hidden="false" customHeight="false" outlineLevel="0" collapsed="false">
      <c r="F1317" s="6" t="s">
        <v>25</v>
      </c>
      <c r="G1317" s="0" t="n">
        <v>16</v>
      </c>
      <c r="H1317" s="0" t="s">
        <v>124</v>
      </c>
      <c r="I1317" s="15" t="n">
        <v>43358.5460416667</v>
      </c>
    </row>
    <row r="1318" customFormat="false" ht="15" hidden="false" customHeight="false" outlineLevel="0" collapsed="false">
      <c r="F1318" s="6" t="s">
        <v>45</v>
      </c>
      <c r="G1318" s="0" t="n">
        <v>2</v>
      </c>
      <c r="H1318" s="0" t="s">
        <v>109</v>
      </c>
      <c r="I1318" s="15" t="n">
        <v>43358.5460416667</v>
      </c>
    </row>
    <row r="1319" customFormat="false" ht="15" hidden="false" customHeight="false" outlineLevel="0" collapsed="false">
      <c r="F1319" s="6" t="s">
        <v>76</v>
      </c>
      <c r="G1319" s="0" t="n">
        <v>3</v>
      </c>
      <c r="H1319" s="0" t="s">
        <v>38</v>
      </c>
      <c r="I1319" s="15" t="n">
        <v>43358.5460069445</v>
      </c>
    </row>
    <row r="1320" customFormat="false" ht="15" hidden="false" customHeight="false" outlineLevel="0" collapsed="false">
      <c r="F1320" s="6" t="s">
        <v>89</v>
      </c>
      <c r="G1320" s="0" t="n">
        <v>1</v>
      </c>
      <c r="H1320" s="0" t="s">
        <v>124</v>
      </c>
      <c r="I1320" s="15" t="n">
        <v>43358.5458680556</v>
      </c>
    </row>
    <row r="1321" customFormat="false" ht="15" hidden="false" customHeight="false" outlineLevel="0" collapsed="false">
      <c r="F1321" s="6" t="s">
        <v>34</v>
      </c>
      <c r="G1321" s="0" t="n">
        <v>8</v>
      </c>
      <c r="H1321" s="0" t="s">
        <v>124</v>
      </c>
      <c r="I1321" s="15" t="n">
        <v>43358.5458101852</v>
      </c>
    </row>
    <row r="1322" customFormat="false" ht="15" hidden="false" customHeight="false" outlineLevel="0" collapsed="false">
      <c r="F1322" s="6" t="s">
        <v>76</v>
      </c>
      <c r="G1322" s="0" t="n">
        <v>1</v>
      </c>
      <c r="H1322" s="0" t="s">
        <v>38</v>
      </c>
      <c r="I1322" s="15" t="n">
        <v>43358.5458101852</v>
      </c>
    </row>
    <row r="1323" customFormat="false" ht="15" hidden="false" customHeight="false" outlineLevel="0" collapsed="false">
      <c r="F1323" s="6" t="s">
        <v>200</v>
      </c>
      <c r="G1323" s="0" t="n">
        <v>2</v>
      </c>
      <c r="H1323" s="0" t="s">
        <v>109</v>
      </c>
      <c r="I1323" s="15" t="n">
        <v>43358.5457986111</v>
      </c>
    </row>
    <row r="1324" customFormat="false" ht="15" hidden="false" customHeight="false" outlineLevel="0" collapsed="false">
      <c r="F1324" s="6" t="s">
        <v>35</v>
      </c>
      <c r="G1324" s="0" t="n">
        <v>8</v>
      </c>
      <c r="H1324" s="0" t="s">
        <v>38</v>
      </c>
      <c r="I1324" s="15" t="n">
        <v>43358.5457407407</v>
      </c>
    </row>
    <row r="1325" customFormat="false" ht="15" hidden="false" customHeight="false" outlineLevel="0" collapsed="false">
      <c r="F1325" s="6" t="s">
        <v>121</v>
      </c>
      <c r="G1325" s="0" t="n">
        <v>1</v>
      </c>
      <c r="H1325" s="0" t="s">
        <v>124</v>
      </c>
      <c r="I1325" s="15" t="n">
        <v>43358.5456712963</v>
      </c>
    </row>
    <row r="1326" customFormat="false" ht="15" hidden="false" customHeight="false" outlineLevel="0" collapsed="false">
      <c r="F1326" s="6" t="s">
        <v>29</v>
      </c>
      <c r="G1326" s="0" t="n">
        <v>3</v>
      </c>
      <c r="H1326" s="0" t="s">
        <v>124</v>
      </c>
      <c r="I1326" s="15" t="n">
        <v>43358.5455555556</v>
      </c>
    </row>
    <row r="1327" customFormat="false" ht="15" hidden="false" customHeight="false" outlineLevel="0" collapsed="false">
      <c r="F1327" s="6" t="s">
        <v>35</v>
      </c>
      <c r="G1327" s="0" t="n">
        <v>2</v>
      </c>
      <c r="H1327" s="0" t="s">
        <v>38</v>
      </c>
      <c r="I1327" s="15" t="n">
        <v>43358.5454861111</v>
      </c>
    </row>
    <row r="1328" customFormat="false" ht="15" hidden="false" customHeight="false" outlineLevel="0" collapsed="false">
      <c r="F1328" s="6" t="s">
        <v>101</v>
      </c>
      <c r="G1328" s="0" t="n">
        <v>1</v>
      </c>
      <c r="H1328" s="0" t="s">
        <v>124</v>
      </c>
      <c r="I1328" s="15" t="n">
        <v>43358.545462963</v>
      </c>
    </row>
    <row r="1329" customFormat="false" ht="15" hidden="false" customHeight="false" outlineLevel="0" collapsed="false">
      <c r="F1329" s="6" t="s">
        <v>185</v>
      </c>
      <c r="G1329" s="0" t="n">
        <v>2</v>
      </c>
      <c r="H1329" s="0" t="s">
        <v>38</v>
      </c>
      <c r="I1329" s="15" t="n">
        <v>43358.5453819445</v>
      </c>
    </row>
    <row r="1330" customFormat="false" ht="15" hidden="false" customHeight="false" outlineLevel="0" collapsed="false">
      <c r="F1330" s="6" t="s">
        <v>25</v>
      </c>
      <c r="G1330" s="0" t="n">
        <v>11</v>
      </c>
      <c r="H1330" s="0" t="s">
        <v>109</v>
      </c>
      <c r="I1330" s="15" t="n">
        <v>43358.5453703704</v>
      </c>
    </row>
    <row r="1331" customFormat="false" ht="15" hidden="false" customHeight="false" outlineLevel="0" collapsed="false">
      <c r="F1331" s="6" t="s">
        <v>131</v>
      </c>
      <c r="G1331" s="0" t="n">
        <v>5</v>
      </c>
      <c r="H1331" s="0" t="s">
        <v>38</v>
      </c>
      <c r="I1331" s="15" t="n">
        <v>43358.5452893519</v>
      </c>
    </row>
    <row r="1332" customFormat="false" ht="15" hidden="false" customHeight="false" outlineLevel="0" collapsed="false">
      <c r="F1332" s="6" t="s">
        <v>41</v>
      </c>
      <c r="G1332" s="0" t="n">
        <v>11</v>
      </c>
      <c r="H1332" s="0" t="s">
        <v>124</v>
      </c>
      <c r="I1332" s="15" t="n">
        <v>43358.5451388889</v>
      </c>
    </row>
    <row r="1333" customFormat="false" ht="15" hidden="false" customHeight="false" outlineLevel="0" collapsed="false">
      <c r="F1333" s="6" t="s">
        <v>72</v>
      </c>
      <c r="G1333" s="0" t="n">
        <v>3</v>
      </c>
      <c r="H1333" s="0" t="s">
        <v>38</v>
      </c>
      <c r="I1333" s="15" t="n">
        <v>43358.5448958333</v>
      </c>
    </row>
    <row r="1334" customFormat="false" ht="15" hidden="false" customHeight="false" outlineLevel="0" collapsed="false">
      <c r="F1334" s="6" t="s">
        <v>36</v>
      </c>
      <c r="G1334" s="0" t="n">
        <v>4</v>
      </c>
      <c r="H1334" s="0" t="s">
        <v>38</v>
      </c>
      <c r="I1334" s="15" t="n">
        <v>43358.5448148148</v>
      </c>
    </row>
    <row r="1335" customFormat="false" ht="15" hidden="false" customHeight="false" outlineLevel="0" collapsed="false">
      <c r="F1335" s="6" t="s">
        <v>21</v>
      </c>
      <c r="G1335" s="0" t="n">
        <v>13</v>
      </c>
      <c r="H1335" s="0" t="s">
        <v>38</v>
      </c>
      <c r="I1335" s="15" t="n">
        <v>43358.5446064815</v>
      </c>
    </row>
    <row r="1336" customFormat="false" ht="15" hidden="false" customHeight="false" outlineLevel="0" collapsed="false">
      <c r="F1336" s="6" t="s">
        <v>167</v>
      </c>
      <c r="G1336" s="0" t="n">
        <v>1</v>
      </c>
      <c r="H1336" s="0" t="s">
        <v>109</v>
      </c>
      <c r="I1336" s="15" t="n">
        <v>43358.5444212963</v>
      </c>
    </row>
    <row r="1337" customFormat="false" ht="15" hidden="false" customHeight="false" outlineLevel="0" collapsed="false">
      <c r="F1337" s="6" t="s">
        <v>149</v>
      </c>
      <c r="G1337" s="0" t="n">
        <v>1</v>
      </c>
      <c r="H1337" s="0" t="s">
        <v>109</v>
      </c>
      <c r="I1337" s="15" t="n">
        <v>43358.5443402778</v>
      </c>
    </row>
    <row r="1338" customFormat="false" ht="15" hidden="false" customHeight="false" outlineLevel="0" collapsed="false">
      <c r="F1338" s="6" t="s">
        <v>26</v>
      </c>
      <c r="G1338" s="0" t="n">
        <v>10</v>
      </c>
      <c r="H1338" s="0" t="s">
        <v>124</v>
      </c>
      <c r="I1338" s="15" t="n">
        <v>43358.5441898148</v>
      </c>
    </row>
    <row r="1339" customFormat="false" ht="15" hidden="false" customHeight="false" outlineLevel="0" collapsed="false">
      <c r="F1339" s="6" t="s">
        <v>201</v>
      </c>
      <c r="G1339" s="0" t="n">
        <v>1</v>
      </c>
      <c r="H1339" s="0" t="s">
        <v>109</v>
      </c>
      <c r="I1339" s="15" t="n">
        <v>43358.5441203704</v>
      </c>
    </row>
    <row r="1340" customFormat="false" ht="15" hidden="false" customHeight="false" outlineLevel="0" collapsed="false">
      <c r="F1340" s="6" t="s">
        <v>37</v>
      </c>
      <c r="G1340" s="0" t="n">
        <v>15</v>
      </c>
      <c r="H1340" s="0" t="s">
        <v>38</v>
      </c>
      <c r="I1340" s="15" t="n">
        <v>43358.5440277778</v>
      </c>
    </row>
    <row r="1341" customFormat="false" ht="15" hidden="false" customHeight="false" outlineLevel="0" collapsed="false">
      <c r="F1341" s="6" t="s">
        <v>46</v>
      </c>
      <c r="G1341" s="0" t="n">
        <v>2</v>
      </c>
      <c r="H1341" s="0" t="s">
        <v>109</v>
      </c>
      <c r="I1341" s="15" t="n">
        <v>43358.5436458333</v>
      </c>
    </row>
    <row r="1342" customFormat="false" ht="15" hidden="false" customHeight="false" outlineLevel="0" collapsed="false">
      <c r="F1342" s="6" t="s">
        <v>25</v>
      </c>
      <c r="G1342" s="0" t="n">
        <v>12</v>
      </c>
      <c r="H1342" s="0" t="s">
        <v>38</v>
      </c>
      <c r="I1342" s="15" t="n">
        <v>43358.5436111111</v>
      </c>
    </row>
    <row r="1343" customFormat="false" ht="15" hidden="false" customHeight="false" outlineLevel="0" collapsed="false">
      <c r="F1343" s="6" t="s">
        <v>88</v>
      </c>
      <c r="G1343" s="0" t="n">
        <v>1</v>
      </c>
      <c r="H1343" s="0" t="s">
        <v>109</v>
      </c>
      <c r="I1343" s="15" t="n">
        <v>43358.5434837963</v>
      </c>
    </row>
    <row r="1344" customFormat="false" ht="15" hidden="false" customHeight="false" outlineLevel="0" collapsed="false">
      <c r="F1344" s="6" t="s">
        <v>113</v>
      </c>
      <c r="G1344" s="0" t="n">
        <v>1</v>
      </c>
      <c r="H1344" s="0" t="s">
        <v>109</v>
      </c>
      <c r="I1344" s="15" t="n">
        <v>43358.5434143519</v>
      </c>
    </row>
    <row r="1345" customFormat="false" ht="15" hidden="false" customHeight="false" outlineLevel="0" collapsed="false">
      <c r="F1345" s="6" t="s">
        <v>21</v>
      </c>
      <c r="G1345" s="0" t="n">
        <v>16</v>
      </c>
      <c r="H1345" s="0" t="s">
        <v>124</v>
      </c>
      <c r="I1345" s="15" t="n">
        <v>43358.5433680556</v>
      </c>
    </row>
    <row r="1346" customFormat="false" ht="15" hidden="false" customHeight="false" outlineLevel="0" collapsed="false">
      <c r="F1346" s="6" t="s">
        <v>25</v>
      </c>
      <c r="G1346" s="0" t="n">
        <v>19</v>
      </c>
      <c r="H1346" s="0" t="s">
        <v>38</v>
      </c>
      <c r="I1346" s="15" t="n">
        <v>43358.543287037</v>
      </c>
    </row>
    <row r="1347" customFormat="false" ht="15" hidden="false" customHeight="false" outlineLevel="0" collapsed="false">
      <c r="F1347" s="6" t="s">
        <v>80</v>
      </c>
      <c r="G1347" s="0" t="n">
        <v>5</v>
      </c>
      <c r="H1347" s="0" t="s">
        <v>109</v>
      </c>
      <c r="I1347" s="15" t="n">
        <v>43358.5432175926</v>
      </c>
    </row>
    <row r="1348" customFormat="false" ht="15" hidden="false" customHeight="false" outlineLevel="0" collapsed="false">
      <c r="F1348" s="6" t="s">
        <v>156</v>
      </c>
      <c r="G1348" s="0" t="n">
        <v>2</v>
      </c>
      <c r="H1348" s="0" t="s">
        <v>109</v>
      </c>
      <c r="I1348" s="15" t="n">
        <v>43358.5430787037</v>
      </c>
    </row>
    <row r="1349" customFormat="false" ht="15" hidden="false" customHeight="false" outlineLevel="0" collapsed="false">
      <c r="F1349" s="6" t="s">
        <v>88</v>
      </c>
      <c r="G1349" s="0" t="n">
        <v>1</v>
      </c>
      <c r="H1349" s="0" t="s">
        <v>109</v>
      </c>
      <c r="I1349" s="15" t="n">
        <v>43358.5429050926</v>
      </c>
    </row>
    <row r="1350" customFormat="false" ht="15" hidden="false" customHeight="false" outlineLevel="0" collapsed="false">
      <c r="F1350" s="6" t="s">
        <v>34</v>
      </c>
      <c r="G1350" s="0" t="n">
        <v>10</v>
      </c>
      <c r="H1350" s="0" t="s">
        <v>124</v>
      </c>
      <c r="I1350" s="15" t="n">
        <v>43358.5427430556</v>
      </c>
    </row>
    <row r="1351" customFormat="false" ht="15" hidden="false" customHeight="false" outlineLevel="0" collapsed="false">
      <c r="F1351" s="6" t="s">
        <v>80</v>
      </c>
      <c r="G1351" s="0" t="n">
        <v>1</v>
      </c>
      <c r="H1351" s="0" t="s">
        <v>109</v>
      </c>
      <c r="I1351" s="15" t="n">
        <v>43358.5427314815</v>
      </c>
    </row>
    <row r="1352" customFormat="false" ht="15" hidden="false" customHeight="false" outlineLevel="0" collapsed="false">
      <c r="F1352" s="6" t="s">
        <v>101</v>
      </c>
      <c r="G1352" s="0" t="n">
        <v>1</v>
      </c>
      <c r="H1352" s="0" t="s">
        <v>109</v>
      </c>
      <c r="I1352" s="15" t="n">
        <v>43358.542650463</v>
      </c>
    </row>
    <row r="1353" customFormat="false" ht="15" hidden="false" customHeight="false" outlineLevel="0" collapsed="false">
      <c r="F1353" s="6" t="s">
        <v>26</v>
      </c>
      <c r="G1353" s="0" t="n">
        <v>17</v>
      </c>
      <c r="H1353" s="0" t="s">
        <v>38</v>
      </c>
      <c r="I1353" s="15" t="n">
        <v>43358.5425694444</v>
      </c>
    </row>
    <row r="1354" customFormat="false" ht="15" hidden="false" customHeight="false" outlineLevel="0" collapsed="false">
      <c r="F1354" s="6" t="s">
        <v>199</v>
      </c>
      <c r="G1354" s="0" t="n">
        <v>1</v>
      </c>
      <c r="H1354" s="0" t="s">
        <v>109</v>
      </c>
      <c r="I1354" s="15" t="n">
        <v>43358.5425115741</v>
      </c>
    </row>
    <row r="1355" customFormat="false" ht="15" hidden="false" customHeight="false" outlineLevel="0" collapsed="false">
      <c r="F1355" s="6" t="s">
        <v>33</v>
      </c>
      <c r="G1355" s="0" t="n">
        <v>1</v>
      </c>
      <c r="H1355" s="0" t="s">
        <v>124</v>
      </c>
      <c r="I1355" s="15" t="n">
        <v>43358.5424421296</v>
      </c>
    </row>
    <row r="1356" customFormat="false" ht="15" hidden="false" customHeight="false" outlineLevel="0" collapsed="false">
      <c r="F1356" s="6" t="s">
        <v>15</v>
      </c>
      <c r="G1356" s="0" t="n">
        <v>12</v>
      </c>
      <c r="H1356" s="0" t="s">
        <v>124</v>
      </c>
      <c r="I1356" s="15" t="n">
        <v>43358.5423842593</v>
      </c>
    </row>
    <row r="1357" customFormat="false" ht="15" hidden="false" customHeight="false" outlineLevel="0" collapsed="false">
      <c r="F1357" s="6" t="s">
        <v>34</v>
      </c>
      <c r="G1357" s="0" t="n">
        <v>12</v>
      </c>
      <c r="H1357" s="0" t="s">
        <v>38</v>
      </c>
      <c r="I1357" s="15" t="n">
        <v>43358.5423263889</v>
      </c>
    </row>
    <row r="1358" customFormat="false" ht="15" hidden="false" customHeight="false" outlineLevel="0" collapsed="false">
      <c r="F1358" s="6" t="s">
        <v>86</v>
      </c>
      <c r="G1358" s="0" t="n">
        <v>1</v>
      </c>
      <c r="H1358" s="0" t="s">
        <v>109</v>
      </c>
      <c r="I1358" s="15" t="n">
        <v>43358.5423148148</v>
      </c>
    </row>
    <row r="1359" customFormat="false" ht="15" hidden="false" customHeight="false" outlineLevel="0" collapsed="false">
      <c r="F1359" s="6" t="s">
        <v>40</v>
      </c>
      <c r="G1359" s="0" t="n">
        <v>2</v>
      </c>
      <c r="H1359" s="0" t="s">
        <v>140</v>
      </c>
      <c r="I1359" s="15" t="n">
        <v>43358.5421180556</v>
      </c>
    </row>
    <row r="1360" customFormat="false" ht="15" hidden="false" customHeight="false" outlineLevel="0" collapsed="false">
      <c r="F1360" s="6" t="s">
        <v>39</v>
      </c>
      <c r="G1360" s="0" t="n">
        <v>1</v>
      </c>
      <c r="H1360" s="0" t="s">
        <v>140</v>
      </c>
      <c r="I1360" s="15" t="n">
        <v>43358.5420486111</v>
      </c>
    </row>
    <row r="1361" customFormat="false" ht="15" hidden="false" customHeight="false" outlineLevel="0" collapsed="false">
      <c r="F1361" s="6" t="s">
        <v>34</v>
      </c>
      <c r="G1361" s="0" t="n">
        <v>17</v>
      </c>
      <c r="H1361" s="0" t="s">
        <v>38</v>
      </c>
      <c r="I1361" s="15" t="n">
        <v>43358.5419791667</v>
      </c>
    </row>
    <row r="1362" customFormat="false" ht="15" hidden="false" customHeight="false" outlineLevel="0" collapsed="false">
      <c r="F1362" s="6" t="s">
        <v>45</v>
      </c>
      <c r="G1362" s="0" t="n">
        <v>1</v>
      </c>
      <c r="H1362" s="0" t="s">
        <v>140</v>
      </c>
      <c r="I1362" s="15" t="n">
        <v>43358.5418171296</v>
      </c>
    </row>
    <row r="1363" customFormat="false" ht="15" hidden="false" customHeight="false" outlineLevel="0" collapsed="false">
      <c r="F1363" s="6" t="s">
        <v>100</v>
      </c>
      <c r="G1363" s="0" t="n">
        <v>1</v>
      </c>
      <c r="H1363" s="0" t="s">
        <v>140</v>
      </c>
      <c r="I1363" s="15" t="n">
        <v>43358.5416087963</v>
      </c>
    </row>
    <row r="1364" customFormat="false" ht="15" hidden="false" customHeight="false" outlineLevel="0" collapsed="false">
      <c r="F1364" s="6" t="s">
        <v>15</v>
      </c>
      <c r="G1364" s="0" t="n">
        <v>15</v>
      </c>
      <c r="H1364" s="0" t="s">
        <v>38</v>
      </c>
      <c r="I1364" s="15" t="n">
        <v>43358.5415856482</v>
      </c>
    </row>
    <row r="1365" customFormat="false" ht="15" hidden="false" customHeight="false" outlineLevel="0" collapsed="false">
      <c r="F1365" s="6" t="s">
        <v>177</v>
      </c>
      <c r="G1365" s="0" t="n">
        <v>1</v>
      </c>
      <c r="H1365" s="0" t="s">
        <v>140</v>
      </c>
      <c r="I1365" s="15" t="n">
        <v>43358.5414236111</v>
      </c>
    </row>
    <row r="1366" customFormat="false" ht="15" hidden="false" customHeight="false" outlineLevel="0" collapsed="false">
      <c r="F1366" s="6" t="s">
        <v>41</v>
      </c>
      <c r="G1366" s="0" t="n">
        <v>35</v>
      </c>
      <c r="H1366" s="0" t="s">
        <v>38</v>
      </c>
      <c r="I1366" s="15" t="n">
        <v>43358.5414236111</v>
      </c>
    </row>
    <row r="1367" customFormat="false" ht="15" hidden="false" customHeight="false" outlineLevel="0" collapsed="false">
      <c r="F1367" s="6" t="s">
        <v>34</v>
      </c>
      <c r="G1367" s="0" t="n">
        <v>10</v>
      </c>
      <c r="H1367" s="0" t="s">
        <v>38</v>
      </c>
      <c r="I1367" s="15" t="n">
        <v>43358.5412962963</v>
      </c>
    </row>
    <row r="1368" customFormat="false" ht="15" hidden="false" customHeight="false" outlineLevel="0" collapsed="false">
      <c r="F1368" s="6" t="s">
        <v>184</v>
      </c>
      <c r="G1368" s="0" t="n">
        <v>1</v>
      </c>
      <c r="H1368" s="0" t="s">
        <v>140</v>
      </c>
      <c r="I1368" s="15" t="n">
        <v>43358.5412037037</v>
      </c>
    </row>
    <row r="1369" customFormat="false" ht="15" hidden="false" customHeight="false" outlineLevel="0" collapsed="false">
      <c r="F1369" s="6" t="s">
        <v>125</v>
      </c>
      <c r="G1369" s="0" t="n">
        <v>1</v>
      </c>
      <c r="H1369" s="0" t="s">
        <v>16</v>
      </c>
      <c r="I1369" s="15" t="n">
        <v>43358.541099537</v>
      </c>
    </row>
    <row r="1370" customFormat="false" ht="15" hidden="false" customHeight="false" outlineLevel="0" collapsed="false">
      <c r="F1370" s="6" t="s">
        <v>59</v>
      </c>
      <c r="G1370" s="0" t="n">
        <v>1</v>
      </c>
      <c r="H1370" s="0" t="s">
        <v>140</v>
      </c>
      <c r="I1370" s="15" t="n">
        <v>43358.5410300926</v>
      </c>
    </row>
    <row r="1371" customFormat="false" ht="15" hidden="false" customHeight="false" outlineLevel="0" collapsed="false">
      <c r="F1371" s="6" t="s">
        <v>127</v>
      </c>
      <c r="G1371" s="0" t="n">
        <v>1</v>
      </c>
      <c r="H1371" s="0" t="s">
        <v>140</v>
      </c>
      <c r="I1371" s="15" t="n">
        <v>43358.5409490741</v>
      </c>
    </row>
    <row r="1372" customFormat="false" ht="15" hidden="false" customHeight="false" outlineLevel="0" collapsed="false">
      <c r="F1372" s="6" t="s">
        <v>171</v>
      </c>
      <c r="G1372" s="0" t="n">
        <v>1</v>
      </c>
      <c r="H1372" s="0" t="s">
        <v>16</v>
      </c>
      <c r="I1372" s="15" t="n">
        <v>43358.5409490741</v>
      </c>
    </row>
    <row r="1373" customFormat="false" ht="15" hidden="false" customHeight="false" outlineLevel="0" collapsed="false">
      <c r="F1373" s="6" t="s">
        <v>77</v>
      </c>
      <c r="G1373" s="0" t="n">
        <v>1</v>
      </c>
      <c r="H1373" s="0" t="s">
        <v>140</v>
      </c>
      <c r="I1373" s="15" t="n">
        <v>43358.5407407407</v>
      </c>
    </row>
    <row r="1374" customFormat="false" ht="15" hidden="false" customHeight="false" outlineLevel="0" collapsed="false">
      <c r="F1374" s="6" t="s">
        <v>202</v>
      </c>
      <c r="G1374" s="0" t="n">
        <v>1</v>
      </c>
      <c r="H1374" s="0" t="s">
        <v>16</v>
      </c>
      <c r="I1374" s="15" t="n">
        <v>43358.5407407407</v>
      </c>
    </row>
    <row r="1375" customFormat="false" ht="15" hidden="false" customHeight="false" outlineLevel="0" collapsed="false">
      <c r="F1375" s="6" t="s">
        <v>83</v>
      </c>
      <c r="G1375" s="0" t="n">
        <v>1</v>
      </c>
      <c r="H1375" s="0" t="s">
        <v>16</v>
      </c>
      <c r="I1375" s="15" t="n">
        <v>43358.5405555556</v>
      </c>
    </row>
    <row r="1376" customFormat="false" ht="15" hidden="false" customHeight="false" outlineLevel="0" collapsed="false">
      <c r="F1376" s="6" t="s">
        <v>54</v>
      </c>
      <c r="G1376" s="0" t="n">
        <v>1</v>
      </c>
      <c r="H1376" s="0" t="s">
        <v>140</v>
      </c>
      <c r="I1376" s="15" t="n">
        <v>43358.5405324074</v>
      </c>
    </row>
    <row r="1377" customFormat="false" ht="15" hidden="false" customHeight="false" outlineLevel="0" collapsed="false">
      <c r="F1377" s="6" t="s">
        <v>57</v>
      </c>
      <c r="G1377" s="0" t="n">
        <v>1</v>
      </c>
      <c r="H1377" s="0" t="s">
        <v>16</v>
      </c>
      <c r="I1377" s="15" t="n">
        <v>43358.5404861111</v>
      </c>
    </row>
    <row r="1378" customFormat="false" ht="15" hidden="false" customHeight="false" outlineLevel="0" collapsed="false">
      <c r="F1378" s="6" t="s">
        <v>203</v>
      </c>
      <c r="G1378" s="0" t="n">
        <v>1</v>
      </c>
      <c r="H1378" s="0" t="s">
        <v>140</v>
      </c>
      <c r="I1378" s="15" t="n">
        <v>43358.5403125</v>
      </c>
    </row>
    <row r="1379" customFormat="false" ht="15" hidden="false" customHeight="false" outlineLevel="0" collapsed="false">
      <c r="F1379" s="6" t="s">
        <v>118</v>
      </c>
      <c r="G1379" s="0" t="n">
        <v>1</v>
      </c>
      <c r="H1379" s="0" t="s">
        <v>16</v>
      </c>
      <c r="I1379" s="15" t="n">
        <v>43358.5400231481</v>
      </c>
    </row>
    <row r="1380" customFormat="false" ht="15" hidden="false" customHeight="false" outlineLevel="0" collapsed="false">
      <c r="F1380" s="6" t="s">
        <v>77</v>
      </c>
      <c r="G1380" s="0" t="n">
        <v>1</v>
      </c>
      <c r="H1380" s="0" t="s">
        <v>16</v>
      </c>
      <c r="I1380" s="15" t="n">
        <v>43358.5397916667</v>
      </c>
    </row>
    <row r="1381" customFormat="false" ht="15" hidden="false" customHeight="false" outlineLevel="0" collapsed="false">
      <c r="F1381" s="6" t="s">
        <v>32</v>
      </c>
      <c r="G1381" s="0" t="n">
        <v>2</v>
      </c>
      <c r="H1381" s="0" t="s">
        <v>140</v>
      </c>
      <c r="I1381" s="15" t="n">
        <v>43358.5397800926</v>
      </c>
    </row>
    <row r="1382" customFormat="false" ht="15" hidden="false" customHeight="false" outlineLevel="0" collapsed="false">
      <c r="F1382" s="6" t="s">
        <v>76</v>
      </c>
      <c r="G1382" s="0" t="n">
        <v>1</v>
      </c>
      <c r="H1382" s="0" t="s">
        <v>140</v>
      </c>
      <c r="I1382" s="15" t="n">
        <v>43358.5396180556</v>
      </c>
    </row>
    <row r="1383" customFormat="false" ht="15" hidden="false" customHeight="false" outlineLevel="0" collapsed="false">
      <c r="F1383" s="6" t="s">
        <v>59</v>
      </c>
      <c r="G1383" s="0" t="n">
        <v>1</v>
      </c>
      <c r="H1383" s="0" t="s">
        <v>16</v>
      </c>
      <c r="I1383" s="15" t="n">
        <v>43358.5395023148</v>
      </c>
    </row>
    <row r="1384" customFormat="false" ht="15" hidden="false" customHeight="false" outlineLevel="0" collapsed="false">
      <c r="F1384" s="6" t="s">
        <v>27</v>
      </c>
      <c r="G1384" s="0" t="n">
        <v>1</v>
      </c>
      <c r="H1384" s="0" t="s">
        <v>140</v>
      </c>
      <c r="I1384" s="15" t="n">
        <v>43358.5394791667</v>
      </c>
    </row>
    <row r="1385" customFormat="false" ht="15" hidden="false" customHeight="false" outlineLevel="0" collapsed="false">
      <c r="F1385" s="6" t="s">
        <v>61</v>
      </c>
      <c r="G1385" s="0" t="n">
        <v>1</v>
      </c>
      <c r="H1385" s="0" t="s">
        <v>16</v>
      </c>
      <c r="I1385" s="15" t="n">
        <v>43358.5393402778</v>
      </c>
    </row>
    <row r="1386" customFormat="false" ht="15" hidden="false" customHeight="false" outlineLevel="0" collapsed="false">
      <c r="F1386" s="6" t="s">
        <v>37</v>
      </c>
      <c r="G1386" s="0" t="n">
        <v>2</v>
      </c>
      <c r="H1386" s="0" t="s">
        <v>109</v>
      </c>
      <c r="I1386" s="15" t="n">
        <v>43358.5392824074</v>
      </c>
    </row>
    <row r="1387" customFormat="false" ht="15" hidden="false" customHeight="false" outlineLevel="0" collapsed="false">
      <c r="F1387" s="6" t="s">
        <v>88</v>
      </c>
      <c r="G1387" s="0" t="n">
        <v>1</v>
      </c>
      <c r="H1387" s="0" t="s">
        <v>16</v>
      </c>
      <c r="I1387" s="15" t="n">
        <v>43358.5391435185</v>
      </c>
    </row>
    <row r="1388" customFormat="false" ht="15" hidden="false" customHeight="false" outlineLevel="0" collapsed="false">
      <c r="F1388" s="6" t="s">
        <v>131</v>
      </c>
      <c r="G1388" s="0" t="n">
        <v>1</v>
      </c>
      <c r="H1388" s="0" t="s">
        <v>140</v>
      </c>
      <c r="I1388" s="15" t="n">
        <v>43358.5390162037</v>
      </c>
    </row>
    <row r="1389" customFormat="false" ht="15" hidden="false" customHeight="false" outlineLevel="0" collapsed="false">
      <c r="F1389" s="6" t="s">
        <v>173</v>
      </c>
      <c r="G1389" s="0" t="n">
        <v>2</v>
      </c>
      <c r="H1389" s="0" t="s">
        <v>16</v>
      </c>
      <c r="I1389" s="15" t="n">
        <v>43358.5388657407</v>
      </c>
    </row>
    <row r="1390" customFormat="false" ht="15" hidden="false" customHeight="false" outlineLevel="0" collapsed="false">
      <c r="F1390" s="6" t="s">
        <v>35</v>
      </c>
      <c r="G1390" s="0" t="n">
        <v>1</v>
      </c>
      <c r="H1390" s="0" t="s">
        <v>140</v>
      </c>
      <c r="I1390" s="15" t="n">
        <v>43358.5387847222</v>
      </c>
    </row>
    <row r="1391" customFormat="false" ht="15" hidden="false" customHeight="false" outlineLevel="0" collapsed="false">
      <c r="F1391" s="6" t="s">
        <v>18</v>
      </c>
      <c r="G1391" s="0" t="n">
        <v>1</v>
      </c>
      <c r="H1391" s="0" t="s">
        <v>16</v>
      </c>
      <c r="I1391" s="15" t="n">
        <v>43358.5387037037</v>
      </c>
    </row>
    <row r="1392" customFormat="false" ht="15" hidden="false" customHeight="false" outlineLevel="0" collapsed="false">
      <c r="F1392" s="6" t="s">
        <v>29</v>
      </c>
      <c r="G1392" s="0" t="n">
        <v>1</v>
      </c>
      <c r="H1392" s="0" t="s">
        <v>16</v>
      </c>
      <c r="I1392" s="15" t="n">
        <v>43358.5386226852</v>
      </c>
    </row>
    <row r="1393" customFormat="false" ht="15" hidden="false" customHeight="false" outlineLevel="0" collapsed="false">
      <c r="F1393" s="6" t="s">
        <v>121</v>
      </c>
      <c r="G1393" s="0" t="n">
        <v>1</v>
      </c>
      <c r="H1393" s="0" t="s">
        <v>140</v>
      </c>
      <c r="I1393" s="15" t="n">
        <v>43358.5385416667</v>
      </c>
    </row>
    <row r="1394" customFormat="false" ht="15" hidden="false" customHeight="false" outlineLevel="0" collapsed="false">
      <c r="F1394" s="6" t="s">
        <v>29</v>
      </c>
      <c r="G1394" s="0" t="n">
        <v>1</v>
      </c>
      <c r="H1394" s="0" t="s">
        <v>140</v>
      </c>
      <c r="I1394" s="15" t="n">
        <v>43358.5384606482</v>
      </c>
    </row>
    <row r="1395" customFormat="false" ht="15" hidden="false" customHeight="false" outlineLevel="0" collapsed="false">
      <c r="F1395" s="6" t="s">
        <v>25</v>
      </c>
      <c r="G1395" s="0" t="n">
        <v>2</v>
      </c>
      <c r="H1395" s="0" t="s">
        <v>16</v>
      </c>
      <c r="I1395" s="15" t="n">
        <v>43358.5384375</v>
      </c>
    </row>
    <row r="1396" customFormat="false" ht="15" hidden="false" customHeight="false" outlineLevel="0" collapsed="false">
      <c r="F1396" s="6" t="s">
        <v>31</v>
      </c>
      <c r="G1396" s="0" t="n">
        <v>14</v>
      </c>
      <c r="H1396" s="0" t="s">
        <v>140</v>
      </c>
      <c r="I1396" s="15" t="n">
        <v>43358.5383217593</v>
      </c>
    </row>
    <row r="1397" customFormat="false" ht="15" hidden="false" customHeight="false" outlineLevel="0" collapsed="false">
      <c r="F1397" s="6" t="s">
        <v>74</v>
      </c>
      <c r="G1397" s="0" t="n">
        <v>1</v>
      </c>
      <c r="H1397" s="0" t="s">
        <v>16</v>
      </c>
      <c r="I1397" s="15" t="n">
        <v>43358.538275463</v>
      </c>
    </row>
    <row r="1398" customFormat="false" ht="15" hidden="false" customHeight="false" outlineLevel="0" collapsed="false">
      <c r="F1398" s="6" t="s">
        <v>36</v>
      </c>
      <c r="G1398" s="0" t="n">
        <v>1</v>
      </c>
      <c r="H1398" s="0" t="s">
        <v>140</v>
      </c>
      <c r="I1398" s="15" t="n">
        <v>43358.5380787037</v>
      </c>
    </row>
    <row r="1399" customFormat="false" ht="15" hidden="false" customHeight="false" outlineLevel="0" collapsed="false">
      <c r="F1399" s="6" t="s">
        <v>72</v>
      </c>
      <c r="G1399" s="0" t="n">
        <v>2</v>
      </c>
      <c r="H1399" s="0" t="s">
        <v>140</v>
      </c>
      <c r="I1399" s="15" t="n">
        <v>43358.5379861111</v>
      </c>
    </row>
    <row r="1400" customFormat="false" ht="15" hidden="false" customHeight="false" outlineLevel="0" collapsed="false">
      <c r="F1400" s="6" t="s">
        <v>37</v>
      </c>
      <c r="G1400" s="0" t="n">
        <v>2</v>
      </c>
      <c r="H1400" s="0" t="s">
        <v>16</v>
      </c>
      <c r="I1400" s="15" t="n">
        <v>43358.537962963</v>
      </c>
    </row>
    <row r="1401" customFormat="false" ht="15" hidden="false" customHeight="false" outlineLevel="0" collapsed="false">
      <c r="F1401" s="6" t="s">
        <v>15</v>
      </c>
      <c r="G1401" s="0" t="n">
        <v>11</v>
      </c>
      <c r="H1401" s="0" t="s">
        <v>140</v>
      </c>
      <c r="I1401" s="15" t="n">
        <v>43358.5378703704</v>
      </c>
    </row>
    <row r="1402" customFormat="false" ht="15" hidden="false" customHeight="false" outlineLevel="0" collapsed="false">
      <c r="F1402" s="6" t="s">
        <v>33</v>
      </c>
      <c r="G1402" s="0" t="n">
        <v>1</v>
      </c>
      <c r="H1402" s="0" t="s">
        <v>140</v>
      </c>
      <c r="I1402" s="15" t="n">
        <v>43358.5375462963</v>
      </c>
    </row>
    <row r="1403" customFormat="false" ht="15" hidden="false" customHeight="false" outlineLevel="0" collapsed="false">
      <c r="F1403" s="6" t="s">
        <v>34</v>
      </c>
      <c r="G1403" s="0" t="n">
        <v>2</v>
      </c>
      <c r="H1403" s="0" t="s">
        <v>16</v>
      </c>
      <c r="I1403" s="15" t="n">
        <v>43358.5374537037</v>
      </c>
    </row>
    <row r="1404" customFormat="false" ht="15" hidden="false" customHeight="false" outlineLevel="0" collapsed="false">
      <c r="F1404" s="6" t="s">
        <v>26</v>
      </c>
      <c r="G1404" s="0" t="n">
        <v>7</v>
      </c>
      <c r="H1404" s="0" t="s">
        <v>140</v>
      </c>
      <c r="I1404" s="15" t="n">
        <v>43358.5371759259</v>
      </c>
    </row>
    <row r="1405" customFormat="false" ht="15" hidden="false" customHeight="false" outlineLevel="0" collapsed="false">
      <c r="F1405" s="6" t="s">
        <v>172</v>
      </c>
      <c r="G1405" s="0" t="n">
        <v>6</v>
      </c>
      <c r="H1405" s="0" t="s">
        <v>16</v>
      </c>
      <c r="I1405" s="15" t="n">
        <v>43358.5370717593</v>
      </c>
    </row>
    <row r="1406" customFormat="false" ht="15" hidden="false" customHeight="false" outlineLevel="0" collapsed="false">
      <c r="F1406" s="6" t="s">
        <v>41</v>
      </c>
      <c r="G1406" s="0" t="n">
        <v>9</v>
      </c>
      <c r="H1406" s="0" t="s">
        <v>140</v>
      </c>
      <c r="I1406" s="15" t="n">
        <v>43358.5368981482</v>
      </c>
    </row>
    <row r="1407" customFormat="false" ht="15" hidden="false" customHeight="false" outlineLevel="0" collapsed="false">
      <c r="F1407" s="6" t="s">
        <v>30</v>
      </c>
      <c r="G1407" s="0" t="n">
        <v>1</v>
      </c>
      <c r="H1407" s="0" t="s">
        <v>109</v>
      </c>
      <c r="I1407" s="15" t="n">
        <v>43358.5367476852</v>
      </c>
    </row>
    <row r="1408" customFormat="false" ht="15" hidden="false" customHeight="false" outlineLevel="0" collapsed="false">
      <c r="F1408" s="6" t="s">
        <v>29</v>
      </c>
      <c r="G1408" s="0" t="n">
        <v>2</v>
      </c>
      <c r="H1408" s="0" t="s">
        <v>109</v>
      </c>
      <c r="I1408" s="15" t="n">
        <v>43358.5365509259</v>
      </c>
    </row>
    <row r="1409" customFormat="false" ht="15" hidden="false" customHeight="false" outlineLevel="0" collapsed="false">
      <c r="F1409" s="6" t="s">
        <v>12</v>
      </c>
      <c r="G1409" s="0" t="n">
        <v>1</v>
      </c>
      <c r="H1409" s="0" t="s">
        <v>16</v>
      </c>
      <c r="I1409" s="15" t="n">
        <v>43358.5364351852</v>
      </c>
    </row>
    <row r="1410" customFormat="false" ht="15" hidden="false" customHeight="false" outlineLevel="0" collapsed="false">
      <c r="F1410" s="6" t="s">
        <v>26</v>
      </c>
      <c r="G1410" s="0" t="n">
        <v>8</v>
      </c>
      <c r="H1410" s="0" t="s">
        <v>16</v>
      </c>
      <c r="I1410" s="15" t="n">
        <v>43358.5363310185</v>
      </c>
    </row>
    <row r="1411" customFormat="false" ht="15" hidden="false" customHeight="false" outlineLevel="0" collapsed="false">
      <c r="F1411" s="6" t="s">
        <v>86</v>
      </c>
      <c r="G1411" s="0" t="n">
        <v>1</v>
      </c>
      <c r="H1411" s="0" t="s">
        <v>16</v>
      </c>
      <c r="I1411" s="15" t="n">
        <v>43358.5362268519</v>
      </c>
    </row>
    <row r="1412" customFormat="false" ht="15" hidden="false" customHeight="false" outlineLevel="0" collapsed="false">
      <c r="F1412" s="6" t="s">
        <v>23</v>
      </c>
      <c r="G1412" s="0" t="n">
        <v>3</v>
      </c>
      <c r="H1412" s="0" t="s">
        <v>140</v>
      </c>
      <c r="I1412" s="15" t="n">
        <v>43358.5360648148</v>
      </c>
    </row>
    <row r="1413" customFormat="false" ht="15" hidden="false" customHeight="false" outlineLevel="0" collapsed="false">
      <c r="F1413" s="6" t="s">
        <v>66</v>
      </c>
      <c r="G1413" s="0" t="n">
        <v>1</v>
      </c>
      <c r="H1413" s="0" t="s">
        <v>16</v>
      </c>
      <c r="I1413" s="15" t="n">
        <v>43358.5359837963</v>
      </c>
    </row>
    <row r="1414" customFormat="false" ht="15" hidden="false" customHeight="false" outlineLevel="0" collapsed="false">
      <c r="F1414" s="6" t="s">
        <v>22</v>
      </c>
      <c r="G1414" s="0" t="n">
        <v>1</v>
      </c>
      <c r="H1414" s="0" t="s">
        <v>140</v>
      </c>
      <c r="I1414" s="15" t="n">
        <v>43358.5359143519</v>
      </c>
    </row>
    <row r="1415" customFormat="false" ht="15" hidden="false" customHeight="false" outlineLevel="0" collapsed="false">
      <c r="F1415" s="6" t="s">
        <v>120</v>
      </c>
      <c r="G1415" s="0" t="n">
        <v>1</v>
      </c>
      <c r="H1415" s="0" t="s">
        <v>16</v>
      </c>
      <c r="I1415" s="15" t="n">
        <v>43358.5357291667</v>
      </c>
    </row>
    <row r="1416" customFormat="false" ht="15" hidden="false" customHeight="false" outlineLevel="0" collapsed="false">
      <c r="F1416" s="6" t="s">
        <v>92</v>
      </c>
      <c r="G1416" s="0" t="n">
        <v>1</v>
      </c>
      <c r="H1416" s="0" t="s">
        <v>140</v>
      </c>
      <c r="I1416" s="15" t="n">
        <v>43358.5355555556</v>
      </c>
    </row>
    <row r="1417" customFormat="false" ht="15" hidden="false" customHeight="false" outlineLevel="0" collapsed="false">
      <c r="F1417" s="6" t="s">
        <v>27</v>
      </c>
      <c r="G1417" s="0" t="n">
        <v>6</v>
      </c>
      <c r="H1417" s="0" t="s">
        <v>140</v>
      </c>
      <c r="I1417" s="15" t="n">
        <v>43358.535474537</v>
      </c>
    </row>
    <row r="1418" customFormat="false" ht="15" hidden="false" customHeight="false" outlineLevel="0" collapsed="false">
      <c r="F1418" s="6" t="s">
        <v>112</v>
      </c>
      <c r="G1418" s="0" t="n">
        <v>1</v>
      </c>
      <c r="H1418" s="0" t="s">
        <v>16</v>
      </c>
      <c r="I1418" s="15" t="n">
        <v>43358.5347800926</v>
      </c>
    </row>
    <row r="1419" customFormat="false" ht="15" hidden="false" customHeight="false" outlineLevel="0" collapsed="false">
      <c r="F1419" s="6" t="s">
        <v>34</v>
      </c>
      <c r="G1419" s="0" t="n">
        <v>8</v>
      </c>
      <c r="H1419" s="0" t="s">
        <v>109</v>
      </c>
      <c r="I1419" s="15" t="n">
        <v>43358.5346759259</v>
      </c>
    </row>
    <row r="1420" customFormat="false" ht="15" hidden="false" customHeight="false" outlineLevel="0" collapsed="false">
      <c r="F1420" s="6" t="s">
        <v>145</v>
      </c>
      <c r="G1420" s="0" t="n">
        <v>3</v>
      </c>
      <c r="H1420" s="0" t="s">
        <v>16</v>
      </c>
      <c r="I1420" s="15" t="n">
        <v>43358.5346527778</v>
      </c>
    </row>
    <row r="1421" customFormat="false" ht="15" hidden="false" customHeight="false" outlineLevel="0" collapsed="false">
      <c r="F1421" s="6" t="s">
        <v>77</v>
      </c>
      <c r="G1421" s="0" t="n">
        <v>2</v>
      </c>
      <c r="H1421" s="0" t="s">
        <v>109</v>
      </c>
      <c r="I1421" s="15" t="n">
        <v>43358.5345949074</v>
      </c>
    </row>
    <row r="1422" customFormat="false" ht="15" hidden="false" customHeight="false" outlineLevel="0" collapsed="false">
      <c r="F1422" s="6" t="s">
        <v>61</v>
      </c>
      <c r="G1422" s="0" t="n">
        <v>1</v>
      </c>
      <c r="H1422" s="0" t="s">
        <v>109</v>
      </c>
      <c r="I1422" s="15" t="n">
        <v>43358.534525463</v>
      </c>
    </row>
    <row r="1423" customFormat="false" ht="15" hidden="false" customHeight="false" outlineLevel="0" collapsed="false">
      <c r="F1423" s="6" t="s">
        <v>112</v>
      </c>
      <c r="G1423" s="0" t="n">
        <v>1</v>
      </c>
      <c r="H1423" s="0" t="s">
        <v>16</v>
      </c>
      <c r="I1423" s="15" t="n">
        <v>43358.534525463</v>
      </c>
    </row>
    <row r="1424" customFormat="false" ht="15" hidden="false" customHeight="false" outlineLevel="0" collapsed="false">
      <c r="F1424" s="6" t="s">
        <v>15</v>
      </c>
      <c r="G1424" s="0" t="n">
        <v>3</v>
      </c>
      <c r="H1424" s="0" t="s">
        <v>109</v>
      </c>
      <c r="I1424" s="15" t="n">
        <v>43358.5343287037</v>
      </c>
    </row>
    <row r="1425" customFormat="false" ht="15" hidden="false" customHeight="false" outlineLevel="0" collapsed="false">
      <c r="F1425" s="6" t="s">
        <v>63</v>
      </c>
      <c r="G1425" s="0" t="n">
        <v>9</v>
      </c>
      <c r="H1425" s="0" t="s">
        <v>16</v>
      </c>
      <c r="I1425" s="15" t="n">
        <v>43358.5342708333</v>
      </c>
    </row>
    <row r="1426" customFormat="false" ht="15" hidden="false" customHeight="false" outlineLevel="0" collapsed="false">
      <c r="F1426" s="6" t="s">
        <v>89</v>
      </c>
      <c r="G1426" s="0" t="n">
        <v>1</v>
      </c>
      <c r="H1426" s="0" t="s">
        <v>109</v>
      </c>
      <c r="I1426" s="15" t="n">
        <v>43358.5342592593</v>
      </c>
    </row>
    <row r="1427" customFormat="false" ht="15" hidden="false" customHeight="false" outlineLevel="0" collapsed="false">
      <c r="F1427" s="6" t="s">
        <v>97</v>
      </c>
      <c r="G1427" s="0" t="n">
        <v>3</v>
      </c>
      <c r="H1427" s="0" t="s">
        <v>91</v>
      </c>
      <c r="I1427" s="15" t="n">
        <v>43358.5340856482</v>
      </c>
    </row>
    <row r="1428" customFormat="false" ht="15" hidden="false" customHeight="false" outlineLevel="0" collapsed="false">
      <c r="F1428" s="6" t="s">
        <v>88</v>
      </c>
      <c r="G1428" s="0" t="n">
        <v>1</v>
      </c>
      <c r="H1428" s="0" t="s">
        <v>91</v>
      </c>
      <c r="I1428" s="15" t="n">
        <v>43358.533912037</v>
      </c>
    </row>
    <row r="1429" customFormat="false" ht="15" hidden="false" customHeight="false" outlineLevel="0" collapsed="false">
      <c r="F1429" s="6" t="s">
        <v>116</v>
      </c>
      <c r="G1429" s="0" t="n">
        <v>2</v>
      </c>
      <c r="H1429" s="0" t="s">
        <v>16</v>
      </c>
      <c r="I1429" s="15" t="n">
        <v>43358.533912037</v>
      </c>
    </row>
    <row r="1430" customFormat="false" ht="15" hidden="false" customHeight="false" outlineLevel="0" collapsed="false">
      <c r="F1430" s="6" t="s">
        <v>80</v>
      </c>
      <c r="G1430" s="0" t="n">
        <v>1</v>
      </c>
      <c r="H1430" s="0" t="s">
        <v>91</v>
      </c>
      <c r="I1430" s="15" t="n">
        <v>43358.5337268519</v>
      </c>
    </row>
    <row r="1431" customFormat="false" ht="15" hidden="false" customHeight="false" outlineLevel="0" collapsed="false">
      <c r="F1431" s="6" t="s">
        <v>57</v>
      </c>
      <c r="G1431" s="0" t="n">
        <v>3</v>
      </c>
      <c r="H1431" s="0" t="s">
        <v>16</v>
      </c>
      <c r="I1431" s="15" t="n">
        <v>43358.5336805556</v>
      </c>
    </row>
    <row r="1432" customFormat="false" ht="15" hidden="false" customHeight="false" outlineLevel="0" collapsed="false">
      <c r="F1432" s="6" t="s">
        <v>41</v>
      </c>
      <c r="G1432" s="0" t="n">
        <v>2</v>
      </c>
      <c r="H1432" s="0" t="s">
        <v>91</v>
      </c>
      <c r="I1432" s="15" t="n">
        <v>43358.5336226852</v>
      </c>
    </row>
    <row r="1433" customFormat="false" ht="15" hidden="false" customHeight="false" outlineLevel="0" collapsed="false">
      <c r="F1433" s="6" t="s">
        <v>25</v>
      </c>
      <c r="G1433" s="0" t="n">
        <v>3</v>
      </c>
      <c r="H1433" s="0" t="s">
        <v>91</v>
      </c>
      <c r="I1433" s="15" t="n">
        <v>43358.5335532407</v>
      </c>
    </row>
    <row r="1434" customFormat="false" ht="15" hidden="false" customHeight="false" outlineLevel="0" collapsed="false">
      <c r="F1434" s="6" t="s">
        <v>32</v>
      </c>
      <c r="G1434" s="0" t="n">
        <v>8</v>
      </c>
      <c r="H1434" s="0" t="s">
        <v>16</v>
      </c>
      <c r="I1434" s="15" t="n">
        <v>43358.5333912037</v>
      </c>
    </row>
    <row r="1435" customFormat="false" ht="15" hidden="false" customHeight="false" outlineLevel="0" collapsed="false">
      <c r="F1435" s="6" t="s">
        <v>25</v>
      </c>
      <c r="G1435" s="0" t="n">
        <v>12</v>
      </c>
      <c r="H1435" s="0" t="s">
        <v>140</v>
      </c>
      <c r="I1435" s="15" t="n">
        <v>43358.5333333333</v>
      </c>
    </row>
    <row r="1436" customFormat="false" ht="15" hidden="false" customHeight="false" outlineLevel="0" collapsed="false">
      <c r="F1436" s="6" t="s">
        <v>15</v>
      </c>
      <c r="G1436" s="0" t="n">
        <v>4</v>
      </c>
      <c r="H1436" s="0" t="s">
        <v>16</v>
      </c>
      <c r="I1436" s="15" t="n">
        <v>43358.5330555556</v>
      </c>
    </row>
    <row r="1437" customFormat="false" ht="15" hidden="false" customHeight="false" outlineLevel="0" collapsed="false">
      <c r="F1437" s="6" t="s">
        <v>41</v>
      </c>
      <c r="G1437" s="0" t="n">
        <v>31</v>
      </c>
      <c r="H1437" s="0" t="s">
        <v>109</v>
      </c>
      <c r="I1437" s="15" t="n">
        <v>43358.5329861111</v>
      </c>
    </row>
    <row r="1438" customFormat="false" ht="15" hidden="false" customHeight="false" outlineLevel="0" collapsed="false">
      <c r="F1438" s="6" t="s">
        <v>110</v>
      </c>
      <c r="G1438" s="0" t="n">
        <v>2</v>
      </c>
      <c r="H1438" s="0" t="s">
        <v>16</v>
      </c>
      <c r="I1438" s="15" t="n">
        <v>43358.532974537</v>
      </c>
    </row>
    <row r="1439" customFormat="false" ht="15" hidden="false" customHeight="false" outlineLevel="0" collapsed="false">
      <c r="F1439" s="6" t="s">
        <v>46</v>
      </c>
      <c r="G1439" s="0" t="n">
        <v>1</v>
      </c>
      <c r="H1439" s="0" t="s">
        <v>16</v>
      </c>
      <c r="I1439" s="15" t="n">
        <v>43358.5325</v>
      </c>
    </row>
    <row r="1440" customFormat="false" ht="15" hidden="false" customHeight="false" outlineLevel="0" collapsed="false">
      <c r="F1440" s="6" t="s">
        <v>42</v>
      </c>
      <c r="G1440" s="0" t="n">
        <v>1</v>
      </c>
      <c r="H1440" s="0" t="s">
        <v>16</v>
      </c>
      <c r="I1440" s="15" t="n">
        <v>43358.5323958333</v>
      </c>
    </row>
    <row r="1441" customFormat="false" ht="15" hidden="false" customHeight="false" outlineLevel="0" collapsed="false">
      <c r="F1441" s="6" t="s">
        <v>25</v>
      </c>
      <c r="G1441" s="0" t="n">
        <v>8</v>
      </c>
      <c r="H1441" s="0" t="s">
        <v>109</v>
      </c>
      <c r="I1441" s="15" t="n">
        <v>43358.5323842593</v>
      </c>
    </row>
    <row r="1442" customFormat="false" ht="15" hidden="false" customHeight="false" outlineLevel="0" collapsed="false">
      <c r="F1442" s="6" t="s">
        <v>41</v>
      </c>
      <c r="G1442" s="0" t="n">
        <v>4</v>
      </c>
      <c r="H1442" s="0" t="s">
        <v>16</v>
      </c>
      <c r="I1442" s="15" t="n">
        <v>43358.5323032407</v>
      </c>
    </row>
    <row r="1443" customFormat="false" ht="15" hidden="false" customHeight="false" outlineLevel="0" collapsed="false">
      <c r="F1443" s="6" t="s">
        <v>25</v>
      </c>
      <c r="G1443" s="0" t="n">
        <v>14</v>
      </c>
      <c r="H1443" s="0" t="s">
        <v>109</v>
      </c>
      <c r="I1443" s="15" t="n">
        <v>43358.5322222222</v>
      </c>
    </row>
    <row r="1444" customFormat="false" ht="15" hidden="false" customHeight="false" outlineLevel="0" collapsed="false">
      <c r="F1444" s="6" t="s">
        <v>21</v>
      </c>
      <c r="G1444" s="0" t="n">
        <v>9</v>
      </c>
      <c r="H1444" s="0" t="s">
        <v>109</v>
      </c>
      <c r="I1444" s="15" t="n">
        <v>43358.531875</v>
      </c>
    </row>
    <row r="1445" customFormat="false" ht="15" hidden="false" customHeight="false" outlineLevel="0" collapsed="false">
      <c r="F1445" s="6" t="s">
        <v>81</v>
      </c>
      <c r="G1445" s="0" t="n">
        <v>1</v>
      </c>
      <c r="H1445" s="0" t="s">
        <v>109</v>
      </c>
      <c r="I1445" s="15" t="n">
        <v>43358.5317939815</v>
      </c>
    </row>
    <row r="1446" customFormat="false" ht="15" hidden="false" customHeight="false" outlineLevel="0" collapsed="false">
      <c r="F1446" s="6" t="s">
        <v>129</v>
      </c>
      <c r="G1446" s="0" t="n">
        <v>1</v>
      </c>
      <c r="H1446" s="0" t="s">
        <v>109</v>
      </c>
      <c r="I1446" s="15" t="n">
        <v>43358.5315046296</v>
      </c>
    </row>
    <row r="1447" customFormat="false" ht="15" hidden="false" customHeight="false" outlineLevel="0" collapsed="false">
      <c r="F1447" s="6" t="s">
        <v>25</v>
      </c>
      <c r="G1447" s="0" t="n">
        <v>5</v>
      </c>
      <c r="H1447" s="0" t="s">
        <v>16</v>
      </c>
      <c r="I1447" s="15" t="n">
        <v>43358.5314351852</v>
      </c>
    </row>
    <row r="1448" customFormat="false" ht="15" hidden="false" customHeight="false" outlineLevel="0" collapsed="false">
      <c r="F1448" s="6" t="s">
        <v>57</v>
      </c>
      <c r="G1448" s="0" t="n">
        <v>2</v>
      </c>
      <c r="H1448" s="0" t="s">
        <v>109</v>
      </c>
      <c r="I1448" s="15" t="n">
        <v>43358.5314236111</v>
      </c>
    </row>
    <row r="1449" customFormat="false" ht="15" hidden="false" customHeight="false" outlineLevel="0" collapsed="false">
      <c r="F1449" s="6" t="s">
        <v>52</v>
      </c>
      <c r="G1449" s="0" t="n">
        <v>1</v>
      </c>
      <c r="H1449" s="0" t="s">
        <v>109</v>
      </c>
      <c r="I1449" s="15" t="n">
        <v>43358.5313541667</v>
      </c>
    </row>
    <row r="1450" customFormat="false" ht="15" hidden="false" customHeight="false" outlineLevel="0" collapsed="false">
      <c r="F1450" s="6" t="s">
        <v>32</v>
      </c>
      <c r="G1450" s="0" t="n">
        <v>6</v>
      </c>
      <c r="H1450" s="0" t="s">
        <v>109</v>
      </c>
      <c r="I1450" s="15" t="n">
        <v>43358.5312731482</v>
      </c>
    </row>
    <row r="1451" customFormat="false" ht="15" hidden="false" customHeight="false" outlineLevel="0" collapsed="false">
      <c r="F1451" s="6" t="s">
        <v>31</v>
      </c>
      <c r="G1451" s="0" t="n">
        <v>43</v>
      </c>
      <c r="H1451" s="0" t="s">
        <v>109</v>
      </c>
      <c r="I1451" s="15" t="n">
        <v>43358.5311805556</v>
      </c>
    </row>
    <row r="1452" customFormat="false" ht="15" hidden="false" customHeight="false" outlineLevel="0" collapsed="false">
      <c r="F1452" s="6" t="s">
        <v>34</v>
      </c>
      <c r="G1452" s="0" t="n">
        <v>6</v>
      </c>
      <c r="H1452" s="0" t="s">
        <v>109</v>
      </c>
      <c r="I1452" s="15" t="n">
        <v>43358.5310416667</v>
      </c>
    </row>
    <row r="1453" customFormat="false" ht="15" hidden="false" customHeight="false" outlineLevel="0" collapsed="false">
      <c r="F1453" s="6" t="s">
        <v>33</v>
      </c>
      <c r="G1453" s="0" t="n">
        <v>1</v>
      </c>
      <c r="H1453" s="0" t="s">
        <v>16</v>
      </c>
      <c r="I1453" s="15" t="n">
        <v>43358.5310069445</v>
      </c>
    </row>
    <row r="1454" customFormat="false" ht="15" hidden="false" customHeight="false" outlineLevel="0" collapsed="false">
      <c r="F1454" s="6" t="s">
        <v>74</v>
      </c>
      <c r="G1454" s="0" t="n">
        <v>1</v>
      </c>
      <c r="H1454" s="0" t="s">
        <v>16</v>
      </c>
      <c r="I1454" s="15" t="n">
        <v>43358.5309490741</v>
      </c>
    </row>
    <row r="1455" customFormat="false" ht="15" hidden="false" customHeight="false" outlineLevel="0" collapsed="false">
      <c r="F1455" s="6" t="s">
        <v>80</v>
      </c>
      <c r="G1455" s="0" t="n">
        <v>3</v>
      </c>
      <c r="H1455" s="0" t="s">
        <v>146</v>
      </c>
      <c r="I1455" s="15" t="n">
        <v>43358.5307407407</v>
      </c>
    </row>
    <row r="1456" customFormat="false" ht="15" hidden="false" customHeight="false" outlineLevel="0" collapsed="false">
      <c r="F1456" s="6" t="s">
        <v>77</v>
      </c>
      <c r="G1456" s="0" t="n">
        <v>1</v>
      </c>
      <c r="H1456" s="0" t="s">
        <v>16</v>
      </c>
      <c r="I1456" s="15" t="n">
        <v>43358.5307407407</v>
      </c>
    </row>
    <row r="1457" customFormat="false" ht="15" hidden="false" customHeight="false" outlineLevel="0" collapsed="false">
      <c r="F1457" s="6" t="s">
        <v>80</v>
      </c>
      <c r="G1457" s="0" t="n">
        <v>1</v>
      </c>
      <c r="H1457" s="0" t="s">
        <v>146</v>
      </c>
      <c r="I1457" s="15" t="n">
        <v>43358.5306481481</v>
      </c>
    </row>
    <row r="1458" customFormat="false" ht="15" hidden="false" customHeight="false" outlineLevel="0" collapsed="false">
      <c r="F1458" s="6" t="s">
        <v>21</v>
      </c>
      <c r="G1458" s="0" t="n">
        <v>8</v>
      </c>
      <c r="H1458" s="0" t="s">
        <v>16</v>
      </c>
      <c r="I1458" s="15" t="n">
        <v>43358.5306481481</v>
      </c>
    </row>
    <row r="1459" customFormat="false" ht="15" hidden="false" customHeight="false" outlineLevel="0" collapsed="false">
      <c r="F1459" s="6" t="s">
        <v>37</v>
      </c>
      <c r="G1459" s="0" t="n">
        <v>1</v>
      </c>
      <c r="H1459" s="0" t="s">
        <v>16</v>
      </c>
      <c r="I1459" s="15" t="n">
        <v>43358.5304513889</v>
      </c>
    </row>
    <row r="1460" customFormat="false" ht="15" hidden="false" customHeight="false" outlineLevel="0" collapsed="false">
      <c r="F1460" s="6" t="s">
        <v>101</v>
      </c>
      <c r="G1460" s="0" t="n">
        <v>1</v>
      </c>
      <c r="H1460" s="0" t="s">
        <v>146</v>
      </c>
      <c r="I1460" s="15" t="n">
        <v>43358.5304282407</v>
      </c>
    </row>
    <row r="1461" customFormat="false" ht="15" hidden="false" customHeight="false" outlineLevel="0" collapsed="false">
      <c r="F1461" s="6" t="s">
        <v>36</v>
      </c>
      <c r="G1461" s="0" t="n">
        <v>1</v>
      </c>
      <c r="H1461" s="0" t="s">
        <v>16</v>
      </c>
      <c r="I1461" s="15" t="n">
        <v>43358.5303472222</v>
      </c>
    </row>
    <row r="1462" customFormat="false" ht="15" hidden="false" customHeight="false" outlineLevel="0" collapsed="false">
      <c r="F1462" s="6" t="s">
        <v>34</v>
      </c>
      <c r="G1462" s="0" t="n">
        <v>3</v>
      </c>
      <c r="H1462" s="0" t="s">
        <v>146</v>
      </c>
      <c r="I1462" s="15" t="n">
        <v>43358.5301736111</v>
      </c>
    </row>
    <row r="1463" customFormat="false" ht="15" hidden="false" customHeight="false" outlineLevel="0" collapsed="false">
      <c r="F1463" s="6" t="s">
        <v>72</v>
      </c>
      <c r="G1463" s="0" t="n">
        <v>3</v>
      </c>
      <c r="H1463" s="0" t="s">
        <v>16</v>
      </c>
      <c r="I1463" s="15" t="n">
        <v>43358.5300810185</v>
      </c>
    </row>
    <row r="1464" customFormat="false" ht="15" hidden="false" customHeight="false" outlineLevel="0" collapsed="false">
      <c r="F1464" s="6" t="s">
        <v>41</v>
      </c>
      <c r="G1464" s="0" t="n">
        <v>1</v>
      </c>
      <c r="H1464" s="0" t="s">
        <v>146</v>
      </c>
      <c r="I1464" s="15" t="n">
        <v>43358.5298726852</v>
      </c>
    </row>
    <row r="1465" customFormat="false" ht="15" hidden="false" customHeight="false" outlineLevel="0" collapsed="false">
      <c r="F1465" s="6" t="s">
        <v>148</v>
      </c>
      <c r="G1465" s="0" t="n">
        <v>1</v>
      </c>
      <c r="H1465" s="0" t="s">
        <v>146</v>
      </c>
      <c r="I1465" s="15" t="n">
        <v>43358.5298148148</v>
      </c>
    </row>
    <row r="1466" customFormat="false" ht="15" hidden="false" customHeight="false" outlineLevel="0" collapsed="false">
      <c r="F1466" s="6" t="s">
        <v>46</v>
      </c>
      <c r="G1466" s="0" t="n">
        <v>1</v>
      </c>
      <c r="H1466" s="0" t="s">
        <v>146</v>
      </c>
      <c r="I1466" s="15" t="n">
        <v>43358.5297106481</v>
      </c>
    </row>
    <row r="1467" customFormat="false" ht="15" hidden="false" customHeight="false" outlineLevel="0" collapsed="false">
      <c r="F1467" s="6" t="s">
        <v>99</v>
      </c>
      <c r="G1467" s="0" t="n">
        <v>1</v>
      </c>
      <c r="H1467" s="0" t="s">
        <v>146</v>
      </c>
      <c r="I1467" s="15" t="n">
        <v>43358.5296412037</v>
      </c>
    </row>
    <row r="1468" customFormat="false" ht="15" hidden="false" customHeight="false" outlineLevel="0" collapsed="false">
      <c r="F1468" s="6" t="s">
        <v>34</v>
      </c>
      <c r="G1468" s="0" t="n">
        <v>11</v>
      </c>
      <c r="H1468" s="0" t="s">
        <v>16</v>
      </c>
      <c r="I1468" s="15" t="n">
        <v>43358.5292824074</v>
      </c>
    </row>
    <row r="1469" customFormat="false" ht="15" hidden="false" customHeight="false" outlineLevel="0" collapsed="false">
      <c r="F1469" s="6" t="s">
        <v>26</v>
      </c>
      <c r="G1469" s="0" t="n">
        <v>1</v>
      </c>
      <c r="H1469" s="0" t="s">
        <v>146</v>
      </c>
      <c r="I1469" s="15" t="n">
        <v>43358.5288888889</v>
      </c>
    </row>
    <row r="1470" customFormat="false" ht="15" hidden="false" customHeight="false" outlineLevel="0" collapsed="false">
      <c r="F1470" s="6" t="s">
        <v>15</v>
      </c>
      <c r="G1470" s="0" t="n">
        <v>4</v>
      </c>
      <c r="H1470" s="0" t="s">
        <v>146</v>
      </c>
      <c r="I1470" s="15" t="n">
        <v>43358.5287268519</v>
      </c>
    </row>
    <row r="1471" customFormat="false" ht="15" hidden="false" customHeight="false" outlineLevel="0" collapsed="false">
      <c r="F1471" s="6" t="s">
        <v>33</v>
      </c>
      <c r="G1471" s="0" t="n">
        <v>1</v>
      </c>
      <c r="H1471" s="0" t="s">
        <v>146</v>
      </c>
      <c r="I1471" s="15" t="n">
        <v>43358.5285416667</v>
      </c>
    </row>
    <row r="1472" customFormat="false" ht="15" hidden="false" customHeight="false" outlineLevel="0" collapsed="false">
      <c r="F1472" s="6" t="s">
        <v>37</v>
      </c>
      <c r="G1472" s="0" t="n">
        <v>1</v>
      </c>
      <c r="H1472" s="0" t="s">
        <v>146</v>
      </c>
      <c r="I1472" s="15" t="n">
        <v>43358.5284259259</v>
      </c>
    </row>
    <row r="1473" customFormat="false" ht="15" hidden="false" customHeight="false" outlineLevel="0" collapsed="false">
      <c r="F1473" s="6" t="s">
        <v>36</v>
      </c>
      <c r="G1473" s="0" t="n">
        <v>1</v>
      </c>
      <c r="H1473" s="0" t="s">
        <v>146</v>
      </c>
      <c r="I1473" s="15" t="n">
        <v>43358.5283217593</v>
      </c>
    </row>
    <row r="1474" customFormat="false" ht="15" hidden="false" customHeight="false" outlineLevel="0" collapsed="false">
      <c r="F1474" s="6" t="s">
        <v>106</v>
      </c>
      <c r="G1474" s="0" t="n">
        <v>1</v>
      </c>
      <c r="H1474" s="0" t="s">
        <v>146</v>
      </c>
      <c r="I1474" s="15" t="n">
        <v>43358.5282523148</v>
      </c>
    </row>
    <row r="1475" customFormat="false" ht="15" hidden="false" customHeight="false" outlineLevel="0" collapsed="false">
      <c r="F1475" s="6" t="s">
        <v>25</v>
      </c>
      <c r="G1475" s="0" t="n">
        <v>11</v>
      </c>
      <c r="H1475" s="0" t="s">
        <v>146</v>
      </c>
      <c r="I1475" s="15" t="n">
        <v>43358.5281597222</v>
      </c>
    </row>
    <row r="1476" customFormat="false" ht="15" hidden="false" customHeight="false" outlineLevel="0" collapsed="false">
      <c r="F1476" s="6" t="s">
        <v>110</v>
      </c>
      <c r="G1476" s="0" t="n">
        <v>3</v>
      </c>
      <c r="H1476" s="0" t="s">
        <v>146</v>
      </c>
      <c r="I1476" s="15" t="n">
        <v>43358.5277546296</v>
      </c>
    </row>
    <row r="1477" customFormat="false" ht="15" hidden="false" customHeight="false" outlineLevel="0" collapsed="false">
      <c r="F1477" s="6" t="s">
        <v>77</v>
      </c>
      <c r="G1477" s="0" t="n">
        <v>1</v>
      </c>
      <c r="H1477" s="0" t="s">
        <v>146</v>
      </c>
      <c r="I1477" s="15" t="n">
        <v>43358.5276851852</v>
      </c>
    </row>
    <row r="1478" customFormat="false" ht="15" hidden="false" customHeight="false" outlineLevel="0" collapsed="false">
      <c r="F1478" s="6" t="s">
        <v>204</v>
      </c>
      <c r="G1478" s="0" t="n">
        <v>4</v>
      </c>
      <c r="H1478" s="0" t="s">
        <v>146</v>
      </c>
      <c r="I1478" s="15" t="n">
        <v>43358.5275925926</v>
      </c>
    </row>
    <row r="1479" customFormat="false" ht="15" hidden="false" customHeight="false" outlineLevel="0" collapsed="false">
      <c r="F1479" s="6" t="s">
        <v>21</v>
      </c>
      <c r="G1479" s="0" t="n">
        <v>8</v>
      </c>
      <c r="H1479" s="0" t="s">
        <v>16</v>
      </c>
      <c r="I1479" s="15" t="n">
        <v>43358.5274189815</v>
      </c>
    </row>
    <row r="1480" customFormat="false" ht="15" hidden="false" customHeight="false" outlineLevel="0" collapsed="false">
      <c r="F1480" s="6" t="s">
        <v>12</v>
      </c>
      <c r="G1480" s="0" t="n">
        <v>1</v>
      </c>
      <c r="H1480" s="0" t="s">
        <v>146</v>
      </c>
      <c r="I1480" s="15" t="n">
        <v>43358.5273263889</v>
      </c>
    </row>
    <row r="1481" customFormat="false" ht="15" hidden="false" customHeight="false" outlineLevel="0" collapsed="false">
      <c r="F1481" s="6" t="s">
        <v>19</v>
      </c>
      <c r="G1481" s="0" t="n">
        <v>4</v>
      </c>
      <c r="H1481" s="0" t="s">
        <v>146</v>
      </c>
      <c r="I1481" s="15" t="n">
        <v>43358.5271990741</v>
      </c>
    </row>
    <row r="1482" customFormat="false" ht="15" hidden="false" customHeight="false" outlineLevel="0" collapsed="false">
      <c r="F1482" s="6" t="s">
        <v>185</v>
      </c>
      <c r="G1482" s="0" t="n">
        <v>1</v>
      </c>
      <c r="H1482" s="0" t="s">
        <v>16</v>
      </c>
      <c r="I1482" s="15" t="n">
        <v>43358.5271412037</v>
      </c>
    </row>
    <row r="1483" customFormat="false" ht="15" hidden="false" customHeight="false" outlineLevel="0" collapsed="false">
      <c r="F1483" s="6" t="s">
        <v>25</v>
      </c>
      <c r="G1483" s="0" t="n">
        <v>11</v>
      </c>
      <c r="H1483" s="0" t="s">
        <v>16</v>
      </c>
      <c r="I1483" s="15" t="n">
        <v>43358.5270023148</v>
      </c>
    </row>
    <row r="1484" customFormat="false" ht="15" hidden="false" customHeight="false" outlineLevel="0" collapsed="false">
      <c r="F1484" s="6" t="s">
        <v>80</v>
      </c>
      <c r="G1484" s="0" t="n">
        <v>2</v>
      </c>
      <c r="H1484" s="0" t="s">
        <v>16</v>
      </c>
      <c r="I1484" s="15" t="n">
        <v>43358.526724537</v>
      </c>
    </row>
    <row r="1485" customFormat="false" ht="15" hidden="false" customHeight="false" outlineLevel="0" collapsed="false">
      <c r="F1485" s="6" t="s">
        <v>76</v>
      </c>
      <c r="G1485" s="0" t="n">
        <v>5</v>
      </c>
      <c r="H1485" s="0" t="s">
        <v>16</v>
      </c>
      <c r="I1485" s="15" t="n">
        <v>43358.5266087963</v>
      </c>
    </row>
    <row r="1486" customFormat="false" ht="15" hidden="false" customHeight="false" outlineLevel="0" collapsed="false">
      <c r="F1486" s="6" t="s">
        <v>27</v>
      </c>
      <c r="G1486" s="0" t="n">
        <v>7</v>
      </c>
      <c r="H1486" s="0" t="s">
        <v>146</v>
      </c>
      <c r="I1486" s="15" t="n">
        <v>43358.5264930556</v>
      </c>
    </row>
    <row r="1487" customFormat="false" ht="15" hidden="false" customHeight="false" outlineLevel="0" collapsed="false">
      <c r="F1487" s="6" t="s">
        <v>54</v>
      </c>
      <c r="G1487" s="0" t="n">
        <v>1</v>
      </c>
      <c r="H1487" s="0" t="s">
        <v>146</v>
      </c>
      <c r="I1487" s="15" t="n">
        <v>43358.5263194444</v>
      </c>
    </row>
    <row r="1488" customFormat="false" ht="15" hidden="false" customHeight="false" outlineLevel="0" collapsed="false">
      <c r="F1488" s="6" t="s">
        <v>32</v>
      </c>
      <c r="G1488" s="0" t="n">
        <v>12</v>
      </c>
      <c r="H1488" s="0" t="s">
        <v>146</v>
      </c>
      <c r="I1488" s="15" t="n">
        <v>43358.5262268519</v>
      </c>
    </row>
    <row r="1489" customFormat="false" ht="15" hidden="false" customHeight="false" outlineLevel="0" collapsed="false">
      <c r="F1489" s="6" t="s">
        <v>53</v>
      </c>
      <c r="G1489" s="0" t="n">
        <v>6</v>
      </c>
      <c r="H1489" s="0" t="s">
        <v>146</v>
      </c>
      <c r="I1489" s="15" t="n">
        <v>43358.5257523148</v>
      </c>
    </row>
    <row r="1490" customFormat="false" ht="15" hidden="false" customHeight="false" outlineLevel="0" collapsed="false">
      <c r="F1490" s="6" t="s">
        <v>31</v>
      </c>
      <c r="G1490" s="0" t="n">
        <v>32</v>
      </c>
      <c r="H1490" s="0" t="s">
        <v>146</v>
      </c>
      <c r="I1490" s="15" t="n">
        <v>43358.524837963</v>
      </c>
    </row>
    <row r="1491" customFormat="false" ht="15" hidden="false" customHeight="false" outlineLevel="0" collapsed="false">
      <c r="F1491" s="6" t="s">
        <v>39</v>
      </c>
      <c r="G1491" s="0" t="n">
        <v>1</v>
      </c>
      <c r="H1491" s="0" t="s">
        <v>79</v>
      </c>
      <c r="I1491" s="15" t="n">
        <v>43358.5246875</v>
      </c>
    </row>
    <row r="1492" customFormat="false" ht="15" hidden="false" customHeight="false" outlineLevel="0" collapsed="false">
      <c r="F1492" s="6" t="s">
        <v>205</v>
      </c>
      <c r="G1492" s="0" t="n">
        <v>1</v>
      </c>
      <c r="H1492" s="0" t="s">
        <v>79</v>
      </c>
      <c r="I1492" s="15" t="n">
        <v>43358.5246296296</v>
      </c>
    </row>
    <row r="1493" customFormat="false" ht="15" hidden="false" customHeight="false" outlineLevel="0" collapsed="false">
      <c r="F1493" s="6" t="s">
        <v>12</v>
      </c>
      <c r="G1493" s="0" t="n">
        <v>1</v>
      </c>
      <c r="H1493" s="0" t="s">
        <v>79</v>
      </c>
      <c r="I1493" s="15" t="n">
        <v>43358.5241666667</v>
      </c>
    </row>
    <row r="1494" customFormat="false" ht="15" hidden="false" customHeight="false" outlineLevel="0" collapsed="false">
      <c r="F1494" s="6" t="s">
        <v>25</v>
      </c>
      <c r="G1494" s="0" t="n">
        <v>2</v>
      </c>
      <c r="H1494" s="0" t="s">
        <v>79</v>
      </c>
      <c r="I1494" s="15" t="n">
        <v>43358.523912037</v>
      </c>
    </row>
    <row r="1495" customFormat="false" ht="15" hidden="false" customHeight="false" outlineLevel="0" collapsed="false">
      <c r="F1495" s="6" t="s">
        <v>26</v>
      </c>
      <c r="G1495" s="0" t="n">
        <v>2</v>
      </c>
      <c r="H1495" s="0" t="s">
        <v>79</v>
      </c>
      <c r="I1495" s="15" t="n">
        <v>43358.5238541667</v>
      </c>
    </row>
    <row r="1496" customFormat="false" ht="15" hidden="false" customHeight="false" outlineLevel="0" collapsed="false">
      <c r="F1496" s="6" t="s">
        <v>21</v>
      </c>
      <c r="G1496" s="0" t="n">
        <v>14</v>
      </c>
      <c r="H1496" s="0" t="s">
        <v>79</v>
      </c>
      <c r="I1496" s="15" t="n">
        <v>43358.5236921296</v>
      </c>
    </row>
    <row r="1497" customFormat="false" ht="15" hidden="false" customHeight="false" outlineLevel="0" collapsed="false">
      <c r="F1497" s="6" t="s">
        <v>154</v>
      </c>
      <c r="G1497" s="0" t="n">
        <v>1</v>
      </c>
      <c r="H1497" s="0" t="s">
        <v>146</v>
      </c>
      <c r="I1497" s="15" t="n">
        <v>43358.5236689815</v>
      </c>
    </row>
    <row r="1498" customFormat="false" ht="15" hidden="false" customHeight="false" outlineLevel="0" collapsed="false">
      <c r="F1498" s="6" t="s">
        <v>23</v>
      </c>
      <c r="G1498" s="0" t="n">
        <v>1</v>
      </c>
      <c r="H1498" s="0" t="s">
        <v>79</v>
      </c>
      <c r="I1498" s="15" t="n">
        <v>43358.5235648148</v>
      </c>
    </row>
    <row r="1499" customFormat="false" ht="15" hidden="false" customHeight="false" outlineLevel="0" collapsed="false">
      <c r="F1499" s="6" t="s">
        <v>86</v>
      </c>
      <c r="G1499" s="0" t="n">
        <v>2</v>
      </c>
      <c r="H1499" s="0" t="s">
        <v>79</v>
      </c>
      <c r="I1499" s="15" t="n">
        <v>43358.5235069444</v>
      </c>
    </row>
    <row r="1500" customFormat="false" ht="15" hidden="false" customHeight="false" outlineLevel="0" collapsed="false">
      <c r="F1500" s="6" t="s">
        <v>206</v>
      </c>
      <c r="G1500" s="0" t="n">
        <v>1</v>
      </c>
      <c r="H1500" s="0" t="s">
        <v>146</v>
      </c>
      <c r="I1500" s="15" t="n">
        <v>43358.5234375</v>
      </c>
    </row>
    <row r="1501" customFormat="false" ht="15" hidden="false" customHeight="false" outlineLevel="0" collapsed="false">
      <c r="F1501" s="6" t="s">
        <v>104</v>
      </c>
      <c r="G1501" s="0" t="n">
        <v>1</v>
      </c>
      <c r="H1501" s="0" t="s">
        <v>79</v>
      </c>
      <c r="I1501" s="15" t="n">
        <v>43358.5233680556</v>
      </c>
    </row>
    <row r="1502" customFormat="false" ht="15" hidden="false" customHeight="false" outlineLevel="0" collapsed="false">
      <c r="F1502" s="6" t="s">
        <v>40</v>
      </c>
      <c r="G1502" s="0" t="n">
        <v>4</v>
      </c>
      <c r="H1502" s="0" t="s">
        <v>79</v>
      </c>
      <c r="I1502" s="15" t="n">
        <v>43358.5231944444</v>
      </c>
    </row>
    <row r="1503" customFormat="false" ht="15" hidden="false" customHeight="false" outlineLevel="0" collapsed="false">
      <c r="F1503" s="6" t="s">
        <v>41</v>
      </c>
      <c r="G1503" s="0" t="n">
        <v>13</v>
      </c>
      <c r="H1503" s="0" t="s">
        <v>79</v>
      </c>
      <c r="I1503" s="15" t="n">
        <v>43358.5229282407</v>
      </c>
    </row>
    <row r="1504" customFormat="false" ht="15" hidden="false" customHeight="false" outlineLevel="0" collapsed="false">
      <c r="F1504" s="6" t="s">
        <v>73</v>
      </c>
      <c r="G1504" s="0" t="n">
        <v>1</v>
      </c>
      <c r="H1504" s="0" t="s">
        <v>79</v>
      </c>
      <c r="I1504" s="15" t="n">
        <v>43358.5228125</v>
      </c>
    </row>
    <row r="1505" customFormat="false" ht="15" hidden="false" customHeight="false" outlineLevel="0" collapsed="false">
      <c r="F1505" s="6" t="s">
        <v>121</v>
      </c>
      <c r="G1505" s="0" t="n">
        <v>1</v>
      </c>
      <c r="H1505" s="0" t="s">
        <v>79</v>
      </c>
      <c r="I1505" s="15" t="n">
        <v>43358.5227662037</v>
      </c>
    </row>
    <row r="1506" customFormat="false" ht="15" hidden="false" customHeight="false" outlineLevel="0" collapsed="false">
      <c r="F1506" s="6" t="s">
        <v>29</v>
      </c>
      <c r="G1506" s="0" t="n">
        <v>1</v>
      </c>
      <c r="H1506" s="0" t="s">
        <v>79</v>
      </c>
      <c r="I1506" s="15" t="n">
        <v>43358.5225462963</v>
      </c>
    </row>
    <row r="1507" customFormat="false" ht="15" hidden="false" customHeight="false" outlineLevel="0" collapsed="false">
      <c r="F1507" s="6" t="s">
        <v>29</v>
      </c>
      <c r="G1507" s="0" t="n">
        <v>1</v>
      </c>
      <c r="H1507" s="0" t="s">
        <v>79</v>
      </c>
      <c r="I1507" s="15" t="n">
        <v>43358.5224768519</v>
      </c>
    </row>
    <row r="1508" customFormat="false" ht="15" hidden="false" customHeight="false" outlineLevel="0" collapsed="false">
      <c r="F1508" s="6" t="s">
        <v>106</v>
      </c>
      <c r="G1508" s="0" t="n">
        <v>2</v>
      </c>
      <c r="H1508" s="0" t="s">
        <v>79</v>
      </c>
      <c r="I1508" s="15" t="n">
        <v>43358.5223726852</v>
      </c>
    </row>
    <row r="1509" customFormat="false" ht="15" hidden="false" customHeight="false" outlineLevel="0" collapsed="false">
      <c r="F1509" s="6" t="s">
        <v>71</v>
      </c>
      <c r="G1509" s="0" t="n">
        <v>1</v>
      </c>
      <c r="H1509" s="0" t="s">
        <v>79</v>
      </c>
      <c r="I1509" s="15" t="n">
        <v>43358.5222800926</v>
      </c>
    </row>
    <row r="1510" customFormat="false" ht="15" hidden="false" customHeight="false" outlineLevel="0" collapsed="false">
      <c r="F1510" s="6" t="s">
        <v>25</v>
      </c>
      <c r="G1510" s="0" t="n">
        <v>2</v>
      </c>
      <c r="H1510" s="0" t="s">
        <v>79</v>
      </c>
      <c r="I1510" s="15" t="n">
        <v>43358.5221180556</v>
      </c>
    </row>
    <row r="1511" customFormat="false" ht="15" hidden="false" customHeight="false" outlineLevel="0" collapsed="false">
      <c r="F1511" s="6" t="s">
        <v>207</v>
      </c>
      <c r="G1511" s="0" t="n">
        <v>1</v>
      </c>
      <c r="H1511" s="0" t="s">
        <v>79</v>
      </c>
      <c r="I1511" s="15" t="n">
        <v>43358.5220717593</v>
      </c>
    </row>
    <row r="1512" customFormat="false" ht="15" hidden="false" customHeight="false" outlineLevel="0" collapsed="false">
      <c r="F1512" s="6" t="s">
        <v>56</v>
      </c>
      <c r="G1512" s="0" t="n">
        <v>1</v>
      </c>
      <c r="H1512" s="0" t="s">
        <v>79</v>
      </c>
      <c r="I1512" s="15" t="n">
        <v>43358.5217708333</v>
      </c>
    </row>
    <row r="1513" customFormat="false" ht="15" hidden="false" customHeight="false" outlineLevel="0" collapsed="false">
      <c r="F1513" s="6" t="s">
        <v>32</v>
      </c>
      <c r="G1513" s="0" t="n">
        <v>1</v>
      </c>
      <c r="H1513" s="0" t="s">
        <v>79</v>
      </c>
      <c r="I1513" s="15" t="n">
        <v>43358.5216898148</v>
      </c>
    </row>
    <row r="1514" customFormat="false" ht="15" hidden="false" customHeight="false" outlineLevel="0" collapsed="false">
      <c r="F1514" s="6" t="s">
        <v>31</v>
      </c>
      <c r="G1514" s="0" t="n">
        <v>10</v>
      </c>
      <c r="H1514" s="0" t="s">
        <v>79</v>
      </c>
      <c r="I1514" s="15" t="n">
        <v>43358.5215856481</v>
      </c>
    </row>
    <row r="1515" customFormat="false" ht="15" hidden="false" customHeight="false" outlineLevel="0" collapsed="false">
      <c r="F1515" s="6" t="s">
        <v>30</v>
      </c>
      <c r="G1515" s="0" t="n">
        <v>2</v>
      </c>
      <c r="H1515" s="0" t="s">
        <v>79</v>
      </c>
      <c r="I1515" s="15" t="n">
        <v>43358.5210532407</v>
      </c>
    </row>
    <row r="1516" customFormat="false" ht="15" hidden="false" customHeight="false" outlineLevel="0" collapsed="false">
      <c r="F1516" s="6" t="s">
        <v>37</v>
      </c>
      <c r="G1516" s="0" t="n">
        <v>1</v>
      </c>
      <c r="H1516" s="0" t="s">
        <v>79</v>
      </c>
      <c r="I1516" s="15" t="n">
        <v>43358.5209259259</v>
      </c>
    </row>
    <row r="1517" customFormat="false" ht="15" hidden="false" customHeight="false" outlineLevel="0" collapsed="false">
      <c r="F1517" s="6" t="s">
        <v>208</v>
      </c>
      <c r="G1517" s="0" t="n">
        <v>1</v>
      </c>
      <c r="H1517" s="0" t="s">
        <v>79</v>
      </c>
      <c r="I1517" s="15" t="n">
        <v>43358.5208564815</v>
      </c>
    </row>
    <row r="1518" customFormat="false" ht="15" hidden="false" customHeight="false" outlineLevel="0" collapsed="false">
      <c r="F1518" s="6" t="s">
        <v>207</v>
      </c>
      <c r="G1518" s="0" t="n">
        <v>1</v>
      </c>
      <c r="H1518" s="0" t="s">
        <v>157</v>
      </c>
      <c r="I1518" s="15" t="n">
        <v>43358.5194907407</v>
      </c>
    </row>
    <row r="1519" customFormat="false" ht="15" hidden="false" customHeight="false" outlineLevel="0" collapsed="false">
      <c r="F1519" s="6" t="s">
        <v>76</v>
      </c>
      <c r="G1519" s="0" t="n">
        <v>1</v>
      </c>
      <c r="H1519" s="0" t="s">
        <v>157</v>
      </c>
      <c r="I1519" s="15" t="n">
        <v>43358.5192013889</v>
      </c>
    </row>
    <row r="1520" customFormat="false" ht="15" hidden="false" customHeight="false" outlineLevel="0" collapsed="false">
      <c r="F1520" s="6" t="s">
        <v>29</v>
      </c>
      <c r="G1520" s="0" t="n">
        <v>2</v>
      </c>
      <c r="H1520" s="0" t="s">
        <v>157</v>
      </c>
      <c r="I1520" s="15" t="n">
        <v>43358.5190625</v>
      </c>
    </row>
    <row r="1521" customFormat="false" ht="15" hidden="false" customHeight="false" outlineLevel="0" collapsed="false">
      <c r="F1521" s="6" t="s">
        <v>25</v>
      </c>
      <c r="G1521" s="0" t="n">
        <v>16</v>
      </c>
      <c r="H1521" s="0" t="s">
        <v>157</v>
      </c>
      <c r="I1521" s="15" t="n">
        <v>43358.518912037</v>
      </c>
    </row>
    <row r="1522" customFormat="false" ht="15" hidden="false" customHeight="false" outlineLevel="0" collapsed="false">
      <c r="F1522" s="6" t="s">
        <v>61</v>
      </c>
      <c r="G1522" s="0" t="n">
        <v>2</v>
      </c>
      <c r="H1522" s="0" t="s">
        <v>157</v>
      </c>
      <c r="I1522" s="15" t="n">
        <v>43358.5187615741</v>
      </c>
    </row>
    <row r="1523" customFormat="false" ht="15" hidden="false" customHeight="false" outlineLevel="0" collapsed="false">
      <c r="F1523" s="6" t="s">
        <v>71</v>
      </c>
      <c r="G1523" s="0" t="n">
        <v>2</v>
      </c>
      <c r="H1523" s="0" t="s">
        <v>157</v>
      </c>
      <c r="I1523" s="15" t="n">
        <v>43358.5186921296</v>
      </c>
    </row>
    <row r="1524" customFormat="false" ht="15" hidden="false" customHeight="false" outlineLevel="0" collapsed="false">
      <c r="F1524" s="6" t="s">
        <v>26</v>
      </c>
      <c r="G1524" s="0" t="n">
        <v>1</v>
      </c>
      <c r="H1524" s="0" t="s">
        <v>157</v>
      </c>
      <c r="I1524" s="15" t="n">
        <v>43358.5186111111</v>
      </c>
    </row>
    <row r="1525" customFormat="false" ht="15" hidden="false" customHeight="false" outlineLevel="0" collapsed="false">
      <c r="F1525" s="6" t="s">
        <v>34</v>
      </c>
      <c r="G1525" s="0" t="n">
        <v>19</v>
      </c>
      <c r="H1525" s="0" t="s">
        <v>157</v>
      </c>
      <c r="I1525" s="15" t="n">
        <v>43358.5184027778</v>
      </c>
    </row>
    <row r="1526" customFormat="false" ht="15" hidden="false" customHeight="false" outlineLevel="0" collapsed="false">
      <c r="F1526" s="6" t="s">
        <v>21</v>
      </c>
      <c r="G1526" s="0" t="n">
        <v>10</v>
      </c>
      <c r="H1526" s="0" t="s">
        <v>157</v>
      </c>
      <c r="I1526" s="15" t="n">
        <v>43358.5183217593</v>
      </c>
    </row>
    <row r="1527" customFormat="false" ht="15" hidden="false" customHeight="false" outlineLevel="0" collapsed="false">
      <c r="F1527" s="6" t="s">
        <v>72</v>
      </c>
      <c r="G1527" s="0" t="n">
        <v>1</v>
      </c>
      <c r="H1527" s="0" t="s">
        <v>157</v>
      </c>
      <c r="I1527" s="15" t="n">
        <v>43358.5181712963</v>
      </c>
    </row>
    <row r="1528" customFormat="false" ht="15" hidden="false" customHeight="false" outlineLevel="0" collapsed="false">
      <c r="F1528" s="6" t="s">
        <v>37</v>
      </c>
      <c r="G1528" s="0" t="n">
        <v>1</v>
      </c>
      <c r="H1528" s="0" t="s">
        <v>157</v>
      </c>
      <c r="I1528" s="15" t="n">
        <v>43358.518125</v>
      </c>
    </row>
    <row r="1529" customFormat="false" ht="15" hidden="false" customHeight="false" outlineLevel="0" collapsed="false">
      <c r="F1529" s="6" t="s">
        <v>36</v>
      </c>
      <c r="G1529" s="0" t="n">
        <v>4</v>
      </c>
      <c r="H1529" s="0" t="s">
        <v>157</v>
      </c>
      <c r="I1529" s="15" t="n">
        <v>43358.5180208333</v>
      </c>
    </row>
    <row r="1530" customFormat="false" ht="15" hidden="false" customHeight="false" outlineLevel="0" collapsed="false">
      <c r="F1530" s="6" t="s">
        <v>15</v>
      </c>
      <c r="G1530" s="0" t="n">
        <v>8</v>
      </c>
      <c r="H1530" s="0" t="s">
        <v>157</v>
      </c>
      <c r="I1530" s="15" t="n">
        <v>43358.5178240741</v>
      </c>
    </row>
    <row r="1531" customFormat="false" ht="15" hidden="false" customHeight="false" outlineLevel="0" collapsed="false">
      <c r="F1531" s="6" t="s">
        <v>209</v>
      </c>
      <c r="G1531" s="0" t="n">
        <v>2</v>
      </c>
      <c r="H1531" s="0" t="s">
        <v>157</v>
      </c>
      <c r="I1531" s="15" t="n">
        <v>43358.5176157407</v>
      </c>
    </row>
    <row r="1532" customFormat="false" ht="15" hidden="false" customHeight="false" outlineLevel="0" collapsed="false">
      <c r="F1532" s="6" t="s">
        <v>47</v>
      </c>
      <c r="G1532" s="0" t="n">
        <v>3</v>
      </c>
      <c r="H1532" s="0" t="s">
        <v>157</v>
      </c>
      <c r="I1532" s="15" t="n">
        <v>43358.5174189815</v>
      </c>
    </row>
    <row r="1533" customFormat="false" ht="15" hidden="false" customHeight="false" outlineLevel="0" collapsed="false">
      <c r="F1533" s="6" t="s">
        <v>62</v>
      </c>
      <c r="G1533" s="0" t="n">
        <v>1</v>
      </c>
      <c r="H1533" s="0" t="s">
        <v>157</v>
      </c>
      <c r="I1533" s="15" t="n">
        <v>43358.5171875</v>
      </c>
    </row>
    <row r="1534" customFormat="false" ht="15" hidden="false" customHeight="false" outlineLevel="0" collapsed="false">
      <c r="F1534" s="6" t="s">
        <v>57</v>
      </c>
      <c r="G1534" s="0" t="n">
        <v>1</v>
      </c>
      <c r="H1534" s="0" t="s">
        <v>157</v>
      </c>
      <c r="I1534" s="15" t="n">
        <v>43358.5168865741</v>
      </c>
    </row>
    <row r="1535" customFormat="false" ht="15" hidden="false" customHeight="false" outlineLevel="0" collapsed="false">
      <c r="F1535" s="6" t="s">
        <v>32</v>
      </c>
      <c r="G1535" s="0" t="n">
        <v>4</v>
      </c>
      <c r="H1535" s="0" t="s">
        <v>157</v>
      </c>
      <c r="I1535" s="15" t="n">
        <v>43358.5168402778</v>
      </c>
    </row>
    <row r="1536" customFormat="false" ht="15" hidden="false" customHeight="false" outlineLevel="0" collapsed="false">
      <c r="F1536" s="6" t="s">
        <v>27</v>
      </c>
      <c r="G1536" s="0" t="n">
        <v>4</v>
      </c>
      <c r="H1536" s="0" t="s">
        <v>157</v>
      </c>
      <c r="I1536" s="15" t="n">
        <v>43358.5167592593</v>
      </c>
    </row>
    <row r="1537" customFormat="false" ht="15" hidden="false" customHeight="false" outlineLevel="0" collapsed="false">
      <c r="F1537" s="6" t="s">
        <v>80</v>
      </c>
      <c r="G1537" s="0" t="n">
        <v>1</v>
      </c>
      <c r="H1537" s="0" t="s">
        <v>157</v>
      </c>
      <c r="I1537" s="15" t="n">
        <v>43358.5166319445</v>
      </c>
    </row>
    <row r="1538" customFormat="false" ht="15" hidden="false" customHeight="false" outlineLevel="0" collapsed="false">
      <c r="F1538" s="6" t="s">
        <v>101</v>
      </c>
      <c r="G1538" s="0" t="n">
        <v>1</v>
      </c>
      <c r="H1538" s="0" t="s">
        <v>157</v>
      </c>
      <c r="I1538" s="15" t="n">
        <v>43358.5165740741</v>
      </c>
    </row>
    <row r="1539" customFormat="false" ht="15" hidden="false" customHeight="false" outlineLevel="0" collapsed="false">
      <c r="F1539" s="6" t="s">
        <v>156</v>
      </c>
      <c r="G1539" s="0" t="n">
        <v>3</v>
      </c>
      <c r="H1539" s="0" t="s">
        <v>157</v>
      </c>
      <c r="I1539" s="15" t="n">
        <v>43358.5163078704</v>
      </c>
    </row>
    <row r="1540" customFormat="false" ht="15" hidden="false" customHeight="false" outlineLevel="0" collapsed="false">
      <c r="F1540" s="6" t="s">
        <v>41</v>
      </c>
      <c r="G1540" s="0" t="n">
        <v>2</v>
      </c>
      <c r="H1540" s="0" t="s">
        <v>157</v>
      </c>
      <c r="I1540" s="15" t="n">
        <v>43358.5161689815</v>
      </c>
    </row>
    <row r="1541" customFormat="false" ht="15" hidden="false" customHeight="false" outlineLevel="0" collapsed="false">
      <c r="F1541" s="6" t="s">
        <v>41</v>
      </c>
      <c r="G1541" s="0" t="n">
        <v>5</v>
      </c>
      <c r="H1541" s="0" t="s">
        <v>157</v>
      </c>
      <c r="I1541" s="15" t="n">
        <v>43358.5160648148</v>
      </c>
    </row>
    <row r="1542" customFormat="false" ht="15" hidden="false" customHeight="false" outlineLevel="0" collapsed="false">
      <c r="F1542" s="6" t="s">
        <v>61</v>
      </c>
      <c r="G1542" s="0" t="n">
        <v>1</v>
      </c>
      <c r="H1542" s="0" t="s">
        <v>103</v>
      </c>
      <c r="I1542" s="15" t="n">
        <v>43358.5154513889</v>
      </c>
    </row>
    <row r="1543" customFormat="false" ht="15" hidden="false" customHeight="false" outlineLevel="0" collapsed="false">
      <c r="F1543" s="6" t="s">
        <v>119</v>
      </c>
      <c r="G1543" s="0" t="n">
        <v>1</v>
      </c>
      <c r="H1543" s="0" t="s">
        <v>103</v>
      </c>
      <c r="I1543" s="15" t="n">
        <v>43358.5153472222</v>
      </c>
    </row>
    <row r="1544" customFormat="false" ht="15" hidden="false" customHeight="false" outlineLevel="0" collapsed="false">
      <c r="F1544" s="6" t="s">
        <v>77</v>
      </c>
      <c r="G1544" s="0" t="n">
        <v>1</v>
      </c>
      <c r="H1544" s="0" t="s">
        <v>103</v>
      </c>
      <c r="I1544" s="15" t="n">
        <v>43358.5151736111</v>
      </c>
    </row>
    <row r="1545" customFormat="false" ht="15" hidden="false" customHeight="false" outlineLevel="0" collapsed="false">
      <c r="F1545" s="6" t="s">
        <v>76</v>
      </c>
      <c r="G1545" s="0" t="n">
        <v>1</v>
      </c>
      <c r="H1545" s="0" t="s">
        <v>103</v>
      </c>
      <c r="I1545" s="15" t="n">
        <v>43358.5151273148</v>
      </c>
    </row>
    <row r="1546" customFormat="false" ht="15" hidden="false" customHeight="false" outlineLevel="0" collapsed="false">
      <c r="F1546" s="6" t="s">
        <v>76</v>
      </c>
      <c r="G1546" s="0" t="n">
        <v>1</v>
      </c>
      <c r="H1546" s="0" t="s">
        <v>103</v>
      </c>
      <c r="I1546" s="15" t="n">
        <v>43358.5150810185</v>
      </c>
    </row>
    <row r="1547" customFormat="false" ht="15" hidden="false" customHeight="false" outlineLevel="0" collapsed="false">
      <c r="F1547" s="6" t="s">
        <v>23</v>
      </c>
      <c r="G1547" s="0" t="n">
        <v>1</v>
      </c>
      <c r="H1547" s="0" t="s">
        <v>103</v>
      </c>
      <c r="I1547" s="15" t="n">
        <v>43358.515</v>
      </c>
    </row>
    <row r="1548" customFormat="false" ht="15" hidden="false" customHeight="false" outlineLevel="0" collapsed="false">
      <c r="F1548" s="6" t="s">
        <v>26</v>
      </c>
      <c r="G1548" s="0" t="n">
        <v>1</v>
      </c>
      <c r="H1548" s="0" t="s">
        <v>103</v>
      </c>
      <c r="I1548" s="15" t="n">
        <v>43358.5149537037</v>
      </c>
    </row>
    <row r="1549" customFormat="false" ht="15" hidden="false" customHeight="false" outlineLevel="0" collapsed="false">
      <c r="F1549" s="6" t="s">
        <v>27</v>
      </c>
      <c r="G1549" s="0" t="n">
        <v>5</v>
      </c>
      <c r="H1549" s="0" t="s">
        <v>103</v>
      </c>
      <c r="I1549" s="15" t="n">
        <v>43358.5149074074</v>
      </c>
    </row>
    <row r="1550" customFormat="false" ht="15" hidden="false" customHeight="false" outlineLevel="0" collapsed="false">
      <c r="F1550" s="6" t="s">
        <v>210</v>
      </c>
      <c r="G1550" s="0" t="n">
        <v>1</v>
      </c>
      <c r="H1550" s="0" t="s">
        <v>103</v>
      </c>
      <c r="I1550" s="15" t="n">
        <v>43358.5148263889</v>
      </c>
    </row>
    <row r="1551" customFormat="false" ht="15" hidden="false" customHeight="false" outlineLevel="0" collapsed="false">
      <c r="F1551" s="6" t="s">
        <v>32</v>
      </c>
      <c r="G1551" s="0" t="n">
        <v>1</v>
      </c>
      <c r="H1551" s="0" t="s">
        <v>103</v>
      </c>
      <c r="I1551" s="15" t="n">
        <v>43358.5145023148</v>
      </c>
    </row>
    <row r="1552" customFormat="false" ht="15" hidden="false" customHeight="false" outlineLevel="0" collapsed="false">
      <c r="F1552" s="6" t="s">
        <v>113</v>
      </c>
      <c r="G1552" s="0" t="n">
        <v>1</v>
      </c>
      <c r="H1552" s="0" t="s">
        <v>103</v>
      </c>
      <c r="I1552" s="15" t="n">
        <v>43358.5144328704</v>
      </c>
    </row>
    <row r="1553" customFormat="false" ht="15" hidden="false" customHeight="false" outlineLevel="0" collapsed="false">
      <c r="F1553" s="6" t="s">
        <v>113</v>
      </c>
      <c r="G1553" s="0" t="n">
        <v>2</v>
      </c>
      <c r="H1553" s="0" t="s">
        <v>103</v>
      </c>
      <c r="I1553" s="15" t="n">
        <v>43358.5143055556</v>
      </c>
    </row>
    <row r="1554" customFormat="false" ht="15" hidden="false" customHeight="false" outlineLevel="0" collapsed="false">
      <c r="F1554" s="6" t="s">
        <v>113</v>
      </c>
      <c r="G1554" s="0" t="n">
        <v>1</v>
      </c>
      <c r="H1554" s="0" t="s">
        <v>103</v>
      </c>
      <c r="I1554" s="15" t="n">
        <v>43358.5140162037</v>
      </c>
    </row>
    <row r="1555" customFormat="false" ht="15" hidden="false" customHeight="false" outlineLevel="0" collapsed="false">
      <c r="F1555" s="6" t="s">
        <v>96</v>
      </c>
      <c r="G1555" s="0" t="n">
        <v>1</v>
      </c>
      <c r="H1555" s="0" t="s">
        <v>103</v>
      </c>
      <c r="I1555" s="15" t="n">
        <v>43358.5139351852</v>
      </c>
    </row>
    <row r="1556" customFormat="false" ht="15" hidden="false" customHeight="false" outlineLevel="0" collapsed="false">
      <c r="F1556" s="6" t="s">
        <v>56</v>
      </c>
      <c r="G1556" s="0" t="n">
        <v>1</v>
      </c>
      <c r="H1556" s="0" t="s">
        <v>103</v>
      </c>
      <c r="I1556" s="15" t="n">
        <v>43358.5136226852</v>
      </c>
    </row>
    <row r="1557" customFormat="false" ht="15" hidden="false" customHeight="false" outlineLevel="0" collapsed="false">
      <c r="F1557" s="6" t="s">
        <v>53</v>
      </c>
      <c r="G1557" s="0" t="n">
        <v>1</v>
      </c>
      <c r="H1557" s="0" t="s">
        <v>103</v>
      </c>
      <c r="I1557" s="15" t="n">
        <v>43358.5135416667</v>
      </c>
    </row>
    <row r="1558" customFormat="false" ht="15" hidden="false" customHeight="false" outlineLevel="0" collapsed="false">
      <c r="F1558" s="6" t="s">
        <v>62</v>
      </c>
      <c r="G1558" s="0" t="n">
        <v>9</v>
      </c>
      <c r="H1558" s="0" t="s">
        <v>103</v>
      </c>
      <c r="I1558" s="15" t="n">
        <v>43358.5133101852</v>
      </c>
    </row>
    <row r="1559" customFormat="false" ht="15" hidden="false" customHeight="false" outlineLevel="0" collapsed="false">
      <c r="F1559" s="6" t="s">
        <v>78</v>
      </c>
      <c r="G1559" s="0" t="n">
        <v>2</v>
      </c>
      <c r="H1559" s="0" t="s">
        <v>103</v>
      </c>
      <c r="I1559" s="15" t="n">
        <v>43358.5131597222</v>
      </c>
    </row>
    <row r="1560" customFormat="false" ht="15" hidden="false" customHeight="false" outlineLevel="0" collapsed="false">
      <c r="F1560" s="6" t="s">
        <v>43</v>
      </c>
      <c r="G1560" s="0" t="n">
        <v>3</v>
      </c>
      <c r="H1560" s="0" t="s">
        <v>103</v>
      </c>
      <c r="I1560" s="15" t="n">
        <v>43358.512974537</v>
      </c>
    </row>
    <row r="1561" customFormat="false" ht="15" hidden="false" customHeight="false" outlineLevel="0" collapsed="false">
      <c r="F1561" s="6" t="s">
        <v>15</v>
      </c>
      <c r="G1561" s="0" t="n">
        <v>2</v>
      </c>
      <c r="H1561" s="0" t="s">
        <v>103</v>
      </c>
      <c r="I1561" s="15" t="n">
        <v>43358.5126041667</v>
      </c>
    </row>
    <row r="1562" customFormat="false" ht="15" hidden="false" customHeight="false" outlineLevel="0" collapsed="false">
      <c r="F1562" s="6" t="s">
        <v>26</v>
      </c>
      <c r="G1562" s="0" t="n">
        <v>1</v>
      </c>
      <c r="H1562" s="0" t="s">
        <v>103</v>
      </c>
      <c r="I1562" s="15" t="n">
        <v>43358.5125462963</v>
      </c>
    </row>
    <row r="1563" customFormat="false" ht="15" hidden="false" customHeight="false" outlineLevel="0" collapsed="false">
      <c r="F1563" s="6" t="s">
        <v>25</v>
      </c>
      <c r="G1563" s="0" t="n">
        <v>3</v>
      </c>
      <c r="H1563" s="0" t="s">
        <v>103</v>
      </c>
      <c r="I1563" s="15" t="n">
        <v>43358.5124768519</v>
      </c>
    </row>
    <row r="1564" customFormat="false" ht="15" hidden="false" customHeight="false" outlineLevel="0" collapsed="false">
      <c r="F1564" s="6" t="s">
        <v>21</v>
      </c>
      <c r="G1564" s="0" t="n">
        <v>10</v>
      </c>
      <c r="H1564" s="0" t="s">
        <v>103</v>
      </c>
      <c r="I1564" s="15" t="n">
        <v>43358.5124074074</v>
      </c>
    </row>
    <row r="1565" customFormat="false" ht="15" hidden="false" customHeight="false" outlineLevel="0" collapsed="false">
      <c r="F1565" s="6" t="s">
        <v>96</v>
      </c>
      <c r="G1565" s="0" t="n">
        <v>3</v>
      </c>
      <c r="H1565" s="0" t="s">
        <v>103</v>
      </c>
      <c r="I1565" s="15" t="n">
        <v>43358.5123148148</v>
      </c>
    </row>
    <row r="1566" customFormat="false" ht="15" hidden="false" customHeight="false" outlineLevel="0" collapsed="false">
      <c r="F1566" s="6" t="s">
        <v>113</v>
      </c>
      <c r="G1566" s="0" t="n">
        <v>1</v>
      </c>
      <c r="H1566" s="0" t="s">
        <v>103</v>
      </c>
      <c r="I1566" s="15" t="n">
        <v>43358.5121527778</v>
      </c>
    </row>
    <row r="1567" customFormat="false" ht="15" hidden="false" customHeight="false" outlineLevel="0" collapsed="false">
      <c r="F1567" s="6" t="s">
        <v>149</v>
      </c>
      <c r="G1567" s="0" t="n">
        <v>2</v>
      </c>
      <c r="H1567" s="0" t="s">
        <v>103</v>
      </c>
      <c r="I1567" s="15" t="n">
        <v>43358.5119791667</v>
      </c>
    </row>
    <row r="1568" customFormat="false" ht="15" hidden="false" customHeight="false" outlineLevel="0" collapsed="false">
      <c r="F1568" s="6" t="s">
        <v>46</v>
      </c>
      <c r="G1568" s="0" t="n">
        <v>1</v>
      </c>
      <c r="H1568" s="0" t="s">
        <v>103</v>
      </c>
      <c r="I1568" s="15" t="n">
        <v>43358.5117824074</v>
      </c>
    </row>
    <row r="1569" customFormat="false" ht="15" hidden="false" customHeight="false" outlineLevel="0" collapsed="false">
      <c r="F1569" s="6" t="s">
        <v>88</v>
      </c>
      <c r="G1569" s="0" t="n">
        <v>1</v>
      </c>
      <c r="H1569" s="0" t="s">
        <v>103</v>
      </c>
      <c r="I1569" s="15" t="n">
        <v>43358.5116087963</v>
      </c>
    </row>
    <row r="1570" customFormat="false" ht="15" hidden="false" customHeight="false" outlineLevel="0" collapsed="false">
      <c r="F1570" s="6" t="s">
        <v>156</v>
      </c>
      <c r="G1570" s="0" t="n">
        <v>1</v>
      </c>
      <c r="H1570" s="0" t="s">
        <v>103</v>
      </c>
      <c r="I1570" s="15" t="n">
        <v>43358.5114467593</v>
      </c>
    </row>
    <row r="1571" customFormat="false" ht="15" hidden="false" customHeight="false" outlineLevel="0" collapsed="false">
      <c r="F1571" s="6" t="s">
        <v>80</v>
      </c>
      <c r="G1571" s="0" t="n">
        <v>1</v>
      </c>
      <c r="H1571" s="0" t="s">
        <v>103</v>
      </c>
      <c r="I1571" s="15" t="n">
        <v>43358.5111342593</v>
      </c>
    </row>
    <row r="1572" customFormat="false" ht="15" hidden="false" customHeight="false" outlineLevel="0" collapsed="false">
      <c r="F1572" s="6" t="s">
        <v>25</v>
      </c>
      <c r="G1572" s="0" t="n">
        <v>13</v>
      </c>
      <c r="H1572" s="0" t="s">
        <v>103</v>
      </c>
      <c r="I1572" s="15" t="n">
        <v>43358.5108680556</v>
      </c>
    </row>
    <row r="1573" customFormat="false" ht="15" hidden="false" customHeight="false" outlineLevel="0" collapsed="false">
      <c r="F1573" s="6" t="s">
        <v>72</v>
      </c>
      <c r="G1573" s="0" t="n">
        <v>1</v>
      </c>
      <c r="H1573" s="0" t="s">
        <v>103</v>
      </c>
      <c r="I1573" s="15" t="n">
        <v>43358.5108217593</v>
      </c>
    </row>
    <row r="1574" customFormat="false" ht="15" hidden="false" customHeight="false" outlineLevel="0" collapsed="false">
      <c r="F1574" s="6" t="s">
        <v>36</v>
      </c>
      <c r="G1574" s="0" t="n">
        <v>3</v>
      </c>
      <c r="H1574" s="0" t="s">
        <v>103</v>
      </c>
      <c r="I1574" s="15" t="n">
        <v>43358.5106018519</v>
      </c>
    </row>
    <row r="1575" customFormat="false" ht="15" hidden="false" customHeight="false" outlineLevel="0" collapsed="false">
      <c r="F1575" s="6" t="s">
        <v>34</v>
      </c>
      <c r="G1575" s="0" t="n">
        <v>1</v>
      </c>
      <c r="H1575" s="0" t="s">
        <v>103</v>
      </c>
      <c r="I1575" s="15" t="n">
        <v>43358.5104861111</v>
      </c>
    </row>
    <row r="1576" customFormat="false" ht="15" hidden="false" customHeight="false" outlineLevel="0" collapsed="false">
      <c r="F1576" s="6" t="s">
        <v>41</v>
      </c>
      <c r="G1576" s="0" t="n">
        <v>10</v>
      </c>
      <c r="H1576" s="0" t="s">
        <v>103</v>
      </c>
      <c r="I1576" s="15" t="n">
        <v>43358.5100694444</v>
      </c>
    </row>
    <row r="1577" customFormat="false" ht="15" hidden="false" customHeight="false" outlineLevel="0" collapsed="false">
      <c r="F1577" s="6" t="s">
        <v>25</v>
      </c>
      <c r="G1577" s="0" t="n">
        <v>3</v>
      </c>
      <c r="H1577" s="0" t="s">
        <v>103</v>
      </c>
      <c r="I1577" s="15" t="n">
        <v>43358.5099884259</v>
      </c>
    </row>
    <row r="1578" customFormat="false" ht="15" hidden="false" customHeight="false" outlineLevel="0" collapsed="false">
      <c r="F1578" s="6" t="s">
        <v>34</v>
      </c>
      <c r="G1578" s="0" t="n">
        <v>2</v>
      </c>
      <c r="H1578" s="0" t="s">
        <v>103</v>
      </c>
      <c r="I1578" s="15" t="n">
        <v>43358.5098958333</v>
      </c>
    </row>
    <row r="1579" customFormat="false" ht="15" hidden="false" customHeight="false" outlineLevel="0" collapsed="false">
      <c r="F1579" s="6" t="s">
        <v>59</v>
      </c>
      <c r="G1579" s="0" t="n">
        <v>1</v>
      </c>
      <c r="H1579" s="0" t="s">
        <v>103</v>
      </c>
      <c r="I1579" s="15" t="n">
        <v>43358.5098263889</v>
      </c>
    </row>
    <row r="1580" customFormat="false" ht="15" hidden="false" customHeight="false" outlineLevel="0" collapsed="false">
      <c r="F1580" s="6" t="s">
        <v>70</v>
      </c>
      <c r="G1580" s="0" t="n">
        <v>1</v>
      </c>
      <c r="H1580" s="0" t="s">
        <v>103</v>
      </c>
      <c r="I1580" s="15" t="n">
        <v>43358.5097685185</v>
      </c>
    </row>
    <row r="1581" customFormat="false" ht="15" hidden="false" customHeight="false" outlineLevel="0" collapsed="false">
      <c r="F1581" s="6" t="s">
        <v>21</v>
      </c>
      <c r="G1581" s="0" t="n">
        <v>1</v>
      </c>
      <c r="H1581" s="0" t="s">
        <v>103</v>
      </c>
      <c r="I1581" s="15" t="n">
        <v>43358.5096990741</v>
      </c>
    </row>
    <row r="1582" customFormat="false" ht="15" hidden="false" customHeight="false" outlineLevel="0" collapsed="false">
      <c r="F1582" s="6" t="s">
        <v>15</v>
      </c>
      <c r="G1582" s="0" t="n">
        <v>3</v>
      </c>
      <c r="H1582" s="0" t="s">
        <v>103</v>
      </c>
      <c r="I1582" s="15" t="n">
        <v>43358.5096180556</v>
      </c>
    </row>
    <row r="1583" customFormat="false" ht="15" hidden="false" customHeight="false" outlineLevel="0" collapsed="false">
      <c r="F1583" s="6" t="s">
        <v>23</v>
      </c>
      <c r="G1583" s="0" t="n">
        <v>4</v>
      </c>
      <c r="H1583" s="0" t="s">
        <v>103</v>
      </c>
      <c r="I1583" s="15" t="n">
        <v>43358.5091666667</v>
      </c>
    </row>
    <row r="1584" customFormat="false" ht="15" hidden="false" customHeight="false" outlineLevel="0" collapsed="false">
      <c r="F1584" s="6" t="s">
        <v>101</v>
      </c>
      <c r="G1584" s="0" t="n">
        <v>6</v>
      </c>
      <c r="H1584" s="0" t="s">
        <v>103</v>
      </c>
      <c r="I1584" s="15" t="n">
        <v>43358.5090740741</v>
      </c>
    </row>
    <row r="1585" customFormat="false" ht="15" hidden="false" customHeight="false" outlineLevel="0" collapsed="false">
      <c r="F1585" s="6" t="s">
        <v>57</v>
      </c>
      <c r="G1585" s="0" t="n">
        <v>3</v>
      </c>
      <c r="H1585" s="0" t="s">
        <v>103</v>
      </c>
      <c r="I1585" s="15" t="n">
        <v>43358.5088773148</v>
      </c>
    </row>
    <row r="1586" customFormat="false" ht="15" hidden="false" customHeight="false" outlineLevel="0" collapsed="false">
      <c r="F1586" s="6" t="s">
        <v>31</v>
      </c>
      <c r="G1586" s="0" t="n">
        <v>12</v>
      </c>
      <c r="H1586" s="0" t="s">
        <v>103</v>
      </c>
      <c r="I1586" s="15" t="n">
        <v>43358.5086111111</v>
      </c>
    </row>
    <row r="1587" customFormat="false" ht="15" hidden="false" customHeight="false" outlineLevel="0" collapsed="false">
      <c r="F1587" s="6" t="s">
        <v>34</v>
      </c>
      <c r="G1587" s="0" t="n">
        <v>6</v>
      </c>
      <c r="H1587" s="0" t="s">
        <v>103</v>
      </c>
      <c r="I1587" s="15" t="n">
        <v>43358.5085416667</v>
      </c>
    </row>
    <row r="1588" customFormat="false" ht="15" hidden="false" customHeight="false" outlineLevel="0" collapsed="false">
      <c r="F1588" s="6" t="s">
        <v>45</v>
      </c>
      <c r="G1588" s="0" t="n">
        <v>3</v>
      </c>
      <c r="H1588" s="0" t="s">
        <v>103</v>
      </c>
      <c r="I1588" s="15" t="n">
        <v>43358.5084837963</v>
      </c>
    </row>
    <row r="1589" customFormat="false" ht="15" hidden="false" customHeight="false" outlineLevel="0" collapsed="false">
      <c r="F1589" s="6" t="s">
        <v>41</v>
      </c>
      <c r="G1589" s="0" t="n">
        <v>18</v>
      </c>
      <c r="H1589" s="0" t="s">
        <v>103</v>
      </c>
      <c r="I1589" s="15" t="n">
        <v>43358.5082060185</v>
      </c>
    </row>
    <row r="1590" customFormat="false" ht="15" hidden="false" customHeight="false" outlineLevel="0" collapsed="false">
      <c r="F1590" s="6" t="s">
        <v>131</v>
      </c>
      <c r="G1590" s="0" t="n">
        <v>1</v>
      </c>
      <c r="H1590" s="0" t="s">
        <v>103</v>
      </c>
      <c r="I1590" s="15" t="n">
        <v>43358.5080439815</v>
      </c>
    </row>
    <row r="1591" customFormat="false" ht="15" hidden="false" customHeight="false" outlineLevel="0" collapsed="false">
      <c r="F1591" s="6" t="s">
        <v>106</v>
      </c>
      <c r="G1591" s="0" t="n">
        <v>1</v>
      </c>
      <c r="H1591" s="0" t="s">
        <v>103</v>
      </c>
      <c r="I1591" s="15" t="n">
        <v>43358.5078240741</v>
      </c>
    </row>
    <row r="1592" customFormat="false" ht="15" hidden="false" customHeight="false" outlineLevel="0" collapsed="false">
      <c r="F1592" s="6" t="s">
        <v>29</v>
      </c>
      <c r="G1592" s="0" t="n">
        <v>2</v>
      </c>
      <c r="H1592" s="0" t="s">
        <v>103</v>
      </c>
      <c r="I1592" s="15" t="n">
        <v>43358.5077314815</v>
      </c>
    </row>
    <row r="1593" customFormat="false" ht="15" hidden="false" customHeight="false" outlineLevel="0" collapsed="false">
      <c r="F1593" s="6" t="s">
        <v>37</v>
      </c>
      <c r="G1593" s="0" t="n">
        <v>2</v>
      </c>
      <c r="H1593" s="0" t="s">
        <v>103</v>
      </c>
      <c r="I1593" s="15" t="n">
        <v>43358.5076388889</v>
      </c>
    </row>
    <row r="1594" customFormat="false" ht="15" hidden="false" customHeight="false" outlineLevel="0" collapsed="false">
      <c r="F1594" s="6" t="s">
        <v>77</v>
      </c>
      <c r="G1594" s="0" t="n">
        <v>1</v>
      </c>
      <c r="H1594" s="0" t="s">
        <v>79</v>
      </c>
      <c r="I1594" s="15" t="n">
        <v>43358.5072800926</v>
      </c>
    </row>
    <row r="1595" customFormat="false" ht="15" hidden="false" customHeight="false" outlineLevel="0" collapsed="false">
      <c r="F1595" s="6" t="s">
        <v>80</v>
      </c>
      <c r="G1595" s="0" t="n">
        <v>1</v>
      </c>
      <c r="H1595" s="0" t="s">
        <v>79</v>
      </c>
      <c r="I1595" s="15" t="n">
        <v>43358.5071990741</v>
      </c>
    </row>
    <row r="1596" customFormat="false" ht="15" hidden="false" customHeight="false" outlineLevel="0" collapsed="false">
      <c r="F1596" s="6" t="s">
        <v>59</v>
      </c>
      <c r="G1596" s="0" t="n">
        <v>1</v>
      </c>
      <c r="H1596" s="0" t="s">
        <v>79</v>
      </c>
      <c r="I1596" s="15" t="n">
        <v>43358.5069328704</v>
      </c>
    </row>
    <row r="1597" customFormat="false" ht="15" hidden="false" customHeight="false" outlineLevel="0" collapsed="false">
      <c r="F1597" s="6" t="s">
        <v>26</v>
      </c>
      <c r="G1597" s="0" t="n">
        <v>1</v>
      </c>
      <c r="H1597" s="0" t="s">
        <v>79</v>
      </c>
      <c r="I1597" s="15" t="n">
        <v>43358.5068518519</v>
      </c>
    </row>
    <row r="1598" customFormat="false" ht="15" hidden="false" customHeight="false" outlineLevel="0" collapsed="false">
      <c r="F1598" s="6" t="s">
        <v>27</v>
      </c>
      <c r="G1598" s="0" t="n">
        <v>2</v>
      </c>
      <c r="H1598" s="0" t="s">
        <v>79</v>
      </c>
      <c r="I1598" s="15" t="n">
        <v>43358.5065393519</v>
      </c>
    </row>
    <row r="1599" customFormat="false" ht="15" hidden="false" customHeight="false" outlineLevel="0" collapsed="false">
      <c r="F1599" s="6" t="s">
        <v>40</v>
      </c>
      <c r="G1599" s="0" t="n">
        <v>1</v>
      </c>
      <c r="H1599" s="0" t="s">
        <v>79</v>
      </c>
      <c r="I1599" s="15" t="n">
        <v>43358.5064814815</v>
      </c>
    </row>
    <row r="1600" customFormat="false" ht="15" hidden="false" customHeight="false" outlineLevel="0" collapsed="false">
      <c r="F1600" s="6" t="s">
        <v>15</v>
      </c>
      <c r="G1600" s="0" t="n">
        <v>2</v>
      </c>
      <c r="H1600" s="0" t="s">
        <v>79</v>
      </c>
      <c r="I1600" s="15" t="n">
        <v>43358.506400463</v>
      </c>
    </row>
    <row r="1601" customFormat="false" ht="15" hidden="false" customHeight="false" outlineLevel="0" collapsed="false">
      <c r="F1601" s="6" t="s">
        <v>88</v>
      </c>
      <c r="G1601" s="0" t="n">
        <v>2</v>
      </c>
      <c r="H1601" s="0" t="s">
        <v>79</v>
      </c>
      <c r="I1601" s="15" t="n">
        <v>43358.5063194444</v>
      </c>
    </row>
    <row r="1602" customFormat="false" ht="15" hidden="false" customHeight="false" outlineLevel="0" collapsed="false">
      <c r="F1602" s="6" t="s">
        <v>104</v>
      </c>
      <c r="G1602" s="0" t="n">
        <v>2</v>
      </c>
      <c r="H1602" s="0" t="s">
        <v>79</v>
      </c>
      <c r="I1602" s="15" t="n">
        <v>43358.5062615741</v>
      </c>
    </row>
    <row r="1603" customFormat="false" ht="15" hidden="false" customHeight="false" outlineLevel="0" collapsed="false">
      <c r="F1603" s="6" t="s">
        <v>25</v>
      </c>
      <c r="G1603" s="0" t="n">
        <v>3</v>
      </c>
      <c r="H1603" s="0" t="s">
        <v>79</v>
      </c>
      <c r="I1603" s="15" t="n">
        <v>43358.5061689815</v>
      </c>
    </row>
    <row r="1604" customFormat="false" ht="15" hidden="false" customHeight="false" outlineLevel="0" collapsed="false">
      <c r="F1604" s="6" t="s">
        <v>178</v>
      </c>
      <c r="G1604" s="0" t="n">
        <v>1</v>
      </c>
      <c r="H1604" s="0" t="s">
        <v>79</v>
      </c>
      <c r="I1604" s="15" t="n">
        <v>43358.5059953704</v>
      </c>
    </row>
    <row r="1605" customFormat="false" ht="15" hidden="false" customHeight="false" outlineLevel="0" collapsed="false">
      <c r="F1605" s="6" t="s">
        <v>211</v>
      </c>
      <c r="G1605" s="0" t="n">
        <v>1</v>
      </c>
      <c r="H1605" s="0" t="s">
        <v>79</v>
      </c>
      <c r="I1605" s="15" t="n">
        <v>43358.5057407407</v>
      </c>
    </row>
    <row r="1606" customFormat="false" ht="15" hidden="false" customHeight="false" outlineLevel="0" collapsed="false">
      <c r="F1606" s="6" t="s">
        <v>23</v>
      </c>
      <c r="G1606" s="0" t="n">
        <v>1</v>
      </c>
      <c r="H1606" s="0" t="s">
        <v>79</v>
      </c>
      <c r="I1606" s="15" t="n">
        <v>43358.5054976852</v>
      </c>
    </row>
    <row r="1607" customFormat="false" ht="15" hidden="false" customHeight="false" outlineLevel="0" collapsed="false">
      <c r="F1607" s="6" t="s">
        <v>29</v>
      </c>
      <c r="G1607" s="0" t="n">
        <v>2</v>
      </c>
      <c r="H1607" s="0" t="s">
        <v>79</v>
      </c>
      <c r="I1607" s="15" t="n">
        <v>43358.5054398148</v>
      </c>
    </row>
    <row r="1608" customFormat="false" ht="15" hidden="false" customHeight="false" outlineLevel="0" collapsed="false">
      <c r="F1608" s="6" t="s">
        <v>70</v>
      </c>
      <c r="G1608" s="0" t="n">
        <v>1</v>
      </c>
      <c r="H1608" s="0" t="s">
        <v>79</v>
      </c>
      <c r="I1608" s="15" t="n">
        <v>43358.5053240741</v>
      </c>
    </row>
    <row r="1609" customFormat="false" ht="15" hidden="false" customHeight="false" outlineLevel="0" collapsed="false">
      <c r="F1609" s="6" t="s">
        <v>76</v>
      </c>
      <c r="G1609" s="0" t="n">
        <v>4</v>
      </c>
      <c r="H1609" s="0" t="s">
        <v>79</v>
      </c>
      <c r="I1609" s="15" t="n">
        <v>43358.5052546296</v>
      </c>
    </row>
    <row r="1610" customFormat="false" ht="15" hidden="false" customHeight="false" outlineLevel="0" collapsed="false">
      <c r="F1610" s="6" t="s">
        <v>80</v>
      </c>
      <c r="G1610" s="0" t="n">
        <v>3</v>
      </c>
      <c r="H1610" s="0" t="s">
        <v>79</v>
      </c>
      <c r="I1610" s="15" t="n">
        <v>43358.5048958333</v>
      </c>
    </row>
    <row r="1611" customFormat="false" ht="15" hidden="false" customHeight="false" outlineLevel="0" collapsed="false">
      <c r="F1611" s="6" t="s">
        <v>25</v>
      </c>
      <c r="G1611" s="0" t="n">
        <v>1</v>
      </c>
      <c r="H1611" s="0" t="s">
        <v>79</v>
      </c>
      <c r="I1611" s="15" t="n">
        <v>43358.5048263889</v>
      </c>
    </row>
    <row r="1612" customFormat="false" ht="15" hidden="false" customHeight="false" outlineLevel="0" collapsed="false">
      <c r="F1612" s="6" t="s">
        <v>46</v>
      </c>
      <c r="G1612" s="0" t="n">
        <v>2</v>
      </c>
      <c r="H1612" s="0" t="s">
        <v>79</v>
      </c>
      <c r="I1612" s="15" t="n">
        <v>43358.5047337963</v>
      </c>
    </row>
    <row r="1613" customFormat="false" ht="15" hidden="false" customHeight="false" outlineLevel="0" collapsed="false">
      <c r="F1613" s="6" t="s">
        <v>178</v>
      </c>
      <c r="G1613" s="0" t="n">
        <v>3</v>
      </c>
      <c r="H1613" s="0" t="s">
        <v>79</v>
      </c>
      <c r="I1613" s="15" t="n">
        <v>43358.5046296296</v>
      </c>
    </row>
    <row r="1614" customFormat="false" ht="15" hidden="false" customHeight="false" outlineLevel="0" collapsed="false">
      <c r="F1614" s="6" t="s">
        <v>71</v>
      </c>
      <c r="G1614" s="0" t="n">
        <v>3</v>
      </c>
      <c r="H1614" s="0" t="s">
        <v>79</v>
      </c>
      <c r="I1614" s="15" t="n">
        <v>43358.5043402778</v>
      </c>
    </row>
    <row r="1615" customFormat="false" ht="15" hidden="false" customHeight="false" outlineLevel="0" collapsed="false">
      <c r="F1615" s="6" t="s">
        <v>31</v>
      </c>
      <c r="G1615" s="0" t="n">
        <v>19</v>
      </c>
      <c r="H1615" s="0" t="s">
        <v>79</v>
      </c>
      <c r="I1615" s="15" t="n">
        <v>43358.5033217593</v>
      </c>
    </row>
    <row r="1616" customFormat="false" ht="15" hidden="false" customHeight="false" outlineLevel="0" collapsed="false">
      <c r="F1616" s="6" t="s">
        <v>57</v>
      </c>
      <c r="G1616" s="0" t="n">
        <v>3</v>
      </c>
      <c r="H1616" s="0" t="s">
        <v>79</v>
      </c>
      <c r="I1616" s="15" t="n">
        <v>43358.5032407407</v>
      </c>
    </row>
    <row r="1617" customFormat="false" ht="15" hidden="false" customHeight="false" outlineLevel="0" collapsed="false">
      <c r="F1617" s="6" t="s">
        <v>32</v>
      </c>
      <c r="G1617" s="0" t="n">
        <v>2</v>
      </c>
      <c r="H1617" s="0" t="s">
        <v>79</v>
      </c>
      <c r="I1617" s="15" t="n">
        <v>43358.5031597222</v>
      </c>
    </row>
    <row r="1618" customFormat="false" ht="15" hidden="false" customHeight="false" outlineLevel="0" collapsed="false">
      <c r="F1618" s="6" t="s">
        <v>37</v>
      </c>
      <c r="G1618" s="0" t="n">
        <v>2</v>
      </c>
      <c r="H1618" s="0" t="s">
        <v>79</v>
      </c>
      <c r="I1618" s="15" t="n">
        <v>43358.5030439815</v>
      </c>
    </row>
    <row r="1619" customFormat="false" ht="15" hidden="false" customHeight="false" outlineLevel="0" collapsed="false">
      <c r="F1619" s="6" t="s">
        <v>41</v>
      </c>
      <c r="G1619" s="0" t="n">
        <v>6</v>
      </c>
      <c r="H1619" s="0" t="s">
        <v>79</v>
      </c>
      <c r="I1619" s="15" t="n">
        <v>43358.5026388889</v>
      </c>
    </row>
    <row r="1620" customFormat="false" ht="15" hidden="false" customHeight="false" outlineLevel="0" collapsed="false">
      <c r="F1620" s="6" t="s">
        <v>89</v>
      </c>
      <c r="G1620" s="0" t="n">
        <v>1</v>
      </c>
      <c r="H1620" s="0" t="s">
        <v>79</v>
      </c>
      <c r="I1620" s="15" t="n">
        <v>43358.5016782407</v>
      </c>
    </row>
    <row r="1621" customFormat="false" ht="15" hidden="false" customHeight="false" outlineLevel="0" collapsed="false">
      <c r="F1621" s="6" t="s">
        <v>36</v>
      </c>
      <c r="G1621" s="0" t="n">
        <v>2</v>
      </c>
      <c r="H1621" s="0" t="s">
        <v>79</v>
      </c>
      <c r="I1621" s="15" t="n">
        <v>43358.5016087963</v>
      </c>
    </row>
    <row r="1622" customFormat="false" ht="15" hidden="false" customHeight="false" outlineLevel="0" collapsed="false">
      <c r="F1622" s="6" t="s">
        <v>72</v>
      </c>
      <c r="G1622" s="0" t="n">
        <v>1</v>
      </c>
      <c r="H1622" s="0" t="s">
        <v>79</v>
      </c>
      <c r="I1622" s="15" t="n">
        <v>43358.5015046296</v>
      </c>
    </row>
    <row r="1623" customFormat="false" ht="15" hidden="false" customHeight="false" outlineLevel="0" collapsed="false">
      <c r="F1623" s="6" t="s">
        <v>34</v>
      </c>
      <c r="G1623" s="0" t="n">
        <v>8</v>
      </c>
      <c r="H1623" s="0" t="s">
        <v>79</v>
      </c>
      <c r="I1623" s="15" t="n">
        <v>43358.5011458333</v>
      </c>
    </row>
    <row r="1624" customFormat="false" ht="15" hidden="false" customHeight="false" outlineLevel="0" collapsed="false">
      <c r="F1624" s="6" t="s">
        <v>21</v>
      </c>
      <c r="G1624" s="0" t="n">
        <v>26</v>
      </c>
      <c r="H1624" s="0" t="s">
        <v>79</v>
      </c>
      <c r="I1624" s="15" t="n">
        <v>43358.5004398148</v>
      </c>
    </row>
    <row r="1625" customFormat="false" ht="15" hidden="false" customHeight="false" outlineLevel="0" collapsed="false">
      <c r="F1625" s="6" t="s">
        <v>21</v>
      </c>
      <c r="G1625" s="0" t="n">
        <v>9</v>
      </c>
      <c r="H1625" s="0" t="s">
        <v>79</v>
      </c>
      <c r="I1625" s="15" t="n">
        <v>43358.5002314815</v>
      </c>
    </row>
    <row r="1626" customFormat="false" ht="15" hidden="false" customHeight="false" outlineLevel="0" collapsed="false">
      <c r="F1626" s="6" t="s">
        <v>59</v>
      </c>
      <c r="G1626" s="0" t="n">
        <v>1</v>
      </c>
      <c r="H1626" s="0" t="s">
        <v>16</v>
      </c>
      <c r="I1626" s="15" t="n">
        <v>43358.4800810185</v>
      </c>
    </row>
    <row r="1627" customFormat="false" ht="15" hidden="false" customHeight="false" outlineLevel="0" collapsed="false">
      <c r="F1627" s="6" t="s">
        <v>212</v>
      </c>
      <c r="G1627" s="0" t="n">
        <v>1</v>
      </c>
      <c r="H1627" s="0" t="s">
        <v>16</v>
      </c>
      <c r="I1627" s="15" t="n">
        <v>43358.4800231482</v>
      </c>
    </row>
    <row r="1628" customFormat="false" ht="15" hidden="false" customHeight="false" outlineLevel="0" collapsed="false">
      <c r="F1628" s="6" t="s">
        <v>22</v>
      </c>
      <c r="G1628" s="0" t="n">
        <v>1</v>
      </c>
      <c r="H1628" s="0" t="s">
        <v>16</v>
      </c>
      <c r="I1628" s="15" t="n">
        <v>43358.4796990741</v>
      </c>
    </row>
    <row r="1629" customFormat="false" ht="15" hidden="false" customHeight="false" outlineLevel="0" collapsed="false">
      <c r="F1629" s="6" t="s">
        <v>213</v>
      </c>
      <c r="G1629" s="0" t="n">
        <v>1</v>
      </c>
      <c r="H1629" s="0" t="s">
        <v>16</v>
      </c>
      <c r="I1629" s="15" t="n">
        <v>43358.4795833333</v>
      </c>
    </row>
    <row r="1630" customFormat="false" ht="15" hidden="false" customHeight="false" outlineLevel="0" collapsed="false">
      <c r="F1630" s="6" t="s">
        <v>12</v>
      </c>
      <c r="G1630" s="0" t="n">
        <v>1</v>
      </c>
      <c r="H1630" s="0" t="s">
        <v>16</v>
      </c>
      <c r="I1630" s="15" t="n">
        <v>43358.4793634259</v>
      </c>
    </row>
    <row r="1631" customFormat="false" ht="15" hidden="false" customHeight="false" outlineLevel="0" collapsed="false">
      <c r="F1631" s="6" t="s">
        <v>156</v>
      </c>
      <c r="G1631" s="0" t="n">
        <v>1</v>
      </c>
      <c r="H1631" s="0" t="s">
        <v>16</v>
      </c>
      <c r="I1631" s="15" t="n">
        <v>43358.4792476852</v>
      </c>
    </row>
    <row r="1632" customFormat="false" ht="15" hidden="false" customHeight="false" outlineLevel="0" collapsed="false">
      <c r="F1632" s="6" t="s">
        <v>67</v>
      </c>
      <c r="G1632" s="0" t="n">
        <v>1</v>
      </c>
      <c r="H1632" s="0" t="s">
        <v>16</v>
      </c>
      <c r="I1632" s="15" t="n">
        <v>43358.4789814815</v>
      </c>
    </row>
    <row r="1633" customFormat="false" ht="15" hidden="false" customHeight="false" outlineLevel="0" collapsed="false">
      <c r="F1633" s="6" t="s">
        <v>15</v>
      </c>
      <c r="G1633" s="0" t="n">
        <v>7</v>
      </c>
      <c r="H1633" s="0" t="s">
        <v>16</v>
      </c>
      <c r="I1633" s="15" t="n">
        <v>43358.4788657407</v>
      </c>
    </row>
    <row r="1634" customFormat="false" ht="15" hidden="false" customHeight="false" outlineLevel="0" collapsed="false">
      <c r="F1634" s="6" t="s">
        <v>40</v>
      </c>
      <c r="G1634" s="0" t="n">
        <v>5</v>
      </c>
      <c r="H1634" s="0" t="s">
        <v>16</v>
      </c>
      <c r="I1634" s="15" t="n">
        <v>43358.47875</v>
      </c>
    </row>
    <row r="1635" customFormat="false" ht="15" hidden="false" customHeight="false" outlineLevel="0" collapsed="false">
      <c r="F1635" s="6" t="s">
        <v>28</v>
      </c>
      <c r="G1635" s="0" t="n">
        <v>1</v>
      </c>
      <c r="H1635" s="0" t="s">
        <v>16</v>
      </c>
      <c r="I1635" s="15" t="n">
        <v>43358.4784606482</v>
      </c>
    </row>
    <row r="1636" customFormat="false" ht="15" hidden="false" customHeight="false" outlineLevel="0" collapsed="false">
      <c r="F1636" s="6" t="s">
        <v>25</v>
      </c>
      <c r="G1636" s="0" t="n">
        <v>15</v>
      </c>
      <c r="H1636" s="0" t="s">
        <v>16</v>
      </c>
      <c r="I1636" s="15" t="n">
        <v>43358.4780555556</v>
      </c>
    </row>
    <row r="1637" customFormat="false" ht="15" hidden="false" customHeight="false" outlineLevel="0" collapsed="false">
      <c r="F1637" s="6" t="s">
        <v>26</v>
      </c>
      <c r="G1637" s="0" t="n">
        <v>8</v>
      </c>
      <c r="H1637" s="0" t="s">
        <v>16</v>
      </c>
      <c r="I1637" s="15" t="n">
        <v>43358.4776157407</v>
      </c>
    </row>
    <row r="1638" customFormat="false" ht="15" hidden="false" customHeight="false" outlineLevel="0" collapsed="false">
      <c r="F1638" s="6" t="s">
        <v>37</v>
      </c>
      <c r="G1638" s="0" t="n">
        <v>3</v>
      </c>
      <c r="H1638" s="0" t="s">
        <v>16</v>
      </c>
      <c r="I1638" s="15" t="n">
        <v>43358.4775</v>
      </c>
    </row>
    <row r="1639" customFormat="false" ht="15" hidden="false" customHeight="false" outlineLevel="0" collapsed="false">
      <c r="F1639" s="6" t="s">
        <v>72</v>
      </c>
      <c r="G1639" s="0" t="n">
        <v>2</v>
      </c>
      <c r="H1639" s="0" t="s">
        <v>16</v>
      </c>
      <c r="I1639" s="15" t="n">
        <v>43358.4774074074</v>
      </c>
    </row>
    <row r="1640" customFormat="false" ht="15" hidden="false" customHeight="false" outlineLevel="0" collapsed="false">
      <c r="F1640" s="6" t="s">
        <v>21</v>
      </c>
      <c r="G1640" s="0" t="n">
        <v>3</v>
      </c>
      <c r="H1640" s="0" t="s">
        <v>16</v>
      </c>
      <c r="I1640" s="15" t="n">
        <v>43358.4771527778</v>
      </c>
    </row>
    <row r="1641" customFormat="false" ht="15" hidden="false" customHeight="false" outlineLevel="0" collapsed="false">
      <c r="F1641" s="6" t="s">
        <v>21</v>
      </c>
      <c r="G1641" s="0" t="n">
        <v>4</v>
      </c>
      <c r="H1641" s="0" t="s">
        <v>16</v>
      </c>
      <c r="I1641" s="15" t="n">
        <v>43358.4767939815</v>
      </c>
    </row>
    <row r="1642" customFormat="false" ht="15" hidden="false" customHeight="false" outlineLevel="0" collapsed="false">
      <c r="F1642" s="6" t="s">
        <v>34</v>
      </c>
      <c r="G1642" s="0" t="n">
        <v>14</v>
      </c>
      <c r="H1642" s="0" t="s">
        <v>16</v>
      </c>
      <c r="I1642" s="15" t="n">
        <v>43358.4766087963</v>
      </c>
    </row>
    <row r="1643" customFormat="false" ht="15" hidden="false" customHeight="false" outlineLevel="0" collapsed="false">
      <c r="F1643" s="6" t="s">
        <v>89</v>
      </c>
      <c r="G1643" s="0" t="n">
        <v>1</v>
      </c>
      <c r="H1643" s="0" t="s">
        <v>16</v>
      </c>
      <c r="I1643" s="15" t="n">
        <v>43358.4765162037</v>
      </c>
    </row>
    <row r="1644" customFormat="false" ht="15" hidden="false" customHeight="false" outlineLevel="0" collapsed="false">
      <c r="F1644" s="6" t="s">
        <v>57</v>
      </c>
      <c r="G1644" s="0" t="n">
        <v>2</v>
      </c>
      <c r="H1644" s="0" t="s">
        <v>16</v>
      </c>
      <c r="I1644" s="15" t="n">
        <v>43358.4763657407</v>
      </c>
    </row>
    <row r="1645" customFormat="false" ht="15" hidden="false" customHeight="false" outlineLevel="0" collapsed="false">
      <c r="F1645" s="6" t="s">
        <v>32</v>
      </c>
      <c r="G1645" s="0" t="n">
        <v>10</v>
      </c>
      <c r="H1645" s="0" t="s">
        <v>16</v>
      </c>
      <c r="I1645" s="15" t="n">
        <v>43358.4762731481</v>
      </c>
    </row>
    <row r="1646" customFormat="false" ht="15" hidden="false" customHeight="false" outlineLevel="0" collapsed="false">
      <c r="F1646" s="6" t="s">
        <v>29</v>
      </c>
      <c r="G1646" s="0" t="n">
        <v>1</v>
      </c>
      <c r="H1646" s="0" t="s">
        <v>16</v>
      </c>
      <c r="I1646" s="15" t="n">
        <v>43358.4761111111</v>
      </c>
    </row>
    <row r="1647" customFormat="false" ht="15" hidden="false" customHeight="false" outlineLevel="0" collapsed="false">
      <c r="F1647" s="6" t="s">
        <v>27</v>
      </c>
      <c r="G1647" s="0" t="n">
        <v>13</v>
      </c>
      <c r="H1647" s="0" t="s">
        <v>16</v>
      </c>
      <c r="I1647" s="15" t="n">
        <v>43358.4759837963</v>
      </c>
    </row>
    <row r="1648" customFormat="false" ht="15" hidden="false" customHeight="false" outlineLevel="0" collapsed="false">
      <c r="F1648" s="6" t="s">
        <v>80</v>
      </c>
      <c r="G1648" s="0" t="n">
        <v>1</v>
      </c>
      <c r="H1648" s="0" t="s">
        <v>16</v>
      </c>
      <c r="I1648" s="15" t="n">
        <v>43358.4758449074</v>
      </c>
    </row>
    <row r="1649" customFormat="false" ht="15" hidden="false" customHeight="false" outlineLevel="0" collapsed="false">
      <c r="F1649" s="6" t="s">
        <v>76</v>
      </c>
      <c r="G1649" s="0" t="n">
        <v>2</v>
      </c>
      <c r="H1649" s="0" t="s">
        <v>16</v>
      </c>
      <c r="I1649" s="15" t="n">
        <v>43358.4756597222</v>
      </c>
    </row>
    <row r="1650" customFormat="false" ht="15" hidden="false" customHeight="false" outlineLevel="0" collapsed="false">
      <c r="F1650" s="6" t="s">
        <v>68</v>
      </c>
      <c r="G1650" s="0" t="n">
        <v>6</v>
      </c>
      <c r="H1650" s="0" t="s">
        <v>16</v>
      </c>
      <c r="I1650" s="15" t="n">
        <v>43358.474837963</v>
      </c>
    </row>
    <row r="1651" customFormat="false" ht="15" hidden="false" customHeight="false" outlineLevel="0" collapsed="false">
      <c r="F1651" s="6" t="s">
        <v>41</v>
      </c>
      <c r="G1651" s="0" t="n">
        <v>14</v>
      </c>
      <c r="H1651" s="0" t="s">
        <v>16</v>
      </c>
      <c r="I1651" s="15" t="n">
        <v>43358.4747337963</v>
      </c>
    </row>
    <row r="1652" customFormat="false" ht="15" hidden="false" customHeight="false" outlineLevel="0" collapsed="false">
      <c r="F1652" s="6" t="s">
        <v>25</v>
      </c>
      <c r="G1652" s="0" t="n">
        <v>21</v>
      </c>
      <c r="H1652" s="0" t="s">
        <v>16</v>
      </c>
      <c r="I1652" s="15" t="n">
        <v>43358.4745949074</v>
      </c>
    </row>
    <row r="1653" customFormat="false" ht="15" hidden="false" customHeight="false" outlineLevel="0" collapsed="false">
      <c r="F1653" s="6" t="s">
        <v>112</v>
      </c>
      <c r="G1653" s="0" t="n">
        <v>1</v>
      </c>
      <c r="H1653" s="0" t="s">
        <v>16</v>
      </c>
      <c r="I1653" s="15" t="n">
        <v>43358.4744560185</v>
      </c>
    </row>
    <row r="1654" customFormat="false" ht="15" hidden="false" customHeight="false" outlineLevel="0" collapsed="false">
      <c r="F1654" s="6" t="s">
        <v>101</v>
      </c>
      <c r="G1654" s="0" t="n">
        <v>1</v>
      </c>
      <c r="H1654" s="0" t="s">
        <v>146</v>
      </c>
      <c r="I1654" s="15" t="n">
        <v>43358.4743981482</v>
      </c>
    </row>
    <row r="1655" customFormat="false" ht="15" hidden="false" customHeight="false" outlineLevel="0" collapsed="false">
      <c r="F1655" s="6" t="s">
        <v>107</v>
      </c>
      <c r="G1655" s="0" t="n">
        <v>11</v>
      </c>
      <c r="H1655" s="0" t="s">
        <v>16</v>
      </c>
      <c r="I1655" s="15" t="n">
        <v>43358.4743518519</v>
      </c>
    </row>
    <row r="1656" customFormat="false" ht="15" hidden="false" customHeight="false" outlineLevel="0" collapsed="false">
      <c r="F1656" s="6" t="s">
        <v>41</v>
      </c>
      <c r="G1656" s="0" t="n">
        <v>4</v>
      </c>
      <c r="H1656" s="0" t="s">
        <v>146</v>
      </c>
      <c r="I1656" s="15" t="n">
        <v>43358.4742476852</v>
      </c>
    </row>
    <row r="1657" customFormat="false" ht="15" hidden="false" customHeight="false" outlineLevel="0" collapsed="false">
      <c r="F1657" s="6" t="s">
        <v>57</v>
      </c>
      <c r="G1657" s="0" t="n">
        <v>4</v>
      </c>
      <c r="H1657" s="0" t="s">
        <v>75</v>
      </c>
      <c r="I1657" s="15" t="n">
        <v>43358.4738888889</v>
      </c>
    </row>
    <row r="1658" customFormat="false" ht="15" hidden="false" customHeight="false" outlineLevel="0" collapsed="false">
      <c r="F1658" s="6" t="s">
        <v>118</v>
      </c>
      <c r="G1658" s="0" t="n">
        <v>1</v>
      </c>
      <c r="H1658" s="0" t="s">
        <v>146</v>
      </c>
      <c r="I1658" s="15" t="n">
        <v>43358.4738194444</v>
      </c>
    </row>
    <row r="1659" customFormat="false" ht="15" hidden="false" customHeight="false" outlineLevel="0" collapsed="false">
      <c r="F1659" s="6" t="s">
        <v>102</v>
      </c>
      <c r="G1659" s="0" t="n">
        <v>1</v>
      </c>
      <c r="H1659" s="0" t="s">
        <v>146</v>
      </c>
      <c r="I1659" s="15" t="n">
        <v>43358.4737268519</v>
      </c>
    </row>
    <row r="1660" customFormat="false" ht="15" hidden="false" customHeight="false" outlineLevel="0" collapsed="false">
      <c r="F1660" s="6" t="s">
        <v>18</v>
      </c>
      <c r="G1660" s="0" t="n">
        <v>1</v>
      </c>
      <c r="H1660" s="0" t="s">
        <v>75</v>
      </c>
      <c r="I1660" s="15" t="n">
        <v>43358.4736111111</v>
      </c>
    </row>
    <row r="1661" customFormat="false" ht="15" hidden="false" customHeight="false" outlineLevel="0" collapsed="false">
      <c r="F1661" s="6" t="s">
        <v>46</v>
      </c>
      <c r="G1661" s="0" t="n">
        <v>2</v>
      </c>
      <c r="H1661" s="0" t="s">
        <v>75</v>
      </c>
      <c r="I1661" s="15" t="n">
        <v>43358.4735416667</v>
      </c>
    </row>
    <row r="1662" customFormat="false" ht="15" hidden="false" customHeight="false" outlineLevel="0" collapsed="false">
      <c r="F1662" s="6" t="s">
        <v>27</v>
      </c>
      <c r="G1662" s="0" t="n">
        <v>1</v>
      </c>
      <c r="H1662" s="0" t="s">
        <v>146</v>
      </c>
      <c r="I1662" s="15" t="n">
        <v>43358.4735185185</v>
      </c>
    </row>
    <row r="1663" customFormat="false" ht="15" hidden="false" customHeight="false" outlineLevel="0" collapsed="false">
      <c r="F1663" s="6" t="s">
        <v>102</v>
      </c>
      <c r="G1663" s="0" t="n">
        <v>2</v>
      </c>
      <c r="H1663" s="0" t="s">
        <v>146</v>
      </c>
      <c r="I1663" s="15" t="n">
        <v>43358.4734375</v>
      </c>
    </row>
    <row r="1664" customFormat="false" ht="15" hidden="false" customHeight="false" outlineLevel="0" collapsed="false">
      <c r="F1664" s="6" t="s">
        <v>92</v>
      </c>
      <c r="G1664" s="0" t="n">
        <v>2</v>
      </c>
      <c r="H1664" s="0" t="s">
        <v>146</v>
      </c>
      <c r="I1664" s="15" t="n">
        <v>43358.4731828704</v>
      </c>
    </row>
    <row r="1665" customFormat="false" ht="15" hidden="false" customHeight="false" outlineLevel="0" collapsed="false">
      <c r="F1665" s="6" t="s">
        <v>36</v>
      </c>
      <c r="G1665" s="0" t="n">
        <v>4</v>
      </c>
      <c r="H1665" s="0" t="s">
        <v>146</v>
      </c>
      <c r="I1665" s="15" t="n">
        <v>43358.4730555556</v>
      </c>
    </row>
    <row r="1666" customFormat="false" ht="15" hidden="false" customHeight="false" outlineLevel="0" collapsed="false">
      <c r="F1666" s="6" t="s">
        <v>72</v>
      </c>
      <c r="G1666" s="0" t="n">
        <v>3</v>
      </c>
      <c r="H1666" s="0" t="s">
        <v>146</v>
      </c>
      <c r="I1666" s="15" t="n">
        <v>43358.4729861111</v>
      </c>
    </row>
    <row r="1667" customFormat="false" ht="15" hidden="false" customHeight="false" outlineLevel="0" collapsed="false">
      <c r="F1667" s="6" t="s">
        <v>34</v>
      </c>
      <c r="G1667" s="0" t="n">
        <v>2</v>
      </c>
      <c r="H1667" s="0" t="s">
        <v>146</v>
      </c>
      <c r="I1667" s="15" t="n">
        <v>43358.4729050926</v>
      </c>
    </row>
    <row r="1668" customFormat="false" ht="15" hidden="false" customHeight="false" outlineLevel="0" collapsed="false">
      <c r="F1668" s="6" t="s">
        <v>112</v>
      </c>
      <c r="G1668" s="0" t="n">
        <v>1</v>
      </c>
      <c r="H1668" s="0" t="s">
        <v>75</v>
      </c>
      <c r="I1668" s="15" t="n">
        <v>43358.4728703704</v>
      </c>
    </row>
    <row r="1669" customFormat="false" ht="15" hidden="false" customHeight="false" outlineLevel="0" collapsed="false">
      <c r="F1669" s="6" t="s">
        <v>77</v>
      </c>
      <c r="G1669" s="0" t="n">
        <v>3</v>
      </c>
      <c r="H1669" s="0" t="s">
        <v>146</v>
      </c>
      <c r="I1669" s="15" t="n">
        <v>43358.4728356482</v>
      </c>
    </row>
    <row r="1670" customFormat="false" ht="15" hidden="false" customHeight="false" outlineLevel="0" collapsed="false">
      <c r="F1670" s="6" t="s">
        <v>148</v>
      </c>
      <c r="G1670" s="0" t="n">
        <v>1</v>
      </c>
      <c r="H1670" s="0" t="s">
        <v>146</v>
      </c>
      <c r="I1670" s="15" t="n">
        <v>43358.4727314815</v>
      </c>
    </row>
    <row r="1671" customFormat="false" ht="15" hidden="false" customHeight="false" outlineLevel="0" collapsed="false">
      <c r="F1671" s="6" t="s">
        <v>204</v>
      </c>
      <c r="G1671" s="0" t="n">
        <v>1</v>
      </c>
      <c r="H1671" s="0" t="s">
        <v>146</v>
      </c>
      <c r="I1671" s="15" t="n">
        <v>43358.472650463</v>
      </c>
    </row>
    <row r="1672" customFormat="false" ht="15" hidden="false" customHeight="false" outlineLevel="0" collapsed="false">
      <c r="F1672" s="6" t="s">
        <v>145</v>
      </c>
      <c r="G1672" s="0" t="n">
        <v>2</v>
      </c>
      <c r="H1672" s="0" t="s">
        <v>75</v>
      </c>
      <c r="I1672" s="15" t="n">
        <v>43358.4726273148</v>
      </c>
    </row>
    <row r="1673" customFormat="false" ht="15" hidden="false" customHeight="false" outlineLevel="0" collapsed="false">
      <c r="F1673" s="6" t="s">
        <v>121</v>
      </c>
      <c r="G1673" s="0" t="n">
        <v>1</v>
      </c>
      <c r="H1673" s="0" t="s">
        <v>75</v>
      </c>
      <c r="I1673" s="15" t="n">
        <v>43358.4724884259</v>
      </c>
    </row>
    <row r="1674" customFormat="false" ht="15" hidden="false" customHeight="false" outlineLevel="0" collapsed="false">
      <c r="F1674" s="6" t="s">
        <v>102</v>
      </c>
      <c r="G1674" s="0" t="n">
        <v>1</v>
      </c>
      <c r="H1674" s="0" t="s">
        <v>75</v>
      </c>
      <c r="I1674" s="15" t="n">
        <v>43358.4722337963</v>
      </c>
    </row>
    <row r="1675" customFormat="false" ht="15" hidden="false" customHeight="false" outlineLevel="0" collapsed="false">
      <c r="F1675" s="6" t="s">
        <v>32</v>
      </c>
      <c r="G1675" s="0" t="n">
        <v>10</v>
      </c>
      <c r="H1675" s="0" t="s">
        <v>146</v>
      </c>
      <c r="I1675" s="15" t="n">
        <v>43358.4719791667</v>
      </c>
    </row>
    <row r="1676" customFormat="false" ht="15" hidden="false" customHeight="false" outlineLevel="0" collapsed="false">
      <c r="F1676" s="6" t="s">
        <v>23</v>
      </c>
      <c r="G1676" s="0" t="n">
        <v>1</v>
      </c>
      <c r="H1676" s="0" t="s">
        <v>75</v>
      </c>
      <c r="I1676" s="15" t="n">
        <v>43358.4718981482</v>
      </c>
    </row>
    <row r="1677" customFormat="false" ht="15" hidden="false" customHeight="false" outlineLevel="0" collapsed="false">
      <c r="F1677" s="6" t="s">
        <v>27</v>
      </c>
      <c r="G1677" s="0" t="n">
        <v>2</v>
      </c>
      <c r="H1677" s="0" t="s">
        <v>146</v>
      </c>
      <c r="I1677" s="15" t="n">
        <v>43358.4718634259</v>
      </c>
    </row>
    <row r="1678" customFormat="false" ht="15" hidden="false" customHeight="false" outlineLevel="0" collapsed="false">
      <c r="F1678" s="6" t="s">
        <v>27</v>
      </c>
      <c r="G1678" s="0" t="n">
        <v>5</v>
      </c>
      <c r="H1678" s="0" t="s">
        <v>75</v>
      </c>
      <c r="I1678" s="15" t="n">
        <v>43358.4717939815</v>
      </c>
    </row>
    <row r="1679" customFormat="false" ht="15" hidden="false" customHeight="false" outlineLevel="0" collapsed="false">
      <c r="F1679" s="6" t="s">
        <v>110</v>
      </c>
      <c r="G1679" s="0" t="n">
        <v>1</v>
      </c>
      <c r="H1679" s="0" t="s">
        <v>146</v>
      </c>
      <c r="I1679" s="15" t="n">
        <v>43358.4717592593</v>
      </c>
    </row>
    <row r="1680" customFormat="false" ht="15" hidden="false" customHeight="false" outlineLevel="0" collapsed="false">
      <c r="F1680" s="6" t="s">
        <v>26</v>
      </c>
      <c r="G1680" s="0" t="n">
        <v>5</v>
      </c>
      <c r="H1680" s="0" t="s">
        <v>75</v>
      </c>
      <c r="I1680" s="15" t="n">
        <v>43358.4717013889</v>
      </c>
    </row>
    <row r="1681" customFormat="false" ht="15" hidden="false" customHeight="false" outlineLevel="0" collapsed="false">
      <c r="F1681" s="6" t="s">
        <v>41</v>
      </c>
      <c r="G1681" s="0" t="n">
        <v>7</v>
      </c>
      <c r="H1681" s="0" t="s">
        <v>75</v>
      </c>
      <c r="I1681" s="15" t="n">
        <v>43358.4715740741</v>
      </c>
    </row>
    <row r="1682" customFormat="false" ht="15" hidden="false" customHeight="false" outlineLevel="0" collapsed="false">
      <c r="F1682" s="6" t="s">
        <v>83</v>
      </c>
      <c r="G1682" s="0" t="n">
        <v>1</v>
      </c>
      <c r="H1682" s="0" t="s">
        <v>146</v>
      </c>
      <c r="I1682" s="15" t="n">
        <v>43358.4715393519</v>
      </c>
    </row>
    <row r="1683" customFormat="false" ht="15" hidden="false" customHeight="false" outlineLevel="0" collapsed="false">
      <c r="F1683" s="6" t="s">
        <v>15</v>
      </c>
      <c r="G1683" s="0" t="n">
        <v>5</v>
      </c>
      <c r="H1683" s="0" t="s">
        <v>75</v>
      </c>
      <c r="I1683" s="15" t="n">
        <v>43358.4715046296</v>
      </c>
    </row>
    <row r="1684" customFormat="false" ht="15" hidden="false" customHeight="false" outlineLevel="0" collapsed="false">
      <c r="F1684" s="6" t="s">
        <v>12</v>
      </c>
      <c r="G1684" s="0" t="n">
        <v>2</v>
      </c>
      <c r="H1684" s="0" t="s">
        <v>146</v>
      </c>
      <c r="I1684" s="15" t="n">
        <v>43358.4714351852</v>
      </c>
    </row>
    <row r="1685" customFormat="false" ht="15" hidden="false" customHeight="false" outlineLevel="0" collapsed="false">
      <c r="F1685" s="6" t="s">
        <v>72</v>
      </c>
      <c r="G1685" s="0" t="n">
        <v>1</v>
      </c>
      <c r="H1685" s="0" t="s">
        <v>75</v>
      </c>
      <c r="I1685" s="15" t="n">
        <v>43358.4713657407</v>
      </c>
    </row>
    <row r="1686" customFormat="false" ht="15" hidden="false" customHeight="false" outlineLevel="0" collapsed="false">
      <c r="F1686" s="6" t="s">
        <v>37</v>
      </c>
      <c r="G1686" s="0" t="n">
        <v>2</v>
      </c>
      <c r="H1686" s="0" t="s">
        <v>75</v>
      </c>
      <c r="I1686" s="15" t="n">
        <v>43358.4712962963</v>
      </c>
    </row>
    <row r="1687" customFormat="false" ht="15" hidden="false" customHeight="false" outlineLevel="0" collapsed="false">
      <c r="F1687" s="6" t="s">
        <v>52</v>
      </c>
      <c r="G1687" s="0" t="n">
        <v>1</v>
      </c>
      <c r="H1687" s="0" t="s">
        <v>146</v>
      </c>
      <c r="I1687" s="15" t="n">
        <v>43358.4711805556</v>
      </c>
    </row>
    <row r="1688" customFormat="false" ht="15" hidden="false" customHeight="false" outlineLevel="0" collapsed="false">
      <c r="F1688" s="6" t="s">
        <v>34</v>
      </c>
      <c r="G1688" s="0" t="n">
        <v>9</v>
      </c>
      <c r="H1688" s="0" t="s">
        <v>75</v>
      </c>
      <c r="I1688" s="15" t="n">
        <v>43358.4711111111</v>
      </c>
    </row>
    <row r="1689" customFormat="false" ht="15" hidden="false" customHeight="false" outlineLevel="0" collapsed="false">
      <c r="F1689" s="6" t="s">
        <v>29</v>
      </c>
      <c r="G1689" s="0" t="n">
        <v>2</v>
      </c>
      <c r="H1689" s="0" t="s">
        <v>146</v>
      </c>
      <c r="I1689" s="15" t="n">
        <v>43358.4709953704</v>
      </c>
    </row>
    <row r="1690" customFormat="false" ht="15" hidden="false" customHeight="false" outlineLevel="0" collapsed="false">
      <c r="F1690" s="6" t="s">
        <v>71</v>
      </c>
      <c r="G1690" s="0" t="n">
        <v>1</v>
      </c>
      <c r="H1690" s="0" t="s">
        <v>146</v>
      </c>
      <c r="I1690" s="15" t="n">
        <v>43358.4709027778</v>
      </c>
    </row>
    <row r="1691" customFormat="false" ht="15" hidden="false" customHeight="false" outlineLevel="0" collapsed="false">
      <c r="F1691" s="6" t="s">
        <v>89</v>
      </c>
      <c r="G1691" s="0" t="n">
        <v>1</v>
      </c>
      <c r="H1691" s="0" t="s">
        <v>75</v>
      </c>
      <c r="I1691" s="15" t="n">
        <v>43358.470787037</v>
      </c>
    </row>
    <row r="1692" customFormat="false" ht="15" hidden="false" customHeight="false" outlineLevel="0" collapsed="false">
      <c r="F1692" s="6" t="s">
        <v>26</v>
      </c>
      <c r="G1692" s="0" t="n">
        <v>6</v>
      </c>
      <c r="H1692" s="0" t="s">
        <v>146</v>
      </c>
      <c r="I1692" s="15" t="n">
        <v>43358.4707638889</v>
      </c>
    </row>
    <row r="1693" customFormat="false" ht="15" hidden="false" customHeight="false" outlineLevel="0" collapsed="false">
      <c r="F1693" s="6" t="s">
        <v>37</v>
      </c>
      <c r="G1693" s="0" t="n">
        <v>5</v>
      </c>
      <c r="H1693" s="0" t="s">
        <v>146</v>
      </c>
      <c r="I1693" s="15" t="n">
        <v>43358.4706481482</v>
      </c>
    </row>
    <row r="1694" customFormat="false" ht="15" hidden="false" customHeight="false" outlineLevel="0" collapsed="false">
      <c r="F1694" s="6" t="s">
        <v>25</v>
      </c>
      <c r="G1694" s="0" t="n">
        <v>16</v>
      </c>
      <c r="H1694" s="0" t="s">
        <v>75</v>
      </c>
      <c r="I1694" s="15" t="n">
        <v>43358.4705902778</v>
      </c>
    </row>
    <row r="1695" customFormat="false" ht="15" hidden="false" customHeight="false" outlineLevel="0" collapsed="false">
      <c r="F1695" s="6" t="s">
        <v>62</v>
      </c>
      <c r="G1695" s="0" t="n">
        <v>6</v>
      </c>
      <c r="H1695" s="0" t="s">
        <v>146</v>
      </c>
      <c r="I1695" s="15" t="n">
        <v>43358.470462963</v>
      </c>
    </row>
    <row r="1696" customFormat="false" ht="15" hidden="false" customHeight="false" outlineLevel="0" collapsed="false">
      <c r="F1696" s="6" t="s">
        <v>21</v>
      </c>
      <c r="G1696" s="0" t="n">
        <v>13</v>
      </c>
      <c r="H1696" s="0" t="s">
        <v>75</v>
      </c>
      <c r="I1696" s="15" t="n">
        <v>43358.4703240741</v>
      </c>
    </row>
    <row r="1697" customFormat="false" ht="15" hidden="false" customHeight="false" outlineLevel="0" collapsed="false">
      <c r="F1697" s="6" t="s">
        <v>63</v>
      </c>
      <c r="G1697" s="0" t="n">
        <v>8</v>
      </c>
      <c r="H1697" s="0" t="s">
        <v>146</v>
      </c>
      <c r="I1697" s="15" t="n">
        <v>43358.4702199074</v>
      </c>
    </row>
    <row r="1698" customFormat="false" ht="15" hidden="false" customHeight="false" outlineLevel="0" collapsed="false">
      <c r="F1698" s="6" t="s">
        <v>107</v>
      </c>
      <c r="G1698" s="0" t="n">
        <v>8</v>
      </c>
      <c r="H1698" s="0" t="s">
        <v>75</v>
      </c>
      <c r="I1698" s="15" t="n">
        <v>43358.4701851852</v>
      </c>
    </row>
    <row r="1699" customFormat="false" ht="15" hidden="false" customHeight="false" outlineLevel="0" collapsed="false">
      <c r="F1699" s="6" t="s">
        <v>112</v>
      </c>
      <c r="G1699" s="0" t="n">
        <v>1</v>
      </c>
      <c r="H1699" s="0" t="s">
        <v>75</v>
      </c>
      <c r="I1699" s="15" t="n">
        <v>43358.4698611111</v>
      </c>
    </row>
    <row r="1700" customFormat="false" ht="15" hidden="false" customHeight="false" outlineLevel="0" collapsed="false">
      <c r="F1700" s="6" t="s">
        <v>25</v>
      </c>
      <c r="G1700" s="0" t="n">
        <v>7</v>
      </c>
      <c r="H1700" s="0" t="s">
        <v>146</v>
      </c>
      <c r="I1700" s="15" t="n">
        <v>43358.4697916667</v>
      </c>
    </row>
    <row r="1701" customFormat="false" ht="15" hidden="false" customHeight="false" outlineLevel="0" collapsed="false">
      <c r="F1701" s="6" t="s">
        <v>145</v>
      </c>
      <c r="G1701" s="0" t="n">
        <v>1</v>
      </c>
      <c r="H1701" s="0" t="s">
        <v>75</v>
      </c>
      <c r="I1701" s="15" t="n">
        <v>43358.4695486111</v>
      </c>
    </row>
    <row r="1702" customFormat="false" ht="15" hidden="false" customHeight="false" outlineLevel="0" collapsed="false">
      <c r="F1702" s="6" t="s">
        <v>25</v>
      </c>
      <c r="G1702" s="0" t="n">
        <v>7</v>
      </c>
      <c r="H1702" s="0" t="s">
        <v>146</v>
      </c>
      <c r="I1702" s="15" t="n">
        <v>43358.469537037</v>
      </c>
    </row>
    <row r="1703" customFormat="false" ht="15" hidden="false" customHeight="false" outlineLevel="0" collapsed="false">
      <c r="F1703" s="6" t="s">
        <v>15</v>
      </c>
      <c r="G1703" s="0" t="n">
        <v>10</v>
      </c>
      <c r="H1703" s="0" t="s">
        <v>146</v>
      </c>
      <c r="I1703" s="15" t="n">
        <v>43358.4693981481</v>
      </c>
    </row>
    <row r="1704" customFormat="false" ht="15" hidden="false" customHeight="false" outlineLevel="0" collapsed="false">
      <c r="F1704" s="6" t="s">
        <v>21</v>
      </c>
      <c r="G1704" s="0" t="n">
        <v>7</v>
      </c>
      <c r="H1704" s="0" t="s">
        <v>146</v>
      </c>
      <c r="I1704" s="15" t="n">
        <v>43358.4692708333</v>
      </c>
    </row>
    <row r="1705" customFormat="false" ht="15" hidden="false" customHeight="false" outlineLevel="0" collapsed="false">
      <c r="F1705" s="6" t="s">
        <v>23</v>
      </c>
      <c r="G1705" s="0" t="n">
        <v>1</v>
      </c>
      <c r="H1705" s="0" t="s">
        <v>146</v>
      </c>
      <c r="I1705" s="15" t="n">
        <v>43358.4690509259</v>
      </c>
    </row>
    <row r="1706" customFormat="false" ht="15" hidden="false" customHeight="false" outlineLevel="0" collapsed="false">
      <c r="F1706" s="6" t="s">
        <v>41</v>
      </c>
      <c r="G1706" s="0" t="n">
        <v>6</v>
      </c>
      <c r="H1706" s="0" t="s">
        <v>75</v>
      </c>
      <c r="I1706" s="15" t="n">
        <v>43358.4690509259</v>
      </c>
    </row>
    <row r="1707" customFormat="false" ht="15" hidden="false" customHeight="false" outlineLevel="0" collapsed="false">
      <c r="F1707" s="6" t="s">
        <v>93</v>
      </c>
      <c r="G1707" s="0" t="n">
        <v>1</v>
      </c>
      <c r="H1707" s="0" t="s">
        <v>146</v>
      </c>
      <c r="I1707" s="15" t="n">
        <v>43358.4689583333</v>
      </c>
    </row>
    <row r="1708" customFormat="false" ht="15" hidden="false" customHeight="false" outlineLevel="0" collapsed="false">
      <c r="F1708" s="6" t="s">
        <v>34</v>
      </c>
      <c r="G1708" s="0" t="n">
        <v>5</v>
      </c>
      <c r="H1708" s="0" t="s">
        <v>146</v>
      </c>
      <c r="I1708" s="15" t="n">
        <v>43358.4686111111</v>
      </c>
    </row>
    <row r="1709" customFormat="false" ht="15" hidden="false" customHeight="false" outlineLevel="0" collapsed="false">
      <c r="F1709" s="6" t="s">
        <v>34</v>
      </c>
      <c r="G1709" s="0" t="n">
        <v>7</v>
      </c>
      <c r="H1709" s="0" t="s">
        <v>146</v>
      </c>
      <c r="I1709" s="15" t="n">
        <v>43358.4684143519</v>
      </c>
    </row>
    <row r="1710" customFormat="false" ht="15" hidden="false" customHeight="false" outlineLevel="0" collapsed="false">
      <c r="F1710" s="6" t="s">
        <v>80</v>
      </c>
      <c r="G1710" s="0" t="n">
        <v>2</v>
      </c>
      <c r="H1710" s="0" t="s">
        <v>79</v>
      </c>
      <c r="I1710" s="15" t="n">
        <v>43358.447337963</v>
      </c>
    </row>
    <row r="1711" customFormat="false" ht="15" hidden="false" customHeight="false" outlineLevel="0" collapsed="false">
      <c r="F1711" s="6" t="s">
        <v>31</v>
      </c>
      <c r="G1711" s="0" t="n">
        <v>31</v>
      </c>
      <c r="H1711" s="0" t="s">
        <v>79</v>
      </c>
      <c r="I1711" s="15" t="n">
        <v>43358.4472453704</v>
      </c>
    </row>
    <row r="1712" customFormat="false" ht="15" hidden="false" customHeight="false" outlineLevel="0" collapsed="false">
      <c r="F1712" s="6" t="s">
        <v>107</v>
      </c>
      <c r="G1712" s="0" t="n">
        <v>6</v>
      </c>
      <c r="H1712" s="0" t="s">
        <v>79</v>
      </c>
      <c r="I1712" s="15" t="n">
        <v>43358.4471759259</v>
      </c>
    </row>
    <row r="1713" customFormat="false" ht="15" hidden="false" customHeight="false" outlineLevel="0" collapsed="false">
      <c r="F1713" s="6" t="s">
        <v>46</v>
      </c>
      <c r="G1713" s="0" t="n">
        <v>4</v>
      </c>
      <c r="H1713" s="0" t="s">
        <v>79</v>
      </c>
      <c r="I1713" s="15" t="n">
        <v>43358.447037037</v>
      </c>
    </row>
    <row r="1714" customFormat="false" ht="15" hidden="false" customHeight="false" outlineLevel="0" collapsed="false">
      <c r="F1714" s="6" t="s">
        <v>70</v>
      </c>
      <c r="G1714" s="0" t="n">
        <v>1</v>
      </c>
      <c r="H1714" s="0" t="s">
        <v>79</v>
      </c>
      <c r="I1714" s="15" t="n">
        <v>43358.4465509259</v>
      </c>
    </row>
    <row r="1715" customFormat="false" ht="15" hidden="false" customHeight="false" outlineLevel="0" collapsed="false">
      <c r="F1715" s="6" t="s">
        <v>104</v>
      </c>
      <c r="G1715" s="0" t="n">
        <v>1</v>
      </c>
      <c r="H1715" s="0" t="s">
        <v>79</v>
      </c>
      <c r="I1715" s="15" t="n">
        <v>43358.4463194445</v>
      </c>
    </row>
    <row r="1716" customFormat="false" ht="15" hidden="false" customHeight="false" outlineLevel="0" collapsed="false">
      <c r="F1716" s="6" t="s">
        <v>76</v>
      </c>
      <c r="G1716" s="0" t="n">
        <v>2</v>
      </c>
      <c r="H1716" s="0" t="s">
        <v>79</v>
      </c>
      <c r="I1716" s="15" t="n">
        <v>43358.4461574074</v>
      </c>
    </row>
    <row r="1717" customFormat="false" ht="15" hidden="false" customHeight="false" outlineLevel="0" collapsed="false">
      <c r="F1717" s="6" t="s">
        <v>76</v>
      </c>
      <c r="G1717" s="0" t="n">
        <v>2</v>
      </c>
      <c r="H1717" s="0" t="s">
        <v>79</v>
      </c>
      <c r="I1717" s="15" t="n">
        <v>43358.4460763889</v>
      </c>
    </row>
    <row r="1718" customFormat="false" ht="15" hidden="false" customHeight="false" outlineLevel="0" collapsed="false">
      <c r="F1718" s="6" t="s">
        <v>101</v>
      </c>
      <c r="G1718" s="0" t="n">
        <v>3</v>
      </c>
      <c r="H1718" s="0" t="s">
        <v>79</v>
      </c>
      <c r="I1718" s="15" t="n">
        <v>43358.4457060185</v>
      </c>
    </row>
    <row r="1719" customFormat="false" ht="15" hidden="false" customHeight="false" outlineLevel="0" collapsed="false">
      <c r="F1719" s="6" t="s">
        <v>59</v>
      </c>
      <c r="G1719" s="0" t="n">
        <v>1</v>
      </c>
      <c r="H1719" s="0" t="s">
        <v>79</v>
      </c>
      <c r="I1719" s="15" t="n">
        <v>43358.4455439815</v>
      </c>
    </row>
    <row r="1720" customFormat="false" ht="15" hidden="false" customHeight="false" outlineLevel="0" collapsed="false">
      <c r="F1720" s="6" t="s">
        <v>77</v>
      </c>
      <c r="G1720" s="0" t="n">
        <v>1</v>
      </c>
      <c r="H1720" s="0" t="s">
        <v>79</v>
      </c>
      <c r="I1720" s="15" t="n">
        <v>43358.4454861111</v>
      </c>
    </row>
    <row r="1721" customFormat="false" ht="15" hidden="false" customHeight="false" outlineLevel="0" collapsed="false">
      <c r="F1721" s="6" t="s">
        <v>41</v>
      </c>
      <c r="G1721" s="0" t="n">
        <v>3</v>
      </c>
      <c r="H1721" s="0" t="s">
        <v>79</v>
      </c>
      <c r="I1721" s="15" t="n">
        <v>43358.4453935185</v>
      </c>
    </row>
    <row r="1722" customFormat="false" ht="15" hidden="false" customHeight="false" outlineLevel="0" collapsed="false">
      <c r="F1722" s="6" t="s">
        <v>187</v>
      </c>
      <c r="G1722" s="0" t="n">
        <v>1</v>
      </c>
      <c r="H1722" s="0" t="s">
        <v>79</v>
      </c>
      <c r="I1722" s="15" t="n">
        <v>43358.4448958333</v>
      </c>
    </row>
    <row r="1723" customFormat="false" ht="15" hidden="false" customHeight="false" outlineLevel="0" collapsed="false">
      <c r="F1723" s="6" t="s">
        <v>12</v>
      </c>
      <c r="G1723" s="0" t="n">
        <v>1</v>
      </c>
      <c r="H1723" s="0" t="s">
        <v>79</v>
      </c>
      <c r="I1723" s="15" t="n">
        <v>43358.4446990741</v>
      </c>
    </row>
    <row r="1724" customFormat="false" ht="15" hidden="false" customHeight="false" outlineLevel="0" collapsed="false">
      <c r="F1724" s="6" t="s">
        <v>57</v>
      </c>
      <c r="G1724" s="0" t="n">
        <v>4</v>
      </c>
      <c r="H1724" s="0" t="s">
        <v>79</v>
      </c>
      <c r="I1724" s="15" t="n">
        <v>43358.4445949074</v>
      </c>
    </row>
    <row r="1725" customFormat="false" ht="15" hidden="false" customHeight="false" outlineLevel="0" collapsed="false">
      <c r="F1725" s="6" t="s">
        <v>57</v>
      </c>
      <c r="G1725" s="0" t="n">
        <v>1</v>
      </c>
      <c r="H1725" s="0" t="s">
        <v>79</v>
      </c>
      <c r="I1725" s="15" t="n">
        <v>43358.444224537</v>
      </c>
    </row>
    <row r="1726" customFormat="false" ht="15" hidden="false" customHeight="false" outlineLevel="0" collapsed="false">
      <c r="F1726" s="6" t="s">
        <v>170</v>
      </c>
      <c r="G1726" s="0" t="n">
        <v>1</v>
      </c>
      <c r="H1726" s="0" t="s">
        <v>79</v>
      </c>
      <c r="I1726" s="15" t="n">
        <v>43358.4438425926</v>
      </c>
    </row>
    <row r="1727" customFormat="false" ht="15" hidden="false" customHeight="false" outlineLevel="0" collapsed="false">
      <c r="F1727" s="6" t="s">
        <v>43</v>
      </c>
      <c r="G1727" s="0" t="n">
        <v>1</v>
      </c>
      <c r="H1727" s="0" t="s">
        <v>79</v>
      </c>
      <c r="I1727" s="15" t="n">
        <v>43358.4437847222</v>
      </c>
    </row>
    <row r="1728" customFormat="false" ht="15" hidden="false" customHeight="false" outlineLevel="0" collapsed="false">
      <c r="F1728" s="6" t="s">
        <v>27</v>
      </c>
      <c r="G1728" s="0" t="n">
        <v>2</v>
      </c>
      <c r="H1728" s="0" t="s">
        <v>79</v>
      </c>
      <c r="I1728" s="15" t="n">
        <v>43358.4435185185</v>
      </c>
    </row>
    <row r="1729" customFormat="false" ht="15" hidden="false" customHeight="false" outlineLevel="0" collapsed="false">
      <c r="F1729" s="6" t="s">
        <v>15</v>
      </c>
      <c r="G1729" s="0" t="n">
        <v>6</v>
      </c>
      <c r="H1729" s="0" t="s">
        <v>79</v>
      </c>
      <c r="I1729" s="15" t="n">
        <v>43358.4433449074</v>
      </c>
    </row>
    <row r="1730" customFormat="false" ht="15" hidden="false" customHeight="false" outlineLevel="0" collapsed="false">
      <c r="F1730" s="6" t="s">
        <v>21</v>
      </c>
      <c r="G1730" s="0" t="n">
        <v>7</v>
      </c>
      <c r="H1730" s="0" t="s">
        <v>79</v>
      </c>
      <c r="I1730" s="15" t="n">
        <v>43358.4430902778</v>
      </c>
    </row>
    <row r="1731" customFormat="false" ht="15" hidden="false" customHeight="false" outlineLevel="0" collapsed="false">
      <c r="F1731" s="6" t="s">
        <v>25</v>
      </c>
      <c r="G1731" s="0" t="n">
        <v>3</v>
      </c>
      <c r="H1731" s="0" t="s">
        <v>79</v>
      </c>
      <c r="I1731" s="15" t="n">
        <v>43358.4430324074</v>
      </c>
    </row>
    <row r="1732" customFormat="false" ht="15" hidden="false" customHeight="false" outlineLevel="0" collapsed="false">
      <c r="F1732" s="6" t="s">
        <v>25</v>
      </c>
      <c r="G1732" s="0" t="n">
        <v>5</v>
      </c>
      <c r="H1732" s="0" t="s">
        <v>79</v>
      </c>
      <c r="I1732" s="15" t="n">
        <v>43358.4429050926</v>
      </c>
    </row>
    <row r="1733" customFormat="false" ht="15" hidden="false" customHeight="false" outlineLevel="0" collapsed="false">
      <c r="F1733" s="6" t="s">
        <v>25</v>
      </c>
      <c r="G1733" s="0" t="n">
        <v>3</v>
      </c>
      <c r="H1733" s="0" t="s">
        <v>79</v>
      </c>
      <c r="I1733" s="15" t="n">
        <v>43358.4427893519</v>
      </c>
    </row>
    <row r="1734" customFormat="false" ht="15" hidden="false" customHeight="false" outlineLevel="0" collapsed="false">
      <c r="F1734" s="6" t="s">
        <v>34</v>
      </c>
      <c r="G1734" s="0" t="n">
        <v>4</v>
      </c>
      <c r="H1734" s="0" t="s">
        <v>79</v>
      </c>
      <c r="I1734" s="15" t="n">
        <v>43358.4426967593</v>
      </c>
    </row>
    <row r="1735" customFormat="false" ht="15" hidden="false" customHeight="false" outlineLevel="0" collapsed="false">
      <c r="F1735" s="6" t="s">
        <v>106</v>
      </c>
      <c r="G1735" s="0" t="n">
        <v>1</v>
      </c>
      <c r="H1735" s="0" t="s">
        <v>79</v>
      </c>
      <c r="I1735" s="15" t="n">
        <v>43358.4426388889</v>
      </c>
    </row>
    <row r="1736" customFormat="false" ht="15" hidden="false" customHeight="false" outlineLevel="0" collapsed="false">
      <c r="F1736" s="6" t="s">
        <v>121</v>
      </c>
      <c r="G1736" s="0" t="n">
        <v>1</v>
      </c>
      <c r="H1736" s="0" t="s">
        <v>79</v>
      </c>
      <c r="I1736" s="15" t="n">
        <v>43358.4425462963</v>
      </c>
    </row>
    <row r="1737" customFormat="false" ht="15" hidden="false" customHeight="false" outlineLevel="0" collapsed="false">
      <c r="F1737" s="6" t="s">
        <v>37</v>
      </c>
      <c r="G1737" s="0" t="n">
        <v>1</v>
      </c>
      <c r="H1737" s="0" t="s">
        <v>79</v>
      </c>
      <c r="I1737" s="15" t="n">
        <v>43358.4421643519</v>
      </c>
    </row>
    <row r="1738" customFormat="false" ht="15" hidden="false" customHeight="false" outlineLevel="0" collapsed="false">
      <c r="F1738" s="6" t="s">
        <v>36</v>
      </c>
      <c r="G1738" s="0" t="n">
        <v>1</v>
      </c>
      <c r="H1738" s="0" t="s">
        <v>79</v>
      </c>
      <c r="I1738" s="15" t="n">
        <v>43358.4420949074</v>
      </c>
    </row>
    <row r="1739" customFormat="false" ht="15" hidden="false" customHeight="false" outlineLevel="0" collapsed="false">
      <c r="F1739" s="6" t="s">
        <v>37</v>
      </c>
      <c r="G1739" s="0" t="n">
        <v>2</v>
      </c>
      <c r="H1739" s="0" t="s">
        <v>13</v>
      </c>
      <c r="I1739" s="15" t="n">
        <v>43358.439212963</v>
      </c>
    </row>
    <row r="1740" customFormat="false" ht="15" hidden="false" customHeight="false" outlineLevel="0" collapsed="false">
      <c r="F1740" s="6" t="s">
        <v>31</v>
      </c>
      <c r="G1740" s="0" t="n">
        <v>1</v>
      </c>
      <c r="H1740" s="0" t="s">
        <v>13</v>
      </c>
      <c r="I1740" s="15" t="n">
        <v>43358.439212963</v>
      </c>
    </row>
    <row r="1741" customFormat="false" ht="15" hidden="false" customHeight="false" outlineLevel="0" collapsed="false">
      <c r="F1741" s="6" t="s">
        <v>118</v>
      </c>
      <c r="G1741" s="0" t="n">
        <v>1</v>
      </c>
      <c r="H1741" s="0" t="s">
        <v>13</v>
      </c>
      <c r="I1741" s="15" t="n">
        <v>43358.438900463</v>
      </c>
    </row>
    <row r="1742" customFormat="false" ht="15" hidden="false" customHeight="false" outlineLevel="0" collapsed="false">
      <c r="F1742" s="6" t="s">
        <v>125</v>
      </c>
      <c r="G1742" s="0" t="n">
        <v>1</v>
      </c>
      <c r="H1742" s="0" t="s">
        <v>13</v>
      </c>
      <c r="I1742" s="15" t="n">
        <v>43358.4387037037</v>
      </c>
    </row>
    <row r="1743" customFormat="false" ht="15" hidden="false" customHeight="false" outlineLevel="0" collapsed="false">
      <c r="F1743" s="6" t="s">
        <v>171</v>
      </c>
      <c r="G1743" s="0" t="n">
        <v>1</v>
      </c>
      <c r="H1743" s="0" t="s">
        <v>13</v>
      </c>
      <c r="I1743" s="15" t="n">
        <v>43358.4386226852</v>
      </c>
    </row>
    <row r="1744" customFormat="false" ht="15" hidden="false" customHeight="false" outlineLevel="0" collapsed="false">
      <c r="F1744" s="6" t="s">
        <v>50</v>
      </c>
      <c r="G1744" s="0" t="n">
        <v>1</v>
      </c>
      <c r="H1744" s="0" t="s">
        <v>13</v>
      </c>
      <c r="I1744" s="15" t="n">
        <v>43358.4383564815</v>
      </c>
    </row>
    <row r="1745" customFormat="false" ht="15" hidden="false" customHeight="false" outlineLevel="0" collapsed="false">
      <c r="F1745" s="6" t="s">
        <v>83</v>
      </c>
      <c r="G1745" s="0" t="n">
        <v>1</v>
      </c>
      <c r="H1745" s="0" t="s">
        <v>13</v>
      </c>
      <c r="I1745" s="15" t="n">
        <v>43358.4382175926</v>
      </c>
    </row>
    <row r="1746" customFormat="false" ht="15" hidden="false" customHeight="false" outlineLevel="0" collapsed="false">
      <c r="F1746" s="6" t="s">
        <v>202</v>
      </c>
      <c r="G1746" s="0" t="n">
        <v>1</v>
      </c>
      <c r="H1746" s="0" t="s">
        <v>13</v>
      </c>
      <c r="I1746" s="15" t="n">
        <v>43358.4380671296</v>
      </c>
    </row>
    <row r="1747" customFormat="false" ht="15" hidden="false" customHeight="false" outlineLevel="0" collapsed="false">
      <c r="F1747" s="6" t="s">
        <v>214</v>
      </c>
      <c r="G1747" s="0" t="n">
        <v>1</v>
      </c>
      <c r="H1747" s="0" t="s">
        <v>13</v>
      </c>
      <c r="I1747" s="15" t="n">
        <v>43358.4377662037</v>
      </c>
    </row>
    <row r="1748" customFormat="false" ht="15" hidden="false" customHeight="false" outlineLevel="0" collapsed="false">
      <c r="F1748" s="6" t="s">
        <v>118</v>
      </c>
      <c r="G1748" s="0" t="n">
        <v>1</v>
      </c>
      <c r="H1748" s="0" t="s">
        <v>13</v>
      </c>
      <c r="I1748" s="15" t="n">
        <v>43358.4374189815</v>
      </c>
    </row>
    <row r="1749" customFormat="false" ht="15" hidden="false" customHeight="false" outlineLevel="0" collapsed="false">
      <c r="F1749" s="6" t="s">
        <v>77</v>
      </c>
      <c r="G1749" s="0" t="n">
        <v>1</v>
      </c>
      <c r="H1749" s="0" t="s">
        <v>13</v>
      </c>
      <c r="I1749" s="15" t="n">
        <v>43358.4373148148</v>
      </c>
    </row>
    <row r="1750" customFormat="false" ht="15" hidden="false" customHeight="false" outlineLevel="0" collapsed="false">
      <c r="F1750" s="6" t="s">
        <v>18</v>
      </c>
      <c r="G1750" s="0" t="n">
        <v>1</v>
      </c>
      <c r="H1750" s="0" t="s">
        <v>13</v>
      </c>
      <c r="I1750" s="15" t="n">
        <v>43358.437037037</v>
      </c>
    </row>
    <row r="1751" customFormat="false" ht="15" hidden="false" customHeight="false" outlineLevel="0" collapsed="false">
      <c r="F1751" s="6" t="s">
        <v>102</v>
      </c>
      <c r="G1751" s="0" t="n">
        <v>2</v>
      </c>
      <c r="H1751" s="0" t="s">
        <v>13</v>
      </c>
      <c r="I1751" s="15" t="n">
        <v>43358.4369097222</v>
      </c>
    </row>
    <row r="1752" customFormat="false" ht="15" hidden="false" customHeight="false" outlineLevel="0" collapsed="false">
      <c r="F1752" s="6" t="s">
        <v>86</v>
      </c>
      <c r="G1752" s="0" t="n">
        <v>1</v>
      </c>
      <c r="H1752" s="0" t="s">
        <v>13</v>
      </c>
      <c r="I1752" s="15" t="n">
        <v>43358.4364236111</v>
      </c>
    </row>
    <row r="1753" customFormat="false" ht="15" hidden="false" customHeight="false" outlineLevel="0" collapsed="false">
      <c r="F1753" s="6" t="s">
        <v>66</v>
      </c>
      <c r="G1753" s="0" t="n">
        <v>1</v>
      </c>
      <c r="H1753" s="0" t="s">
        <v>13</v>
      </c>
      <c r="I1753" s="15" t="n">
        <v>43358.4361574074</v>
      </c>
    </row>
    <row r="1754" customFormat="false" ht="15" hidden="false" customHeight="false" outlineLevel="0" collapsed="false">
      <c r="F1754" s="6" t="s">
        <v>23</v>
      </c>
      <c r="G1754" s="0" t="n">
        <v>4</v>
      </c>
      <c r="H1754" s="0" t="s">
        <v>13</v>
      </c>
      <c r="I1754" s="15" t="n">
        <v>43358.4360763889</v>
      </c>
    </row>
    <row r="1755" customFormat="false" ht="15" hidden="false" customHeight="false" outlineLevel="0" collapsed="false">
      <c r="F1755" s="6" t="s">
        <v>74</v>
      </c>
      <c r="G1755" s="0" t="n">
        <v>1</v>
      </c>
      <c r="H1755" s="0" t="s">
        <v>13</v>
      </c>
      <c r="I1755" s="15" t="n">
        <v>43358.4358333333</v>
      </c>
    </row>
    <row r="1756" customFormat="false" ht="15" hidden="false" customHeight="false" outlineLevel="0" collapsed="false">
      <c r="F1756" s="6" t="s">
        <v>56</v>
      </c>
      <c r="G1756" s="0" t="n">
        <v>4</v>
      </c>
      <c r="H1756" s="0" t="s">
        <v>13</v>
      </c>
      <c r="I1756" s="15" t="n">
        <v>43358.4357291667</v>
      </c>
    </row>
    <row r="1757" customFormat="false" ht="15" hidden="false" customHeight="false" outlineLevel="0" collapsed="false">
      <c r="F1757" s="6" t="s">
        <v>215</v>
      </c>
      <c r="G1757" s="0" t="n">
        <v>1</v>
      </c>
      <c r="H1757" s="0" t="s">
        <v>13</v>
      </c>
      <c r="I1757" s="15" t="n">
        <v>43358.4356481481</v>
      </c>
    </row>
    <row r="1758" customFormat="false" ht="15" hidden="false" customHeight="false" outlineLevel="0" collapsed="false">
      <c r="F1758" s="6" t="s">
        <v>164</v>
      </c>
      <c r="G1758" s="0" t="n">
        <v>1</v>
      </c>
      <c r="H1758" s="0" t="s">
        <v>13</v>
      </c>
      <c r="I1758" s="15" t="n">
        <v>43358.4354166667</v>
      </c>
    </row>
    <row r="1759" customFormat="false" ht="15" hidden="false" customHeight="false" outlineLevel="0" collapsed="false">
      <c r="F1759" s="6" t="s">
        <v>121</v>
      </c>
      <c r="G1759" s="0" t="n">
        <v>1</v>
      </c>
      <c r="H1759" s="0" t="s">
        <v>13</v>
      </c>
      <c r="I1759" s="15" t="n">
        <v>43358.4352199074</v>
      </c>
    </row>
    <row r="1760" customFormat="false" ht="15" hidden="false" customHeight="false" outlineLevel="0" collapsed="false">
      <c r="F1760" s="6" t="s">
        <v>30</v>
      </c>
      <c r="G1760" s="0" t="n">
        <v>2</v>
      </c>
      <c r="H1760" s="0" t="s">
        <v>13</v>
      </c>
      <c r="I1760" s="15" t="n">
        <v>43358.4351273148</v>
      </c>
    </row>
    <row r="1761" customFormat="false" ht="15" hidden="false" customHeight="false" outlineLevel="0" collapsed="false">
      <c r="F1761" s="6" t="s">
        <v>29</v>
      </c>
      <c r="G1761" s="0" t="n">
        <v>8</v>
      </c>
      <c r="H1761" s="0" t="s">
        <v>13</v>
      </c>
      <c r="I1761" s="15" t="n">
        <v>43358.4349074074</v>
      </c>
    </row>
    <row r="1762" customFormat="false" ht="15" hidden="false" customHeight="false" outlineLevel="0" collapsed="false">
      <c r="F1762" s="6" t="s">
        <v>21</v>
      </c>
      <c r="G1762" s="0" t="n">
        <v>2</v>
      </c>
      <c r="H1762" s="0" t="s">
        <v>13</v>
      </c>
      <c r="I1762" s="15" t="n">
        <v>43358.4347685185</v>
      </c>
    </row>
    <row r="1763" customFormat="false" ht="15" hidden="false" customHeight="false" outlineLevel="0" collapsed="false">
      <c r="F1763" s="6" t="s">
        <v>216</v>
      </c>
      <c r="G1763" s="0" t="n">
        <v>1</v>
      </c>
      <c r="H1763" s="0" t="s">
        <v>13</v>
      </c>
      <c r="I1763" s="15" t="n">
        <v>43358.4346990741</v>
      </c>
    </row>
    <row r="1764" customFormat="false" ht="15" hidden="false" customHeight="false" outlineLevel="0" collapsed="false">
      <c r="F1764" s="6" t="s">
        <v>72</v>
      </c>
      <c r="G1764" s="0" t="n">
        <v>1</v>
      </c>
      <c r="H1764" s="0" t="s">
        <v>13</v>
      </c>
      <c r="I1764" s="15" t="n">
        <v>43358.4340856482</v>
      </c>
    </row>
    <row r="1765" customFormat="false" ht="15" hidden="false" customHeight="false" outlineLevel="0" collapsed="false">
      <c r="F1765" s="6" t="s">
        <v>41</v>
      </c>
      <c r="G1765" s="0" t="n">
        <v>1</v>
      </c>
      <c r="H1765" s="0" t="s">
        <v>13</v>
      </c>
      <c r="I1765" s="15" t="n">
        <v>43358.4340393519</v>
      </c>
    </row>
    <row r="1766" customFormat="false" ht="15" hidden="false" customHeight="false" outlineLevel="0" collapsed="false">
      <c r="F1766" s="6" t="s">
        <v>173</v>
      </c>
      <c r="G1766" s="0" t="n">
        <v>2</v>
      </c>
      <c r="H1766" s="0" t="s">
        <v>13</v>
      </c>
      <c r="I1766" s="15" t="n">
        <v>43358.4337615741</v>
      </c>
    </row>
    <row r="1767" customFormat="false" ht="15" hidden="false" customHeight="false" outlineLevel="0" collapsed="false">
      <c r="F1767" s="6" t="s">
        <v>26</v>
      </c>
      <c r="G1767" s="0" t="n">
        <v>1</v>
      </c>
      <c r="H1767" s="0" t="s">
        <v>13</v>
      </c>
      <c r="I1767" s="15" t="n">
        <v>43358.4336574074</v>
      </c>
    </row>
    <row r="1768" customFormat="false" ht="15" hidden="false" customHeight="false" outlineLevel="0" collapsed="false">
      <c r="F1768" s="6" t="s">
        <v>59</v>
      </c>
      <c r="G1768" s="0" t="n">
        <v>6</v>
      </c>
      <c r="H1768" s="0" t="s">
        <v>13</v>
      </c>
      <c r="I1768" s="15" t="n">
        <v>43358.4333912037</v>
      </c>
    </row>
    <row r="1769" customFormat="false" ht="15" hidden="false" customHeight="false" outlineLevel="0" collapsed="false">
      <c r="F1769" s="6" t="s">
        <v>25</v>
      </c>
      <c r="G1769" s="0" t="n">
        <v>3</v>
      </c>
      <c r="H1769" s="0" t="s">
        <v>13</v>
      </c>
      <c r="I1769" s="15" t="n">
        <v>43358.433275463</v>
      </c>
    </row>
    <row r="1770" customFormat="false" ht="15" hidden="false" customHeight="false" outlineLevel="0" collapsed="false">
      <c r="F1770" s="6" t="s">
        <v>181</v>
      </c>
      <c r="G1770" s="0" t="n">
        <v>1</v>
      </c>
      <c r="H1770" s="0" t="s">
        <v>13</v>
      </c>
      <c r="I1770" s="15" t="n">
        <v>43358.4331365741</v>
      </c>
    </row>
    <row r="1771" customFormat="false" ht="15" hidden="false" customHeight="false" outlineLevel="0" collapsed="false">
      <c r="F1771" s="6" t="s">
        <v>209</v>
      </c>
      <c r="G1771" s="0" t="n">
        <v>3</v>
      </c>
      <c r="H1771" s="0" t="s">
        <v>13</v>
      </c>
      <c r="I1771" s="15" t="n">
        <v>43358.4329976852</v>
      </c>
    </row>
    <row r="1772" customFormat="false" ht="15" hidden="false" customHeight="false" outlineLevel="0" collapsed="false">
      <c r="F1772" s="6" t="s">
        <v>47</v>
      </c>
      <c r="G1772" s="0" t="n">
        <v>4</v>
      </c>
      <c r="H1772" s="0" t="s">
        <v>13</v>
      </c>
      <c r="I1772" s="15" t="n">
        <v>43358.4326273148</v>
      </c>
    </row>
    <row r="1773" customFormat="false" ht="15" hidden="false" customHeight="false" outlineLevel="0" collapsed="false">
      <c r="F1773" s="6" t="s">
        <v>26</v>
      </c>
      <c r="G1773" s="0" t="n">
        <v>38</v>
      </c>
      <c r="H1773" s="0" t="s">
        <v>13</v>
      </c>
      <c r="I1773" s="15" t="n">
        <v>43358.4322337963</v>
      </c>
    </row>
    <row r="1774" customFormat="false" ht="15" hidden="false" customHeight="false" outlineLevel="0" collapsed="false">
      <c r="F1774" s="6" t="s">
        <v>104</v>
      </c>
      <c r="G1774" s="0" t="n">
        <v>1</v>
      </c>
      <c r="H1774" s="0" t="s">
        <v>13</v>
      </c>
      <c r="I1774" s="15" t="n">
        <v>43358.4321412037</v>
      </c>
    </row>
    <row r="1775" customFormat="false" ht="15" hidden="false" customHeight="false" outlineLevel="0" collapsed="false">
      <c r="F1775" s="6" t="s">
        <v>61</v>
      </c>
      <c r="G1775" s="0" t="n">
        <v>3</v>
      </c>
      <c r="H1775" s="0" t="s">
        <v>13</v>
      </c>
      <c r="I1775" s="15" t="n">
        <v>43358.4320601852</v>
      </c>
    </row>
    <row r="1776" customFormat="false" ht="15" hidden="false" customHeight="false" outlineLevel="0" collapsed="false">
      <c r="F1776" s="6" t="s">
        <v>68</v>
      </c>
      <c r="G1776" s="0" t="n">
        <v>1</v>
      </c>
      <c r="H1776" s="0" t="s">
        <v>13</v>
      </c>
      <c r="I1776" s="15" t="n">
        <v>43358.4319907407</v>
      </c>
    </row>
    <row r="1777" customFormat="false" ht="15" hidden="false" customHeight="false" outlineLevel="0" collapsed="false">
      <c r="F1777" s="6" t="s">
        <v>88</v>
      </c>
      <c r="G1777" s="0" t="n">
        <v>1</v>
      </c>
      <c r="H1777" s="0" t="s">
        <v>13</v>
      </c>
      <c r="I1777" s="15" t="n">
        <v>43358.4315740741</v>
      </c>
    </row>
    <row r="1778" customFormat="false" ht="15" hidden="false" customHeight="false" outlineLevel="0" collapsed="false">
      <c r="F1778" s="6" t="s">
        <v>28</v>
      </c>
      <c r="G1778" s="0" t="n">
        <v>3</v>
      </c>
      <c r="H1778" s="0" t="s">
        <v>13</v>
      </c>
      <c r="I1778" s="15" t="n">
        <v>43358.4311921296</v>
      </c>
    </row>
    <row r="1779" customFormat="false" ht="15" hidden="false" customHeight="false" outlineLevel="0" collapsed="false">
      <c r="F1779" s="6" t="s">
        <v>73</v>
      </c>
      <c r="G1779" s="0" t="n">
        <v>1</v>
      </c>
      <c r="H1779" s="0" t="s">
        <v>13</v>
      </c>
      <c r="I1779" s="15" t="n">
        <v>43358.4308217593</v>
      </c>
    </row>
    <row r="1780" customFormat="false" ht="15" hidden="false" customHeight="false" outlineLevel="0" collapsed="false">
      <c r="F1780" s="6" t="s">
        <v>71</v>
      </c>
      <c r="G1780" s="0" t="n">
        <v>2</v>
      </c>
      <c r="H1780" s="0" t="s">
        <v>13</v>
      </c>
      <c r="I1780" s="15" t="n">
        <v>43358.4306597222</v>
      </c>
    </row>
    <row r="1781" customFormat="false" ht="15" hidden="false" customHeight="false" outlineLevel="0" collapsed="false">
      <c r="F1781" s="6" t="s">
        <v>217</v>
      </c>
      <c r="G1781" s="0" t="n">
        <v>1</v>
      </c>
      <c r="H1781" s="0" t="s">
        <v>13</v>
      </c>
      <c r="I1781" s="15" t="n">
        <v>43358.430462963</v>
      </c>
    </row>
    <row r="1782" customFormat="false" ht="15" hidden="false" customHeight="false" outlineLevel="0" collapsed="false">
      <c r="F1782" s="6" t="s">
        <v>211</v>
      </c>
      <c r="G1782" s="0" t="n">
        <v>1</v>
      </c>
      <c r="H1782" s="0" t="s">
        <v>13</v>
      </c>
      <c r="I1782" s="15" t="n">
        <v>43358.4303472222</v>
      </c>
    </row>
    <row r="1783" customFormat="false" ht="15" hidden="false" customHeight="false" outlineLevel="0" collapsed="false">
      <c r="F1783" s="6" t="s">
        <v>218</v>
      </c>
      <c r="G1783" s="0" t="n">
        <v>1</v>
      </c>
      <c r="H1783" s="0" t="s">
        <v>13</v>
      </c>
      <c r="I1783" s="15" t="n">
        <v>43358.4299768519</v>
      </c>
    </row>
    <row r="1784" customFormat="false" ht="15" hidden="false" customHeight="false" outlineLevel="0" collapsed="false">
      <c r="F1784" s="6" t="s">
        <v>35</v>
      </c>
      <c r="G1784" s="0" t="n">
        <v>1</v>
      </c>
      <c r="H1784" s="0" t="s">
        <v>13</v>
      </c>
      <c r="I1784" s="15" t="n">
        <v>43358.4296412037</v>
      </c>
    </row>
    <row r="1785" customFormat="false" ht="15" hidden="false" customHeight="false" outlineLevel="0" collapsed="false">
      <c r="F1785" s="6" t="s">
        <v>35</v>
      </c>
      <c r="G1785" s="0" t="n">
        <v>5</v>
      </c>
      <c r="H1785" s="0" t="s">
        <v>13</v>
      </c>
      <c r="I1785" s="15" t="n">
        <v>43358.4292708333</v>
      </c>
    </row>
    <row r="1786" customFormat="false" ht="15" hidden="false" customHeight="false" outlineLevel="0" collapsed="false">
      <c r="F1786" s="6" t="s">
        <v>27</v>
      </c>
      <c r="G1786" s="0" t="n">
        <v>14</v>
      </c>
      <c r="H1786" s="0" t="s">
        <v>13</v>
      </c>
      <c r="I1786" s="15" t="n">
        <v>43358.4291203704</v>
      </c>
    </row>
    <row r="1787" customFormat="false" ht="15" hidden="false" customHeight="false" outlineLevel="0" collapsed="false">
      <c r="F1787" s="6" t="s">
        <v>185</v>
      </c>
      <c r="G1787" s="0" t="n">
        <v>1</v>
      </c>
      <c r="H1787" s="0" t="s">
        <v>13</v>
      </c>
      <c r="I1787" s="15" t="n">
        <v>43358.4287847222</v>
      </c>
    </row>
    <row r="1788" customFormat="false" ht="15" hidden="false" customHeight="false" outlineLevel="0" collapsed="false">
      <c r="F1788" s="6" t="s">
        <v>77</v>
      </c>
      <c r="G1788" s="0" t="n">
        <v>3</v>
      </c>
      <c r="H1788" s="0" t="s">
        <v>13</v>
      </c>
      <c r="I1788" s="15" t="n">
        <v>43358.4285763889</v>
      </c>
    </row>
    <row r="1789" customFormat="false" ht="15" hidden="false" customHeight="false" outlineLevel="0" collapsed="false">
      <c r="F1789" s="6" t="s">
        <v>15</v>
      </c>
      <c r="G1789" s="0" t="n">
        <v>28</v>
      </c>
      <c r="H1789" s="0" t="s">
        <v>13</v>
      </c>
      <c r="I1789" s="15" t="n">
        <v>43358.4285069444</v>
      </c>
    </row>
    <row r="1790" customFormat="false" ht="15" hidden="false" customHeight="false" outlineLevel="0" collapsed="false">
      <c r="F1790" s="6" t="s">
        <v>25</v>
      </c>
      <c r="G1790" s="0" t="n">
        <v>35</v>
      </c>
      <c r="H1790" s="0" t="s">
        <v>13</v>
      </c>
      <c r="I1790" s="15" t="n">
        <v>43358.4284490741</v>
      </c>
    </row>
    <row r="1791" customFormat="false" ht="15" hidden="false" customHeight="false" outlineLevel="0" collapsed="false">
      <c r="F1791" s="6" t="s">
        <v>129</v>
      </c>
      <c r="G1791" s="0" t="n">
        <v>1</v>
      </c>
      <c r="H1791" s="0" t="s">
        <v>13</v>
      </c>
      <c r="I1791" s="15" t="n">
        <v>43358.4281597222</v>
      </c>
    </row>
    <row r="1792" customFormat="false" ht="15" hidden="false" customHeight="false" outlineLevel="0" collapsed="false">
      <c r="F1792" s="6" t="s">
        <v>32</v>
      </c>
      <c r="G1792" s="0" t="n">
        <v>24</v>
      </c>
      <c r="H1792" s="0" t="s">
        <v>13</v>
      </c>
      <c r="I1792" s="15" t="n">
        <v>43358.4280902778</v>
      </c>
    </row>
    <row r="1793" customFormat="false" ht="15" hidden="false" customHeight="false" outlineLevel="0" collapsed="false">
      <c r="F1793" s="6" t="s">
        <v>57</v>
      </c>
      <c r="G1793" s="0" t="n">
        <v>20</v>
      </c>
      <c r="H1793" s="0" t="s">
        <v>13</v>
      </c>
      <c r="I1793" s="15" t="n">
        <v>43358.4279861111</v>
      </c>
    </row>
    <row r="1794" customFormat="false" ht="15" hidden="false" customHeight="false" outlineLevel="0" collapsed="false">
      <c r="F1794" s="6" t="s">
        <v>26</v>
      </c>
      <c r="G1794" s="0" t="n">
        <v>7</v>
      </c>
      <c r="H1794" s="0" t="s">
        <v>13</v>
      </c>
      <c r="I1794" s="15" t="n">
        <v>43358.4278819444</v>
      </c>
    </row>
    <row r="1795" customFormat="false" ht="15" hidden="false" customHeight="false" outlineLevel="0" collapsed="false">
      <c r="F1795" s="6" t="s">
        <v>219</v>
      </c>
      <c r="G1795" s="0" t="n">
        <v>1</v>
      </c>
      <c r="H1795" s="0" t="s">
        <v>13</v>
      </c>
      <c r="I1795" s="15" t="n">
        <v>43358.4278009259</v>
      </c>
    </row>
    <row r="1796" customFormat="false" ht="15" hidden="false" customHeight="false" outlineLevel="0" collapsed="false">
      <c r="F1796" s="6" t="s">
        <v>12</v>
      </c>
      <c r="G1796" s="0" t="n">
        <v>4</v>
      </c>
      <c r="H1796" s="0" t="s">
        <v>13</v>
      </c>
      <c r="I1796" s="15" t="n">
        <v>43358.4273032407</v>
      </c>
    </row>
    <row r="1797" customFormat="false" ht="15" hidden="false" customHeight="false" outlineLevel="0" collapsed="false">
      <c r="F1797" s="6" t="s">
        <v>31</v>
      </c>
      <c r="G1797" s="0" t="n">
        <v>7</v>
      </c>
      <c r="H1797" s="0" t="s">
        <v>13</v>
      </c>
      <c r="I1797" s="15" t="n">
        <v>43358.4270601852</v>
      </c>
    </row>
    <row r="1798" customFormat="false" ht="15" hidden="false" customHeight="false" outlineLevel="0" collapsed="false">
      <c r="F1798" s="6" t="s">
        <v>220</v>
      </c>
      <c r="G1798" s="0" t="n">
        <v>1</v>
      </c>
      <c r="H1798" s="0" t="s">
        <v>13</v>
      </c>
      <c r="I1798" s="15" t="n">
        <v>43358.4267939815</v>
      </c>
    </row>
    <row r="1799" customFormat="false" ht="15" hidden="false" customHeight="false" outlineLevel="0" collapsed="false">
      <c r="F1799" s="6" t="s">
        <v>25</v>
      </c>
      <c r="G1799" s="0" t="n">
        <v>14</v>
      </c>
      <c r="H1799" s="0" t="s">
        <v>13</v>
      </c>
      <c r="I1799" s="15" t="n">
        <v>43358.4262962963</v>
      </c>
    </row>
    <row r="1800" customFormat="false" ht="15" hidden="false" customHeight="false" outlineLevel="0" collapsed="false">
      <c r="F1800" s="6" t="s">
        <v>21</v>
      </c>
      <c r="G1800" s="0" t="n">
        <v>1</v>
      </c>
      <c r="H1800" s="0" t="s">
        <v>13</v>
      </c>
      <c r="I1800" s="15" t="n">
        <v>43358.4260648148</v>
      </c>
    </row>
    <row r="1801" customFormat="false" ht="15" hidden="false" customHeight="false" outlineLevel="0" collapsed="false">
      <c r="F1801" s="6" t="s">
        <v>76</v>
      </c>
      <c r="G1801" s="0" t="n">
        <v>2</v>
      </c>
      <c r="H1801" s="0" t="s">
        <v>13</v>
      </c>
      <c r="I1801" s="15" t="n">
        <v>43358.4259722222</v>
      </c>
    </row>
    <row r="1802" customFormat="false" ht="15" hidden="false" customHeight="false" outlineLevel="0" collapsed="false">
      <c r="F1802" s="6" t="s">
        <v>64</v>
      </c>
      <c r="G1802" s="0" t="n">
        <v>1</v>
      </c>
      <c r="H1802" s="0" t="s">
        <v>13</v>
      </c>
      <c r="I1802" s="15" t="n">
        <v>43358.4259027778</v>
      </c>
    </row>
    <row r="1803" customFormat="false" ht="15" hidden="false" customHeight="false" outlineLevel="0" collapsed="false">
      <c r="F1803" s="6" t="s">
        <v>70</v>
      </c>
      <c r="G1803" s="0" t="n">
        <v>1</v>
      </c>
      <c r="H1803" s="0" t="s">
        <v>13</v>
      </c>
      <c r="I1803" s="15" t="n">
        <v>43358.4256134259</v>
      </c>
    </row>
    <row r="1804" customFormat="false" ht="15" hidden="false" customHeight="false" outlineLevel="0" collapsed="false">
      <c r="F1804" s="6" t="s">
        <v>104</v>
      </c>
      <c r="G1804" s="0" t="n">
        <v>4</v>
      </c>
      <c r="H1804" s="0" t="s">
        <v>13</v>
      </c>
      <c r="I1804" s="15" t="n">
        <v>43358.4251041667</v>
      </c>
    </row>
    <row r="1805" customFormat="false" ht="15" hidden="false" customHeight="false" outlineLevel="0" collapsed="false">
      <c r="F1805" s="6" t="s">
        <v>18</v>
      </c>
      <c r="G1805" s="0" t="n">
        <v>4</v>
      </c>
      <c r="H1805" s="0" t="s">
        <v>13</v>
      </c>
      <c r="I1805" s="15" t="n">
        <v>43358.4249537037</v>
      </c>
    </row>
    <row r="1806" customFormat="false" ht="15" hidden="false" customHeight="false" outlineLevel="0" collapsed="false">
      <c r="F1806" s="6" t="s">
        <v>15</v>
      </c>
      <c r="G1806" s="0" t="n">
        <v>6</v>
      </c>
      <c r="H1806" s="0" t="s">
        <v>13</v>
      </c>
      <c r="I1806" s="15" t="n">
        <v>43358.4248842593</v>
      </c>
    </row>
    <row r="1807" customFormat="false" ht="15" hidden="false" customHeight="false" outlineLevel="0" collapsed="false">
      <c r="F1807" s="6" t="s">
        <v>25</v>
      </c>
      <c r="G1807" s="0" t="n">
        <v>30</v>
      </c>
      <c r="H1807" s="0" t="s">
        <v>13</v>
      </c>
      <c r="I1807" s="15" t="n">
        <v>43358.4248148148</v>
      </c>
    </row>
    <row r="1808" customFormat="false" ht="15" hidden="false" customHeight="false" outlineLevel="0" collapsed="false">
      <c r="F1808" s="6" t="s">
        <v>80</v>
      </c>
      <c r="G1808" s="0" t="n">
        <v>5</v>
      </c>
      <c r="H1808" s="0" t="s">
        <v>13</v>
      </c>
      <c r="I1808" s="15" t="n">
        <v>43358.4245833333</v>
      </c>
    </row>
    <row r="1809" customFormat="false" ht="15" hidden="false" customHeight="false" outlineLevel="0" collapsed="false">
      <c r="F1809" s="6" t="s">
        <v>36</v>
      </c>
      <c r="G1809" s="0" t="n">
        <v>7</v>
      </c>
      <c r="H1809" s="0" t="s">
        <v>13</v>
      </c>
      <c r="I1809" s="15" t="n">
        <v>43358.4242824074</v>
      </c>
    </row>
    <row r="1810" customFormat="false" ht="15" hidden="false" customHeight="false" outlineLevel="0" collapsed="false">
      <c r="F1810" s="6" t="s">
        <v>25</v>
      </c>
      <c r="G1810" s="0" t="n">
        <v>20</v>
      </c>
      <c r="H1810" s="0" t="s">
        <v>13</v>
      </c>
      <c r="I1810" s="15" t="n">
        <v>43358.4241319444</v>
      </c>
    </row>
    <row r="1811" customFormat="false" ht="15" hidden="false" customHeight="false" outlineLevel="0" collapsed="false">
      <c r="F1811" s="6" t="s">
        <v>31</v>
      </c>
      <c r="G1811" s="0" t="n">
        <v>47</v>
      </c>
      <c r="H1811" s="0" t="s">
        <v>13</v>
      </c>
      <c r="I1811" s="15" t="n">
        <v>43358.4238425926</v>
      </c>
    </row>
    <row r="1812" customFormat="false" ht="15" hidden="false" customHeight="false" outlineLevel="0" collapsed="false">
      <c r="F1812" s="6" t="s">
        <v>34</v>
      </c>
      <c r="G1812" s="0" t="n">
        <v>7</v>
      </c>
      <c r="H1812" s="0" t="s">
        <v>13</v>
      </c>
      <c r="I1812" s="15" t="n">
        <v>43358.4236805556</v>
      </c>
    </row>
    <row r="1813" customFormat="false" ht="15" hidden="false" customHeight="false" outlineLevel="0" collapsed="false">
      <c r="F1813" s="6" t="s">
        <v>31</v>
      </c>
      <c r="G1813" s="0" t="n">
        <v>80</v>
      </c>
      <c r="H1813" s="0" t="s">
        <v>13</v>
      </c>
      <c r="I1813" s="15" t="n">
        <v>43358.4235185185</v>
      </c>
    </row>
    <row r="1814" customFormat="false" ht="15" hidden="false" customHeight="false" outlineLevel="0" collapsed="false">
      <c r="F1814" s="6" t="s">
        <v>34</v>
      </c>
      <c r="G1814" s="0" t="n">
        <v>6</v>
      </c>
      <c r="H1814" s="0" t="s">
        <v>13</v>
      </c>
      <c r="I1814" s="15" t="n">
        <v>43358.4233796296</v>
      </c>
    </row>
    <row r="1815" customFormat="false" ht="15" hidden="false" customHeight="false" outlineLevel="0" collapsed="false">
      <c r="F1815" s="6" t="s">
        <v>74</v>
      </c>
      <c r="G1815" s="0" t="n">
        <v>3</v>
      </c>
      <c r="H1815" s="0" t="s">
        <v>13</v>
      </c>
      <c r="I1815" s="15" t="n">
        <v>43358.423287037</v>
      </c>
    </row>
    <row r="1816" customFormat="false" ht="15" hidden="false" customHeight="false" outlineLevel="0" collapsed="false">
      <c r="F1816" s="6" t="s">
        <v>36</v>
      </c>
      <c r="G1816" s="0" t="n">
        <v>6</v>
      </c>
      <c r="H1816" s="0" t="s">
        <v>13</v>
      </c>
      <c r="I1816" s="15" t="n">
        <v>43358.4232291667</v>
      </c>
    </row>
    <row r="1817" customFormat="false" ht="15" hidden="false" customHeight="false" outlineLevel="0" collapsed="false">
      <c r="F1817" s="6" t="s">
        <v>72</v>
      </c>
      <c r="G1817" s="0" t="n">
        <v>6</v>
      </c>
      <c r="H1817" s="0" t="s">
        <v>13</v>
      </c>
      <c r="I1817" s="15" t="n">
        <v>43358.4230324074</v>
      </c>
    </row>
    <row r="1818" customFormat="false" ht="15" hidden="false" customHeight="false" outlineLevel="0" collapsed="false">
      <c r="F1818" s="6" t="s">
        <v>25</v>
      </c>
      <c r="G1818" s="0" t="n">
        <v>7</v>
      </c>
      <c r="H1818" s="0" t="s">
        <v>13</v>
      </c>
      <c r="I1818" s="15" t="n">
        <v>43358.4228009259</v>
      </c>
    </row>
    <row r="1819" customFormat="false" ht="15" hidden="false" customHeight="false" outlineLevel="0" collapsed="false">
      <c r="F1819" s="6" t="s">
        <v>34</v>
      </c>
      <c r="G1819" s="0" t="n">
        <v>17</v>
      </c>
      <c r="H1819" s="0" t="s">
        <v>13</v>
      </c>
      <c r="I1819" s="15" t="n">
        <v>43358.4227546296</v>
      </c>
    </row>
    <row r="1820" customFormat="false" ht="15" hidden="false" customHeight="false" outlineLevel="0" collapsed="false">
      <c r="F1820" s="6" t="s">
        <v>34</v>
      </c>
      <c r="G1820" s="0" t="n">
        <v>6</v>
      </c>
      <c r="H1820" s="0" t="s">
        <v>13</v>
      </c>
      <c r="I1820" s="15" t="n">
        <v>43358.4224074074</v>
      </c>
    </row>
    <row r="1821" customFormat="false" ht="15" hidden="false" customHeight="false" outlineLevel="0" collapsed="false">
      <c r="F1821" s="6" t="s">
        <v>37</v>
      </c>
      <c r="G1821" s="0" t="n">
        <v>2</v>
      </c>
      <c r="H1821" s="0" t="s">
        <v>13</v>
      </c>
      <c r="I1821" s="15" t="n">
        <v>43358.422337963</v>
      </c>
    </row>
    <row r="1822" customFormat="false" ht="15" hidden="false" customHeight="false" outlineLevel="0" collapsed="false">
      <c r="F1822" s="6" t="s">
        <v>21</v>
      </c>
      <c r="G1822" s="0" t="n">
        <v>12</v>
      </c>
      <c r="H1822" s="0" t="s">
        <v>13</v>
      </c>
      <c r="I1822" s="15" t="n">
        <v>43358.4220023148</v>
      </c>
    </row>
    <row r="1823" customFormat="false" ht="15" hidden="false" customHeight="false" outlineLevel="0" collapsed="false">
      <c r="F1823" s="6" t="s">
        <v>34</v>
      </c>
      <c r="G1823" s="0" t="n">
        <v>9</v>
      </c>
      <c r="H1823" s="0" t="s">
        <v>13</v>
      </c>
      <c r="I1823" s="15" t="n">
        <v>43358.4218634259</v>
      </c>
    </row>
    <row r="1824" customFormat="false" ht="15" hidden="false" customHeight="false" outlineLevel="0" collapsed="false">
      <c r="F1824" s="6" t="s">
        <v>36</v>
      </c>
      <c r="G1824" s="0" t="n">
        <v>8</v>
      </c>
      <c r="H1824" s="0" t="s">
        <v>13</v>
      </c>
      <c r="I1824" s="15" t="n">
        <v>43358.4217476852</v>
      </c>
    </row>
    <row r="1825" customFormat="false" ht="15" hidden="false" customHeight="false" outlineLevel="0" collapsed="false">
      <c r="F1825" s="6" t="s">
        <v>37</v>
      </c>
      <c r="G1825" s="0" t="n">
        <v>3</v>
      </c>
      <c r="H1825" s="0" t="s">
        <v>13</v>
      </c>
      <c r="I1825" s="15" t="n">
        <v>43358.4212731481</v>
      </c>
    </row>
    <row r="1826" customFormat="false" ht="15" hidden="false" customHeight="false" outlineLevel="0" collapsed="false">
      <c r="F1826" s="6" t="s">
        <v>34</v>
      </c>
      <c r="G1826" s="0" t="n">
        <v>14</v>
      </c>
      <c r="H1826" s="0" t="s">
        <v>13</v>
      </c>
      <c r="I1826" s="15" t="n">
        <v>43358.4211921296</v>
      </c>
    </row>
    <row r="1827" customFormat="false" ht="15" hidden="false" customHeight="false" outlineLevel="0" collapsed="false">
      <c r="F1827" s="6" t="s">
        <v>37</v>
      </c>
      <c r="G1827" s="0" t="n">
        <v>4</v>
      </c>
      <c r="H1827" s="0" t="s">
        <v>13</v>
      </c>
      <c r="I1827" s="15" t="n">
        <v>43358.420775463</v>
      </c>
    </row>
    <row r="1828" customFormat="false" ht="15" hidden="false" customHeight="false" outlineLevel="0" collapsed="false">
      <c r="F1828" s="6" t="s">
        <v>37</v>
      </c>
      <c r="G1828" s="0" t="n">
        <v>3</v>
      </c>
      <c r="H1828" s="0" t="s">
        <v>13</v>
      </c>
      <c r="I1828" s="15" t="n">
        <v>43358.4204398148</v>
      </c>
    </row>
    <row r="1829" customFormat="false" ht="15" hidden="false" customHeight="false" outlineLevel="0" collapsed="false">
      <c r="F1829" s="6" t="s">
        <v>37</v>
      </c>
      <c r="G1829" s="0" t="n">
        <v>3</v>
      </c>
      <c r="H1829" s="0" t="s">
        <v>13</v>
      </c>
      <c r="I1829" s="15" t="n">
        <v>43358.4203472222</v>
      </c>
    </row>
    <row r="1830" customFormat="false" ht="15" hidden="false" customHeight="false" outlineLevel="0" collapsed="false">
      <c r="F1830" s="6" t="s">
        <v>37</v>
      </c>
      <c r="G1830" s="0" t="n">
        <v>3</v>
      </c>
      <c r="H1830" s="0" t="s">
        <v>13</v>
      </c>
      <c r="I1830" s="15" t="n">
        <v>43358.4202546296</v>
      </c>
    </row>
    <row r="1831" customFormat="false" ht="15" hidden="false" customHeight="false" outlineLevel="0" collapsed="false">
      <c r="F1831" s="6" t="s">
        <v>34</v>
      </c>
      <c r="G1831" s="0" t="n">
        <v>6</v>
      </c>
      <c r="H1831" s="0" t="s">
        <v>13</v>
      </c>
      <c r="I1831" s="15" t="n">
        <v>43358.4201851852</v>
      </c>
    </row>
    <row r="1832" customFormat="false" ht="15" hidden="false" customHeight="false" outlineLevel="0" collapsed="false">
      <c r="F1832" s="6" t="s">
        <v>34</v>
      </c>
      <c r="G1832" s="0" t="n">
        <v>11</v>
      </c>
      <c r="H1832" s="0" t="s">
        <v>13</v>
      </c>
      <c r="I1832" s="15" t="n">
        <v>43358.4200925926</v>
      </c>
    </row>
    <row r="1833" customFormat="false" ht="15" hidden="false" customHeight="false" outlineLevel="0" collapsed="false">
      <c r="F1833" s="6" t="s">
        <v>37</v>
      </c>
      <c r="G1833" s="0" t="n">
        <v>3</v>
      </c>
      <c r="H1833" s="0" t="s">
        <v>13</v>
      </c>
      <c r="I1833" s="15" t="n">
        <v>43358.4197916667</v>
      </c>
    </row>
    <row r="1834" customFormat="false" ht="15" hidden="false" customHeight="false" outlineLevel="0" collapsed="false">
      <c r="F1834" s="6" t="s">
        <v>37</v>
      </c>
      <c r="G1834" s="0" t="n">
        <v>3</v>
      </c>
      <c r="H1834" s="0" t="s">
        <v>13</v>
      </c>
      <c r="I1834" s="15" t="n">
        <v>43358.4195717593</v>
      </c>
    </row>
    <row r="1835" customFormat="false" ht="15" hidden="false" customHeight="false" outlineLevel="0" collapsed="false">
      <c r="F1835" s="6" t="s">
        <v>37</v>
      </c>
      <c r="G1835" s="0" t="n">
        <v>3</v>
      </c>
      <c r="H1835" s="0" t="s">
        <v>13</v>
      </c>
      <c r="I1835" s="15" t="n">
        <v>43358.4195023148</v>
      </c>
    </row>
    <row r="1836" customFormat="false" ht="15" hidden="false" customHeight="false" outlineLevel="0" collapsed="false">
      <c r="F1836" s="6" t="s">
        <v>34</v>
      </c>
      <c r="G1836" s="0" t="n">
        <v>9</v>
      </c>
      <c r="H1836" s="0" t="s">
        <v>13</v>
      </c>
      <c r="I1836" s="15" t="n">
        <v>43358.4193981482</v>
      </c>
    </row>
    <row r="1837" customFormat="false" ht="15" hidden="false" customHeight="false" outlineLevel="0" collapsed="false">
      <c r="F1837" s="6" t="s">
        <v>37</v>
      </c>
      <c r="G1837" s="0" t="n">
        <v>3</v>
      </c>
      <c r="H1837" s="0" t="s">
        <v>13</v>
      </c>
      <c r="I1837" s="15" t="n">
        <v>43358.4193402778</v>
      </c>
    </row>
    <row r="1838" customFormat="false" ht="15" hidden="false" customHeight="false" outlineLevel="0" collapsed="false">
      <c r="F1838" s="6" t="s">
        <v>36</v>
      </c>
      <c r="G1838" s="0" t="n">
        <v>7</v>
      </c>
      <c r="H1838" s="0" t="s">
        <v>13</v>
      </c>
      <c r="I1838" s="15" t="n">
        <v>43358.4192476852</v>
      </c>
    </row>
    <row r="1839" customFormat="false" ht="15" hidden="false" customHeight="false" outlineLevel="0" collapsed="false">
      <c r="F1839" s="6" t="s">
        <v>41</v>
      </c>
      <c r="G1839" s="0" t="n">
        <v>28</v>
      </c>
      <c r="H1839" s="0" t="s">
        <v>13</v>
      </c>
      <c r="I1839" s="15" t="n">
        <v>43358.418912037</v>
      </c>
    </row>
    <row r="1840" customFormat="false" ht="15" hidden="false" customHeight="false" outlineLevel="0" collapsed="false">
      <c r="F1840" s="6" t="s">
        <v>34</v>
      </c>
      <c r="G1840" s="0" t="n">
        <v>7</v>
      </c>
      <c r="H1840" s="0" t="s">
        <v>13</v>
      </c>
      <c r="I1840" s="15" t="n">
        <v>43358.4188078704</v>
      </c>
    </row>
    <row r="1841" customFormat="false" ht="15" hidden="false" customHeight="false" outlineLevel="0" collapsed="false">
      <c r="F1841" s="6" t="s">
        <v>34</v>
      </c>
      <c r="G1841" s="0" t="n">
        <v>6</v>
      </c>
      <c r="H1841" s="0" t="s">
        <v>13</v>
      </c>
      <c r="I1841" s="15" t="n">
        <v>43358.4184143519</v>
      </c>
    </row>
    <row r="1842" customFormat="false" ht="15" hidden="false" customHeight="false" outlineLevel="0" collapsed="false">
      <c r="F1842" s="6" t="s">
        <v>34</v>
      </c>
      <c r="G1842" s="0" t="n">
        <v>11</v>
      </c>
      <c r="H1842" s="0" t="s">
        <v>13</v>
      </c>
      <c r="I1842" s="15" t="n">
        <v>43358.4182291667</v>
      </c>
    </row>
    <row r="1843" customFormat="false" ht="15" hidden="false" customHeight="false" outlineLevel="0" collapsed="false">
      <c r="F1843" s="6" t="s">
        <v>34</v>
      </c>
      <c r="G1843" s="0" t="n">
        <v>9</v>
      </c>
      <c r="H1843" s="0" t="s">
        <v>13</v>
      </c>
      <c r="I1843" s="15" t="n">
        <v>43358.4173263889</v>
      </c>
    </row>
    <row r="1844" customFormat="false" ht="15" hidden="false" customHeight="false" outlineLevel="0" collapsed="false">
      <c r="F1844" s="6" t="s">
        <v>25</v>
      </c>
      <c r="G1844" s="0" t="n">
        <v>5</v>
      </c>
      <c r="H1844" s="0" t="s">
        <v>13</v>
      </c>
      <c r="I1844" s="15" t="n">
        <v>43358.4169097222</v>
      </c>
    </row>
    <row r="1845" customFormat="false" ht="15" hidden="false" customHeight="false" outlineLevel="0" collapsed="false">
      <c r="F1845" s="6" t="s">
        <v>34</v>
      </c>
      <c r="G1845" s="0" t="n">
        <v>5</v>
      </c>
      <c r="H1845" s="0" t="s">
        <v>13</v>
      </c>
      <c r="I1845" s="15" t="n">
        <v>43358.4167824074</v>
      </c>
    </row>
    <row r="1846" customFormat="false" ht="15" hidden="false" customHeight="false" outlineLevel="0" collapsed="false">
      <c r="F1846" s="6" t="s">
        <v>34</v>
      </c>
      <c r="G1846" s="0" t="n">
        <v>9</v>
      </c>
      <c r="H1846" s="0" t="s">
        <v>13</v>
      </c>
      <c r="I1846" s="15" t="n">
        <v>43358.4162268518</v>
      </c>
    </row>
    <row r="1847" customFormat="false" ht="15" hidden="false" customHeight="false" outlineLevel="0" collapsed="false">
      <c r="F1847" s="6" t="s">
        <v>27</v>
      </c>
      <c r="G1847" s="0" t="n">
        <v>3</v>
      </c>
      <c r="H1847" s="0" t="s">
        <v>13</v>
      </c>
      <c r="I1847" s="15" t="n">
        <v>43358.4007986111</v>
      </c>
    </row>
    <row r="1848" customFormat="false" ht="15" hidden="false" customHeight="false" outlineLevel="0" collapsed="false">
      <c r="F1848" s="6" t="s">
        <v>63</v>
      </c>
      <c r="G1848" s="0" t="n">
        <v>13</v>
      </c>
      <c r="H1848" s="0" t="s">
        <v>13</v>
      </c>
      <c r="I1848" s="15" t="n">
        <v>43358.4006712963</v>
      </c>
    </row>
    <row r="1849" customFormat="false" ht="15" hidden="false" customHeight="false" outlineLevel="0" collapsed="false">
      <c r="F1849" s="6" t="s">
        <v>121</v>
      </c>
      <c r="G1849" s="0" t="n">
        <v>1</v>
      </c>
      <c r="H1849" s="0" t="s">
        <v>13</v>
      </c>
      <c r="I1849" s="15" t="n">
        <v>43358.3998611111</v>
      </c>
    </row>
    <row r="1850" customFormat="false" ht="15" hidden="false" customHeight="false" outlineLevel="0" collapsed="false">
      <c r="F1850" s="6" t="s">
        <v>29</v>
      </c>
      <c r="G1850" s="0" t="n">
        <v>1</v>
      </c>
      <c r="H1850" s="0" t="s">
        <v>13</v>
      </c>
      <c r="I1850" s="15" t="n">
        <v>43358.3997800926</v>
      </c>
    </row>
    <row r="1851" customFormat="false" ht="15" hidden="false" customHeight="false" outlineLevel="0" collapsed="false">
      <c r="F1851" s="6" t="s">
        <v>86</v>
      </c>
      <c r="G1851" s="0" t="n">
        <v>1</v>
      </c>
      <c r="H1851" s="0" t="s">
        <v>13</v>
      </c>
      <c r="I1851" s="15" t="n">
        <v>43358.3994907407</v>
      </c>
    </row>
    <row r="1852" customFormat="false" ht="15" hidden="false" customHeight="false" outlineLevel="0" collapsed="false">
      <c r="F1852" s="6" t="s">
        <v>24</v>
      </c>
      <c r="G1852" s="0" t="n">
        <v>1</v>
      </c>
      <c r="H1852" s="0" t="s">
        <v>13</v>
      </c>
      <c r="I1852" s="15" t="n">
        <v>43358.3992824074</v>
      </c>
    </row>
    <row r="1853" customFormat="false" ht="15" hidden="false" customHeight="false" outlineLevel="0" collapsed="false">
      <c r="F1853" s="6" t="s">
        <v>21</v>
      </c>
      <c r="G1853" s="0" t="n">
        <v>3</v>
      </c>
      <c r="H1853" s="0" t="s">
        <v>13</v>
      </c>
      <c r="I1853" s="15" t="n">
        <v>43358.3989236111</v>
      </c>
    </row>
    <row r="1854" customFormat="false" ht="15" hidden="false" customHeight="false" outlineLevel="0" collapsed="false">
      <c r="F1854" s="6" t="s">
        <v>26</v>
      </c>
      <c r="G1854" s="0" t="n">
        <v>1</v>
      </c>
      <c r="H1854" s="0" t="s">
        <v>13</v>
      </c>
      <c r="I1854" s="15" t="n">
        <v>43358.3987615741</v>
      </c>
    </row>
    <row r="1855" customFormat="false" ht="15" hidden="false" customHeight="false" outlineLevel="0" collapsed="false">
      <c r="F1855" s="6" t="s">
        <v>46</v>
      </c>
      <c r="G1855" s="0" t="n">
        <v>3</v>
      </c>
      <c r="H1855" s="0" t="s">
        <v>13</v>
      </c>
      <c r="I1855" s="15" t="n">
        <v>43358.3984143519</v>
      </c>
    </row>
    <row r="1856" customFormat="false" ht="15" hidden="false" customHeight="false" outlineLevel="0" collapsed="false">
      <c r="F1856" s="6" t="s">
        <v>41</v>
      </c>
      <c r="G1856" s="0" t="n">
        <v>1</v>
      </c>
      <c r="H1856" s="0" t="s">
        <v>13</v>
      </c>
      <c r="I1856" s="15" t="n">
        <v>43358.3982060185</v>
      </c>
    </row>
    <row r="1857" customFormat="false" ht="15" hidden="false" customHeight="false" outlineLevel="0" collapsed="false">
      <c r="F1857" s="6" t="s">
        <v>221</v>
      </c>
      <c r="G1857" s="0" t="n">
        <v>2</v>
      </c>
      <c r="H1857" s="0" t="s">
        <v>13</v>
      </c>
      <c r="I1857" s="15" t="n">
        <v>43358.3980787037</v>
      </c>
    </row>
    <row r="1858" customFormat="false" ht="15" hidden="false" customHeight="false" outlineLevel="0" collapsed="false">
      <c r="F1858" s="6" t="s">
        <v>15</v>
      </c>
      <c r="G1858" s="0" t="n">
        <v>5</v>
      </c>
      <c r="H1858" s="0" t="s">
        <v>13</v>
      </c>
      <c r="I1858" s="15" t="n">
        <v>43358.3973148148</v>
      </c>
    </row>
    <row r="1859" customFormat="false" ht="15" hidden="false" customHeight="false" outlineLevel="0" collapsed="false">
      <c r="F1859" s="6" t="s">
        <v>74</v>
      </c>
      <c r="G1859" s="0" t="n">
        <v>1</v>
      </c>
      <c r="H1859" s="0" t="s">
        <v>13</v>
      </c>
      <c r="I1859" s="15" t="n">
        <v>43358.3972106481</v>
      </c>
    </row>
    <row r="1860" customFormat="false" ht="15" hidden="false" customHeight="false" outlineLevel="0" collapsed="false">
      <c r="F1860" s="6" t="s">
        <v>77</v>
      </c>
      <c r="G1860" s="0" t="n">
        <v>1</v>
      </c>
      <c r="H1860" s="0" t="s">
        <v>13</v>
      </c>
      <c r="I1860" s="15" t="n">
        <v>43358.3971296296</v>
      </c>
    </row>
    <row r="1861" customFormat="false" ht="15" hidden="false" customHeight="false" outlineLevel="0" collapsed="false">
      <c r="F1861" s="6" t="s">
        <v>36</v>
      </c>
      <c r="G1861" s="0" t="n">
        <v>1</v>
      </c>
      <c r="H1861" s="0" t="s">
        <v>13</v>
      </c>
      <c r="I1861" s="15" t="n">
        <v>43358.3970138889</v>
      </c>
    </row>
    <row r="1862" customFormat="false" ht="15" hidden="false" customHeight="false" outlineLevel="0" collapsed="false">
      <c r="F1862" s="6" t="s">
        <v>25</v>
      </c>
      <c r="G1862" s="0" t="n">
        <v>16</v>
      </c>
      <c r="H1862" s="0" t="s">
        <v>13</v>
      </c>
      <c r="I1862" s="15" t="n">
        <v>43358.3969097222</v>
      </c>
    </row>
    <row r="1863" customFormat="false" ht="15" hidden="false" customHeight="false" outlineLevel="0" collapsed="false">
      <c r="F1863" s="6" t="s">
        <v>25</v>
      </c>
      <c r="G1863" s="0" t="n">
        <v>2</v>
      </c>
      <c r="H1863" s="0" t="s">
        <v>13</v>
      </c>
      <c r="I1863" s="15" t="n">
        <v>43358.3965393519</v>
      </c>
    </row>
    <row r="1864" customFormat="false" ht="15" hidden="false" customHeight="false" outlineLevel="0" collapsed="false">
      <c r="F1864" s="6" t="s">
        <v>25</v>
      </c>
      <c r="G1864" s="0" t="n">
        <v>4</v>
      </c>
      <c r="H1864" s="0" t="s">
        <v>13</v>
      </c>
      <c r="I1864" s="15" t="n">
        <v>43358.3964236111</v>
      </c>
    </row>
    <row r="1865" customFormat="false" ht="15" hidden="false" customHeight="false" outlineLevel="0" collapsed="false">
      <c r="F1865" s="6" t="s">
        <v>72</v>
      </c>
      <c r="G1865" s="0" t="n">
        <v>3</v>
      </c>
      <c r="H1865" s="0" t="s">
        <v>13</v>
      </c>
      <c r="I1865" s="15" t="n">
        <v>43358.3960300926</v>
      </c>
    </row>
    <row r="1866" customFormat="false" ht="15" hidden="false" customHeight="false" outlineLevel="0" collapsed="false">
      <c r="F1866" s="6" t="s">
        <v>37</v>
      </c>
      <c r="G1866" s="0" t="n">
        <v>2</v>
      </c>
      <c r="H1866" s="0" t="s">
        <v>13</v>
      </c>
      <c r="I1866" s="15" t="n">
        <v>43358.3958796296</v>
      </c>
    </row>
    <row r="1867" customFormat="false" ht="15" hidden="false" customHeight="false" outlineLevel="0" collapsed="false">
      <c r="F1867" s="6" t="s">
        <v>89</v>
      </c>
      <c r="G1867" s="0" t="n">
        <v>1</v>
      </c>
      <c r="H1867" s="0" t="s">
        <v>13</v>
      </c>
      <c r="I1867" s="15" t="n">
        <v>43358.3930787037</v>
      </c>
    </row>
    <row r="1868" customFormat="false" ht="15" hidden="false" customHeight="false" outlineLevel="0" collapsed="false">
      <c r="F1868" s="6" t="s">
        <v>34</v>
      </c>
      <c r="G1868" s="0" t="n">
        <v>14</v>
      </c>
      <c r="H1868" s="0" t="s">
        <v>13</v>
      </c>
      <c r="I1868" s="15" t="n">
        <v>43358.3923726852</v>
      </c>
    </row>
  </sheetData>
  <mergeCells count="4">
    <mergeCell ref="E1:F1"/>
    <mergeCell ref="A3:B3"/>
    <mergeCell ref="A6:B6"/>
    <mergeCell ref="A9:B9"/>
  </mergeCells>
  <conditionalFormatting sqref="F5:F1868">
    <cfRule type="expression" priority="2" aboveAverage="0" equalAverage="0" bottom="0" percent="0" rank="0" text="" dxfId="0">
      <formula>COUNTIF(lista,F5)=0</formula>
    </cfRule>
  </conditionalFormatting>
  <conditionalFormatting sqref="F590:F1226">
    <cfRule type="expression" priority="3" aboveAverage="0" equalAverage="0" bottom="0" percent="0" rank="0" text="" dxfId="1">
      <formula>COUNTIF(lista,F590)=0</formula>
    </cfRule>
  </conditionalFormatting>
  <conditionalFormatting sqref="F1227:F1868">
    <cfRule type="expression" priority="4" aboveAverage="0" equalAverage="0" bottom="0" percent="0" rank="0" text="" dxfId="2">
      <formula>COUNTIF(lista,F1227)=0</formula>
    </cfRule>
  </conditionalFormatting>
  <dataValidations count="1">
    <dataValidation allowBlank="true" operator="between" showDropDown="false" showErrorMessage="true" showInputMessage="true" sqref="A7" type="list">
      <formula1>Categorias!$M$9:$M$27</formula1>
      <formula2>0</formula2>
    </dataValidation>
  </dataValidations>
  <hyperlinks>
    <hyperlink ref="D1" location="topo_cb" display="Topo"/>
    <hyperlink ref="A3" location="topocategorias" display="Categorias"/>
    <hyperlink ref="A6" location="topo1" display="Cadastro"/>
    <hyperlink ref="A9" location="'Resumo total'!A1" display="Resumo"/>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tableParts>
    <tablePart r:id="rId2"/>
  </tableParts>
</worksheet>
</file>

<file path=xl/worksheets/sheet3.xml><?xml version="1.0" encoding="utf-8"?>
<worksheet xmlns="http://schemas.openxmlformats.org/spreadsheetml/2006/main" xmlns:r="http://schemas.openxmlformats.org/officeDocument/2006/relationships">
  <sheetPr filterMode="false">
    <tabColor rgb="FF92D050"/>
    <pageSetUpPr fitToPage="false"/>
  </sheetPr>
  <dimension ref="A1:BW37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41" activeCellId="0" sqref="A41"/>
    </sheetView>
  </sheetViews>
  <sheetFormatPr defaultRowHeight="15" zeroHeight="false" outlineLevelRow="0" outlineLevelCol="1"/>
  <cols>
    <col collapsed="false" customWidth="true" hidden="false" outlineLevel="0" max="1" min="1" style="0" width="30.42"/>
    <col collapsed="false" customWidth="true" hidden="false" outlineLevel="0" max="2" min="2" style="0" width="14.71"/>
    <col collapsed="false" customWidth="true" hidden="false" outlineLevel="0" max="6" min="3" style="0" width="13.57"/>
    <col collapsed="false" customWidth="true" hidden="false" outlineLevel="0" max="7" min="7" style="0" width="14.43"/>
    <col collapsed="false" customWidth="true" hidden="false" outlineLevel="0" max="8" min="8" style="0" width="2.28"/>
    <col collapsed="false" customWidth="true" hidden="false" outlineLevel="0" max="9" min="9" style="0" width="30.57"/>
    <col collapsed="false" customWidth="true" hidden="false" outlineLevel="0" max="10" min="10" style="0" width="16.43"/>
    <col collapsed="false" customWidth="false" hidden="false" outlineLevel="0" max="11" min="11" style="0" width="11.43"/>
    <col collapsed="false" customWidth="false" hidden="true" outlineLevel="1" max="19" min="12" style="0" width="11.43"/>
    <col collapsed="false" customWidth="true" hidden="true" outlineLevel="1" max="25" min="20" style="0" width="12.43"/>
    <col collapsed="false" customWidth="true" hidden="true" outlineLevel="1" max="26" min="26" style="0" width="11.57"/>
    <col collapsed="false" customWidth="true" hidden="true" outlineLevel="1" max="28" min="27" style="0" width="12"/>
    <col collapsed="false" customWidth="true" hidden="true" outlineLevel="1" max="30" min="29" style="0" width="9.85"/>
    <col collapsed="false" customWidth="true" hidden="false" outlineLevel="0" max="31" min="31" style="0" width="14.43"/>
    <col collapsed="false" customWidth="true" hidden="false" outlineLevel="0" max="32" min="32" style="0" width="16.85"/>
    <col collapsed="false" customWidth="true" hidden="false" outlineLevel="0" max="33" min="33" style="0" width="12.14"/>
    <col collapsed="false" customWidth="true" hidden="false" outlineLevel="0" max="34" min="34" style="0" width="32.86"/>
    <col collapsed="false" customWidth="true" hidden="false" outlineLevel="0" max="35" min="35" style="0" width="19"/>
    <col collapsed="false" customWidth="false" hidden="false" outlineLevel="0" max="36" min="36" style="0" width="11.43"/>
    <col collapsed="false" customWidth="false" hidden="true" outlineLevel="1" max="43" min="37" style="0" width="11.43"/>
    <col collapsed="false" customWidth="true" hidden="true" outlineLevel="1" max="49" min="44" style="0" width="12.43"/>
    <col collapsed="false" customWidth="true" hidden="true" outlineLevel="1" max="50" min="50" style="0" width="11.57"/>
    <col collapsed="false" customWidth="true" hidden="true" outlineLevel="1" max="51" min="51" style="0" width="12"/>
    <col collapsed="false" customWidth="true" hidden="true" outlineLevel="1" max="53" min="52" style="0" width="11.71"/>
    <col collapsed="false" customWidth="true" hidden="true" outlineLevel="1" max="55" min="54" style="0" width="14.43"/>
    <col collapsed="false" customWidth="true" hidden="false" outlineLevel="0" max="56" min="56" style="0" width="16.85"/>
    <col collapsed="false" customWidth="true" hidden="false" outlineLevel="0" max="57" min="57" style="0" width="11.71"/>
    <col collapsed="false" customWidth="true" hidden="false" outlineLevel="0" max="58" min="58" style="0" width="8.53"/>
    <col collapsed="false" customWidth="true" hidden="false" outlineLevel="0" max="59" min="59" style="0" width="23.85"/>
    <col collapsed="false" customWidth="true" hidden="false" outlineLevel="0" max="60" min="60" style="0" width="8.53"/>
    <col collapsed="false" customWidth="true" hidden="false" outlineLevel="0" max="61" min="61" style="0" width="22.85"/>
    <col collapsed="false" customWidth="true" hidden="false" outlineLevel="0" max="62" min="62" style="0" width="8.53"/>
    <col collapsed="false" customWidth="true" hidden="false" outlineLevel="0" max="63" min="63" style="0" width="22.85"/>
    <col collapsed="false" customWidth="true" hidden="false" outlineLevel="0" max="64" min="64" style="0" width="9.14"/>
    <col collapsed="false" customWidth="true" hidden="false" outlineLevel="0" max="65" min="65" style="0" width="22.85"/>
    <col collapsed="false" customWidth="true" hidden="false" outlineLevel="0" max="66" min="66" style="0" width="23.85"/>
    <col collapsed="false" customWidth="true" hidden="false" outlineLevel="0" max="67" min="67" style="0" width="8.53"/>
    <col collapsed="false" customWidth="true" hidden="false" outlineLevel="0" max="68" min="68" style="0" width="22.85"/>
    <col collapsed="false" customWidth="true" hidden="false" outlineLevel="0" max="69" min="69" style="0" width="14.71"/>
    <col collapsed="false" customWidth="true" hidden="false" outlineLevel="0" max="70" min="70" style="0" width="32"/>
    <col collapsed="false" customWidth="true" hidden="false" outlineLevel="0" max="71" min="71" style="0" width="14.71"/>
    <col collapsed="false" customWidth="true" hidden="false" outlineLevel="0" max="72" min="72" style="0" width="22.85"/>
    <col collapsed="false" customWidth="true" hidden="false" outlineLevel="0" max="73" min="73" style="0" width="9.14"/>
    <col collapsed="false" customWidth="true" hidden="false" outlineLevel="0" max="74" min="74" style="0" width="32"/>
    <col collapsed="false" customWidth="true" hidden="false" outlineLevel="0" max="76" min="75" style="0" width="9.14"/>
    <col collapsed="false" customWidth="true" hidden="false" outlineLevel="0" max="1025" min="77" style="0" width="8.53"/>
  </cols>
  <sheetData>
    <row r="1" customFormat="false" ht="21" hidden="false" customHeight="true" outlineLevel="0" collapsed="false">
      <c r="A1" s="6"/>
      <c r="I1" s="1" t="s">
        <v>0</v>
      </c>
    </row>
    <row r="2" customFormat="false" ht="15.75" hidden="false" customHeight="false" outlineLevel="0" collapsed="false">
      <c r="AI2" s="18"/>
    </row>
    <row r="3" customFormat="false" ht="15" hidden="false" customHeight="false" outlineLevel="0" collapsed="false">
      <c r="A3" s="19" t="s">
        <v>1</v>
      </c>
      <c r="B3" s="19"/>
      <c r="C3" s="19"/>
      <c r="D3" s="19"/>
      <c r="E3" s="19"/>
      <c r="F3" s="19"/>
      <c r="G3" s="19"/>
      <c r="H3" s="4"/>
      <c r="I3" s="20" t="s">
        <v>2</v>
      </c>
      <c r="J3" s="20"/>
      <c r="K3" s="20"/>
      <c r="L3" s="20"/>
      <c r="M3" s="20"/>
      <c r="N3" s="20"/>
      <c r="O3" s="20"/>
      <c r="P3" s="20"/>
      <c r="Q3" s="20"/>
      <c r="R3" s="20"/>
      <c r="S3" s="20"/>
      <c r="T3" s="20"/>
      <c r="U3" s="20"/>
      <c r="V3" s="20"/>
      <c r="W3" s="20"/>
      <c r="X3" s="20"/>
      <c r="Y3" s="20"/>
      <c r="Z3" s="20"/>
      <c r="AA3" s="20"/>
      <c r="AB3" s="20"/>
      <c r="AC3" s="20"/>
      <c r="AD3" s="20"/>
      <c r="AE3" s="20"/>
      <c r="AF3" s="20"/>
      <c r="AG3" s="20"/>
      <c r="AH3" s="21" t="s">
        <v>3</v>
      </c>
      <c r="AI3" s="21"/>
      <c r="AJ3" s="21"/>
      <c r="AK3" s="21"/>
      <c r="AL3" s="21"/>
      <c r="AM3" s="21"/>
      <c r="AN3" s="21"/>
      <c r="AO3" s="21"/>
      <c r="AP3" s="21"/>
      <c r="AQ3" s="21"/>
      <c r="AR3" s="21"/>
      <c r="AS3" s="21"/>
      <c r="AT3" s="21"/>
      <c r="AU3" s="21"/>
      <c r="AV3" s="21"/>
      <c r="AW3" s="21"/>
      <c r="AX3" s="21"/>
      <c r="AY3" s="21"/>
      <c r="AZ3" s="21"/>
      <c r="BA3" s="21"/>
      <c r="BB3" s="21"/>
      <c r="BC3" s="21"/>
      <c r="BD3" s="21"/>
      <c r="BE3" s="21"/>
      <c r="BF3" s="21"/>
      <c r="BI3" s="22" t="s">
        <v>2</v>
      </c>
      <c r="BJ3" s="22"/>
      <c r="BK3" s="22"/>
      <c r="BL3" s="22"/>
      <c r="BM3" s="22"/>
      <c r="BN3" s="22"/>
      <c r="BP3" s="22" t="s">
        <v>3</v>
      </c>
      <c r="BQ3" s="22"/>
      <c r="BR3" s="22"/>
      <c r="BS3" s="22"/>
      <c r="BT3" s="22"/>
      <c r="BU3" s="22"/>
      <c r="BV3" s="22"/>
      <c r="BW3" s="22"/>
    </row>
    <row r="4" customFormat="false" ht="15" hidden="false" customHeight="false" outlineLevel="0" collapsed="false">
      <c r="A4" s="1"/>
      <c r="B4" s="1"/>
      <c r="C4" s="1"/>
      <c r="D4" s="1"/>
      <c r="E4" s="1"/>
      <c r="F4" s="1"/>
      <c r="G4" s="1"/>
      <c r="I4" s="23" t="s">
        <v>4</v>
      </c>
      <c r="J4" s="24" t="s">
        <v>222</v>
      </c>
      <c r="K4" s="24" t="s">
        <v>223</v>
      </c>
      <c r="L4" s="24" t="s">
        <v>224</v>
      </c>
      <c r="M4" s="24" t="s">
        <v>225</v>
      </c>
      <c r="N4" s="24" t="s">
        <v>226</v>
      </c>
      <c r="O4" s="24" t="s">
        <v>227</v>
      </c>
      <c r="P4" s="24" t="s">
        <v>228</v>
      </c>
      <c r="Q4" s="24" t="s">
        <v>229</v>
      </c>
      <c r="R4" s="24" t="s">
        <v>230</v>
      </c>
      <c r="S4" s="24" t="s">
        <v>231</v>
      </c>
      <c r="T4" s="24" t="s">
        <v>232</v>
      </c>
      <c r="U4" s="24" t="s">
        <v>233</v>
      </c>
      <c r="V4" s="24" t="s">
        <v>234</v>
      </c>
      <c r="W4" s="24" t="s">
        <v>235</v>
      </c>
      <c r="X4" s="24" t="s">
        <v>236</v>
      </c>
      <c r="Y4" s="24" t="s">
        <v>237</v>
      </c>
      <c r="Z4" s="24" t="s">
        <v>238</v>
      </c>
      <c r="AA4" s="24" t="s">
        <v>239</v>
      </c>
      <c r="AB4" s="24" t="s">
        <v>240</v>
      </c>
      <c r="AC4" s="24" t="s">
        <v>241</v>
      </c>
      <c r="AD4" s="24" t="s">
        <v>242</v>
      </c>
      <c r="AE4" s="24" t="s">
        <v>243</v>
      </c>
      <c r="AF4" s="24" t="s">
        <v>244</v>
      </c>
      <c r="AG4" s="25" t="s">
        <v>245</v>
      </c>
      <c r="AH4" s="23" t="s">
        <v>4</v>
      </c>
      <c r="AI4" s="24" t="s">
        <v>222</v>
      </c>
      <c r="AJ4" s="24" t="s">
        <v>223</v>
      </c>
      <c r="AK4" s="24" t="s">
        <v>224</v>
      </c>
      <c r="AL4" s="24" t="s">
        <v>225</v>
      </c>
      <c r="AM4" s="24" t="s">
        <v>226</v>
      </c>
      <c r="AN4" s="24" t="s">
        <v>227</v>
      </c>
      <c r="AO4" s="24" t="s">
        <v>228</v>
      </c>
      <c r="AP4" s="24" t="s">
        <v>229</v>
      </c>
      <c r="AQ4" s="24" t="s">
        <v>230</v>
      </c>
      <c r="AR4" s="24" t="s">
        <v>231</v>
      </c>
      <c r="AS4" s="24" t="s">
        <v>232</v>
      </c>
      <c r="AT4" s="24" t="s">
        <v>233</v>
      </c>
      <c r="AU4" s="24" t="s">
        <v>234</v>
      </c>
      <c r="AV4" s="24" t="s">
        <v>235</v>
      </c>
      <c r="AW4" s="24" t="s">
        <v>236</v>
      </c>
      <c r="AX4" s="24" t="s">
        <v>237</v>
      </c>
      <c r="AY4" s="24" t="s">
        <v>238</v>
      </c>
      <c r="AZ4" s="24" t="s">
        <v>239</v>
      </c>
      <c r="BA4" s="24" t="s">
        <v>240</v>
      </c>
      <c r="BB4" s="24" t="s">
        <v>241</v>
      </c>
      <c r="BC4" s="24" t="s">
        <v>242</v>
      </c>
      <c r="BD4" s="24" t="s">
        <v>243</v>
      </c>
      <c r="BE4" s="24" t="s">
        <v>244</v>
      </c>
      <c r="BF4" s="25" t="s">
        <v>245</v>
      </c>
      <c r="BI4" s="22" t="s">
        <v>4</v>
      </c>
      <c r="BJ4" s="22" t="s">
        <v>246</v>
      </c>
      <c r="BK4" s="22" t="s">
        <v>246</v>
      </c>
      <c r="BL4" s="22" t="s">
        <v>245</v>
      </c>
      <c r="BM4" s="22" t="s">
        <v>4</v>
      </c>
      <c r="BN4" s="22" t="s">
        <v>245</v>
      </c>
      <c r="BP4" s="22" t="s">
        <v>4</v>
      </c>
      <c r="BQ4" s="22" t="s">
        <v>246</v>
      </c>
      <c r="BR4" s="22" t="s">
        <v>246</v>
      </c>
      <c r="BS4" s="22" t="s">
        <v>247</v>
      </c>
      <c r="BT4" s="22" t="s">
        <v>248</v>
      </c>
      <c r="BU4" s="22" t="s">
        <v>249</v>
      </c>
      <c r="BV4" s="22" t="s">
        <v>4</v>
      </c>
      <c r="BW4" s="22" t="s">
        <v>249</v>
      </c>
    </row>
    <row r="5" customFormat="false" ht="15" hidden="false" customHeight="false" outlineLevel="0" collapsed="false">
      <c r="A5" s="19" t="s">
        <v>14</v>
      </c>
      <c r="B5" s="19"/>
      <c r="C5" s="19"/>
      <c r="D5" s="19" t="s">
        <v>8</v>
      </c>
      <c r="E5" s="19"/>
      <c r="F5" s="19"/>
      <c r="G5" s="19"/>
      <c r="I5" s="26" t="str">
        <f aca="false">alimentos[[#This Row],[Item]]</f>
        <v>A</v>
      </c>
      <c r="J5" s="27" t="n">
        <f aca="false">IFERROR(alimentos[[#This Row],[kg/embalagem]],0)</f>
        <v>0</v>
      </c>
      <c r="K5" s="27" t="n">
        <f aca="false">IFERROR(alimentos[[#This Row],[Preço]],0)</f>
        <v>0</v>
      </c>
      <c r="L5" s="27" t="n">
        <f aca="false">SUMIFS(super1[Qtde],super1[Item],tab_alimentos[[#This Row],[Item]],super1[Bairro],mercado1)+SUMIFS(supercb[Qtde],supercb[Item],tab_alimentos[[#This Row],[Item]],supercb[Bairro],mercado1)</f>
        <v>0</v>
      </c>
      <c r="M5" s="27" t="n">
        <f aca="false">SUMIFS(super1[Qtde],super1[Item],tab_alimentos[[#This Row],[Item]],super1[Bairro],mercado2)+SUMIFS(supercb[Qtde],supercb[Item],tab_alimentos[[#This Row],[Item]],supercb[Bairro],mercado2)</f>
        <v>0</v>
      </c>
      <c r="N5" s="27" t="n">
        <f aca="false">SUMIFS(super1[Qtde],super1[Item],tab_alimentos[[#This Row],[Item]],super1[Bairro],mercado3)+SUMIFS(supercb[Qtde],supercb[Item],tab_alimentos[[#This Row],[Item]],supercb[Bairro],mercado3)</f>
        <v>0</v>
      </c>
      <c r="O5" s="27" t="n">
        <f aca="false">SUMIFS(super1[Qtde],super1[Item],tab_alimentos[[#This Row],[Item]],super1[Bairro],mercado4)+SUMIFS(supercb[Qtde],supercb[Item],tab_alimentos[[#This Row],[Item]],supercb[Bairro],mercado4)</f>
        <v>0</v>
      </c>
      <c r="P5" s="27" t="n">
        <f aca="false">SUMIFS(super1[Qtde],super1[Item],tab_alimentos[[#This Row],[Item]],super1[Bairro],mercado5)+SUMIFS(supercb[Qtde],supercb[Item],tab_alimentos[[#This Row],[Item]],supercb[Bairro],mercado5)</f>
        <v>0</v>
      </c>
      <c r="Q5" s="27" t="n">
        <f aca="false">SUMIFS(super1[Qtde],super1[Item],tab_alimentos[[#This Row],[Item]],super1[Bairro],mercado6)+SUMIFS(supercb[Qtde],supercb[Item],tab_alimentos[[#This Row],[Item]],supercb[Bairro],mercado6)</f>
        <v>0</v>
      </c>
      <c r="R5" s="27" t="n">
        <f aca="false">SUMIFS(super1[Qtde],super1[Item],tab_alimentos[[#This Row],[Item]],super1[Bairro],mercado7)+SUMIFS(supercb[Qtde],supercb[Item],tab_alimentos[[#This Row],[Item]],supercb[Bairro],mercado7)</f>
        <v>0</v>
      </c>
      <c r="S5" s="27" t="n">
        <f aca="false">SUMIFS(super1[Qtde],super1[Item],tab_alimentos[[#This Row],[Item]],super1[Bairro],mercado8)+SUMIFS(supercb[Qtde],supercb[Item],tab_alimentos[[#This Row],[Item]],supercb[Bairro],mercado8)</f>
        <v>0</v>
      </c>
      <c r="T5" s="27" t="n">
        <f aca="false">SUMIFS(super1[Qtde],super1[Item],tab_alimentos[[#This Row],[Item]],super1[Bairro],mercado9)+SUMIFS(supercb[Qtde],supercb[Item],tab_alimentos[[#This Row],[Item]],supercb[Bairro],mercado9)</f>
        <v>0</v>
      </c>
      <c r="U5" s="27" t="n">
        <f aca="false">SUMIFS(super1[Qtde],super1[Item],tab_alimentos[[#This Row],[Item]],super1[Bairro],mercado10)+SUMIFS(supercb[Qtde],supercb[Item],tab_alimentos[[#This Row],[Item]],supercb[Bairro],mercado10)</f>
        <v>0</v>
      </c>
      <c r="V5" s="27" t="n">
        <f aca="false">SUMIFS(super1[Qtde],super1[Item],tab_alimentos[[#This Row],[Item]],super1[Bairro],mercado11)+SUMIFS(supercb[Qtde],supercb[Item],tab_alimentos[[#This Row],[Item]],supercb[Bairro],mercado11)</f>
        <v>0</v>
      </c>
      <c r="W5" s="27" t="n">
        <f aca="false">SUMIFS(super1[Qtde],super1[Item],tab_alimentos[[#This Row],[Item]],super1[Bairro],mercado12)+SUMIFS(supercb[Qtde],supercb[Item],tab_alimentos[[#This Row],[Item]],supercb[Bairro],mercado12)</f>
        <v>0</v>
      </c>
      <c r="X5" s="27" t="n">
        <f aca="false">SUMIFS(super1[Qtde],super1[Item],tab_alimentos[[#This Row],[Item]],super1[Bairro],mercado13)+SUMIFS(supercb[Qtde],supercb[Item],tab_alimentos[[#This Row],[Item]],supercb[Bairro],mercado13)</f>
        <v>0</v>
      </c>
      <c r="Y5" s="27" t="n">
        <f aca="false">SUMIFS(super1[Qtde],super1[Item],tab_alimentos[[#This Row],[Item]],super1[Bairro],mercado14)+SUMIFS(supercb[Qtde],supercb[Item],tab_alimentos[[#This Row],[Item]],supercb[Bairro],mercado14)</f>
        <v>0</v>
      </c>
      <c r="Z5" s="27" t="n">
        <f aca="false">SUMIFS(super1[Qtde],super1[Item],tab_alimentos[[#This Row],[Item]],super1[Bairro],mercado15)+SUMIFS(supercb[Qtde],supercb[Item],tab_alimentos[[#This Row],[Item]],supercb[Bairro],mercado15)</f>
        <v>0</v>
      </c>
      <c r="AA5" s="27" t="n">
        <f aca="false">SUMIFS(super1[Qtde],super1[Item],tab_alimentos[[#This Row],[Item]],super1[Bairro],mercado16)+SUMIFS(supercb[Qtde],supercb[Item],tab_alimentos[[#This Row],[Item]],supercb[Bairro],mercado16)</f>
        <v>0</v>
      </c>
      <c r="AB5" s="27" t="n">
        <f aca="false">SUMIFS(super1[Qtde],super1[Item],tab_alimentos[[#This Row],[Item]],super1[Bairro],mercado17)+SUMIFS(supercb[Qtde],supercb[Item],tab_alimentos[[#This Row],[Item]],supercb[Bairro],mercado17)</f>
        <v>0</v>
      </c>
      <c r="AC5" s="27" t="n">
        <f aca="false">SUMIFS(super1[Qtde],super1[Item],tab_alimentos[[#This Row],[Item]],super1[Bairro],mercado18)+SUMIFS(supercb[Qtde],supercb[Item],tab_alimentos[[#This Row],[Item]],supercb[Bairro],mercado18)</f>
        <v>0</v>
      </c>
      <c r="AD5" s="27" t="n">
        <f aca="false">SUMIFS(super1[Qtde],super1[Item],tab_alimentos[[#This Row],[Item]],super1[Bairro],extras)+SUMIFS(supercb[Qtde],supercb[Item],tab_alimentos[[#This Row],[Item]],supercb[Bairro],extras)</f>
        <v>0</v>
      </c>
      <c r="AE5" s="27" t="n">
        <f aca="false">SUM(L5:AC5)</f>
        <v>0</v>
      </c>
      <c r="AF5" s="27" t="n">
        <f aca="false">IFERROR(AE5*K5,0)</f>
        <v>0</v>
      </c>
      <c r="AG5" s="28" t="n">
        <f aca="false">IFERROR(J5*AE5,0)</f>
        <v>0</v>
      </c>
      <c r="AH5" s="26" t="str">
        <f aca="false">higiene[[#This Row],[Item]]</f>
        <v>A</v>
      </c>
      <c r="AI5" s="27" t="n">
        <f aca="false">IFERROR(higiene[[#This Row],[Kg equivalente]],0)</f>
        <v>0</v>
      </c>
      <c r="AJ5" s="27" t="n">
        <f aca="false">IFERROR(higiene[[#This Row],[Preço por produto]],0)</f>
        <v>0</v>
      </c>
      <c r="AK5" s="27" t="n">
        <f aca="false">SUMIFS(super1[Qtde],super1[Item],tab_higiene[[#This Row],[Item]],super1[Bairro],mercado1)+SUMIFS(supercb[Qtde],supercb[Item],tab_higiene[[#This Row],[Item]],supercb[Bairro],mercado1)</f>
        <v>0</v>
      </c>
      <c r="AL5" s="27" t="n">
        <f aca="false">SUMIFS(super1[Qtde],super1[Item],tab_higiene[[#This Row],[Item]],super1[Bairro],mercado2)+SUMIFS(supercb[Qtde],supercb[Item],tab_higiene[[#This Row],[Item]],supercb[Bairro],mercado2)</f>
        <v>0</v>
      </c>
      <c r="AM5" s="27" t="n">
        <f aca="false">SUMIFS(super1[Qtde],super1[Item],tab_higiene[[#This Row],[Item]],super1[Bairro],mercado3)+SUMIFS(supercb[Qtde],supercb[Item],tab_higiene[[#This Row],[Item]],supercb[Bairro],mercado3)</f>
        <v>0</v>
      </c>
      <c r="AN5" s="27" t="n">
        <f aca="false">SUMIFS(super1[Qtde],super1[Item],tab_higiene[[#This Row],[Item]],super1[Bairro],mercado4)+SUMIFS(supercb[Qtde],supercb[Item],tab_higiene[[#This Row],[Item]],supercb[Bairro],mercado4)</f>
        <v>0</v>
      </c>
      <c r="AO5" s="27" t="n">
        <f aca="false">SUMIFS(super1[Qtde],super1[Item],tab_higiene[[#This Row],[Item]],super1[Bairro],mercado5)+SUMIFS(supercb[Qtde],supercb[Item],tab_higiene[[#This Row],[Item]],supercb[Bairro],mercado5)</f>
        <v>0</v>
      </c>
      <c r="AP5" s="27" t="n">
        <f aca="false">SUMIFS(super1[Qtde],super1[Item],tab_higiene[[#This Row],[Item]],super1[Bairro],mercado6)+SUMIFS(supercb[Qtde],supercb[Item],tab_higiene[[#This Row],[Item]],supercb[Bairro],mercado6)</f>
        <v>0</v>
      </c>
      <c r="AQ5" s="27" t="n">
        <f aca="false">SUMIFS(super1[Qtde],super1[Item],tab_higiene[[#This Row],[Item]],super1[Bairro],mercado7)+SUMIFS(supercb[Qtde],supercb[Item],tab_higiene[[#This Row],[Item]],supercb[Bairro],mercado7)</f>
        <v>0</v>
      </c>
      <c r="AR5" s="27" t="n">
        <f aca="false">SUMIFS(super1[Qtde],super1[Item],tab_higiene[[#This Row],[Item]],super1[Bairro],mercado8)+SUMIFS(supercb[Qtde],supercb[Item],tab_higiene[[#This Row],[Item]],supercb[Bairro],mercado8)</f>
        <v>0</v>
      </c>
      <c r="AS5" s="27" t="n">
        <f aca="false">SUMIFS(super1[Qtde],super1[Item],tab_higiene[[#This Row],[Item]],super1[Bairro],mercado9)+SUMIFS(supercb[Qtde],supercb[Item],tab_higiene[[#This Row],[Item]],supercb[Bairro],mercado9)</f>
        <v>0</v>
      </c>
      <c r="AT5" s="27" t="n">
        <f aca="false">SUMIFS(super1[Qtde],super1[Item],tab_higiene[[#This Row],[Item]],super1[Bairro],mercado10)+SUMIFS(supercb[Qtde],supercb[Item],tab_higiene[[#This Row],[Item]],supercb[Bairro],mercado10)</f>
        <v>0</v>
      </c>
      <c r="AU5" s="27" t="n">
        <f aca="false">SUMIFS(super1[Qtde],super1[Item],tab_higiene[[#This Row],[Item]],super1[Bairro],mercado11)+SUMIFS(supercb[Qtde],supercb[Item],tab_higiene[[#This Row],[Item]],supercb[Bairro],mercado11)</f>
        <v>0</v>
      </c>
      <c r="AV5" s="27" t="n">
        <f aca="false">SUMIFS(super1[Qtde],super1[Item],tab_higiene[[#This Row],[Item]],super1[Bairro],mercado12)+SUMIFS(supercb[Qtde],supercb[Item],tab_higiene[[#This Row],[Item]],supercb[Bairro],mercado12)</f>
        <v>0</v>
      </c>
      <c r="AW5" s="27" t="n">
        <f aca="false">SUMIFS(super1[Qtde],super1[Item],tab_higiene[[#This Row],[Item]],super1[Bairro],mercado13)+SUMIFS(supercb[Qtde],supercb[Item],tab_higiene[[#This Row],[Item]],supercb[Bairro],mercado13)</f>
        <v>0</v>
      </c>
      <c r="AX5" s="27" t="n">
        <f aca="false">SUMIFS(super1[Qtde],super1[Item],tab_higiene[[#This Row],[Item]],super1[Bairro],mercado14)+SUMIFS(supercb[Qtde],supercb[Item],tab_higiene[[#This Row],[Item]],supercb[Bairro],mercado14)</f>
        <v>0</v>
      </c>
      <c r="AY5" s="27" t="n">
        <f aca="false">SUMIFS(super1[Qtde],super1[Item],tab_higiene[[#This Row],[Item]],super1[Bairro],mercado15)+SUMIFS(supercb[Qtde],supercb[Item],tab_higiene[[#This Row],[Item]],supercb[Bairro],mercado15)</f>
        <v>0</v>
      </c>
      <c r="AZ5" s="27" t="n">
        <f aca="false">SUMIFS(super1[Qtde],super1[Item],tab_higiene[[#This Row],[Item]],super1[Bairro],mercado16)+SUMIFS(supercb[Qtde],supercb[Item],tab_higiene[[#This Row],[Item]],supercb[Bairro],mercado16)</f>
        <v>0</v>
      </c>
      <c r="BA5" s="27" t="n">
        <f aca="false">SUMIFS(super1[Qtde],super1[Item],tab_higiene[[#This Row],[Item]],super1[Bairro],mercado17)+SUMIFS(supercb[Qtde],supercb[Item],tab_higiene[[#This Row],[Item]],supercb[Bairro],mercado17)</f>
        <v>0</v>
      </c>
      <c r="BB5" s="27" t="n">
        <f aca="false">SUMIFS(super1[Qtde],super1[Item],tab_higiene[[#This Row],[Item]],super1[Bairro],mercado18)+SUMIFS(supercb[Qtde],supercb[Item],tab_higiene[[#This Row],[Item]],supercb[Bairro],mercado18)</f>
        <v>0</v>
      </c>
      <c r="BC5" s="27" t="n">
        <f aca="false">SUMIFS(super1[Qtde],super1[Item],tab_higiene[[#This Row],[Item]],super1[Bairro],extras)+SUMIFS(supercb[Qtde],supercb[Item],tab_higiene[[#This Row],[Item]],supercb[Bairro],extras)</f>
        <v>0</v>
      </c>
      <c r="BD5" s="27" t="n">
        <f aca="false">SUM(AK5:BB5)</f>
        <v>0</v>
      </c>
      <c r="BE5" s="27" t="n">
        <f aca="false">IFERROR(BD5*AJ5,0)</f>
        <v>0</v>
      </c>
      <c r="BF5" s="28" t="n">
        <f aca="false">IFERROR(AI5*BD5,0)</f>
        <v>0</v>
      </c>
      <c r="BI5" s="22" t="str">
        <f aca="false">tab_alimentos[[#This Row],[Item]]</f>
        <v>A</v>
      </c>
      <c r="BJ5" s="22" t="n">
        <f aca="false">IFERROR(FIND(" (",BI5),0)</f>
        <v>0</v>
      </c>
      <c r="BK5" s="22" t="str">
        <f aca="false">IF(BJ5=0,BI5,LEFT(BI5,BJ5-1))</f>
        <v>A</v>
      </c>
      <c r="BL5" s="22" t="n">
        <f aca="false">tab_alimentos[[#This Row],[kg]]</f>
        <v>0</v>
      </c>
      <c r="BM5" s="22" t="s">
        <v>250</v>
      </c>
      <c r="BN5" s="22" t="n">
        <f aca="false">SUMIF($BJ$5:$BJ$158,BM5,$BK$5:$BK$158)</f>
        <v>0</v>
      </c>
      <c r="BP5" s="22" t="str">
        <f aca="false">tab_higiene[[#This Row],[Item]]</f>
        <v>A</v>
      </c>
      <c r="BQ5" s="22" t="n">
        <f aca="false">IFERROR(FIND(" (",BP5),0)</f>
        <v>0</v>
      </c>
      <c r="BR5" s="22" t="str">
        <f aca="false">IF(BQ5=0,BP5,LEFT(BP5,BQ5-1))</f>
        <v>A</v>
      </c>
      <c r="BS5" s="22" t="n">
        <f aca="false">higiene[[#This Row],[Quantidade]]</f>
        <v>0</v>
      </c>
      <c r="BT5" s="22" t="n">
        <f aca="false">tab_higiene[Qtde (tot)]</f>
        <v>0</v>
      </c>
      <c r="BU5" s="22" t="n">
        <f aca="false">BS5*BT5</f>
        <v>0</v>
      </c>
      <c r="BV5" s="22" t="s">
        <v>250</v>
      </c>
      <c r="BW5" s="22" t="n">
        <f aca="false">SUMIF($BR$5:$BR$142,BV5,$BU$5:$BU$142)</f>
        <v>0</v>
      </c>
    </row>
    <row r="6" customFormat="false" ht="15" hidden="false" customHeight="false" outlineLevel="0" collapsed="false">
      <c r="D6" s="4"/>
      <c r="I6" s="26" t="str">
        <f aca="false">alimentos[[#This Row],[Item]]</f>
        <v>Abacaxi em calda (820g)</v>
      </c>
      <c r="J6" s="27" t="n">
        <f aca="false">IFERROR(alimentos[[#This Row],[kg/embalagem]],0)</f>
        <v>0.82</v>
      </c>
      <c r="K6" s="27" t="n">
        <f aca="false">IFERROR(alimentos[[#This Row],[Preço]],0)</f>
        <v>7.95</v>
      </c>
      <c r="L6" s="27" t="n">
        <f aca="false">SUMIFS(super1[Qtde],super1[Item],tab_alimentos[[#This Row],[Item]],super1[Bairro],mercado1)+SUMIFS(supercb[Qtde],supercb[Item],tab_alimentos[[#This Row],[Item]],supercb[Bairro],mercado1)</f>
        <v>0</v>
      </c>
      <c r="M6" s="27" t="n">
        <f aca="false">SUMIFS(super1[Qtde],super1[Item],tab_alimentos[[#This Row],[Item]],super1[Bairro],mercado2)+SUMIFS(supercb[Qtde],supercb[Item],tab_alimentos[[#This Row],[Item]],supercb[Bairro],mercado2)</f>
        <v>0</v>
      </c>
      <c r="N6" s="27" t="n">
        <f aca="false">SUMIFS(super1[Qtde],super1[Item],tab_alimentos[[#This Row],[Item]],super1[Bairro],mercado3)+SUMIFS(supercb[Qtde],supercb[Item],tab_alimentos[[#This Row],[Item]],supercb[Bairro],mercado3)</f>
        <v>0</v>
      </c>
      <c r="O6" s="27" t="n">
        <f aca="false">SUMIFS(super1[Qtde],super1[Item],tab_alimentos[[#This Row],[Item]],super1[Bairro],mercado4)+SUMIFS(supercb[Qtde],supercb[Item],tab_alimentos[[#This Row],[Item]],supercb[Bairro],mercado4)</f>
        <v>0</v>
      </c>
      <c r="P6" s="27" t="n">
        <f aca="false">SUMIFS(super1[Qtde],super1[Item],tab_alimentos[[#This Row],[Item]],super1[Bairro],mercado5)+SUMIFS(supercb[Qtde],supercb[Item],tab_alimentos[[#This Row],[Item]],supercb[Bairro],mercado5)</f>
        <v>0</v>
      </c>
      <c r="Q6" s="27" t="n">
        <f aca="false">SUMIFS(super1[Qtde],super1[Item],tab_alimentos[[#This Row],[Item]],super1[Bairro],mercado6)+SUMIFS(supercb[Qtde],supercb[Item],tab_alimentos[[#This Row],[Item]],supercb[Bairro],mercado6)</f>
        <v>0</v>
      </c>
      <c r="R6" s="27" t="n">
        <f aca="false">SUMIFS(super1[Qtde],super1[Item],tab_alimentos[[#This Row],[Item]],super1[Bairro],mercado7)+SUMIFS(supercb[Qtde],supercb[Item],tab_alimentos[[#This Row],[Item]],supercb[Bairro],mercado7)</f>
        <v>0</v>
      </c>
      <c r="S6" s="27" t="n">
        <f aca="false">SUMIFS(super1[Qtde],super1[Item],tab_alimentos[[#This Row],[Item]],super1[Bairro],mercado8)+SUMIFS(supercb[Qtde],supercb[Item],tab_alimentos[[#This Row],[Item]],supercb[Bairro],mercado8)</f>
        <v>0</v>
      </c>
      <c r="T6" s="27" t="n">
        <f aca="false">SUMIFS(super1[Qtde],super1[Item],tab_alimentos[[#This Row],[Item]],super1[Bairro],mercado9)+SUMIFS(supercb[Qtde],supercb[Item],tab_alimentos[[#This Row],[Item]],supercb[Bairro],mercado9)</f>
        <v>0</v>
      </c>
      <c r="U6" s="27" t="n">
        <f aca="false">SUMIFS(super1[Qtde],super1[Item],tab_alimentos[[#This Row],[Item]],super1[Bairro],mercado10)+SUMIFS(supercb[Qtde],supercb[Item],tab_alimentos[[#This Row],[Item]],supercb[Bairro],mercado10)</f>
        <v>0</v>
      </c>
      <c r="V6" s="27" t="n">
        <f aca="false">SUMIFS(super1[Qtde],super1[Item],tab_alimentos[[#This Row],[Item]],super1[Bairro],mercado11)+SUMIFS(supercb[Qtde],supercb[Item],tab_alimentos[[#This Row],[Item]],supercb[Bairro],mercado11)</f>
        <v>0</v>
      </c>
      <c r="W6" s="27" t="n">
        <f aca="false">SUMIFS(super1[Qtde],super1[Item],tab_alimentos[[#This Row],[Item]],super1[Bairro],mercado12)+SUMIFS(supercb[Qtde],supercb[Item],tab_alimentos[[#This Row],[Item]],supercb[Bairro],mercado12)</f>
        <v>0</v>
      </c>
      <c r="X6" s="27" t="n">
        <f aca="false">SUMIFS(super1[Qtde],super1[Item],tab_alimentos[[#This Row],[Item]],super1[Bairro],mercado13)+SUMIFS(supercb[Qtde],supercb[Item],tab_alimentos[[#This Row],[Item]],supercb[Bairro],mercado13)</f>
        <v>0</v>
      </c>
      <c r="Y6" s="27" t="n">
        <f aca="false">SUMIFS(super1[Qtde],super1[Item],tab_alimentos[[#This Row],[Item]],super1[Bairro],mercado14)+SUMIFS(supercb[Qtde],supercb[Item],tab_alimentos[[#This Row],[Item]],supercb[Bairro],mercado14)</f>
        <v>0</v>
      </c>
      <c r="Z6" s="27" t="n">
        <f aca="false">SUMIFS(super1[Qtde],super1[Item],tab_alimentos[[#This Row],[Item]],super1[Bairro],mercado15)+SUMIFS(supercb[Qtde],supercb[Item],tab_alimentos[[#This Row],[Item]],supercb[Bairro],mercado15)</f>
        <v>0</v>
      </c>
      <c r="AA6" s="27" t="n">
        <f aca="false">SUMIFS(super1[Qtde],super1[Item],tab_alimentos[[#This Row],[Item]],super1[Bairro],mercado16)+SUMIFS(supercb[Qtde],supercb[Item],tab_alimentos[[#This Row],[Item]],supercb[Bairro],mercado16)</f>
        <v>0</v>
      </c>
      <c r="AB6" s="27" t="n">
        <f aca="false">SUMIFS(super1[Qtde],super1[Item],tab_alimentos[[#This Row],[Item]],super1[Bairro],mercado17)+SUMIFS(supercb[Qtde],supercb[Item],tab_alimentos[[#This Row],[Item]],supercb[Bairro],mercado17)</f>
        <v>0</v>
      </c>
      <c r="AC6" s="27" t="n">
        <f aca="false">SUMIFS(super1[Qtde],super1[Item],tab_alimentos[[#This Row],[Item]],super1[Bairro],mercado18)+SUMIFS(supercb[Qtde],supercb[Item],tab_alimentos[[#This Row],[Item]],supercb[Bairro],mercado18)</f>
        <v>0</v>
      </c>
      <c r="AD6" s="27" t="n">
        <f aca="false">SUMIFS(super1[Qtde],super1[Item],tab_alimentos[[#This Row],[Item]],super1[Bairro],extras)+SUMIFS(supercb[Qtde],supercb[Item],tab_alimentos[[#This Row],[Item]],supercb[Bairro],extras)</f>
        <v>0</v>
      </c>
      <c r="AE6" s="27" t="n">
        <f aca="false">SUM(L6:AC6)</f>
        <v>0</v>
      </c>
      <c r="AF6" s="27" t="n">
        <f aca="false">IFERROR(AE6*K6,0)</f>
        <v>0</v>
      </c>
      <c r="AG6" s="28" t="n">
        <f aca="false">IFERROR(J6*AE6,0)</f>
        <v>0</v>
      </c>
      <c r="AH6" s="26" t="str">
        <f aca="false">higiene[[#This Row],[Item]]</f>
        <v>Absorvente (08un)</v>
      </c>
      <c r="AI6" s="27" t="n">
        <f aca="false">IFERROR(higiene[[#This Row],[Kg equivalente]],0)</f>
        <v>1.05663174012811</v>
      </c>
      <c r="AJ6" s="27" t="n">
        <f aca="false">IFERROR(higiene[[#This Row],[Preço por produto]],0)</f>
        <v>3.5</v>
      </c>
      <c r="AK6" s="27" t="n">
        <f aca="false">SUMIFS(super1[Qtde],super1[Item],tab_higiene[[#This Row],[Item]],super1[Bairro],mercado1)+SUMIFS(supercb[Qtde],supercb[Item],tab_higiene[[#This Row],[Item]],supercb[Bairro],mercado1)</f>
        <v>5</v>
      </c>
      <c r="AL6" s="27" t="n">
        <f aca="false">SUMIFS(super1[Qtde],super1[Item],tab_higiene[[#This Row],[Item]],super1[Bairro],mercado2)+SUMIFS(supercb[Qtde],supercb[Item],tab_higiene[[#This Row],[Item]],supercb[Bairro],mercado2)</f>
        <v>0</v>
      </c>
      <c r="AM6" s="27" t="n">
        <f aca="false">SUMIFS(super1[Qtde],super1[Item],tab_higiene[[#This Row],[Item]],super1[Bairro],mercado3)+SUMIFS(supercb[Qtde],supercb[Item],tab_higiene[[#This Row],[Item]],supercb[Bairro],mercado3)</f>
        <v>0</v>
      </c>
      <c r="AN6" s="27" t="n">
        <f aca="false">SUMIFS(super1[Qtde],super1[Item],tab_higiene[[#This Row],[Item]],super1[Bairro],mercado4)+SUMIFS(supercb[Qtde],supercb[Item],tab_higiene[[#This Row],[Item]],supercb[Bairro],mercado4)</f>
        <v>0</v>
      </c>
      <c r="AO6" s="27" t="n">
        <f aca="false">SUMIFS(super1[Qtde],super1[Item],tab_higiene[[#This Row],[Item]],super1[Bairro],mercado5)+SUMIFS(supercb[Qtde],supercb[Item],tab_higiene[[#This Row],[Item]],supercb[Bairro],mercado5)</f>
        <v>2</v>
      </c>
      <c r="AP6" s="27" t="n">
        <f aca="false">SUMIFS(super1[Qtde],super1[Item],tab_higiene[[#This Row],[Item]],super1[Bairro],mercado6)+SUMIFS(supercb[Qtde],supercb[Item],tab_higiene[[#This Row],[Item]],supercb[Bairro],mercado6)</f>
        <v>0</v>
      </c>
      <c r="AQ6" s="27" t="n">
        <f aca="false">SUMIFS(super1[Qtde],super1[Item],tab_higiene[[#This Row],[Item]],super1[Bairro],mercado7)+SUMIFS(supercb[Qtde],supercb[Item],tab_higiene[[#This Row],[Item]],supercb[Bairro],mercado7)</f>
        <v>0</v>
      </c>
      <c r="AR6" s="27" t="n">
        <f aca="false">SUMIFS(super1[Qtde],super1[Item],tab_higiene[[#This Row],[Item]],super1[Bairro],mercado8)+SUMIFS(supercb[Qtde],supercb[Item],tab_higiene[[#This Row],[Item]],supercb[Bairro],mercado8)</f>
        <v>0</v>
      </c>
      <c r="AS6" s="27" t="n">
        <f aca="false">SUMIFS(super1[Qtde],super1[Item],tab_higiene[[#This Row],[Item]],super1[Bairro],mercado9)+SUMIFS(supercb[Qtde],supercb[Item],tab_higiene[[#This Row],[Item]],supercb[Bairro],mercado9)</f>
        <v>0</v>
      </c>
      <c r="AT6" s="27" t="n">
        <f aca="false">SUMIFS(super1[Qtde],super1[Item],tab_higiene[[#This Row],[Item]],super1[Bairro],mercado10)+SUMIFS(supercb[Qtde],supercb[Item],tab_higiene[[#This Row],[Item]],supercb[Bairro],mercado10)</f>
        <v>2</v>
      </c>
      <c r="AU6" s="27" t="n">
        <f aca="false">SUMIFS(super1[Qtde],super1[Item],tab_higiene[[#This Row],[Item]],super1[Bairro],mercado11)+SUMIFS(supercb[Qtde],supercb[Item],tab_higiene[[#This Row],[Item]],supercb[Bairro],mercado11)</f>
        <v>0</v>
      </c>
      <c r="AV6" s="27" t="n">
        <f aca="false">SUMIFS(super1[Qtde],super1[Item],tab_higiene[[#This Row],[Item]],super1[Bairro],mercado12)+SUMIFS(supercb[Qtde],supercb[Item],tab_higiene[[#This Row],[Item]],supercb[Bairro],mercado12)</f>
        <v>0</v>
      </c>
      <c r="AW6" s="27" t="n">
        <f aca="false">SUMIFS(super1[Qtde],super1[Item],tab_higiene[[#This Row],[Item]],super1[Bairro],mercado13)+SUMIFS(supercb[Qtde],supercb[Item],tab_higiene[[#This Row],[Item]],supercb[Bairro],mercado13)</f>
        <v>4</v>
      </c>
      <c r="AX6" s="27" t="n">
        <f aca="false">SUMIFS(super1[Qtde],super1[Item],tab_higiene[[#This Row],[Item]],super1[Bairro],mercado14)+SUMIFS(supercb[Qtde],supercb[Item],tab_higiene[[#This Row],[Item]],supercb[Bairro],mercado14)</f>
        <v>0</v>
      </c>
      <c r="AY6" s="27" t="n">
        <f aca="false">SUMIFS(super1[Qtde],super1[Item],tab_higiene[[#This Row],[Item]],super1[Bairro],mercado15)+SUMIFS(supercb[Qtde],supercb[Item],tab_higiene[[#This Row],[Item]],supercb[Bairro],mercado15)</f>
        <v>0</v>
      </c>
      <c r="AZ6" s="27" t="n">
        <f aca="false">SUMIFS(super1[Qtde],super1[Item],tab_higiene[[#This Row],[Item]],super1[Bairro],mercado16)+SUMIFS(supercb[Qtde],supercb[Item],tab_higiene[[#This Row],[Item]],supercb[Bairro],mercado16)</f>
        <v>0</v>
      </c>
      <c r="BA6" s="27" t="n">
        <f aca="false">SUMIFS(super1[Qtde],super1[Item],tab_higiene[[#This Row],[Item]],super1[Bairro],mercado17)+SUMIFS(supercb[Qtde],supercb[Item],tab_higiene[[#This Row],[Item]],supercb[Bairro],mercado17)</f>
        <v>0</v>
      </c>
      <c r="BB6" s="27" t="n">
        <f aca="false">SUMIFS(super1[Qtde],super1[Item],tab_higiene[[#This Row],[Item]],super1[Bairro],mercado18)+SUMIFS(supercb[Qtde],supercb[Item],tab_higiene[[#This Row],[Item]],supercb[Bairro],mercado18)</f>
        <v>0</v>
      </c>
      <c r="BC6" s="27" t="n">
        <f aca="false">SUMIFS(super1[Qtde],super1[Item],tab_higiene[[#This Row],[Item]],super1[Bairro],extras)+SUMIFS(supercb[Qtde],supercb[Item],tab_higiene[[#This Row],[Item]],supercb[Bairro],extras)</f>
        <v>0</v>
      </c>
      <c r="BD6" s="27" t="n">
        <f aca="false">SUM(AK6:BB6)</f>
        <v>13</v>
      </c>
      <c r="BE6" s="27" t="n">
        <f aca="false">IFERROR(BD6*AJ6,0)</f>
        <v>45.5</v>
      </c>
      <c r="BF6" s="28" t="n">
        <f aca="false">IFERROR(AI6*BD6,0)</f>
        <v>13.7362126216654</v>
      </c>
      <c r="BI6" s="29" t="str">
        <f aca="false">tab_alimentos[[#This Row],[Item]]</f>
        <v>Abacaxi em calda (820g)</v>
      </c>
      <c r="BJ6" s="22" t="n">
        <f aca="false">IFERROR(FIND(" (",BI6),0)</f>
        <v>17</v>
      </c>
      <c r="BK6" s="22" t="str">
        <f aca="false">IF(BJ6=0,BI6,LEFT(BI6,BJ6-1))</f>
        <v>Abacaxi em calda</v>
      </c>
      <c r="BL6" s="22" t="n">
        <f aca="false">tab_alimentos[[#This Row],[kg]]</f>
        <v>0</v>
      </c>
      <c r="BM6" s="22" t="s">
        <v>251</v>
      </c>
      <c r="BN6" s="22" t="n">
        <f aca="false">SUMIF($BJ$5:$BJ$158,BM6,$BK$5:$BK$158)</f>
        <v>0</v>
      </c>
      <c r="BP6" s="22" t="str">
        <f aca="false">tab_higiene[[#This Row],[Item]]</f>
        <v>Absorvente (08un)</v>
      </c>
      <c r="BQ6" s="22" t="n">
        <f aca="false">IFERROR(FIND(" (",BP6),0)</f>
        <v>11</v>
      </c>
      <c r="BR6" s="22" t="str">
        <f aca="false">IF(BQ6=0,BP6,LEFT(BP6,BQ6-1))</f>
        <v>Absorvente</v>
      </c>
      <c r="BS6" s="22" t="n">
        <f aca="false">higiene[[#This Row],[Quantidade]]</f>
        <v>8</v>
      </c>
      <c r="BT6" s="22" t="n">
        <f aca="false">tab_higiene[Qtde (tot)]</f>
        <v>13</v>
      </c>
      <c r="BU6" s="22" t="n">
        <f aca="false">BS6*BT6</f>
        <v>104</v>
      </c>
      <c r="BV6" s="22" t="s">
        <v>252</v>
      </c>
      <c r="BW6" s="22" t="n">
        <f aca="false">SUMIF($BR$5:$BR$142,BV6,$BU$5:$BU$142)</f>
        <v>263</v>
      </c>
    </row>
    <row r="7" customFormat="false" ht="15" hidden="false" customHeight="false" outlineLevel="0" collapsed="false">
      <c r="A7" s="30" t="s">
        <v>253</v>
      </c>
      <c r="B7" s="31" t="s">
        <v>2</v>
      </c>
      <c r="C7" s="31"/>
      <c r="D7" s="31" t="s">
        <v>3</v>
      </c>
      <c r="E7" s="31"/>
      <c r="F7" s="31" t="s">
        <v>254</v>
      </c>
      <c r="G7" s="31"/>
      <c r="I7" s="26" t="str">
        <f aca="false">alimentos[[#This Row],[Item]]</f>
        <v>Abacaxi em calda (830g)</v>
      </c>
      <c r="J7" s="27" t="n">
        <f aca="false">IFERROR(alimentos[[#This Row],[kg/embalagem]],0)</f>
        <v>0.83</v>
      </c>
      <c r="K7" s="27" t="n">
        <f aca="false">IFERROR(alimentos[[#This Row],[Preço]],0)</f>
        <v>8.75</v>
      </c>
      <c r="L7" s="27" t="n">
        <f aca="false">SUMIFS(super1[Qtde],super1[Item],tab_alimentos[[#This Row],[Item]],super1[Bairro],mercado1)+SUMIFS(supercb[Qtde],supercb[Item],tab_alimentos[[#This Row],[Item]],supercb[Bairro],mercado1)</f>
        <v>0</v>
      </c>
      <c r="M7" s="27" t="n">
        <f aca="false">SUMIFS(super1[Qtde],super1[Item],tab_alimentos[[#This Row],[Item]],super1[Bairro],mercado2)+SUMIFS(supercb[Qtde],supercb[Item],tab_alimentos[[#This Row],[Item]],supercb[Bairro],mercado2)</f>
        <v>0</v>
      </c>
      <c r="N7" s="27" t="n">
        <f aca="false">SUMIFS(super1[Qtde],super1[Item],tab_alimentos[[#This Row],[Item]],super1[Bairro],mercado3)+SUMIFS(supercb[Qtde],supercb[Item],tab_alimentos[[#This Row],[Item]],supercb[Bairro],mercado3)</f>
        <v>0</v>
      </c>
      <c r="O7" s="27" t="n">
        <f aca="false">SUMIFS(super1[Qtde],super1[Item],tab_alimentos[[#This Row],[Item]],super1[Bairro],mercado4)+SUMIFS(supercb[Qtde],supercb[Item],tab_alimentos[[#This Row],[Item]],supercb[Bairro],mercado4)</f>
        <v>0</v>
      </c>
      <c r="P7" s="27" t="n">
        <f aca="false">SUMIFS(super1[Qtde],super1[Item],tab_alimentos[[#This Row],[Item]],super1[Bairro],mercado5)+SUMIFS(supercb[Qtde],supercb[Item],tab_alimentos[[#This Row],[Item]],supercb[Bairro],mercado5)</f>
        <v>0</v>
      </c>
      <c r="Q7" s="27" t="n">
        <f aca="false">SUMIFS(super1[Qtde],super1[Item],tab_alimentos[[#This Row],[Item]],super1[Bairro],mercado6)+SUMIFS(supercb[Qtde],supercb[Item],tab_alimentos[[#This Row],[Item]],supercb[Bairro],mercado6)</f>
        <v>0</v>
      </c>
      <c r="R7" s="27" t="n">
        <f aca="false">SUMIFS(super1[Qtde],super1[Item],tab_alimentos[[#This Row],[Item]],super1[Bairro],mercado7)+SUMIFS(supercb[Qtde],supercb[Item],tab_alimentos[[#This Row],[Item]],supercb[Bairro],mercado7)</f>
        <v>0</v>
      </c>
      <c r="S7" s="27" t="n">
        <f aca="false">SUMIFS(super1[Qtde],super1[Item],tab_alimentos[[#This Row],[Item]],super1[Bairro],mercado8)+SUMIFS(supercb[Qtde],supercb[Item],tab_alimentos[[#This Row],[Item]],supercb[Bairro],mercado8)</f>
        <v>0</v>
      </c>
      <c r="T7" s="27" t="n">
        <f aca="false">SUMIFS(super1[Qtde],super1[Item],tab_alimentos[[#This Row],[Item]],super1[Bairro],mercado9)+SUMIFS(supercb[Qtde],supercb[Item],tab_alimentos[[#This Row],[Item]],supercb[Bairro],mercado9)</f>
        <v>0</v>
      </c>
      <c r="U7" s="27" t="n">
        <f aca="false">SUMIFS(super1[Qtde],super1[Item],tab_alimentos[[#This Row],[Item]],super1[Bairro],mercado10)+SUMIFS(supercb[Qtde],supercb[Item],tab_alimentos[[#This Row],[Item]],supercb[Bairro],mercado10)</f>
        <v>0</v>
      </c>
      <c r="V7" s="27" t="n">
        <f aca="false">SUMIFS(super1[Qtde],super1[Item],tab_alimentos[[#This Row],[Item]],super1[Bairro],mercado11)+SUMIFS(supercb[Qtde],supercb[Item],tab_alimentos[[#This Row],[Item]],supercb[Bairro],mercado11)</f>
        <v>0</v>
      </c>
      <c r="W7" s="27" t="n">
        <f aca="false">SUMIFS(super1[Qtde],super1[Item],tab_alimentos[[#This Row],[Item]],super1[Bairro],mercado12)+SUMIFS(supercb[Qtde],supercb[Item],tab_alimentos[[#This Row],[Item]],supercb[Bairro],mercado12)</f>
        <v>0</v>
      </c>
      <c r="X7" s="27" t="n">
        <f aca="false">SUMIFS(super1[Qtde],super1[Item],tab_alimentos[[#This Row],[Item]],super1[Bairro],mercado13)+SUMIFS(supercb[Qtde],supercb[Item],tab_alimentos[[#This Row],[Item]],supercb[Bairro],mercado13)</f>
        <v>0</v>
      </c>
      <c r="Y7" s="27" t="n">
        <f aca="false">SUMIFS(super1[Qtde],super1[Item],tab_alimentos[[#This Row],[Item]],super1[Bairro],mercado14)+SUMIFS(supercb[Qtde],supercb[Item],tab_alimentos[[#This Row],[Item]],supercb[Bairro],mercado14)</f>
        <v>0</v>
      </c>
      <c r="Z7" s="27" t="n">
        <f aca="false">SUMIFS(super1[Qtde],super1[Item],tab_alimentos[[#This Row],[Item]],super1[Bairro],mercado15)+SUMIFS(supercb[Qtde],supercb[Item],tab_alimentos[[#This Row],[Item]],supercb[Bairro],mercado15)</f>
        <v>0</v>
      </c>
      <c r="AA7" s="27" t="n">
        <f aca="false">SUMIFS(super1[Qtde],super1[Item],tab_alimentos[[#This Row],[Item]],super1[Bairro],mercado16)+SUMIFS(supercb[Qtde],supercb[Item],tab_alimentos[[#This Row],[Item]],supercb[Bairro],mercado16)</f>
        <v>0</v>
      </c>
      <c r="AB7" s="27" t="n">
        <f aca="false">SUMIFS(super1[Qtde],super1[Item],tab_alimentos[[#This Row],[Item]],super1[Bairro],mercado17)+SUMIFS(supercb[Qtde],supercb[Item],tab_alimentos[[#This Row],[Item]],supercb[Bairro],mercado17)</f>
        <v>0</v>
      </c>
      <c r="AC7" s="27" t="n">
        <f aca="false">SUMIFS(super1[Qtde],super1[Item],tab_alimentos[[#This Row],[Item]],super1[Bairro],mercado18)+SUMIFS(supercb[Qtde],supercb[Item],tab_alimentos[[#This Row],[Item]],supercb[Bairro],mercado18)</f>
        <v>0</v>
      </c>
      <c r="AD7" s="27" t="n">
        <f aca="false">SUMIFS(super1[Qtde],super1[Item],tab_alimentos[[#This Row],[Item]],super1[Bairro],extras)+SUMIFS(supercb[Qtde],supercb[Item],tab_alimentos[[#This Row],[Item]],supercb[Bairro],extras)</f>
        <v>0</v>
      </c>
      <c r="AE7" s="27" t="n">
        <f aca="false">SUM(L7:AC7)</f>
        <v>0</v>
      </c>
      <c r="AF7" s="27" t="n">
        <f aca="false">IFERROR(AE7*K7,0)</f>
        <v>0</v>
      </c>
      <c r="AG7" s="28" t="n">
        <f aca="false">IFERROR(J7*AE7,0)</f>
        <v>0</v>
      </c>
      <c r="AH7" s="26" t="str">
        <f aca="false">higiene[[#This Row],[Item]]</f>
        <v>Absorvente (15un)</v>
      </c>
      <c r="AI7" s="27" t="n">
        <f aca="false">IFERROR(higiene[[#This Row],[Kg equivalente]],0)</f>
        <v>1.7177813146654</v>
      </c>
      <c r="AJ7" s="27" t="n">
        <f aca="false">IFERROR(higiene[[#This Row],[Preço por produto]],0)</f>
        <v>5.69</v>
      </c>
      <c r="AK7" s="27" t="n">
        <f aca="false">SUMIFS(super1[Qtde],super1[Item],tab_higiene[[#This Row],[Item]],super1[Bairro],mercado1)+SUMIFS(supercb[Qtde],supercb[Item],tab_higiene[[#This Row],[Item]],supercb[Bairro],mercado1)</f>
        <v>0</v>
      </c>
      <c r="AL7" s="27" t="n">
        <f aca="false">SUMIFS(super1[Qtde],super1[Item],tab_higiene[[#This Row],[Item]],super1[Bairro],mercado2)+SUMIFS(supercb[Qtde],supercb[Item],tab_higiene[[#This Row],[Item]],supercb[Bairro],mercado2)</f>
        <v>0</v>
      </c>
      <c r="AM7" s="27" t="n">
        <f aca="false">SUMIFS(super1[Qtde],super1[Item],tab_higiene[[#This Row],[Item]],super1[Bairro],mercado3)+SUMIFS(supercb[Qtde],supercb[Item],tab_higiene[[#This Row],[Item]],supercb[Bairro],mercado3)</f>
        <v>0</v>
      </c>
      <c r="AN7" s="27" t="n">
        <f aca="false">SUMIFS(super1[Qtde],super1[Item],tab_higiene[[#This Row],[Item]],super1[Bairro],mercado4)+SUMIFS(supercb[Qtde],supercb[Item],tab_higiene[[#This Row],[Item]],supercb[Bairro],mercado4)</f>
        <v>0</v>
      </c>
      <c r="AO7" s="27" t="n">
        <f aca="false">SUMIFS(super1[Qtde],super1[Item],tab_higiene[[#This Row],[Item]],super1[Bairro],mercado5)+SUMIFS(supercb[Qtde],supercb[Item],tab_higiene[[#This Row],[Item]],supercb[Bairro],mercado5)</f>
        <v>0</v>
      </c>
      <c r="AP7" s="27" t="n">
        <f aca="false">SUMIFS(super1[Qtde],super1[Item],tab_higiene[[#This Row],[Item]],super1[Bairro],mercado6)+SUMIFS(supercb[Qtde],supercb[Item],tab_higiene[[#This Row],[Item]],supercb[Bairro],mercado6)</f>
        <v>0</v>
      </c>
      <c r="AQ7" s="27" t="n">
        <f aca="false">SUMIFS(super1[Qtde],super1[Item],tab_higiene[[#This Row],[Item]],super1[Bairro],mercado7)+SUMIFS(supercb[Qtde],supercb[Item],tab_higiene[[#This Row],[Item]],supercb[Bairro],mercado7)</f>
        <v>0</v>
      </c>
      <c r="AR7" s="27" t="n">
        <f aca="false">SUMIFS(super1[Qtde],super1[Item],tab_higiene[[#This Row],[Item]],super1[Bairro],mercado8)+SUMIFS(supercb[Qtde],supercb[Item],tab_higiene[[#This Row],[Item]],supercb[Bairro],mercado8)</f>
        <v>0</v>
      </c>
      <c r="AS7" s="27" t="n">
        <f aca="false">SUMIFS(super1[Qtde],super1[Item],tab_higiene[[#This Row],[Item]],super1[Bairro],mercado9)+SUMIFS(supercb[Qtde],supercb[Item],tab_higiene[[#This Row],[Item]],supercb[Bairro],mercado9)</f>
        <v>0</v>
      </c>
      <c r="AT7" s="27" t="n">
        <f aca="false">SUMIFS(super1[Qtde],super1[Item],tab_higiene[[#This Row],[Item]],super1[Bairro],mercado10)+SUMIFS(supercb[Qtde],supercb[Item],tab_higiene[[#This Row],[Item]],supercb[Bairro],mercado10)</f>
        <v>1</v>
      </c>
      <c r="AU7" s="27" t="n">
        <f aca="false">SUMIFS(super1[Qtde],super1[Item],tab_higiene[[#This Row],[Item]],super1[Bairro],mercado11)+SUMIFS(supercb[Qtde],supercb[Item],tab_higiene[[#This Row],[Item]],supercb[Bairro],mercado11)</f>
        <v>0</v>
      </c>
      <c r="AV7" s="27" t="n">
        <f aca="false">SUMIFS(super1[Qtde],super1[Item],tab_higiene[[#This Row],[Item]],super1[Bairro],mercado12)+SUMIFS(supercb[Qtde],supercb[Item],tab_higiene[[#This Row],[Item]],supercb[Bairro],mercado12)</f>
        <v>0</v>
      </c>
      <c r="AW7" s="27" t="n">
        <f aca="false">SUMIFS(super1[Qtde],super1[Item],tab_higiene[[#This Row],[Item]],super1[Bairro],mercado13)+SUMIFS(supercb[Qtde],supercb[Item],tab_higiene[[#This Row],[Item]],supercb[Bairro],mercado13)</f>
        <v>0</v>
      </c>
      <c r="AX7" s="27" t="n">
        <f aca="false">SUMIFS(super1[Qtde],super1[Item],tab_higiene[[#This Row],[Item]],super1[Bairro],mercado14)+SUMIFS(supercb[Qtde],supercb[Item],tab_higiene[[#This Row],[Item]],supercb[Bairro],mercado14)</f>
        <v>0</v>
      </c>
      <c r="AY7" s="27" t="n">
        <f aca="false">SUMIFS(super1[Qtde],super1[Item],tab_higiene[[#This Row],[Item]],super1[Bairro],mercado15)+SUMIFS(supercb[Qtde],supercb[Item],tab_higiene[[#This Row],[Item]],supercb[Bairro],mercado15)</f>
        <v>0</v>
      </c>
      <c r="AZ7" s="27" t="n">
        <f aca="false">SUMIFS(super1[Qtde],super1[Item],tab_higiene[[#This Row],[Item]],super1[Bairro],mercado16)+SUMIFS(supercb[Qtde],supercb[Item],tab_higiene[[#This Row],[Item]],supercb[Bairro],mercado16)</f>
        <v>0</v>
      </c>
      <c r="BA7" s="27" t="n">
        <f aca="false">SUMIFS(super1[Qtde],super1[Item],tab_higiene[[#This Row],[Item]],super1[Bairro],mercado17)+SUMIFS(supercb[Qtde],supercb[Item],tab_higiene[[#This Row],[Item]],supercb[Bairro],mercado17)</f>
        <v>0</v>
      </c>
      <c r="BB7" s="27" t="n">
        <f aca="false">SUMIFS(super1[Qtde],super1[Item],tab_higiene[[#This Row],[Item]],super1[Bairro],mercado18)+SUMIFS(supercb[Qtde],supercb[Item],tab_higiene[[#This Row],[Item]],supercb[Bairro],mercado18)</f>
        <v>0</v>
      </c>
      <c r="BC7" s="27" t="n">
        <f aca="false">SUMIFS(super1[Qtde],super1[Item],tab_higiene[[#This Row],[Item]],super1[Bairro],extras)+SUMIFS(supercb[Qtde],supercb[Item],tab_higiene[[#This Row],[Item]],supercb[Bairro],extras)</f>
        <v>0</v>
      </c>
      <c r="BD7" s="27" t="n">
        <f aca="false">SUM(AK7:BB7)</f>
        <v>1</v>
      </c>
      <c r="BE7" s="27" t="n">
        <f aca="false">IFERROR(BD7*AJ7,0)</f>
        <v>5.69</v>
      </c>
      <c r="BF7" s="28" t="n">
        <f aca="false">IFERROR(AI7*BD7,0)</f>
        <v>1.7177813146654</v>
      </c>
      <c r="BI7" s="22" t="str">
        <f aca="false">tab_alimentos[[#This Row],[Item]]</f>
        <v>Abacaxi em calda (830g)</v>
      </c>
      <c r="BJ7" s="22" t="n">
        <f aca="false">IFERROR(FIND(" (",BI7),0)</f>
        <v>17</v>
      </c>
      <c r="BK7" s="22" t="str">
        <f aca="false">IF(BJ7=0,BI7,LEFT(BI7,BJ7-1))</f>
        <v>Abacaxi em calda</v>
      </c>
      <c r="BL7" s="22" t="n">
        <f aca="false">tab_alimentos[[#This Row],[kg]]</f>
        <v>0</v>
      </c>
      <c r="BM7" s="22" t="s">
        <v>255</v>
      </c>
      <c r="BN7" s="22" t="n">
        <f aca="false">SUMIF($BJ$5:$BJ$158,BM7,$BK$5:$BK$158)</f>
        <v>0</v>
      </c>
      <c r="BP7" s="22" t="str">
        <f aca="false">tab_higiene[[#This Row],[Item]]</f>
        <v>Absorvente (15un)</v>
      </c>
      <c r="BQ7" s="22" t="n">
        <f aca="false">IFERROR(FIND(" (",BP7),0)</f>
        <v>11</v>
      </c>
      <c r="BR7" s="22" t="str">
        <f aca="false">IF(BQ7=0,BP7,LEFT(BP7,BQ7-1))</f>
        <v>Absorvente</v>
      </c>
      <c r="BS7" s="22" t="n">
        <f aca="false">higiene[[#This Row],[Quantidade]]</f>
        <v>15</v>
      </c>
      <c r="BT7" s="22" t="n">
        <f aca="false">tab_higiene[Qtde (tot)]</f>
        <v>1</v>
      </c>
      <c r="BU7" s="22" t="n">
        <f aca="false">BS7*BT7</f>
        <v>15</v>
      </c>
      <c r="BV7" s="32" t="s">
        <v>256</v>
      </c>
      <c r="BW7" s="22" t="n">
        <f aca="false">SUMIF($BR$5:$BR$142,BV7,$BU$5:$BU$142)</f>
        <v>116</v>
      </c>
    </row>
    <row r="8" customFormat="false" ht="15" hidden="false" customHeight="false" outlineLevel="0" collapsed="false">
      <c r="A8" s="30"/>
      <c r="B8" s="33" t="s">
        <v>257</v>
      </c>
      <c r="C8" s="33" t="s">
        <v>258</v>
      </c>
      <c r="D8" s="33" t="s">
        <v>257</v>
      </c>
      <c r="E8" s="33" t="s">
        <v>258</v>
      </c>
      <c r="F8" s="33" t="s">
        <v>257</v>
      </c>
      <c r="G8" s="33" t="s">
        <v>258</v>
      </c>
      <c r="I8" s="26" t="str">
        <f aca="false">alimentos[[#This Row],[Item]]</f>
        <v>Achocolatado (1kg)</v>
      </c>
      <c r="J8" s="27" t="n">
        <f aca="false">IFERROR(alimentos[[#This Row],[kg/embalagem]],0)</f>
        <v>1</v>
      </c>
      <c r="K8" s="27" t="n">
        <f aca="false">IFERROR(alimentos[[#This Row],[Preço]],0)</f>
        <v>12.192</v>
      </c>
      <c r="L8" s="27" t="n">
        <f aca="false">SUMIFS(super1[Qtde],super1[Item],tab_alimentos[[#This Row],[Item]],super1[Bairro],mercado1)+SUMIFS(supercb[Qtde],supercb[Item],tab_alimentos[[#This Row],[Item]],supercb[Bairro],mercado1)</f>
        <v>0</v>
      </c>
      <c r="M8" s="27" t="n">
        <f aca="false">SUMIFS(super1[Qtde],super1[Item],tab_alimentos[[#This Row],[Item]],super1[Bairro],mercado2)+SUMIFS(supercb[Qtde],supercb[Item],tab_alimentos[[#This Row],[Item]],supercb[Bairro],mercado2)</f>
        <v>3</v>
      </c>
      <c r="N8" s="27" t="n">
        <f aca="false">SUMIFS(super1[Qtde],super1[Item],tab_alimentos[[#This Row],[Item]],super1[Bairro],mercado3)+SUMIFS(supercb[Qtde],supercb[Item],tab_alimentos[[#This Row],[Item]],supercb[Bairro],mercado3)</f>
        <v>0</v>
      </c>
      <c r="O8" s="27" t="n">
        <f aca="false">SUMIFS(super1[Qtde],super1[Item],tab_alimentos[[#This Row],[Item]],super1[Bairro],mercado4)+SUMIFS(supercb[Qtde],supercb[Item],tab_alimentos[[#This Row],[Item]],supercb[Bairro],mercado4)</f>
        <v>0</v>
      </c>
      <c r="P8" s="27" t="n">
        <f aca="false">SUMIFS(super1[Qtde],super1[Item],tab_alimentos[[#This Row],[Item]],super1[Bairro],mercado5)+SUMIFS(supercb[Qtde],supercb[Item],tab_alimentos[[#This Row],[Item]],supercb[Bairro],mercado5)</f>
        <v>2</v>
      </c>
      <c r="Q8" s="27" t="n">
        <f aca="false">SUMIFS(super1[Qtde],super1[Item],tab_alimentos[[#This Row],[Item]],super1[Bairro],mercado6)+SUMIFS(supercb[Qtde],supercb[Item],tab_alimentos[[#This Row],[Item]],supercb[Bairro],mercado6)</f>
        <v>3</v>
      </c>
      <c r="R8" s="27" t="n">
        <f aca="false">SUMIFS(super1[Qtde],super1[Item],tab_alimentos[[#This Row],[Item]],super1[Bairro],mercado7)+SUMIFS(supercb[Qtde],supercb[Item],tab_alimentos[[#This Row],[Item]],supercb[Bairro],mercado7)</f>
        <v>0</v>
      </c>
      <c r="S8" s="27" t="n">
        <f aca="false">SUMIFS(super1[Qtde],super1[Item],tab_alimentos[[#This Row],[Item]],super1[Bairro],mercado8)+SUMIFS(supercb[Qtde],supercb[Item],tab_alimentos[[#This Row],[Item]],supercb[Bairro],mercado8)</f>
        <v>3</v>
      </c>
      <c r="T8" s="27" t="n">
        <f aca="false">SUMIFS(super1[Qtde],super1[Item],tab_alimentos[[#This Row],[Item]],super1[Bairro],mercado9)+SUMIFS(supercb[Qtde],supercb[Item],tab_alimentos[[#This Row],[Item]],supercb[Bairro],mercado9)</f>
        <v>0</v>
      </c>
      <c r="U8" s="27" t="n">
        <f aca="false">SUMIFS(super1[Qtde],super1[Item],tab_alimentos[[#This Row],[Item]],super1[Bairro],mercado10)+SUMIFS(supercb[Qtde],supercb[Item],tab_alimentos[[#This Row],[Item]],supercb[Bairro],mercado10)</f>
        <v>1</v>
      </c>
      <c r="V8" s="27" t="n">
        <f aca="false">SUMIFS(super1[Qtde],super1[Item],tab_alimentos[[#This Row],[Item]],super1[Bairro],mercado11)+SUMIFS(supercb[Qtde],supercb[Item],tab_alimentos[[#This Row],[Item]],supercb[Bairro],mercado11)</f>
        <v>0</v>
      </c>
      <c r="W8" s="27" t="n">
        <f aca="false">SUMIFS(super1[Qtde],super1[Item],tab_alimentos[[#This Row],[Item]],super1[Bairro],mercado12)+SUMIFS(supercb[Qtde],supercb[Item],tab_alimentos[[#This Row],[Item]],supercb[Bairro],mercado12)</f>
        <v>0</v>
      </c>
      <c r="X8" s="27" t="n">
        <f aca="false">SUMIFS(super1[Qtde],super1[Item],tab_alimentos[[#This Row],[Item]],super1[Bairro],mercado13)+SUMIFS(supercb[Qtde],supercb[Item],tab_alimentos[[#This Row],[Item]],supercb[Bairro],mercado13)</f>
        <v>1</v>
      </c>
      <c r="Y8" s="27" t="n">
        <f aca="false">SUMIFS(super1[Qtde],super1[Item],tab_alimentos[[#This Row],[Item]],super1[Bairro],mercado14)+SUMIFS(supercb[Qtde],supercb[Item],tab_alimentos[[#This Row],[Item]],supercb[Bairro],mercado14)</f>
        <v>0</v>
      </c>
      <c r="Z8" s="27" t="n">
        <f aca="false">SUMIFS(super1[Qtde],super1[Item],tab_alimentos[[#This Row],[Item]],super1[Bairro],mercado15)+SUMIFS(supercb[Qtde],supercb[Item],tab_alimentos[[#This Row],[Item]],supercb[Bairro],mercado15)</f>
        <v>0</v>
      </c>
      <c r="AA8" s="27" t="n">
        <f aca="false">SUMIFS(super1[Qtde],super1[Item],tab_alimentos[[#This Row],[Item]],super1[Bairro],mercado16)+SUMIFS(supercb[Qtde],supercb[Item],tab_alimentos[[#This Row],[Item]],supercb[Bairro],mercado16)</f>
        <v>0</v>
      </c>
      <c r="AB8" s="27" t="n">
        <f aca="false">SUMIFS(super1[Qtde],super1[Item],tab_alimentos[[#This Row],[Item]],super1[Bairro],mercado17)+SUMIFS(supercb[Qtde],supercb[Item],tab_alimentos[[#This Row],[Item]],supercb[Bairro],mercado17)</f>
        <v>0</v>
      </c>
      <c r="AC8" s="27" t="n">
        <f aca="false">SUMIFS(super1[Qtde],super1[Item],tab_alimentos[[#This Row],[Item]],super1[Bairro],mercado18)+SUMIFS(supercb[Qtde],supercb[Item],tab_alimentos[[#This Row],[Item]],supercb[Bairro],mercado18)</f>
        <v>0</v>
      </c>
      <c r="AD8" s="27" t="n">
        <f aca="false">SUMIFS(super1[Qtde],super1[Item],tab_alimentos[[#This Row],[Item]],super1[Bairro],extras)+SUMIFS(supercb[Qtde],supercb[Item],tab_alimentos[[#This Row],[Item]],supercb[Bairro],extras)</f>
        <v>0</v>
      </c>
      <c r="AE8" s="27" t="n">
        <f aca="false">SUM(L8:AC8)</f>
        <v>13</v>
      </c>
      <c r="AF8" s="27" t="n">
        <f aca="false">IFERROR(AE8*K8,0)</f>
        <v>158.496</v>
      </c>
      <c r="AG8" s="28" t="n">
        <f aca="false">IFERROR(J8*AE8,0)</f>
        <v>13</v>
      </c>
      <c r="AH8" s="26" t="str">
        <f aca="false">higiene[[#This Row],[Item]]</f>
        <v>Absorvente (16un)</v>
      </c>
      <c r="AI8" s="27" t="n">
        <f aca="false">IFERROR(higiene[[#This Row],[Kg equivalente]],0)</f>
        <v>1.93454176878311</v>
      </c>
      <c r="AJ8" s="27" t="n">
        <f aca="false">IFERROR(higiene[[#This Row],[Preço por produto]],0)</f>
        <v>6.408</v>
      </c>
      <c r="AK8" s="27" t="n">
        <f aca="false">SUMIFS(super1[Qtde],super1[Item],tab_higiene[[#This Row],[Item]],super1[Bairro],mercado1)+SUMIFS(supercb[Qtde],supercb[Item],tab_higiene[[#This Row],[Item]],supercb[Bairro],mercado1)</f>
        <v>2</v>
      </c>
      <c r="AL8" s="27" t="n">
        <f aca="false">SUMIFS(super1[Qtde],super1[Item],tab_higiene[[#This Row],[Item]],super1[Bairro],mercado2)+SUMIFS(supercb[Qtde],supercb[Item],tab_higiene[[#This Row],[Item]],supercb[Bairro],mercado2)</f>
        <v>0</v>
      </c>
      <c r="AM8" s="27" t="n">
        <f aca="false">SUMIFS(super1[Qtde],super1[Item],tab_higiene[[#This Row],[Item]],super1[Bairro],mercado3)+SUMIFS(supercb[Qtde],supercb[Item],tab_higiene[[#This Row],[Item]],supercb[Bairro],mercado3)</f>
        <v>0</v>
      </c>
      <c r="AN8" s="27" t="n">
        <f aca="false">SUMIFS(super1[Qtde],super1[Item],tab_higiene[[#This Row],[Item]],super1[Bairro],mercado4)+SUMIFS(supercb[Qtde],supercb[Item],tab_higiene[[#This Row],[Item]],supercb[Bairro],mercado4)</f>
        <v>0</v>
      </c>
      <c r="AO8" s="27" t="n">
        <f aca="false">SUMIFS(super1[Qtde],super1[Item],tab_higiene[[#This Row],[Item]],super1[Bairro],mercado5)+SUMIFS(supercb[Qtde],supercb[Item],tab_higiene[[#This Row],[Item]],supercb[Bairro],mercado5)</f>
        <v>0</v>
      </c>
      <c r="AP8" s="27" t="n">
        <f aca="false">SUMIFS(super1[Qtde],super1[Item],tab_higiene[[#This Row],[Item]],super1[Bairro],mercado6)+SUMIFS(supercb[Qtde],supercb[Item],tab_higiene[[#This Row],[Item]],supercb[Bairro],mercado6)</f>
        <v>0</v>
      </c>
      <c r="AQ8" s="27" t="n">
        <f aca="false">SUMIFS(super1[Qtde],super1[Item],tab_higiene[[#This Row],[Item]],super1[Bairro],mercado7)+SUMIFS(supercb[Qtde],supercb[Item],tab_higiene[[#This Row],[Item]],supercb[Bairro],mercado7)</f>
        <v>0</v>
      </c>
      <c r="AR8" s="27" t="n">
        <f aca="false">SUMIFS(super1[Qtde],super1[Item],tab_higiene[[#This Row],[Item]],super1[Bairro],mercado8)+SUMIFS(supercb[Qtde],supercb[Item],tab_higiene[[#This Row],[Item]],supercb[Bairro],mercado8)</f>
        <v>0</v>
      </c>
      <c r="AS8" s="27" t="n">
        <f aca="false">SUMIFS(super1[Qtde],super1[Item],tab_higiene[[#This Row],[Item]],super1[Bairro],mercado9)+SUMIFS(supercb[Qtde],supercb[Item],tab_higiene[[#This Row],[Item]],supercb[Bairro],mercado9)</f>
        <v>0</v>
      </c>
      <c r="AT8" s="27" t="n">
        <f aca="false">SUMIFS(super1[Qtde],super1[Item],tab_higiene[[#This Row],[Item]],super1[Bairro],mercado10)+SUMIFS(supercb[Qtde],supercb[Item],tab_higiene[[#This Row],[Item]],supercb[Bairro],mercado10)</f>
        <v>0</v>
      </c>
      <c r="AU8" s="27" t="n">
        <f aca="false">SUMIFS(super1[Qtde],super1[Item],tab_higiene[[#This Row],[Item]],super1[Bairro],mercado11)+SUMIFS(supercb[Qtde],supercb[Item],tab_higiene[[#This Row],[Item]],supercb[Bairro],mercado11)</f>
        <v>0</v>
      </c>
      <c r="AV8" s="27" t="n">
        <f aca="false">SUMIFS(super1[Qtde],super1[Item],tab_higiene[[#This Row],[Item]],super1[Bairro],mercado12)+SUMIFS(supercb[Qtde],supercb[Item],tab_higiene[[#This Row],[Item]],supercb[Bairro],mercado12)</f>
        <v>0</v>
      </c>
      <c r="AW8" s="27" t="n">
        <f aca="false">SUMIFS(super1[Qtde],super1[Item],tab_higiene[[#This Row],[Item]],super1[Bairro],mercado13)+SUMIFS(supercb[Qtde],supercb[Item],tab_higiene[[#This Row],[Item]],supercb[Bairro],mercado13)</f>
        <v>3</v>
      </c>
      <c r="AX8" s="27" t="n">
        <f aca="false">SUMIFS(super1[Qtde],super1[Item],tab_higiene[[#This Row],[Item]],super1[Bairro],mercado14)+SUMIFS(supercb[Qtde],supercb[Item],tab_higiene[[#This Row],[Item]],supercb[Bairro],mercado14)</f>
        <v>0</v>
      </c>
      <c r="AY8" s="27" t="n">
        <f aca="false">SUMIFS(super1[Qtde],super1[Item],tab_higiene[[#This Row],[Item]],super1[Bairro],mercado15)+SUMIFS(supercb[Qtde],supercb[Item],tab_higiene[[#This Row],[Item]],supercb[Bairro],mercado15)</f>
        <v>0</v>
      </c>
      <c r="AZ8" s="27" t="n">
        <f aca="false">SUMIFS(super1[Qtde],super1[Item],tab_higiene[[#This Row],[Item]],super1[Bairro],mercado16)+SUMIFS(supercb[Qtde],supercb[Item],tab_higiene[[#This Row],[Item]],supercb[Bairro],mercado16)</f>
        <v>0</v>
      </c>
      <c r="BA8" s="27" t="n">
        <f aca="false">SUMIFS(super1[Qtde],super1[Item],tab_higiene[[#This Row],[Item]],super1[Bairro],mercado17)+SUMIFS(supercb[Qtde],supercb[Item],tab_higiene[[#This Row],[Item]],supercb[Bairro],mercado17)</f>
        <v>0</v>
      </c>
      <c r="BB8" s="27" t="n">
        <f aca="false">SUMIFS(super1[Qtde],super1[Item],tab_higiene[[#This Row],[Item]],super1[Bairro],mercado18)+SUMIFS(supercb[Qtde],supercb[Item],tab_higiene[[#This Row],[Item]],supercb[Bairro],mercado18)</f>
        <v>0</v>
      </c>
      <c r="BC8" s="27" t="n">
        <f aca="false">SUMIFS(super1[Qtde],super1[Item],tab_higiene[[#This Row],[Item]],super1[Bairro],extras)+SUMIFS(supercb[Qtde],supercb[Item],tab_higiene[[#This Row],[Item]],supercb[Bairro],extras)</f>
        <v>0</v>
      </c>
      <c r="BD8" s="27" t="n">
        <f aca="false">SUM(AK8:BB8)</f>
        <v>5</v>
      </c>
      <c r="BE8" s="27" t="n">
        <f aca="false">IFERROR(BD8*AJ8,0)</f>
        <v>32.04</v>
      </c>
      <c r="BF8" s="28" t="n">
        <f aca="false">IFERROR(AI8*BD8,0)</f>
        <v>9.67270884391557</v>
      </c>
      <c r="BI8" s="22" t="str">
        <f aca="false">tab_alimentos[[#This Row],[Item]]</f>
        <v>Achocolatado (1kg)</v>
      </c>
      <c r="BJ8" s="22" t="n">
        <f aca="false">IFERROR(FIND(" (",BI8),0)</f>
        <v>13</v>
      </c>
      <c r="BK8" s="22" t="str">
        <f aca="false">IF(BJ8=0,BI8,LEFT(BI8,BJ8-1))</f>
        <v>Achocolatado</v>
      </c>
      <c r="BL8" s="22" t="n">
        <f aca="false">tab_alimentos[[#This Row],[kg]]</f>
        <v>13</v>
      </c>
      <c r="BM8" s="22" t="s">
        <v>259</v>
      </c>
      <c r="BN8" s="22" t="n">
        <f aca="false">SUMIF($BJ$5:$BJ$158,BM8,$BK$5:$BK$158)</f>
        <v>0</v>
      </c>
      <c r="BP8" s="22" t="str">
        <f aca="false">tab_higiene[[#This Row],[Item]]</f>
        <v>Absorvente (16un)</v>
      </c>
      <c r="BQ8" s="22" t="n">
        <f aca="false">IFERROR(FIND(" (",BP8),0)</f>
        <v>11</v>
      </c>
      <c r="BR8" s="22" t="str">
        <f aca="false">IF(BQ8=0,BP8,LEFT(BP8,BQ8-1))</f>
        <v>Absorvente</v>
      </c>
      <c r="BS8" s="22" t="n">
        <f aca="false">higiene[[#This Row],[Quantidade]]</f>
        <v>16</v>
      </c>
      <c r="BT8" s="22" t="n">
        <f aca="false">tab_higiene[Qtde (tot)]</f>
        <v>5</v>
      </c>
      <c r="BU8" s="22" t="n">
        <f aca="false">BS8*BT8</f>
        <v>80</v>
      </c>
      <c r="BV8" s="32" t="s">
        <v>260</v>
      </c>
      <c r="BW8" s="22" t="n">
        <f aca="false">SUMIF($BR$5:$BR$142,BV8,$BU$5:$BU$142)</f>
        <v>1</v>
      </c>
    </row>
    <row r="9" customFormat="false" ht="15" hidden="false" customHeight="false" outlineLevel="0" collapsed="false">
      <c r="A9" s="0" t="str">
        <f aca="false">tabMercados[[#This Row],[Supermercados]]</f>
        <v>Jaú Cidade Jardim</v>
      </c>
      <c r="B9" s="34" t="n">
        <f aca="false">SUMPRODUCT(tab_alimentos[kg/embalagem],tab_alimentos[Qtde (S1)])</f>
        <v>208.96</v>
      </c>
      <c r="C9" s="34" t="n">
        <f aca="false">SUMPRODUCT(tab_alimentos[Preço],tab_alimentos[Qtde (S1)])</f>
        <v>690.705166666667</v>
      </c>
      <c r="D9" s="34" t="n">
        <f aca="false">SUMPRODUCT(tab_higiene[kg/embalagem],tab_higiene[Qtde (S1)])</f>
        <v>80.1635305440961</v>
      </c>
      <c r="E9" s="34" t="n">
        <f aca="false">SUMPRODUCT(tab_higiene[Preço],tab_higiene[Qtde (S1)])</f>
        <v>265.534666666667</v>
      </c>
      <c r="F9" s="34" t="n">
        <f aca="false">B9+D9</f>
        <v>289.123530544096</v>
      </c>
      <c r="G9" s="34" t="n">
        <f aca="false">C9+E9</f>
        <v>956.239833333334</v>
      </c>
      <c r="I9" s="26" t="str">
        <f aca="false">alimentos[[#This Row],[Item]]</f>
        <v>Achocolatado (200g)</v>
      </c>
      <c r="J9" s="27" t="n">
        <f aca="false">IFERROR(alimentos[[#This Row],[kg/embalagem]],0)</f>
        <v>0.2</v>
      </c>
      <c r="K9" s="27" t="n">
        <f aca="false">IFERROR(alimentos[[#This Row],[Preço]],0)</f>
        <v>4.19</v>
      </c>
      <c r="L9" s="27" t="n">
        <f aca="false">SUMIFS(super1[Qtde],super1[Item],tab_alimentos[[#This Row],[Item]],super1[Bairro],mercado1)+SUMIFS(supercb[Qtde],supercb[Item],tab_alimentos[[#This Row],[Item]],supercb[Bairro],mercado1)</f>
        <v>0</v>
      </c>
      <c r="M9" s="27" t="n">
        <f aca="false">SUMIFS(super1[Qtde],super1[Item],tab_alimentos[[#This Row],[Item]],super1[Bairro],mercado2)+SUMIFS(supercb[Qtde],supercb[Item],tab_alimentos[[#This Row],[Item]],supercb[Bairro],mercado2)</f>
        <v>0</v>
      </c>
      <c r="N9" s="27" t="n">
        <f aca="false">SUMIFS(super1[Qtde],super1[Item],tab_alimentos[[#This Row],[Item]],super1[Bairro],mercado3)+SUMIFS(supercb[Qtde],supercb[Item],tab_alimentos[[#This Row],[Item]],supercb[Bairro],mercado3)</f>
        <v>0</v>
      </c>
      <c r="O9" s="27" t="n">
        <f aca="false">SUMIFS(super1[Qtde],super1[Item],tab_alimentos[[#This Row],[Item]],super1[Bairro],mercado4)+SUMIFS(supercb[Qtde],supercb[Item],tab_alimentos[[#This Row],[Item]],supercb[Bairro],mercado4)</f>
        <v>0</v>
      </c>
      <c r="P9" s="27" t="n">
        <f aca="false">SUMIFS(super1[Qtde],super1[Item],tab_alimentos[[#This Row],[Item]],super1[Bairro],mercado5)+SUMIFS(supercb[Qtde],supercb[Item],tab_alimentos[[#This Row],[Item]],supercb[Bairro],mercado5)</f>
        <v>0</v>
      </c>
      <c r="Q9" s="27" t="n">
        <f aca="false">SUMIFS(super1[Qtde],super1[Item],tab_alimentos[[#This Row],[Item]],super1[Bairro],mercado6)+SUMIFS(supercb[Qtde],supercb[Item],tab_alimentos[[#This Row],[Item]],supercb[Bairro],mercado6)</f>
        <v>0</v>
      </c>
      <c r="R9" s="27" t="n">
        <f aca="false">SUMIFS(super1[Qtde],super1[Item],tab_alimentos[[#This Row],[Item]],super1[Bairro],mercado7)+SUMIFS(supercb[Qtde],supercb[Item],tab_alimentos[[#This Row],[Item]],supercb[Bairro],mercado7)</f>
        <v>0</v>
      </c>
      <c r="S9" s="27" t="n">
        <f aca="false">SUMIFS(super1[Qtde],super1[Item],tab_alimentos[[#This Row],[Item]],super1[Bairro],mercado8)+SUMIFS(supercb[Qtde],supercb[Item],tab_alimentos[[#This Row],[Item]],supercb[Bairro],mercado8)</f>
        <v>0</v>
      </c>
      <c r="T9" s="27" t="n">
        <f aca="false">SUMIFS(super1[Qtde],super1[Item],tab_alimentos[[#This Row],[Item]],super1[Bairro],mercado9)+SUMIFS(supercb[Qtde],supercb[Item],tab_alimentos[[#This Row],[Item]],supercb[Bairro],mercado9)</f>
        <v>0</v>
      </c>
      <c r="U9" s="27" t="n">
        <f aca="false">SUMIFS(super1[Qtde],super1[Item],tab_alimentos[[#This Row],[Item]],super1[Bairro],mercado10)+SUMIFS(supercb[Qtde],supercb[Item],tab_alimentos[[#This Row],[Item]],supercb[Bairro],mercado10)</f>
        <v>0</v>
      </c>
      <c r="V9" s="27" t="n">
        <f aca="false">SUMIFS(super1[Qtde],super1[Item],tab_alimentos[[#This Row],[Item]],super1[Bairro],mercado11)+SUMIFS(supercb[Qtde],supercb[Item],tab_alimentos[[#This Row],[Item]],supercb[Bairro],mercado11)</f>
        <v>0</v>
      </c>
      <c r="W9" s="27" t="n">
        <f aca="false">SUMIFS(super1[Qtde],super1[Item],tab_alimentos[[#This Row],[Item]],super1[Bairro],mercado12)+SUMIFS(supercb[Qtde],supercb[Item],tab_alimentos[[#This Row],[Item]],supercb[Bairro],mercado12)</f>
        <v>0</v>
      </c>
      <c r="X9" s="27" t="n">
        <f aca="false">SUMIFS(super1[Qtde],super1[Item],tab_alimentos[[#This Row],[Item]],super1[Bairro],mercado13)+SUMIFS(supercb[Qtde],supercb[Item],tab_alimentos[[#This Row],[Item]],supercb[Bairro],mercado13)</f>
        <v>0</v>
      </c>
      <c r="Y9" s="27" t="n">
        <f aca="false">SUMIFS(super1[Qtde],super1[Item],tab_alimentos[[#This Row],[Item]],super1[Bairro],mercado14)+SUMIFS(supercb[Qtde],supercb[Item],tab_alimentos[[#This Row],[Item]],supercb[Bairro],mercado14)</f>
        <v>0</v>
      </c>
      <c r="Z9" s="27" t="n">
        <f aca="false">SUMIFS(super1[Qtde],super1[Item],tab_alimentos[[#This Row],[Item]],super1[Bairro],mercado15)+SUMIFS(supercb[Qtde],supercb[Item],tab_alimentos[[#This Row],[Item]],supercb[Bairro],mercado15)</f>
        <v>0</v>
      </c>
      <c r="AA9" s="27" t="n">
        <f aca="false">SUMIFS(super1[Qtde],super1[Item],tab_alimentos[[#This Row],[Item]],super1[Bairro],mercado16)+SUMIFS(supercb[Qtde],supercb[Item],tab_alimentos[[#This Row],[Item]],supercb[Bairro],mercado16)</f>
        <v>0</v>
      </c>
      <c r="AB9" s="27" t="n">
        <f aca="false">SUMIFS(super1[Qtde],super1[Item],tab_alimentos[[#This Row],[Item]],super1[Bairro],mercado17)+SUMIFS(supercb[Qtde],supercb[Item],tab_alimentos[[#This Row],[Item]],supercb[Bairro],mercado17)</f>
        <v>0</v>
      </c>
      <c r="AC9" s="27" t="n">
        <f aca="false">SUMIFS(super1[Qtde],super1[Item],tab_alimentos[[#This Row],[Item]],super1[Bairro],mercado18)+SUMIFS(supercb[Qtde],supercb[Item],tab_alimentos[[#This Row],[Item]],supercb[Bairro],mercado18)</f>
        <v>0</v>
      </c>
      <c r="AD9" s="27" t="n">
        <f aca="false">SUMIFS(super1[Qtde],super1[Item],tab_alimentos[[#This Row],[Item]],super1[Bairro],extras)+SUMIFS(supercb[Qtde],supercb[Item],tab_alimentos[[#This Row],[Item]],supercb[Bairro],extras)</f>
        <v>0</v>
      </c>
      <c r="AE9" s="27" t="n">
        <f aca="false">SUM(L9:AC9)</f>
        <v>0</v>
      </c>
      <c r="AF9" s="27" t="n">
        <f aca="false">IFERROR(AE9*K9,0)</f>
        <v>0</v>
      </c>
      <c r="AG9" s="28" t="n">
        <f aca="false">IFERROR(J9*AE9,0)</f>
        <v>0</v>
      </c>
      <c r="AH9" s="26" t="str">
        <f aca="false">higiene[[#This Row],[Item]]</f>
        <v>Absorvente (32un)</v>
      </c>
      <c r="AI9" s="27" t="n">
        <f aca="false">IFERROR(higiene[[#This Row],[Kg equivalente]],0)</f>
        <v>4.33762424061732</v>
      </c>
      <c r="AJ9" s="27" t="n">
        <f aca="false">IFERROR(higiene[[#This Row],[Preço por produto]],0)</f>
        <v>14.368</v>
      </c>
      <c r="AK9" s="27" t="n">
        <f aca="false">SUMIFS(super1[Qtde],super1[Item],tab_higiene[[#This Row],[Item]],super1[Bairro],mercado1)+SUMIFS(supercb[Qtde],supercb[Item],tab_higiene[[#This Row],[Item]],supercb[Bairro],mercado1)</f>
        <v>0</v>
      </c>
      <c r="AL9" s="27" t="n">
        <f aca="false">SUMIFS(super1[Qtde],super1[Item],tab_higiene[[#This Row],[Item]],super1[Bairro],mercado2)+SUMIFS(supercb[Qtde],supercb[Item],tab_higiene[[#This Row],[Item]],supercb[Bairro],mercado2)</f>
        <v>0</v>
      </c>
      <c r="AM9" s="27" t="n">
        <f aca="false">SUMIFS(super1[Qtde],super1[Item],tab_higiene[[#This Row],[Item]],super1[Bairro],mercado3)+SUMIFS(supercb[Qtde],supercb[Item],tab_higiene[[#This Row],[Item]],supercb[Bairro],mercado3)</f>
        <v>0</v>
      </c>
      <c r="AN9" s="27" t="n">
        <f aca="false">SUMIFS(super1[Qtde],super1[Item],tab_higiene[[#This Row],[Item]],super1[Bairro],mercado4)+SUMIFS(supercb[Qtde],supercb[Item],tab_higiene[[#This Row],[Item]],supercb[Bairro],mercado4)</f>
        <v>0</v>
      </c>
      <c r="AO9" s="27" t="n">
        <f aca="false">SUMIFS(super1[Qtde],super1[Item],tab_higiene[[#This Row],[Item]],super1[Bairro],mercado5)+SUMIFS(supercb[Qtde],supercb[Item],tab_higiene[[#This Row],[Item]],supercb[Bairro],mercado5)</f>
        <v>0</v>
      </c>
      <c r="AP9" s="27" t="n">
        <f aca="false">SUMIFS(super1[Qtde],super1[Item],tab_higiene[[#This Row],[Item]],super1[Bairro],mercado6)+SUMIFS(supercb[Qtde],supercb[Item],tab_higiene[[#This Row],[Item]],supercb[Bairro],mercado6)</f>
        <v>0</v>
      </c>
      <c r="AQ9" s="27" t="n">
        <f aca="false">SUMIFS(super1[Qtde],super1[Item],tab_higiene[[#This Row],[Item]],super1[Bairro],mercado7)+SUMIFS(supercb[Qtde],supercb[Item],tab_higiene[[#This Row],[Item]],supercb[Bairro],mercado7)</f>
        <v>0</v>
      </c>
      <c r="AR9" s="27" t="n">
        <f aca="false">SUMIFS(super1[Qtde],super1[Item],tab_higiene[[#This Row],[Item]],super1[Bairro],mercado8)+SUMIFS(supercb[Qtde],supercb[Item],tab_higiene[[#This Row],[Item]],supercb[Bairro],mercado8)</f>
        <v>0</v>
      </c>
      <c r="AS9" s="27" t="n">
        <f aca="false">SUMIFS(super1[Qtde],super1[Item],tab_higiene[[#This Row],[Item]],super1[Bairro],mercado9)+SUMIFS(supercb[Qtde],supercb[Item],tab_higiene[[#This Row],[Item]],supercb[Bairro],mercado9)</f>
        <v>0</v>
      </c>
      <c r="AT9" s="27" t="n">
        <f aca="false">SUMIFS(super1[Qtde],super1[Item],tab_higiene[[#This Row],[Item]],super1[Bairro],mercado10)+SUMIFS(supercb[Qtde],supercb[Item],tab_higiene[[#This Row],[Item]],supercb[Bairro],mercado10)</f>
        <v>1</v>
      </c>
      <c r="AU9" s="27" t="n">
        <f aca="false">SUMIFS(super1[Qtde],super1[Item],tab_higiene[[#This Row],[Item]],super1[Bairro],mercado11)+SUMIFS(supercb[Qtde],supercb[Item],tab_higiene[[#This Row],[Item]],supercb[Bairro],mercado11)</f>
        <v>0</v>
      </c>
      <c r="AV9" s="27" t="n">
        <f aca="false">SUMIFS(super1[Qtde],super1[Item],tab_higiene[[#This Row],[Item]],super1[Bairro],mercado12)+SUMIFS(supercb[Qtde],supercb[Item],tab_higiene[[#This Row],[Item]],supercb[Bairro],mercado12)</f>
        <v>0</v>
      </c>
      <c r="AW9" s="27" t="n">
        <f aca="false">SUMIFS(super1[Qtde],super1[Item],tab_higiene[[#This Row],[Item]],super1[Bairro],mercado13)+SUMIFS(supercb[Qtde],supercb[Item],tab_higiene[[#This Row],[Item]],supercb[Bairro],mercado13)</f>
        <v>1</v>
      </c>
      <c r="AX9" s="27" t="n">
        <f aca="false">SUMIFS(super1[Qtde],super1[Item],tab_higiene[[#This Row],[Item]],super1[Bairro],mercado14)+SUMIFS(supercb[Qtde],supercb[Item],tab_higiene[[#This Row],[Item]],supercb[Bairro],mercado14)</f>
        <v>0</v>
      </c>
      <c r="AY9" s="27" t="n">
        <f aca="false">SUMIFS(super1[Qtde],super1[Item],tab_higiene[[#This Row],[Item]],super1[Bairro],mercado15)+SUMIFS(supercb[Qtde],supercb[Item],tab_higiene[[#This Row],[Item]],supercb[Bairro],mercado15)</f>
        <v>0</v>
      </c>
      <c r="AZ9" s="27" t="n">
        <f aca="false">SUMIFS(super1[Qtde],super1[Item],tab_higiene[[#This Row],[Item]],super1[Bairro],mercado16)+SUMIFS(supercb[Qtde],supercb[Item],tab_higiene[[#This Row],[Item]],supercb[Bairro],mercado16)</f>
        <v>0</v>
      </c>
      <c r="BA9" s="27" t="n">
        <f aca="false">SUMIFS(super1[Qtde],super1[Item],tab_higiene[[#This Row],[Item]],super1[Bairro],mercado17)+SUMIFS(supercb[Qtde],supercb[Item],tab_higiene[[#This Row],[Item]],supercb[Bairro],mercado17)</f>
        <v>0</v>
      </c>
      <c r="BB9" s="27" t="n">
        <f aca="false">SUMIFS(super1[Qtde],super1[Item],tab_higiene[[#This Row],[Item]],super1[Bairro],mercado18)+SUMIFS(supercb[Qtde],supercb[Item],tab_higiene[[#This Row],[Item]],supercb[Bairro],mercado18)</f>
        <v>0</v>
      </c>
      <c r="BC9" s="27" t="n">
        <f aca="false">SUMIFS(super1[Qtde],super1[Item],tab_higiene[[#This Row],[Item]],super1[Bairro],extras)+SUMIFS(supercb[Qtde],supercb[Item],tab_higiene[[#This Row],[Item]],supercb[Bairro],extras)</f>
        <v>0</v>
      </c>
      <c r="BD9" s="27" t="n">
        <f aca="false">SUM(AK9:BB9)</f>
        <v>2</v>
      </c>
      <c r="BE9" s="27" t="n">
        <f aca="false">IFERROR(BD9*AJ9,0)</f>
        <v>28.736</v>
      </c>
      <c r="BF9" s="28" t="n">
        <f aca="false">IFERROR(AI9*BD9,0)</f>
        <v>8.67524848123463</v>
      </c>
      <c r="BI9" s="22" t="str">
        <f aca="false">tab_alimentos[[#This Row],[Item]]</f>
        <v>Achocolatado (200g)</v>
      </c>
      <c r="BJ9" s="22" t="n">
        <f aca="false">IFERROR(FIND(" (",BI9),0)</f>
        <v>13</v>
      </c>
      <c r="BK9" s="22" t="str">
        <f aca="false">IF(BJ9=0,BI9,LEFT(BI9,BJ9-1))</f>
        <v>Achocolatado</v>
      </c>
      <c r="BL9" s="22" t="n">
        <f aca="false">tab_alimentos[[#This Row],[kg]]</f>
        <v>0</v>
      </c>
      <c r="BM9" s="22" t="s">
        <v>261</v>
      </c>
      <c r="BN9" s="22" t="n">
        <f aca="false">SUMIF($BJ$5:$BJ$158,BM9,$BK$5:$BK$158)</f>
        <v>0</v>
      </c>
      <c r="BP9" s="22" t="str">
        <f aca="false">tab_higiene[[#This Row],[Item]]</f>
        <v>Absorvente (32un)</v>
      </c>
      <c r="BQ9" s="22" t="n">
        <f aca="false">IFERROR(FIND(" (",BP9),0)</f>
        <v>11</v>
      </c>
      <c r="BR9" s="22" t="str">
        <f aca="false">IF(BQ9=0,BP9,LEFT(BP9,BQ9-1))</f>
        <v>Absorvente</v>
      </c>
      <c r="BS9" s="22" t="n">
        <f aca="false">higiene[[#This Row],[Quantidade]]</f>
        <v>32</v>
      </c>
      <c r="BT9" s="22" t="n">
        <f aca="false">tab_higiene[Qtde (tot)]</f>
        <v>2</v>
      </c>
      <c r="BU9" s="22" t="n">
        <f aca="false">BS9*BT9</f>
        <v>64</v>
      </c>
      <c r="BV9" s="32" t="s">
        <v>262</v>
      </c>
      <c r="BW9" s="22" t="n">
        <f aca="false">SUMIF($BR$5:$BR$142,BV9,$BU$5:$BU$142)</f>
        <v>0</v>
      </c>
    </row>
    <row r="10" customFormat="false" ht="15" hidden="false" customHeight="false" outlineLevel="0" collapsed="false">
      <c r="A10" s="0" t="str">
        <f aca="false">tabMercados[[#This Row],[Supermercados]]</f>
        <v>Jaú Padre Teixeira</v>
      </c>
      <c r="B10" s="34" t="n">
        <f aca="false">SUMPRODUCT(tab_alimentos[kg/embalagem],tab_alimentos[Qtde (S2)])</f>
        <v>280.66</v>
      </c>
      <c r="C10" s="34" t="n">
        <f aca="false">SUMPRODUCT(tab_alimentos[Preço],tab_alimentos[Qtde (S2)])</f>
        <v>900.129833333333</v>
      </c>
      <c r="D10" s="34" t="n">
        <f aca="false">SUMPRODUCT(tab_higiene[kg/embalagem],tab_higiene[Qtde (S2)])</f>
        <v>115.740623128992</v>
      </c>
      <c r="E10" s="34" t="n">
        <f aca="false">SUMPRODUCT(tab_higiene[Preço],tab_higiene[Qtde (S2)])</f>
        <v>383.380666666667</v>
      </c>
      <c r="F10" s="34" t="n">
        <f aca="false">B10+D10</f>
        <v>396.400623128992</v>
      </c>
      <c r="G10" s="34" t="n">
        <f aca="false">C10+E10</f>
        <v>1283.5105</v>
      </c>
      <c r="I10" s="26" t="str">
        <f aca="false">alimentos[[#This Row],[Item]]</f>
        <v>Achocolatado (300g)</v>
      </c>
      <c r="J10" s="27" t="n">
        <f aca="false">IFERROR(alimentos[[#This Row],[kg/embalagem]],0)</f>
        <v>0.3</v>
      </c>
      <c r="K10" s="27" t="n">
        <f aca="false">IFERROR(alimentos[[#This Row],[Preço]],0)</f>
        <v>7.0175</v>
      </c>
      <c r="L10" s="27" t="n">
        <f aca="false">SUMIFS(super1[Qtde],super1[Item],tab_alimentos[[#This Row],[Item]],super1[Bairro],mercado1)+SUMIFS(supercb[Qtde],supercb[Item],tab_alimentos[[#This Row],[Item]],supercb[Bairro],mercado1)</f>
        <v>0</v>
      </c>
      <c r="M10" s="27" t="n">
        <f aca="false">SUMIFS(super1[Qtde],super1[Item],tab_alimentos[[#This Row],[Item]],super1[Bairro],mercado2)+SUMIFS(supercb[Qtde],supercb[Item],tab_alimentos[[#This Row],[Item]],supercb[Bairro],mercado2)</f>
        <v>0</v>
      </c>
      <c r="N10" s="27" t="n">
        <f aca="false">SUMIFS(super1[Qtde],super1[Item],tab_alimentos[[#This Row],[Item]],super1[Bairro],mercado3)+SUMIFS(supercb[Qtde],supercb[Item],tab_alimentos[[#This Row],[Item]],supercb[Bairro],mercado3)</f>
        <v>0</v>
      </c>
      <c r="O10" s="27" t="n">
        <f aca="false">SUMIFS(super1[Qtde],super1[Item],tab_alimentos[[#This Row],[Item]],super1[Bairro],mercado4)+SUMIFS(supercb[Qtde],supercb[Item],tab_alimentos[[#This Row],[Item]],supercb[Bairro],mercado4)</f>
        <v>0</v>
      </c>
      <c r="P10" s="27" t="n">
        <f aca="false">SUMIFS(super1[Qtde],super1[Item],tab_alimentos[[#This Row],[Item]],super1[Bairro],mercado5)+SUMIFS(supercb[Qtde],supercb[Item],tab_alimentos[[#This Row],[Item]],supercb[Bairro],mercado5)</f>
        <v>0</v>
      </c>
      <c r="Q10" s="27" t="n">
        <f aca="false">SUMIFS(super1[Qtde],super1[Item],tab_alimentos[[#This Row],[Item]],super1[Bairro],mercado6)+SUMIFS(supercb[Qtde],supercb[Item],tab_alimentos[[#This Row],[Item]],supercb[Bairro],mercado6)</f>
        <v>0</v>
      </c>
      <c r="R10" s="27" t="n">
        <f aca="false">SUMIFS(super1[Qtde],super1[Item],tab_alimentos[[#This Row],[Item]],super1[Bairro],mercado7)+SUMIFS(supercb[Qtde],supercb[Item],tab_alimentos[[#This Row],[Item]],supercb[Bairro],mercado7)</f>
        <v>0</v>
      </c>
      <c r="S10" s="27" t="n">
        <f aca="false">SUMIFS(super1[Qtde],super1[Item],tab_alimentos[[#This Row],[Item]],super1[Bairro],mercado8)+SUMIFS(supercb[Qtde],supercb[Item],tab_alimentos[[#This Row],[Item]],supercb[Bairro],mercado8)</f>
        <v>0</v>
      </c>
      <c r="T10" s="27" t="n">
        <f aca="false">SUMIFS(super1[Qtde],super1[Item],tab_alimentos[[#This Row],[Item]],super1[Bairro],mercado9)+SUMIFS(supercb[Qtde],supercb[Item],tab_alimentos[[#This Row],[Item]],supercb[Bairro],mercado9)</f>
        <v>0</v>
      </c>
      <c r="U10" s="27" t="n">
        <f aca="false">SUMIFS(super1[Qtde],super1[Item],tab_alimentos[[#This Row],[Item]],super1[Bairro],mercado10)+SUMIFS(supercb[Qtde],supercb[Item],tab_alimentos[[#This Row],[Item]],supercb[Bairro],mercado10)</f>
        <v>0</v>
      </c>
      <c r="V10" s="27" t="n">
        <f aca="false">SUMIFS(super1[Qtde],super1[Item],tab_alimentos[[#This Row],[Item]],super1[Bairro],mercado11)+SUMIFS(supercb[Qtde],supercb[Item],tab_alimentos[[#This Row],[Item]],supercb[Bairro],mercado11)</f>
        <v>0</v>
      </c>
      <c r="W10" s="27" t="n">
        <f aca="false">SUMIFS(super1[Qtde],super1[Item],tab_alimentos[[#This Row],[Item]],super1[Bairro],mercado12)+SUMIFS(supercb[Qtde],supercb[Item],tab_alimentos[[#This Row],[Item]],supercb[Bairro],mercado12)</f>
        <v>0</v>
      </c>
      <c r="X10" s="27" t="n">
        <f aca="false">SUMIFS(super1[Qtde],super1[Item],tab_alimentos[[#This Row],[Item]],super1[Bairro],mercado13)+SUMIFS(supercb[Qtde],supercb[Item],tab_alimentos[[#This Row],[Item]],supercb[Bairro],mercado13)</f>
        <v>0</v>
      </c>
      <c r="Y10" s="27" t="n">
        <f aca="false">SUMIFS(super1[Qtde],super1[Item],tab_alimentos[[#This Row],[Item]],super1[Bairro],mercado14)+SUMIFS(supercb[Qtde],supercb[Item],tab_alimentos[[#This Row],[Item]],supercb[Bairro],mercado14)</f>
        <v>0</v>
      </c>
      <c r="Z10" s="27" t="n">
        <f aca="false">SUMIFS(super1[Qtde],super1[Item],tab_alimentos[[#This Row],[Item]],super1[Bairro],mercado15)+SUMIFS(supercb[Qtde],supercb[Item],tab_alimentos[[#This Row],[Item]],supercb[Bairro],mercado15)</f>
        <v>0</v>
      </c>
      <c r="AA10" s="27" t="n">
        <f aca="false">SUMIFS(super1[Qtde],super1[Item],tab_alimentos[[#This Row],[Item]],super1[Bairro],mercado16)+SUMIFS(supercb[Qtde],supercb[Item],tab_alimentos[[#This Row],[Item]],supercb[Bairro],mercado16)</f>
        <v>0</v>
      </c>
      <c r="AB10" s="27" t="n">
        <f aca="false">SUMIFS(super1[Qtde],super1[Item],tab_alimentos[[#This Row],[Item]],super1[Bairro],mercado17)+SUMIFS(supercb[Qtde],supercb[Item],tab_alimentos[[#This Row],[Item]],supercb[Bairro],mercado17)</f>
        <v>0</v>
      </c>
      <c r="AC10" s="27" t="n">
        <f aca="false">SUMIFS(super1[Qtde],super1[Item],tab_alimentos[[#This Row],[Item]],super1[Bairro],mercado18)+SUMIFS(supercb[Qtde],supercb[Item],tab_alimentos[[#This Row],[Item]],supercb[Bairro],mercado18)</f>
        <v>0</v>
      </c>
      <c r="AD10" s="27" t="n">
        <f aca="false">SUMIFS(super1[Qtde],super1[Item],tab_alimentos[[#This Row],[Item]],super1[Bairro],extras)+SUMIFS(supercb[Qtde],supercb[Item],tab_alimentos[[#This Row],[Item]],supercb[Bairro],extras)</f>
        <v>0</v>
      </c>
      <c r="AE10" s="27" t="n">
        <f aca="false">SUM(L10:AC10)</f>
        <v>0</v>
      </c>
      <c r="AF10" s="27" t="n">
        <f aca="false">IFERROR(AE10*K10,0)</f>
        <v>0</v>
      </c>
      <c r="AG10" s="28" t="n">
        <f aca="false">IFERROR(J10*AE10,0)</f>
        <v>0</v>
      </c>
      <c r="AH10" s="26" t="str">
        <f aca="false">higiene[[#This Row],[Item]]</f>
        <v>Absorvente (36un)</v>
      </c>
      <c r="AI10" s="27" t="n">
        <f aca="false">IFERROR(higiene[[#This Row],[Kg equivalente]],0)</f>
        <v>6.16771041451919</v>
      </c>
      <c r="AJ10" s="27" t="n">
        <f aca="false">IFERROR(higiene[[#This Row],[Preço por produto]],0)</f>
        <v>20.43</v>
      </c>
      <c r="AK10" s="27" t="n">
        <f aca="false">SUMIFS(super1[Qtde],super1[Item],tab_higiene[[#This Row],[Item]],super1[Bairro],mercado1)+SUMIFS(supercb[Qtde],supercb[Item],tab_higiene[[#This Row],[Item]],supercb[Bairro],mercado1)</f>
        <v>0</v>
      </c>
      <c r="AL10" s="27" t="n">
        <f aca="false">SUMIFS(super1[Qtde],super1[Item],tab_higiene[[#This Row],[Item]],super1[Bairro],mercado2)+SUMIFS(supercb[Qtde],supercb[Item],tab_higiene[[#This Row],[Item]],supercb[Bairro],mercado2)</f>
        <v>0</v>
      </c>
      <c r="AM10" s="27" t="n">
        <f aca="false">SUMIFS(super1[Qtde],super1[Item],tab_higiene[[#This Row],[Item]],super1[Bairro],mercado3)+SUMIFS(supercb[Qtde],supercb[Item],tab_higiene[[#This Row],[Item]],supercb[Bairro],mercado3)</f>
        <v>0</v>
      </c>
      <c r="AN10" s="27" t="n">
        <f aca="false">SUMIFS(super1[Qtde],super1[Item],tab_higiene[[#This Row],[Item]],super1[Bairro],mercado4)+SUMIFS(supercb[Qtde],supercb[Item],tab_higiene[[#This Row],[Item]],supercb[Bairro],mercado4)</f>
        <v>0</v>
      </c>
      <c r="AO10" s="27" t="n">
        <f aca="false">SUMIFS(super1[Qtde],super1[Item],tab_higiene[[#This Row],[Item]],super1[Bairro],mercado5)+SUMIFS(supercb[Qtde],supercb[Item],tab_higiene[[#This Row],[Item]],supercb[Bairro],mercado5)</f>
        <v>0</v>
      </c>
      <c r="AP10" s="27" t="n">
        <f aca="false">SUMIFS(super1[Qtde],super1[Item],tab_higiene[[#This Row],[Item]],super1[Bairro],mercado6)+SUMIFS(supercb[Qtde],supercb[Item],tab_higiene[[#This Row],[Item]],supercb[Bairro],mercado6)</f>
        <v>0</v>
      </c>
      <c r="AQ10" s="27" t="n">
        <f aca="false">SUMIFS(super1[Qtde],super1[Item],tab_higiene[[#This Row],[Item]],super1[Bairro],mercado7)+SUMIFS(supercb[Qtde],supercb[Item],tab_higiene[[#This Row],[Item]],supercb[Bairro],mercado7)</f>
        <v>0</v>
      </c>
      <c r="AR10" s="27" t="n">
        <f aca="false">SUMIFS(super1[Qtde],super1[Item],tab_higiene[[#This Row],[Item]],super1[Bairro],mercado8)+SUMIFS(supercb[Qtde],supercb[Item],tab_higiene[[#This Row],[Item]],supercb[Bairro],mercado8)</f>
        <v>0</v>
      </c>
      <c r="AS10" s="27" t="n">
        <f aca="false">SUMIFS(super1[Qtde],super1[Item],tab_higiene[[#This Row],[Item]],super1[Bairro],mercado9)+SUMIFS(supercb[Qtde],supercb[Item],tab_higiene[[#This Row],[Item]],supercb[Bairro],mercado9)</f>
        <v>0</v>
      </c>
      <c r="AT10" s="27" t="n">
        <f aca="false">SUMIFS(super1[Qtde],super1[Item],tab_higiene[[#This Row],[Item]],super1[Bairro],mercado10)+SUMIFS(supercb[Qtde],supercb[Item],tab_higiene[[#This Row],[Item]],supercb[Bairro],mercado10)</f>
        <v>0</v>
      </c>
      <c r="AU10" s="27" t="n">
        <f aca="false">SUMIFS(super1[Qtde],super1[Item],tab_higiene[[#This Row],[Item]],super1[Bairro],mercado11)+SUMIFS(supercb[Qtde],supercb[Item],tab_higiene[[#This Row],[Item]],supercb[Bairro],mercado11)</f>
        <v>0</v>
      </c>
      <c r="AV10" s="27" t="n">
        <f aca="false">SUMIFS(super1[Qtde],super1[Item],tab_higiene[[#This Row],[Item]],super1[Bairro],mercado12)+SUMIFS(supercb[Qtde],supercb[Item],tab_higiene[[#This Row],[Item]],supercb[Bairro],mercado12)</f>
        <v>0</v>
      </c>
      <c r="AW10" s="27" t="n">
        <f aca="false">SUMIFS(super1[Qtde],super1[Item],tab_higiene[[#This Row],[Item]],super1[Bairro],mercado13)+SUMIFS(supercb[Qtde],supercb[Item],tab_higiene[[#This Row],[Item]],supercb[Bairro],mercado13)</f>
        <v>0</v>
      </c>
      <c r="AX10" s="27" t="n">
        <f aca="false">SUMIFS(super1[Qtde],super1[Item],tab_higiene[[#This Row],[Item]],super1[Bairro],mercado14)+SUMIFS(supercb[Qtde],supercb[Item],tab_higiene[[#This Row],[Item]],supercb[Bairro],mercado14)</f>
        <v>0</v>
      </c>
      <c r="AY10" s="27" t="n">
        <f aca="false">SUMIFS(super1[Qtde],super1[Item],tab_higiene[[#This Row],[Item]],super1[Bairro],mercado15)+SUMIFS(supercb[Qtde],supercb[Item],tab_higiene[[#This Row],[Item]],supercb[Bairro],mercado15)</f>
        <v>0</v>
      </c>
      <c r="AZ10" s="27" t="n">
        <f aca="false">SUMIFS(super1[Qtde],super1[Item],tab_higiene[[#This Row],[Item]],super1[Bairro],mercado16)+SUMIFS(supercb[Qtde],supercb[Item],tab_higiene[[#This Row],[Item]],supercb[Bairro],mercado16)</f>
        <v>0</v>
      </c>
      <c r="BA10" s="27" t="n">
        <f aca="false">SUMIFS(super1[Qtde],super1[Item],tab_higiene[[#This Row],[Item]],super1[Bairro],mercado17)+SUMIFS(supercb[Qtde],supercb[Item],tab_higiene[[#This Row],[Item]],supercb[Bairro],mercado17)</f>
        <v>0</v>
      </c>
      <c r="BB10" s="27" t="n">
        <f aca="false">SUMIFS(super1[Qtde],super1[Item],tab_higiene[[#This Row],[Item]],super1[Bairro],mercado18)+SUMIFS(supercb[Qtde],supercb[Item],tab_higiene[[#This Row],[Item]],supercb[Bairro],mercado18)</f>
        <v>0</v>
      </c>
      <c r="BC10" s="27" t="n">
        <f aca="false">SUMIFS(super1[Qtde],super1[Item],tab_higiene[[#This Row],[Item]],super1[Bairro],extras)+SUMIFS(supercb[Qtde],supercb[Item],tab_higiene[[#This Row],[Item]],supercb[Bairro],extras)</f>
        <v>0</v>
      </c>
      <c r="BD10" s="27" t="n">
        <f aca="false">SUM(AK10:BB10)</f>
        <v>0</v>
      </c>
      <c r="BE10" s="27" t="n">
        <f aca="false">IFERROR(BD10*AJ10,0)</f>
        <v>0</v>
      </c>
      <c r="BF10" s="28" t="n">
        <f aca="false">IFERROR(AI10*BD10,0)</f>
        <v>0</v>
      </c>
      <c r="BI10" s="22" t="str">
        <f aca="false">tab_alimentos[[#This Row],[Item]]</f>
        <v>Achocolatado (300g)</v>
      </c>
      <c r="BJ10" s="22" t="n">
        <f aca="false">IFERROR(FIND(" (",BI10),0)</f>
        <v>13</v>
      </c>
      <c r="BK10" s="22" t="str">
        <f aca="false">IF(BJ10=0,BI10,LEFT(BI10,BJ10-1))</f>
        <v>Achocolatado</v>
      </c>
      <c r="BL10" s="22" t="n">
        <f aca="false">tab_alimentos[[#This Row],[kg]]</f>
        <v>0</v>
      </c>
      <c r="BM10" s="32" t="s">
        <v>263</v>
      </c>
      <c r="BN10" s="22" t="n">
        <f aca="false">SUMIF($BJ$5:$BJ$158,BM10,$BK$5:$BK$158)</f>
        <v>0</v>
      </c>
      <c r="BP10" s="22" t="str">
        <f aca="false">tab_higiene[[#This Row],[Item]]</f>
        <v>Absorvente (36un)</v>
      </c>
      <c r="BQ10" s="22" t="n">
        <f aca="false">IFERROR(FIND(" (",BP10),0)</f>
        <v>11</v>
      </c>
      <c r="BR10" s="22" t="str">
        <f aca="false">IF(BQ10=0,BP10,LEFT(BP10,BQ10-1))</f>
        <v>Absorvente</v>
      </c>
      <c r="BS10" s="22" t="n">
        <f aca="false">higiene[[#This Row],[Quantidade]]</f>
        <v>36</v>
      </c>
      <c r="BT10" s="22" t="n">
        <f aca="false">tab_higiene[Qtde (tot)]</f>
        <v>0</v>
      </c>
      <c r="BU10" s="22" t="n">
        <f aca="false">BS10*BT10</f>
        <v>0</v>
      </c>
      <c r="BV10" s="32" t="s">
        <v>264</v>
      </c>
      <c r="BW10" s="22" t="n">
        <f aca="false">SUMIF($BR$5:$BR$142,BV10,$BU$5:$BU$142)</f>
        <v>0</v>
      </c>
    </row>
    <row r="11" customFormat="false" ht="15" hidden="false" customHeight="false" outlineLevel="0" collapsed="false">
      <c r="A11" s="0" t="str">
        <f aca="false">tabMercados[[#This Row],[Supermercados]]</f>
        <v>Jaú Raimundo Correa</v>
      </c>
      <c r="B11" s="34" t="n">
        <f aca="false">SUMPRODUCT(tab_alimentos[kg/embalagem],tab_alimentos[Qtde (S3)])</f>
        <v>101.49</v>
      </c>
      <c r="C11" s="34" t="n">
        <f aca="false">SUMPRODUCT(tab_alimentos[Preço],tab_alimentos[Qtde (S3)])</f>
        <v>339.223</v>
      </c>
      <c r="D11" s="34" t="n">
        <f aca="false">SUMPRODUCT(tab_higiene[kg/embalagem],tab_higiene[Qtde (S3)])</f>
        <v>60.9924067775889</v>
      </c>
      <c r="E11" s="34" t="n">
        <f aca="false">SUMPRODUCT(tab_higiene[Preço],tab_higiene[Qtde (S3)])</f>
        <v>202.032</v>
      </c>
      <c r="F11" s="34" t="n">
        <f aca="false">B11+D11</f>
        <v>162.482406777589</v>
      </c>
      <c r="G11" s="34" t="n">
        <f aca="false">C11+E11</f>
        <v>541.255</v>
      </c>
      <c r="I11" s="26" t="str">
        <f aca="false">alimentos[[#This Row],[Item]]</f>
        <v>Achocolatado (400g)</v>
      </c>
      <c r="J11" s="27" t="n">
        <f aca="false">IFERROR(alimentos[[#This Row],[kg/embalagem]],0)</f>
        <v>0.4</v>
      </c>
      <c r="K11" s="27" t="n">
        <f aca="false">IFERROR(alimentos[[#This Row],[Preço]],0)</f>
        <v>3.85333333333333</v>
      </c>
      <c r="L11" s="27" t="n">
        <f aca="false">SUMIFS(super1[Qtde],super1[Item],tab_alimentos[[#This Row],[Item]],super1[Bairro],mercado1)+SUMIFS(supercb[Qtde],supercb[Item],tab_alimentos[[#This Row],[Item]],supercb[Bairro],mercado1)</f>
        <v>2</v>
      </c>
      <c r="M11" s="27" t="n">
        <f aca="false">SUMIFS(super1[Qtde],super1[Item],tab_alimentos[[#This Row],[Item]],super1[Bairro],mercado2)+SUMIFS(supercb[Qtde],supercb[Item],tab_alimentos[[#This Row],[Item]],supercb[Bairro],mercado2)</f>
        <v>3</v>
      </c>
      <c r="N11" s="27" t="n">
        <f aca="false">SUMIFS(super1[Qtde],super1[Item],tab_alimentos[[#This Row],[Item]],super1[Bairro],mercado3)+SUMIFS(supercb[Qtde],supercb[Item],tab_alimentos[[#This Row],[Item]],supercb[Bairro],mercado3)</f>
        <v>1</v>
      </c>
      <c r="O11" s="27" t="n">
        <f aca="false">SUMIFS(super1[Qtde],super1[Item],tab_alimentos[[#This Row],[Item]],super1[Bairro],mercado4)+SUMIFS(supercb[Qtde],supercb[Item],tab_alimentos[[#This Row],[Item]],supercb[Bairro],mercado4)</f>
        <v>1</v>
      </c>
      <c r="P11" s="27" t="n">
        <f aca="false">SUMIFS(super1[Qtde],super1[Item],tab_alimentos[[#This Row],[Item]],super1[Bairro],mercado5)+SUMIFS(supercb[Qtde],supercb[Item],tab_alimentos[[#This Row],[Item]],supercb[Bairro],mercado5)</f>
        <v>9</v>
      </c>
      <c r="Q11" s="27" t="n">
        <f aca="false">SUMIFS(super1[Qtde],super1[Item],tab_alimentos[[#This Row],[Item]],super1[Bairro],mercado6)+SUMIFS(supercb[Qtde],supercb[Item],tab_alimentos[[#This Row],[Item]],supercb[Bairro],mercado6)</f>
        <v>2</v>
      </c>
      <c r="R11" s="27" t="n">
        <f aca="false">SUMIFS(super1[Qtde],super1[Item],tab_alimentos[[#This Row],[Item]],super1[Bairro],mercado7)+SUMIFS(supercb[Qtde],supercb[Item],tab_alimentos[[#This Row],[Item]],supercb[Bairro],mercado7)</f>
        <v>0</v>
      </c>
      <c r="S11" s="27" t="n">
        <f aca="false">SUMIFS(super1[Qtde],super1[Item],tab_alimentos[[#This Row],[Item]],super1[Bairro],mercado8)+SUMIFS(supercb[Qtde],supercb[Item],tab_alimentos[[#This Row],[Item]],supercb[Bairro],mercado8)</f>
        <v>3</v>
      </c>
      <c r="T11" s="27" t="n">
        <f aca="false">SUMIFS(super1[Qtde],super1[Item],tab_alimentos[[#This Row],[Item]],super1[Bairro],mercado9)+SUMIFS(supercb[Qtde],supercb[Item],tab_alimentos[[#This Row],[Item]],supercb[Bairro],mercado9)</f>
        <v>12</v>
      </c>
      <c r="U11" s="27" t="n">
        <f aca="false">SUMIFS(super1[Qtde],super1[Item],tab_alimentos[[#This Row],[Item]],super1[Bairro],mercado10)+SUMIFS(supercb[Qtde],supercb[Item],tab_alimentos[[#This Row],[Item]],supercb[Bairro],mercado10)</f>
        <v>6</v>
      </c>
      <c r="V11" s="27" t="n">
        <f aca="false">SUMIFS(super1[Qtde],super1[Item],tab_alimentos[[#This Row],[Item]],super1[Bairro],mercado11)+SUMIFS(supercb[Qtde],supercb[Item],tab_alimentos[[#This Row],[Item]],supercb[Bairro],mercado11)</f>
        <v>5</v>
      </c>
      <c r="W11" s="27" t="n">
        <f aca="false">SUMIFS(super1[Qtde],super1[Item],tab_alimentos[[#This Row],[Item]],super1[Bairro],mercado12)+SUMIFS(supercb[Qtde],supercb[Item],tab_alimentos[[#This Row],[Item]],supercb[Bairro],mercado12)</f>
        <v>0</v>
      </c>
      <c r="X11" s="27" t="n">
        <f aca="false">SUMIFS(super1[Qtde],super1[Item],tab_alimentos[[#This Row],[Item]],super1[Bairro],mercado13)+SUMIFS(supercb[Qtde],supercb[Item],tab_alimentos[[#This Row],[Item]],supercb[Bairro],mercado13)</f>
        <v>2</v>
      </c>
      <c r="Y11" s="27" t="n">
        <f aca="false">SUMIFS(super1[Qtde],super1[Item],tab_alimentos[[#This Row],[Item]],super1[Bairro],mercado14)+SUMIFS(supercb[Qtde],supercb[Item],tab_alimentos[[#This Row],[Item]],supercb[Bairro],mercado14)</f>
        <v>0</v>
      </c>
      <c r="Z11" s="27" t="n">
        <f aca="false">SUMIFS(super1[Qtde],super1[Item],tab_alimentos[[#This Row],[Item]],super1[Bairro],mercado15)+SUMIFS(supercb[Qtde],supercb[Item],tab_alimentos[[#This Row],[Item]],supercb[Bairro],mercado15)</f>
        <v>0</v>
      </c>
      <c r="AA11" s="27" t="n">
        <f aca="false">SUMIFS(super1[Qtde],super1[Item],tab_alimentos[[#This Row],[Item]],super1[Bairro],mercado16)+SUMIFS(supercb[Qtde],supercb[Item],tab_alimentos[[#This Row],[Item]],supercb[Bairro],mercado16)</f>
        <v>0</v>
      </c>
      <c r="AB11" s="27" t="n">
        <f aca="false">SUMIFS(super1[Qtde],super1[Item],tab_alimentos[[#This Row],[Item]],super1[Bairro],mercado17)+SUMIFS(supercb[Qtde],supercb[Item],tab_alimentos[[#This Row],[Item]],supercb[Bairro],mercado17)</f>
        <v>0</v>
      </c>
      <c r="AC11" s="27" t="n">
        <f aca="false">SUMIFS(super1[Qtde],super1[Item],tab_alimentos[[#This Row],[Item]],super1[Bairro],mercado18)+SUMIFS(supercb[Qtde],supercb[Item],tab_alimentos[[#This Row],[Item]],supercb[Bairro],mercado18)</f>
        <v>0</v>
      </c>
      <c r="AD11" s="27" t="n">
        <f aca="false">SUMIFS(super1[Qtde],super1[Item],tab_alimentos[[#This Row],[Item]],super1[Bairro],extras)+SUMIFS(supercb[Qtde],supercb[Item],tab_alimentos[[#This Row],[Item]],supercb[Bairro],extras)</f>
        <v>0</v>
      </c>
      <c r="AE11" s="27" t="n">
        <f aca="false">SUM(L11:AC11)</f>
        <v>46</v>
      </c>
      <c r="AF11" s="27" t="n">
        <f aca="false">IFERROR(AE11*K11,0)</f>
        <v>177.253333333333</v>
      </c>
      <c r="AG11" s="28" t="n">
        <f aca="false">IFERROR(J11*AE11,0)</f>
        <v>18.4</v>
      </c>
      <c r="AH11" s="26" t="str">
        <f aca="false">higiene[[#This Row],[Item]]</f>
        <v>Absorvente (40 un)</v>
      </c>
      <c r="AI11" s="27" t="n">
        <f aca="false">IFERROR(higiene[[#This Row],[Kg equivalente]],0)</f>
        <v>2.87705728097738</v>
      </c>
      <c r="AJ11" s="27" t="n">
        <f aca="false">IFERROR(higiene[[#This Row],[Preço por produto]],0)</f>
        <v>9.53</v>
      </c>
      <c r="AK11" s="27" t="n">
        <f aca="false">SUMIFS(super1[Qtde],super1[Item],tab_higiene[[#This Row],[Item]],super1[Bairro],mercado1)+SUMIFS(supercb[Qtde],supercb[Item],tab_higiene[[#This Row],[Item]],supercb[Bairro],mercado1)</f>
        <v>0</v>
      </c>
      <c r="AL11" s="27" t="n">
        <f aca="false">SUMIFS(super1[Qtde],super1[Item],tab_higiene[[#This Row],[Item]],super1[Bairro],mercado2)+SUMIFS(supercb[Qtde],supercb[Item],tab_higiene[[#This Row],[Item]],supercb[Bairro],mercado2)</f>
        <v>0</v>
      </c>
      <c r="AM11" s="27" t="n">
        <f aca="false">SUMIFS(super1[Qtde],super1[Item],tab_higiene[[#This Row],[Item]],super1[Bairro],mercado3)+SUMIFS(supercb[Qtde],supercb[Item],tab_higiene[[#This Row],[Item]],supercb[Bairro],mercado3)</f>
        <v>0</v>
      </c>
      <c r="AN11" s="27" t="n">
        <f aca="false">SUMIFS(super1[Qtde],super1[Item],tab_higiene[[#This Row],[Item]],super1[Bairro],mercado4)+SUMIFS(supercb[Qtde],supercb[Item],tab_higiene[[#This Row],[Item]],supercb[Bairro],mercado4)</f>
        <v>0</v>
      </c>
      <c r="AO11" s="27" t="n">
        <f aca="false">SUMIFS(super1[Qtde],super1[Item],tab_higiene[[#This Row],[Item]],super1[Bairro],mercado5)+SUMIFS(supercb[Qtde],supercb[Item],tab_higiene[[#This Row],[Item]],supercb[Bairro],mercado5)</f>
        <v>0</v>
      </c>
      <c r="AP11" s="27" t="n">
        <f aca="false">SUMIFS(super1[Qtde],super1[Item],tab_higiene[[#This Row],[Item]],super1[Bairro],mercado6)+SUMIFS(supercb[Qtde],supercb[Item],tab_higiene[[#This Row],[Item]],supercb[Bairro],mercado6)</f>
        <v>0</v>
      </c>
      <c r="AQ11" s="27" t="n">
        <f aca="false">SUMIFS(super1[Qtde],super1[Item],tab_higiene[[#This Row],[Item]],super1[Bairro],mercado7)+SUMIFS(supercb[Qtde],supercb[Item],tab_higiene[[#This Row],[Item]],supercb[Bairro],mercado7)</f>
        <v>0</v>
      </c>
      <c r="AR11" s="27" t="n">
        <f aca="false">SUMIFS(super1[Qtde],super1[Item],tab_higiene[[#This Row],[Item]],super1[Bairro],mercado8)+SUMIFS(supercb[Qtde],supercb[Item],tab_higiene[[#This Row],[Item]],supercb[Bairro],mercado8)</f>
        <v>0</v>
      </c>
      <c r="AS11" s="27" t="n">
        <f aca="false">SUMIFS(super1[Qtde],super1[Item],tab_higiene[[#This Row],[Item]],super1[Bairro],mercado9)+SUMIFS(supercb[Qtde],supercb[Item],tab_higiene[[#This Row],[Item]],supercb[Bairro],mercado9)</f>
        <v>0</v>
      </c>
      <c r="AT11" s="27" t="n">
        <f aca="false">SUMIFS(super1[Qtde],super1[Item],tab_higiene[[#This Row],[Item]],super1[Bairro],mercado10)+SUMIFS(supercb[Qtde],supercb[Item],tab_higiene[[#This Row],[Item]],supercb[Bairro],mercado10)</f>
        <v>0</v>
      </c>
      <c r="AU11" s="27" t="n">
        <f aca="false">SUMIFS(super1[Qtde],super1[Item],tab_higiene[[#This Row],[Item]],super1[Bairro],mercado11)+SUMIFS(supercb[Qtde],supercb[Item],tab_higiene[[#This Row],[Item]],supercb[Bairro],mercado11)</f>
        <v>0</v>
      </c>
      <c r="AV11" s="27" t="n">
        <f aca="false">SUMIFS(super1[Qtde],super1[Item],tab_higiene[[#This Row],[Item]],super1[Bairro],mercado12)+SUMIFS(supercb[Qtde],supercb[Item],tab_higiene[[#This Row],[Item]],supercb[Bairro],mercado12)</f>
        <v>0</v>
      </c>
      <c r="AW11" s="27" t="n">
        <f aca="false">SUMIFS(super1[Qtde],super1[Item],tab_higiene[[#This Row],[Item]],super1[Bairro],mercado13)+SUMIFS(supercb[Qtde],supercb[Item],tab_higiene[[#This Row],[Item]],supercb[Bairro],mercado13)</f>
        <v>0</v>
      </c>
      <c r="AX11" s="27" t="n">
        <f aca="false">SUMIFS(super1[Qtde],super1[Item],tab_higiene[[#This Row],[Item]],super1[Bairro],mercado14)+SUMIFS(supercb[Qtde],supercb[Item],tab_higiene[[#This Row],[Item]],supercb[Bairro],mercado14)</f>
        <v>0</v>
      </c>
      <c r="AY11" s="27" t="n">
        <f aca="false">SUMIFS(super1[Qtde],super1[Item],tab_higiene[[#This Row],[Item]],super1[Bairro],mercado15)+SUMIFS(supercb[Qtde],supercb[Item],tab_higiene[[#This Row],[Item]],supercb[Bairro],mercado15)</f>
        <v>0</v>
      </c>
      <c r="AZ11" s="27" t="n">
        <f aca="false">SUMIFS(super1[Qtde],super1[Item],tab_higiene[[#This Row],[Item]],super1[Bairro],mercado16)+SUMIFS(supercb[Qtde],supercb[Item],tab_higiene[[#This Row],[Item]],supercb[Bairro],mercado16)</f>
        <v>0</v>
      </c>
      <c r="BA11" s="27" t="n">
        <f aca="false">SUMIFS(super1[Qtde],super1[Item],tab_higiene[[#This Row],[Item]],super1[Bairro],mercado17)+SUMIFS(supercb[Qtde],supercb[Item],tab_higiene[[#This Row],[Item]],supercb[Bairro],mercado17)</f>
        <v>0</v>
      </c>
      <c r="BB11" s="27" t="n">
        <f aca="false">SUMIFS(super1[Qtde],super1[Item],tab_higiene[[#This Row],[Item]],super1[Bairro],mercado18)+SUMIFS(supercb[Qtde],supercb[Item],tab_higiene[[#This Row],[Item]],supercb[Bairro],mercado18)</f>
        <v>0</v>
      </c>
      <c r="BC11" s="27" t="n">
        <f aca="false">SUMIFS(super1[Qtde],super1[Item],tab_higiene[[#This Row],[Item]],super1[Bairro],extras)+SUMIFS(supercb[Qtde],supercb[Item],tab_higiene[[#This Row],[Item]],supercb[Bairro],extras)</f>
        <v>0</v>
      </c>
      <c r="BD11" s="27" t="n">
        <f aca="false">SUM(AK11:BB11)</f>
        <v>0</v>
      </c>
      <c r="BE11" s="27" t="n">
        <f aca="false">IFERROR(BD11*AJ11,0)</f>
        <v>0</v>
      </c>
      <c r="BF11" s="28" t="n">
        <f aca="false">IFERROR(AI11*BD11,0)</f>
        <v>0</v>
      </c>
      <c r="BI11" s="22" t="str">
        <f aca="false">tab_alimentos[[#This Row],[Item]]</f>
        <v>Achocolatado (400g)</v>
      </c>
      <c r="BJ11" s="22" t="n">
        <f aca="false">IFERROR(FIND(" (",BI11),0)</f>
        <v>13</v>
      </c>
      <c r="BK11" s="22" t="str">
        <f aca="false">IF(BJ11=0,BI11,LEFT(BI11,BJ11-1))</f>
        <v>Achocolatado</v>
      </c>
      <c r="BL11" s="22" t="n">
        <f aca="false">tab_alimentos[[#This Row],[kg]]</f>
        <v>18.4</v>
      </c>
      <c r="BM11" s="32" t="s">
        <v>265</v>
      </c>
      <c r="BN11" s="22" t="n">
        <f aca="false">SUMIF($BJ$5:$BJ$158,BM11,$BK$5:$BK$158)</f>
        <v>0</v>
      </c>
      <c r="BP11" s="22" t="str">
        <f aca="false">tab_higiene[[#This Row],[Item]]</f>
        <v>Absorvente (40 un)</v>
      </c>
      <c r="BQ11" s="22" t="n">
        <f aca="false">IFERROR(FIND(" (",BP11),0)</f>
        <v>11</v>
      </c>
      <c r="BR11" s="22" t="str">
        <f aca="false">IF(BQ11=0,BP11,LEFT(BP11,BQ11-1))</f>
        <v>Absorvente</v>
      </c>
      <c r="BS11" s="22" t="n">
        <f aca="false">higiene[[#This Row],[Quantidade]]</f>
        <v>40</v>
      </c>
      <c r="BT11" s="22" t="n">
        <f aca="false">tab_higiene[Qtde (tot)]</f>
        <v>0</v>
      </c>
      <c r="BU11" s="22" t="n">
        <f aca="false">BS11*BT11</f>
        <v>0</v>
      </c>
      <c r="BV11" s="32" t="s">
        <v>266</v>
      </c>
      <c r="BW11" s="22" t="n">
        <f aca="false">SUMIF($BR$5:$BR$142,BV11,$BU$5:$BU$142)</f>
        <v>0</v>
      </c>
    </row>
    <row r="12" customFormat="false" ht="15" hidden="false" customHeight="false" outlineLevel="0" collapsed="false">
      <c r="A12" s="0" t="str">
        <f aca="false">tabMercados[[#This Row],[Supermercados]]</f>
        <v>Jaú Redenção</v>
      </c>
      <c r="B12" s="34" t="n">
        <f aca="false">SUMPRODUCT(tab_alimentos[kg/embalagem],tab_alimentos[Qtde (S4)])</f>
        <v>227.645</v>
      </c>
      <c r="C12" s="34" t="n">
        <f aca="false">SUMPRODUCT(tab_alimentos[Preço],tab_alimentos[Qtde (S4)])</f>
        <v>759.205166666667</v>
      </c>
      <c r="D12" s="34" t="n">
        <f aca="false">SUMPRODUCT(tab_higiene[kg/embalagem],tab_higiene[Qtde (S4)])</f>
        <v>133.516036998384</v>
      </c>
      <c r="E12" s="34" t="n">
        <f aca="false">SUMPRODUCT(tab_higiene[Preço],tab_higiene[Qtde (S4)])</f>
        <v>442.260166666667</v>
      </c>
      <c r="F12" s="34" t="n">
        <f aca="false">B12+D12</f>
        <v>361.161036998384</v>
      </c>
      <c r="G12" s="34" t="n">
        <f aca="false">C12+E12</f>
        <v>1201.46533333333</v>
      </c>
      <c r="I12" s="26" t="str">
        <f aca="false">alimentos[[#This Row],[Item]]</f>
        <v>Achocolatado (500g)</v>
      </c>
      <c r="J12" s="27" t="n">
        <f aca="false">IFERROR(alimentos[[#This Row],[kg/embalagem]],0)</f>
        <v>0.5</v>
      </c>
      <c r="K12" s="27" t="n">
        <f aca="false">IFERROR(alimentos[[#This Row],[Preço]],0)</f>
        <v>5.99</v>
      </c>
      <c r="L12" s="27" t="n">
        <f aca="false">SUMIFS(super1[Qtde],super1[Item],tab_alimentos[[#This Row],[Item]],super1[Bairro],mercado1)+SUMIFS(supercb[Qtde],supercb[Item],tab_alimentos[[#This Row],[Item]],supercb[Bairro],mercado1)</f>
        <v>0</v>
      </c>
      <c r="M12" s="27" t="n">
        <f aca="false">SUMIFS(super1[Qtde],super1[Item],tab_alimentos[[#This Row],[Item]],super1[Bairro],mercado2)+SUMIFS(supercb[Qtde],supercb[Item],tab_alimentos[[#This Row],[Item]],supercb[Bairro],mercado2)</f>
        <v>0</v>
      </c>
      <c r="N12" s="27" t="n">
        <f aca="false">SUMIFS(super1[Qtde],super1[Item],tab_alimentos[[#This Row],[Item]],super1[Bairro],mercado3)+SUMIFS(supercb[Qtde],supercb[Item],tab_alimentos[[#This Row],[Item]],supercb[Bairro],mercado3)</f>
        <v>0</v>
      </c>
      <c r="O12" s="27" t="n">
        <f aca="false">SUMIFS(super1[Qtde],super1[Item],tab_alimentos[[#This Row],[Item]],super1[Bairro],mercado4)+SUMIFS(supercb[Qtde],supercb[Item],tab_alimentos[[#This Row],[Item]],supercb[Bairro],mercado4)</f>
        <v>0</v>
      </c>
      <c r="P12" s="27" t="n">
        <f aca="false">SUMIFS(super1[Qtde],super1[Item],tab_alimentos[[#This Row],[Item]],super1[Bairro],mercado5)+SUMIFS(supercb[Qtde],supercb[Item],tab_alimentos[[#This Row],[Item]],supercb[Bairro],mercado5)</f>
        <v>0</v>
      </c>
      <c r="Q12" s="27" t="n">
        <f aca="false">SUMIFS(super1[Qtde],super1[Item],tab_alimentos[[#This Row],[Item]],super1[Bairro],mercado6)+SUMIFS(supercb[Qtde],supercb[Item],tab_alimentos[[#This Row],[Item]],supercb[Bairro],mercado6)</f>
        <v>0</v>
      </c>
      <c r="R12" s="27" t="n">
        <f aca="false">SUMIFS(super1[Qtde],super1[Item],tab_alimentos[[#This Row],[Item]],super1[Bairro],mercado7)+SUMIFS(supercb[Qtde],supercb[Item],tab_alimentos[[#This Row],[Item]],supercb[Bairro],mercado7)</f>
        <v>0</v>
      </c>
      <c r="S12" s="27" t="n">
        <f aca="false">SUMIFS(super1[Qtde],super1[Item],tab_alimentos[[#This Row],[Item]],super1[Bairro],mercado8)+SUMIFS(supercb[Qtde],supercb[Item],tab_alimentos[[#This Row],[Item]],supercb[Bairro],mercado8)</f>
        <v>0</v>
      </c>
      <c r="T12" s="27" t="n">
        <f aca="false">SUMIFS(super1[Qtde],super1[Item],tab_alimentos[[#This Row],[Item]],super1[Bairro],mercado9)+SUMIFS(supercb[Qtde],supercb[Item],tab_alimentos[[#This Row],[Item]],supercb[Bairro],mercado9)</f>
        <v>0</v>
      </c>
      <c r="U12" s="27" t="n">
        <f aca="false">SUMIFS(super1[Qtde],super1[Item],tab_alimentos[[#This Row],[Item]],super1[Bairro],mercado10)+SUMIFS(supercb[Qtde],supercb[Item],tab_alimentos[[#This Row],[Item]],supercb[Bairro],mercado10)</f>
        <v>0</v>
      </c>
      <c r="V12" s="27" t="n">
        <f aca="false">SUMIFS(super1[Qtde],super1[Item],tab_alimentos[[#This Row],[Item]],super1[Bairro],mercado11)+SUMIFS(supercb[Qtde],supercb[Item],tab_alimentos[[#This Row],[Item]],supercb[Bairro],mercado11)</f>
        <v>0</v>
      </c>
      <c r="W12" s="27" t="n">
        <f aca="false">SUMIFS(super1[Qtde],super1[Item],tab_alimentos[[#This Row],[Item]],super1[Bairro],mercado12)+SUMIFS(supercb[Qtde],supercb[Item],tab_alimentos[[#This Row],[Item]],supercb[Bairro],mercado12)</f>
        <v>0</v>
      </c>
      <c r="X12" s="27" t="n">
        <f aca="false">SUMIFS(super1[Qtde],super1[Item],tab_alimentos[[#This Row],[Item]],super1[Bairro],mercado13)+SUMIFS(supercb[Qtde],supercb[Item],tab_alimentos[[#This Row],[Item]],supercb[Bairro],mercado13)</f>
        <v>0</v>
      </c>
      <c r="Y12" s="27" t="n">
        <f aca="false">SUMIFS(super1[Qtde],super1[Item],tab_alimentos[[#This Row],[Item]],super1[Bairro],mercado14)+SUMIFS(supercb[Qtde],supercb[Item],tab_alimentos[[#This Row],[Item]],supercb[Bairro],mercado14)</f>
        <v>0</v>
      </c>
      <c r="Z12" s="27" t="n">
        <f aca="false">SUMIFS(super1[Qtde],super1[Item],tab_alimentos[[#This Row],[Item]],super1[Bairro],mercado15)+SUMIFS(supercb[Qtde],supercb[Item],tab_alimentos[[#This Row],[Item]],supercb[Bairro],mercado15)</f>
        <v>0</v>
      </c>
      <c r="AA12" s="27" t="n">
        <f aca="false">SUMIFS(super1[Qtde],super1[Item],tab_alimentos[[#This Row],[Item]],super1[Bairro],mercado16)+SUMIFS(supercb[Qtde],supercb[Item],tab_alimentos[[#This Row],[Item]],supercb[Bairro],mercado16)</f>
        <v>0</v>
      </c>
      <c r="AB12" s="27" t="n">
        <f aca="false">SUMIFS(super1[Qtde],super1[Item],tab_alimentos[[#This Row],[Item]],super1[Bairro],mercado17)+SUMIFS(supercb[Qtde],supercb[Item],tab_alimentos[[#This Row],[Item]],supercb[Bairro],mercado17)</f>
        <v>0</v>
      </c>
      <c r="AC12" s="27" t="n">
        <f aca="false">SUMIFS(super1[Qtde],super1[Item],tab_alimentos[[#This Row],[Item]],super1[Bairro],mercado18)+SUMIFS(supercb[Qtde],supercb[Item],tab_alimentos[[#This Row],[Item]],supercb[Bairro],mercado18)</f>
        <v>0</v>
      </c>
      <c r="AD12" s="27" t="n">
        <f aca="false">SUMIFS(super1[Qtde],super1[Item],tab_alimentos[[#This Row],[Item]],super1[Bairro],extras)+SUMIFS(supercb[Qtde],supercb[Item],tab_alimentos[[#This Row],[Item]],supercb[Bairro],extras)</f>
        <v>0</v>
      </c>
      <c r="AE12" s="27" t="n">
        <f aca="false">SUM(L12:AC12)</f>
        <v>0</v>
      </c>
      <c r="AF12" s="27" t="n">
        <f aca="false">IFERROR(AE12*K12,0)</f>
        <v>0</v>
      </c>
      <c r="AG12" s="28" t="n">
        <f aca="false">IFERROR(J12*AE12,0)</f>
        <v>0</v>
      </c>
      <c r="AH12" s="26" t="str">
        <f aca="false">higiene[[#This Row],[Item]]</f>
        <v>Absorvente (60un)</v>
      </c>
      <c r="AI12" s="27" t="n">
        <f aca="false">IFERROR(higiene[[#This Row],[Kg equivalente]],0)</f>
        <v>4.78503230886585</v>
      </c>
      <c r="AJ12" s="27" t="n">
        <f aca="false">IFERROR(higiene[[#This Row],[Preço por produto]],0)</f>
        <v>15.85</v>
      </c>
      <c r="AK12" s="27" t="n">
        <f aca="false">SUMIFS(super1[Qtde],super1[Item],tab_higiene[[#This Row],[Item]],super1[Bairro],mercado1)+SUMIFS(supercb[Qtde],supercb[Item],tab_higiene[[#This Row],[Item]],supercb[Bairro],mercado1)</f>
        <v>0</v>
      </c>
      <c r="AL12" s="27" t="n">
        <f aca="false">SUMIFS(super1[Qtde],super1[Item],tab_higiene[[#This Row],[Item]],super1[Bairro],mercado2)+SUMIFS(supercb[Qtde],supercb[Item],tab_higiene[[#This Row],[Item]],supercb[Bairro],mercado2)</f>
        <v>0</v>
      </c>
      <c r="AM12" s="27" t="n">
        <f aca="false">SUMIFS(super1[Qtde],super1[Item],tab_higiene[[#This Row],[Item]],super1[Bairro],mercado3)+SUMIFS(supercb[Qtde],supercb[Item],tab_higiene[[#This Row],[Item]],supercb[Bairro],mercado3)</f>
        <v>0</v>
      </c>
      <c r="AN12" s="27" t="n">
        <f aca="false">SUMIFS(super1[Qtde],super1[Item],tab_higiene[[#This Row],[Item]],super1[Bairro],mercado4)+SUMIFS(supercb[Qtde],supercb[Item],tab_higiene[[#This Row],[Item]],supercb[Bairro],mercado4)</f>
        <v>0</v>
      </c>
      <c r="AO12" s="27" t="n">
        <f aca="false">SUMIFS(super1[Qtde],super1[Item],tab_higiene[[#This Row],[Item]],super1[Bairro],mercado5)+SUMIFS(supercb[Qtde],supercb[Item],tab_higiene[[#This Row],[Item]],supercb[Bairro],mercado5)</f>
        <v>0</v>
      </c>
      <c r="AP12" s="27" t="n">
        <f aca="false">SUMIFS(super1[Qtde],super1[Item],tab_higiene[[#This Row],[Item]],super1[Bairro],mercado6)+SUMIFS(supercb[Qtde],supercb[Item],tab_higiene[[#This Row],[Item]],supercb[Bairro],mercado6)</f>
        <v>0</v>
      </c>
      <c r="AQ12" s="27" t="n">
        <f aca="false">SUMIFS(super1[Qtde],super1[Item],tab_higiene[[#This Row],[Item]],super1[Bairro],mercado7)+SUMIFS(supercb[Qtde],supercb[Item],tab_higiene[[#This Row],[Item]],supercb[Bairro],mercado7)</f>
        <v>0</v>
      </c>
      <c r="AR12" s="27" t="n">
        <f aca="false">SUMIFS(super1[Qtde],super1[Item],tab_higiene[[#This Row],[Item]],super1[Bairro],mercado8)+SUMIFS(supercb[Qtde],supercb[Item],tab_higiene[[#This Row],[Item]],supercb[Bairro],mercado8)</f>
        <v>0</v>
      </c>
      <c r="AS12" s="27" t="n">
        <f aca="false">SUMIFS(super1[Qtde],super1[Item],tab_higiene[[#This Row],[Item]],super1[Bairro],mercado9)+SUMIFS(supercb[Qtde],supercb[Item],tab_higiene[[#This Row],[Item]],supercb[Bairro],mercado9)</f>
        <v>0</v>
      </c>
      <c r="AT12" s="27" t="n">
        <f aca="false">SUMIFS(super1[Qtde],super1[Item],tab_higiene[[#This Row],[Item]],super1[Bairro],mercado10)+SUMIFS(supercb[Qtde],supercb[Item],tab_higiene[[#This Row],[Item]],supercb[Bairro],mercado10)</f>
        <v>0</v>
      </c>
      <c r="AU12" s="27" t="n">
        <f aca="false">SUMIFS(super1[Qtde],super1[Item],tab_higiene[[#This Row],[Item]],super1[Bairro],mercado11)+SUMIFS(supercb[Qtde],supercb[Item],tab_higiene[[#This Row],[Item]],supercb[Bairro],mercado11)</f>
        <v>0</v>
      </c>
      <c r="AV12" s="27" t="n">
        <f aca="false">SUMIFS(super1[Qtde],super1[Item],tab_higiene[[#This Row],[Item]],super1[Bairro],mercado12)+SUMIFS(supercb[Qtde],supercb[Item],tab_higiene[[#This Row],[Item]],supercb[Bairro],mercado12)</f>
        <v>0</v>
      </c>
      <c r="AW12" s="27" t="n">
        <f aca="false">SUMIFS(super1[Qtde],super1[Item],tab_higiene[[#This Row],[Item]],super1[Bairro],mercado13)+SUMIFS(supercb[Qtde],supercb[Item],tab_higiene[[#This Row],[Item]],supercb[Bairro],mercado13)</f>
        <v>0</v>
      </c>
      <c r="AX12" s="27" t="n">
        <f aca="false">SUMIFS(super1[Qtde],super1[Item],tab_higiene[[#This Row],[Item]],super1[Bairro],mercado14)+SUMIFS(supercb[Qtde],supercb[Item],tab_higiene[[#This Row],[Item]],supercb[Bairro],mercado14)</f>
        <v>0</v>
      </c>
      <c r="AY12" s="27" t="n">
        <f aca="false">SUMIFS(super1[Qtde],super1[Item],tab_higiene[[#This Row],[Item]],super1[Bairro],mercado15)+SUMIFS(supercb[Qtde],supercb[Item],tab_higiene[[#This Row],[Item]],supercb[Bairro],mercado15)</f>
        <v>0</v>
      </c>
      <c r="AZ12" s="27" t="n">
        <f aca="false">SUMIFS(super1[Qtde],super1[Item],tab_higiene[[#This Row],[Item]],super1[Bairro],mercado16)+SUMIFS(supercb[Qtde],supercb[Item],tab_higiene[[#This Row],[Item]],supercb[Bairro],mercado16)</f>
        <v>0</v>
      </c>
      <c r="BA12" s="27" t="n">
        <f aca="false">SUMIFS(super1[Qtde],super1[Item],tab_higiene[[#This Row],[Item]],super1[Bairro],mercado17)+SUMIFS(supercb[Qtde],supercb[Item],tab_higiene[[#This Row],[Item]],supercb[Bairro],mercado17)</f>
        <v>0</v>
      </c>
      <c r="BB12" s="27" t="n">
        <f aca="false">SUMIFS(super1[Qtde],super1[Item],tab_higiene[[#This Row],[Item]],super1[Bairro],mercado18)+SUMIFS(supercb[Qtde],supercb[Item],tab_higiene[[#This Row],[Item]],supercb[Bairro],mercado18)</f>
        <v>0</v>
      </c>
      <c r="BC12" s="27" t="n">
        <f aca="false">SUMIFS(super1[Qtde],super1[Item],tab_higiene[[#This Row],[Item]],super1[Bairro],extras)+SUMIFS(supercb[Qtde],supercb[Item],tab_higiene[[#This Row],[Item]],supercb[Bairro],extras)</f>
        <v>0</v>
      </c>
      <c r="BD12" s="27" t="n">
        <f aca="false">SUM(AK12:BB12)</f>
        <v>0</v>
      </c>
      <c r="BE12" s="27" t="n">
        <f aca="false">IFERROR(BD12*AJ12,0)</f>
        <v>0</v>
      </c>
      <c r="BF12" s="28" t="n">
        <f aca="false">IFERROR(AI12*BD12,0)</f>
        <v>0</v>
      </c>
      <c r="BI12" s="22" t="str">
        <f aca="false">tab_alimentos[[#This Row],[Item]]</f>
        <v>Achocolatado (500g)</v>
      </c>
      <c r="BJ12" s="22" t="n">
        <f aca="false">IFERROR(FIND(" (",BI12),0)</f>
        <v>13</v>
      </c>
      <c r="BK12" s="22" t="str">
        <f aca="false">IF(BJ12=0,BI12,LEFT(BI12,BJ12-1))</f>
        <v>Achocolatado</v>
      </c>
      <c r="BL12" s="22" t="n">
        <f aca="false">tab_alimentos[[#This Row],[kg]]</f>
        <v>0</v>
      </c>
      <c r="BM12" s="32" t="s">
        <v>267</v>
      </c>
      <c r="BN12" s="22" t="n">
        <f aca="false">SUMIF($BJ$5:$BJ$158,BM12,$BK$5:$BK$158)</f>
        <v>0</v>
      </c>
      <c r="BP12" s="22" t="str">
        <f aca="false">tab_higiene[[#This Row],[Item]]</f>
        <v>Absorvente (60un)</v>
      </c>
      <c r="BQ12" s="22" t="n">
        <f aca="false">IFERROR(FIND(" (",BP12),0)</f>
        <v>11</v>
      </c>
      <c r="BR12" s="22" t="str">
        <f aca="false">IF(BQ12=0,BP12,LEFT(BP12,BQ12-1))</f>
        <v>Absorvente</v>
      </c>
      <c r="BS12" s="22" t="n">
        <f aca="false">higiene[[#This Row],[Quantidade]]</f>
        <v>60</v>
      </c>
      <c r="BT12" s="22" t="n">
        <f aca="false">tab_higiene[Qtde (tot)]</f>
        <v>0</v>
      </c>
      <c r="BU12" s="22" t="n">
        <f aca="false">BS12*BT12</f>
        <v>0</v>
      </c>
      <c r="BV12" s="32" t="s">
        <v>268</v>
      </c>
      <c r="BW12" s="22" t="n">
        <f aca="false">SUMIF($BR$5:$BR$142,BV12,$BU$5:$BU$142)</f>
        <v>2.2</v>
      </c>
    </row>
    <row r="13" customFormat="false" ht="15" hidden="false" customHeight="false" outlineLevel="0" collapsed="false">
      <c r="A13" s="0" t="str">
        <f aca="false">tabMercados[[#This Row],[Supermercados]]</f>
        <v>Jaú Rodoviária</v>
      </c>
      <c r="B13" s="34" t="n">
        <f aca="false">SUMPRODUCT(tab_alimentos[kg/embalagem],tab_alimentos[Qtde (S5)])</f>
        <v>442.57</v>
      </c>
      <c r="C13" s="34" t="n">
        <f aca="false">SUMPRODUCT(tab_alimentos[Preço],tab_alimentos[Qtde (S5)])</f>
        <v>1513.761</v>
      </c>
      <c r="D13" s="34" t="n">
        <f aca="false">SUMPRODUCT(tab_higiene[kg/embalagem],tab_higiene[Qtde (S5)])</f>
        <v>387.402303937234</v>
      </c>
      <c r="E13" s="34" t="n">
        <f aca="false">SUMPRODUCT(tab_higiene[Preço],tab_higiene[Qtde (S5)])</f>
        <v>1283.23616666667</v>
      </c>
      <c r="F13" s="34" t="n">
        <f aca="false">B13+D13</f>
        <v>829.972303937234</v>
      </c>
      <c r="G13" s="34" t="n">
        <f aca="false">C13+E13</f>
        <v>2796.99716666667</v>
      </c>
      <c r="I13" s="26" t="str">
        <f aca="false">alimentos[[#This Row],[Item]]</f>
        <v>Achocolatado (700g)</v>
      </c>
      <c r="J13" s="27" t="n">
        <f aca="false">IFERROR(alimentos[[#This Row],[kg/embalagem]],0)</f>
        <v>0.7</v>
      </c>
      <c r="K13" s="27" t="n">
        <f aca="false">IFERROR(alimentos[[#This Row],[Preço]],0)</f>
        <v>7.25666666666667</v>
      </c>
      <c r="L13" s="27" t="n">
        <f aca="false">SUMIFS(super1[Qtde],super1[Item],tab_alimentos[[#This Row],[Item]],super1[Bairro],mercado1)+SUMIFS(supercb[Qtde],supercb[Item],tab_alimentos[[#This Row],[Item]],supercb[Bairro],mercado1)</f>
        <v>0</v>
      </c>
      <c r="M13" s="27" t="n">
        <f aca="false">SUMIFS(super1[Qtde],super1[Item],tab_alimentos[[#This Row],[Item]],super1[Bairro],mercado2)+SUMIFS(supercb[Qtde],supercb[Item],tab_alimentos[[#This Row],[Item]],supercb[Bairro],mercado2)</f>
        <v>1</v>
      </c>
      <c r="N13" s="27" t="n">
        <f aca="false">SUMIFS(super1[Qtde],super1[Item],tab_alimentos[[#This Row],[Item]],super1[Bairro],mercado3)+SUMIFS(supercb[Qtde],supercb[Item],tab_alimentos[[#This Row],[Item]],supercb[Bairro],mercado3)</f>
        <v>0</v>
      </c>
      <c r="O13" s="27" t="n">
        <f aca="false">SUMIFS(super1[Qtde],super1[Item],tab_alimentos[[#This Row],[Item]],super1[Bairro],mercado4)+SUMIFS(supercb[Qtde],supercb[Item],tab_alimentos[[#This Row],[Item]],supercb[Bairro],mercado4)</f>
        <v>0</v>
      </c>
      <c r="P13" s="27" t="n">
        <f aca="false">SUMIFS(super1[Qtde],super1[Item],tab_alimentos[[#This Row],[Item]],super1[Bairro],mercado5)+SUMIFS(supercb[Qtde],supercb[Item],tab_alimentos[[#This Row],[Item]],supercb[Bairro],mercado5)</f>
        <v>4</v>
      </c>
      <c r="Q13" s="27" t="n">
        <f aca="false">SUMIFS(super1[Qtde],super1[Item],tab_alimentos[[#This Row],[Item]],super1[Bairro],mercado6)+SUMIFS(supercb[Qtde],supercb[Item],tab_alimentos[[#This Row],[Item]],supercb[Bairro],mercado6)</f>
        <v>1</v>
      </c>
      <c r="R13" s="27" t="n">
        <f aca="false">SUMIFS(super1[Qtde],super1[Item],tab_alimentos[[#This Row],[Item]],super1[Bairro],mercado7)+SUMIFS(supercb[Qtde],supercb[Item],tab_alimentos[[#This Row],[Item]],supercb[Bairro],mercado7)</f>
        <v>0</v>
      </c>
      <c r="S13" s="27" t="n">
        <f aca="false">SUMIFS(super1[Qtde],super1[Item],tab_alimentos[[#This Row],[Item]],super1[Bairro],mercado8)+SUMIFS(supercb[Qtde],supercb[Item],tab_alimentos[[#This Row],[Item]],supercb[Bairro],mercado8)</f>
        <v>1</v>
      </c>
      <c r="T13" s="27" t="n">
        <f aca="false">SUMIFS(super1[Qtde],super1[Item],tab_alimentos[[#This Row],[Item]],super1[Bairro],mercado9)+SUMIFS(supercb[Qtde],supercb[Item],tab_alimentos[[#This Row],[Item]],supercb[Bairro],mercado9)</f>
        <v>0</v>
      </c>
      <c r="U13" s="27" t="n">
        <f aca="false">SUMIFS(super1[Qtde],super1[Item],tab_alimentos[[#This Row],[Item]],super1[Bairro],mercado10)+SUMIFS(supercb[Qtde],supercb[Item],tab_alimentos[[#This Row],[Item]],supercb[Bairro],mercado10)</f>
        <v>1</v>
      </c>
      <c r="V13" s="27" t="n">
        <f aca="false">SUMIFS(super1[Qtde],super1[Item],tab_alimentos[[#This Row],[Item]],super1[Bairro],mercado11)+SUMIFS(supercb[Qtde],supercb[Item],tab_alimentos[[#This Row],[Item]],supercb[Bairro],mercado11)</f>
        <v>0</v>
      </c>
      <c r="W13" s="27" t="n">
        <f aca="false">SUMIFS(super1[Qtde],super1[Item],tab_alimentos[[#This Row],[Item]],super1[Bairro],mercado12)+SUMIFS(supercb[Qtde],supercb[Item],tab_alimentos[[#This Row],[Item]],supercb[Bairro],mercado12)</f>
        <v>0</v>
      </c>
      <c r="X13" s="27" t="n">
        <f aca="false">SUMIFS(super1[Qtde],super1[Item],tab_alimentos[[#This Row],[Item]],super1[Bairro],mercado13)+SUMIFS(supercb[Qtde],supercb[Item],tab_alimentos[[#This Row],[Item]],supercb[Bairro],mercado13)</f>
        <v>5</v>
      </c>
      <c r="Y13" s="27" t="n">
        <f aca="false">SUMIFS(super1[Qtde],super1[Item],tab_alimentos[[#This Row],[Item]],super1[Bairro],mercado14)+SUMIFS(supercb[Qtde],supercb[Item],tab_alimentos[[#This Row],[Item]],supercb[Bairro],mercado14)</f>
        <v>0</v>
      </c>
      <c r="Z13" s="27" t="n">
        <f aca="false">SUMIFS(super1[Qtde],super1[Item],tab_alimentos[[#This Row],[Item]],super1[Bairro],mercado15)+SUMIFS(supercb[Qtde],supercb[Item],tab_alimentos[[#This Row],[Item]],supercb[Bairro],mercado15)</f>
        <v>0</v>
      </c>
      <c r="AA13" s="27" t="n">
        <f aca="false">SUMIFS(super1[Qtde],super1[Item],tab_alimentos[[#This Row],[Item]],super1[Bairro],mercado16)+SUMIFS(supercb[Qtde],supercb[Item],tab_alimentos[[#This Row],[Item]],supercb[Bairro],mercado16)</f>
        <v>0</v>
      </c>
      <c r="AB13" s="27" t="n">
        <f aca="false">SUMIFS(super1[Qtde],super1[Item],tab_alimentos[[#This Row],[Item]],super1[Bairro],mercado17)+SUMIFS(supercb[Qtde],supercb[Item],tab_alimentos[[#This Row],[Item]],supercb[Bairro],mercado17)</f>
        <v>0</v>
      </c>
      <c r="AC13" s="27" t="n">
        <f aca="false">SUMIFS(super1[Qtde],super1[Item],tab_alimentos[[#This Row],[Item]],super1[Bairro],mercado18)+SUMIFS(supercb[Qtde],supercb[Item],tab_alimentos[[#This Row],[Item]],supercb[Bairro],mercado18)</f>
        <v>0</v>
      </c>
      <c r="AD13" s="27" t="n">
        <f aca="false">SUMIFS(super1[Qtde],super1[Item],tab_alimentos[[#This Row],[Item]],super1[Bairro],extras)+SUMIFS(supercb[Qtde],supercb[Item],tab_alimentos[[#This Row],[Item]],supercb[Bairro],extras)</f>
        <v>0</v>
      </c>
      <c r="AE13" s="27" t="n">
        <f aca="false">SUM(L13:AC13)</f>
        <v>13</v>
      </c>
      <c r="AF13" s="27" t="n">
        <f aca="false">IFERROR(AE13*K13,0)</f>
        <v>94.3366666666667</v>
      </c>
      <c r="AG13" s="28" t="n">
        <f aca="false">IFERROR(J13*AE13,0)</f>
        <v>9.1</v>
      </c>
      <c r="AH13" s="26" t="str">
        <f aca="false">higiene[[#This Row],[Item]]</f>
        <v>Absorvente (80un)</v>
      </c>
      <c r="AI13" s="27" t="n">
        <f aca="false">IFERROR(higiene[[#This Row],[Kg equivalente]],0)</f>
        <v>4.52238384774829</v>
      </c>
      <c r="AJ13" s="27" t="n">
        <f aca="false">IFERROR(higiene[[#This Row],[Preço por produto]],0)</f>
        <v>14.98</v>
      </c>
      <c r="AK13" s="27" t="n">
        <f aca="false">SUMIFS(super1[Qtde],super1[Item],tab_higiene[[#This Row],[Item]],super1[Bairro],mercado1)+SUMIFS(supercb[Qtde],supercb[Item],tab_higiene[[#This Row],[Item]],supercb[Bairro],mercado1)</f>
        <v>0</v>
      </c>
      <c r="AL13" s="27" t="n">
        <f aca="false">SUMIFS(super1[Qtde],super1[Item],tab_higiene[[#This Row],[Item]],super1[Bairro],mercado2)+SUMIFS(supercb[Qtde],supercb[Item],tab_higiene[[#This Row],[Item]],supercb[Bairro],mercado2)</f>
        <v>0</v>
      </c>
      <c r="AM13" s="27" t="n">
        <f aca="false">SUMIFS(super1[Qtde],super1[Item],tab_higiene[[#This Row],[Item]],super1[Bairro],mercado3)+SUMIFS(supercb[Qtde],supercb[Item],tab_higiene[[#This Row],[Item]],supercb[Bairro],mercado3)</f>
        <v>0</v>
      </c>
      <c r="AN13" s="27" t="n">
        <f aca="false">SUMIFS(super1[Qtde],super1[Item],tab_higiene[[#This Row],[Item]],super1[Bairro],mercado4)+SUMIFS(supercb[Qtde],supercb[Item],tab_higiene[[#This Row],[Item]],supercb[Bairro],mercado4)</f>
        <v>0</v>
      </c>
      <c r="AO13" s="27" t="n">
        <f aca="false">SUMIFS(super1[Qtde],super1[Item],tab_higiene[[#This Row],[Item]],super1[Bairro],mercado5)+SUMIFS(supercb[Qtde],supercb[Item],tab_higiene[[#This Row],[Item]],supercb[Bairro],mercado5)</f>
        <v>0</v>
      </c>
      <c r="AP13" s="27" t="n">
        <f aca="false">SUMIFS(super1[Qtde],super1[Item],tab_higiene[[#This Row],[Item]],super1[Bairro],mercado6)+SUMIFS(supercb[Qtde],supercb[Item],tab_higiene[[#This Row],[Item]],supercb[Bairro],mercado6)</f>
        <v>0</v>
      </c>
      <c r="AQ13" s="27" t="n">
        <f aca="false">SUMIFS(super1[Qtde],super1[Item],tab_higiene[[#This Row],[Item]],super1[Bairro],mercado7)+SUMIFS(supercb[Qtde],supercb[Item],tab_higiene[[#This Row],[Item]],supercb[Bairro],mercado7)</f>
        <v>0</v>
      </c>
      <c r="AR13" s="27" t="n">
        <f aca="false">SUMIFS(super1[Qtde],super1[Item],tab_higiene[[#This Row],[Item]],super1[Bairro],mercado8)+SUMIFS(supercb[Qtde],supercb[Item],tab_higiene[[#This Row],[Item]],supercb[Bairro],mercado8)</f>
        <v>0</v>
      </c>
      <c r="AS13" s="27" t="n">
        <f aca="false">SUMIFS(super1[Qtde],super1[Item],tab_higiene[[#This Row],[Item]],super1[Bairro],mercado9)+SUMIFS(supercb[Qtde],supercb[Item],tab_higiene[[#This Row],[Item]],supercb[Bairro],mercado9)</f>
        <v>0</v>
      </c>
      <c r="AT13" s="27" t="n">
        <f aca="false">SUMIFS(super1[Qtde],super1[Item],tab_higiene[[#This Row],[Item]],super1[Bairro],mercado10)+SUMIFS(supercb[Qtde],supercb[Item],tab_higiene[[#This Row],[Item]],supercb[Bairro],mercado10)</f>
        <v>0</v>
      </c>
      <c r="AU13" s="27" t="n">
        <f aca="false">SUMIFS(super1[Qtde],super1[Item],tab_higiene[[#This Row],[Item]],super1[Bairro],mercado11)+SUMIFS(supercb[Qtde],supercb[Item],tab_higiene[[#This Row],[Item]],supercb[Bairro],mercado11)</f>
        <v>0</v>
      </c>
      <c r="AV13" s="27" t="n">
        <f aca="false">SUMIFS(super1[Qtde],super1[Item],tab_higiene[[#This Row],[Item]],super1[Bairro],mercado12)+SUMIFS(supercb[Qtde],supercb[Item],tab_higiene[[#This Row],[Item]],supercb[Bairro],mercado12)</f>
        <v>0</v>
      </c>
      <c r="AW13" s="27" t="n">
        <f aca="false">SUMIFS(super1[Qtde],super1[Item],tab_higiene[[#This Row],[Item]],super1[Bairro],mercado13)+SUMIFS(supercb[Qtde],supercb[Item],tab_higiene[[#This Row],[Item]],supercb[Bairro],mercado13)</f>
        <v>0</v>
      </c>
      <c r="AX13" s="27" t="n">
        <f aca="false">SUMIFS(super1[Qtde],super1[Item],tab_higiene[[#This Row],[Item]],super1[Bairro],mercado14)+SUMIFS(supercb[Qtde],supercb[Item],tab_higiene[[#This Row],[Item]],supercb[Bairro],mercado14)</f>
        <v>0</v>
      </c>
      <c r="AY13" s="27" t="n">
        <f aca="false">SUMIFS(super1[Qtde],super1[Item],tab_higiene[[#This Row],[Item]],super1[Bairro],mercado15)+SUMIFS(supercb[Qtde],supercb[Item],tab_higiene[[#This Row],[Item]],supercb[Bairro],mercado15)</f>
        <v>0</v>
      </c>
      <c r="AZ13" s="27" t="n">
        <f aca="false">SUMIFS(super1[Qtde],super1[Item],tab_higiene[[#This Row],[Item]],super1[Bairro],mercado16)+SUMIFS(supercb[Qtde],supercb[Item],tab_higiene[[#This Row],[Item]],supercb[Bairro],mercado16)</f>
        <v>0</v>
      </c>
      <c r="BA13" s="27" t="n">
        <f aca="false">SUMIFS(super1[Qtde],super1[Item],tab_higiene[[#This Row],[Item]],super1[Bairro],mercado17)+SUMIFS(supercb[Qtde],supercb[Item],tab_higiene[[#This Row],[Item]],supercb[Bairro],mercado17)</f>
        <v>0</v>
      </c>
      <c r="BB13" s="27" t="n">
        <f aca="false">SUMIFS(super1[Qtde],super1[Item],tab_higiene[[#This Row],[Item]],super1[Bairro],mercado18)+SUMIFS(supercb[Qtde],supercb[Item],tab_higiene[[#This Row],[Item]],supercb[Bairro],mercado18)</f>
        <v>0</v>
      </c>
      <c r="BC13" s="27" t="n">
        <f aca="false">SUMIFS(super1[Qtde],super1[Item],tab_higiene[[#This Row],[Item]],super1[Bairro],extras)+SUMIFS(supercb[Qtde],supercb[Item],tab_higiene[[#This Row],[Item]],supercb[Bairro],extras)</f>
        <v>0</v>
      </c>
      <c r="BD13" s="27" t="n">
        <f aca="false">SUM(AK13:BB13)</f>
        <v>0</v>
      </c>
      <c r="BE13" s="27" t="n">
        <f aca="false">IFERROR(BD13*AJ13,0)</f>
        <v>0</v>
      </c>
      <c r="BF13" s="28" t="n">
        <f aca="false">IFERROR(AI13*BD13,0)</f>
        <v>0</v>
      </c>
      <c r="BI13" s="22" t="str">
        <f aca="false">tab_alimentos[[#This Row],[Item]]</f>
        <v>Achocolatado (700g)</v>
      </c>
      <c r="BJ13" s="22" t="n">
        <f aca="false">IFERROR(FIND(" (",BI13),0)</f>
        <v>13</v>
      </c>
      <c r="BK13" s="22" t="str">
        <f aca="false">IF(BJ13=0,BI13,LEFT(BI13,BJ13-1))</f>
        <v>Achocolatado</v>
      </c>
      <c r="BL13" s="22" t="n">
        <f aca="false">tab_alimentos[[#This Row],[kg]]</f>
        <v>9.1</v>
      </c>
      <c r="BM13" s="32" t="s">
        <v>269</v>
      </c>
      <c r="BN13" s="22" t="n">
        <f aca="false">SUMIF($BJ$5:$BJ$158,BM13,$BK$5:$BK$158)</f>
        <v>0</v>
      </c>
      <c r="BP13" s="22" t="str">
        <f aca="false">tab_higiene[[#This Row],[Item]]</f>
        <v>Absorvente (80un)</v>
      </c>
      <c r="BQ13" s="22" t="n">
        <f aca="false">IFERROR(FIND(" (",BP13),0)</f>
        <v>11</v>
      </c>
      <c r="BR13" s="22" t="str">
        <f aca="false">IF(BQ13=0,BP13,LEFT(BP13,BQ13-1))</f>
        <v>Absorvente</v>
      </c>
      <c r="BS13" s="22" t="n">
        <f aca="false">higiene[[#This Row],[Quantidade]]</f>
        <v>80</v>
      </c>
      <c r="BT13" s="22" t="n">
        <f aca="false">tab_higiene[Qtde (tot)]</f>
        <v>0</v>
      </c>
      <c r="BU13" s="22" t="n">
        <f aca="false">BS13*BT13</f>
        <v>0</v>
      </c>
      <c r="BV13" s="32" t="s">
        <v>270</v>
      </c>
      <c r="BW13" s="22" t="n">
        <f aca="false">SUMIF($BR$5:$BR$142,BV13,$BU$5:$BU$142)</f>
        <v>0</v>
      </c>
    </row>
    <row r="14" customFormat="false" ht="15" hidden="false" customHeight="false" outlineLevel="0" collapsed="false">
      <c r="A14" s="0" t="str">
        <f aca="false">tabMercados[[#This Row],[Supermercados]]</f>
        <v>Jaú Vila Nery</v>
      </c>
      <c r="B14" s="34" t="n">
        <f aca="false">SUMPRODUCT(tab_alimentos[kg/embalagem],tab_alimentos[Qtde (S6)])</f>
        <v>258.845</v>
      </c>
      <c r="C14" s="34" t="n">
        <f aca="false">SUMPRODUCT(tab_alimentos[Preço],tab_alimentos[Qtde (S6)])</f>
        <v>984.840666666667</v>
      </c>
      <c r="D14" s="34" t="n">
        <f aca="false">SUMPRODUCT(tab_higiene[kg/embalagem],tab_higiene[Qtde (S6)])</f>
        <v>191.129385786841</v>
      </c>
      <c r="E14" s="34" t="n">
        <f aca="false">SUMPRODUCT(tab_higiene[Preço],tab_higiene[Qtde (S6)])</f>
        <v>633.099333333333</v>
      </c>
      <c r="F14" s="34" t="n">
        <f aca="false">B14+D14</f>
        <v>449.974385786841</v>
      </c>
      <c r="G14" s="34" t="n">
        <f aca="false">C14+E14</f>
        <v>1617.94</v>
      </c>
      <c r="I14" s="26" t="str">
        <f aca="false">alimentos[[#This Row],[Item]]</f>
        <v>Achocolatado (800g)</v>
      </c>
      <c r="J14" s="27" t="n">
        <f aca="false">IFERROR(alimentos[[#This Row],[kg/embalagem]],0)</f>
        <v>0.8</v>
      </c>
      <c r="K14" s="27" t="n">
        <f aca="false">IFERROR(alimentos[[#This Row],[Preço]],0)</f>
        <v>10.1233333333333</v>
      </c>
      <c r="L14" s="27" t="n">
        <f aca="false">SUMIFS(super1[Qtde],super1[Item],tab_alimentos[[#This Row],[Item]],super1[Bairro],mercado1)+SUMIFS(supercb[Qtde],supercb[Item],tab_alimentos[[#This Row],[Item]],supercb[Bairro],mercado1)</f>
        <v>0</v>
      </c>
      <c r="M14" s="27" t="n">
        <f aca="false">SUMIFS(super1[Qtde],super1[Item],tab_alimentos[[#This Row],[Item]],super1[Bairro],mercado2)+SUMIFS(supercb[Qtde],supercb[Item],tab_alimentos[[#This Row],[Item]],supercb[Bairro],mercado2)</f>
        <v>0</v>
      </c>
      <c r="N14" s="27" t="n">
        <f aca="false">SUMIFS(super1[Qtde],super1[Item],tab_alimentos[[#This Row],[Item]],super1[Bairro],mercado3)+SUMIFS(supercb[Qtde],supercb[Item],tab_alimentos[[#This Row],[Item]],supercb[Bairro],mercado3)</f>
        <v>0</v>
      </c>
      <c r="O14" s="27" t="n">
        <f aca="false">SUMIFS(super1[Qtde],super1[Item],tab_alimentos[[#This Row],[Item]],super1[Bairro],mercado4)+SUMIFS(supercb[Qtde],supercb[Item],tab_alimentos[[#This Row],[Item]],supercb[Bairro],mercado4)</f>
        <v>1</v>
      </c>
      <c r="P14" s="27" t="n">
        <f aca="false">SUMIFS(super1[Qtde],super1[Item],tab_alimentos[[#This Row],[Item]],super1[Bairro],mercado5)+SUMIFS(supercb[Qtde],supercb[Item],tab_alimentos[[#This Row],[Item]],supercb[Bairro],mercado5)</f>
        <v>0</v>
      </c>
      <c r="Q14" s="27" t="n">
        <f aca="false">SUMIFS(super1[Qtde],super1[Item],tab_alimentos[[#This Row],[Item]],super1[Bairro],mercado6)+SUMIFS(supercb[Qtde],supercb[Item],tab_alimentos[[#This Row],[Item]],supercb[Bairro],mercado6)</f>
        <v>0</v>
      </c>
      <c r="R14" s="27" t="n">
        <f aca="false">SUMIFS(super1[Qtde],super1[Item],tab_alimentos[[#This Row],[Item]],super1[Bairro],mercado7)+SUMIFS(supercb[Qtde],supercb[Item],tab_alimentos[[#This Row],[Item]],supercb[Bairro],mercado7)</f>
        <v>0</v>
      </c>
      <c r="S14" s="27" t="n">
        <f aca="false">SUMIFS(super1[Qtde],super1[Item],tab_alimentos[[#This Row],[Item]],super1[Bairro],mercado8)+SUMIFS(supercb[Qtde],supercb[Item],tab_alimentos[[#This Row],[Item]],supercb[Bairro],mercado8)</f>
        <v>0</v>
      </c>
      <c r="T14" s="27" t="n">
        <f aca="false">SUMIFS(super1[Qtde],super1[Item],tab_alimentos[[#This Row],[Item]],super1[Bairro],mercado9)+SUMIFS(supercb[Qtde],supercb[Item],tab_alimentos[[#This Row],[Item]],supercb[Bairro],mercado9)</f>
        <v>1</v>
      </c>
      <c r="U14" s="27" t="n">
        <f aca="false">SUMIFS(super1[Qtde],super1[Item],tab_alimentos[[#This Row],[Item]],super1[Bairro],mercado10)+SUMIFS(supercb[Qtde],supercb[Item],tab_alimentos[[#This Row],[Item]],supercb[Bairro],mercado10)</f>
        <v>2</v>
      </c>
      <c r="V14" s="27" t="n">
        <f aca="false">SUMIFS(super1[Qtde],super1[Item],tab_alimentos[[#This Row],[Item]],super1[Bairro],mercado11)+SUMIFS(supercb[Qtde],supercb[Item],tab_alimentos[[#This Row],[Item]],supercb[Bairro],mercado11)</f>
        <v>2</v>
      </c>
      <c r="W14" s="27" t="n">
        <f aca="false">SUMIFS(super1[Qtde],super1[Item],tab_alimentos[[#This Row],[Item]],super1[Bairro],mercado12)+SUMIFS(supercb[Qtde],supercb[Item],tab_alimentos[[#This Row],[Item]],supercb[Bairro],mercado12)</f>
        <v>0</v>
      </c>
      <c r="X14" s="27" t="n">
        <f aca="false">SUMIFS(super1[Qtde],super1[Item],tab_alimentos[[#This Row],[Item]],super1[Bairro],mercado13)+SUMIFS(supercb[Qtde],supercb[Item],tab_alimentos[[#This Row],[Item]],supercb[Bairro],mercado13)</f>
        <v>1</v>
      </c>
      <c r="Y14" s="27" t="n">
        <f aca="false">SUMIFS(super1[Qtde],super1[Item],tab_alimentos[[#This Row],[Item]],super1[Bairro],mercado14)+SUMIFS(supercb[Qtde],supercb[Item],tab_alimentos[[#This Row],[Item]],supercb[Bairro],mercado14)</f>
        <v>0</v>
      </c>
      <c r="Z14" s="27" t="n">
        <f aca="false">SUMIFS(super1[Qtde],super1[Item],tab_alimentos[[#This Row],[Item]],super1[Bairro],mercado15)+SUMIFS(supercb[Qtde],supercb[Item],tab_alimentos[[#This Row],[Item]],supercb[Bairro],mercado15)</f>
        <v>0</v>
      </c>
      <c r="AA14" s="27" t="n">
        <f aca="false">SUMIFS(super1[Qtde],super1[Item],tab_alimentos[[#This Row],[Item]],super1[Bairro],mercado16)+SUMIFS(supercb[Qtde],supercb[Item],tab_alimentos[[#This Row],[Item]],supercb[Bairro],mercado16)</f>
        <v>0</v>
      </c>
      <c r="AB14" s="27" t="n">
        <f aca="false">SUMIFS(super1[Qtde],super1[Item],tab_alimentos[[#This Row],[Item]],super1[Bairro],mercado17)+SUMIFS(supercb[Qtde],supercb[Item],tab_alimentos[[#This Row],[Item]],supercb[Bairro],mercado17)</f>
        <v>0</v>
      </c>
      <c r="AC14" s="27" t="n">
        <f aca="false">SUMIFS(super1[Qtde],super1[Item],tab_alimentos[[#This Row],[Item]],super1[Bairro],mercado18)+SUMIFS(supercb[Qtde],supercb[Item],tab_alimentos[[#This Row],[Item]],supercb[Bairro],mercado18)</f>
        <v>0</v>
      </c>
      <c r="AD14" s="27" t="n">
        <f aca="false">SUMIFS(super1[Qtde],super1[Item],tab_alimentos[[#This Row],[Item]],super1[Bairro],extras)+SUMIFS(supercb[Qtde],supercb[Item],tab_alimentos[[#This Row],[Item]],supercb[Bairro],extras)</f>
        <v>0</v>
      </c>
      <c r="AE14" s="27" t="n">
        <f aca="false">SUM(L14:AC14)</f>
        <v>7</v>
      </c>
      <c r="AF14" s="27" t="n">
        <f aca="false">IFERROR(AE14*K14,0)</f>
        <v>70.8633333333333</v>
      </c>
      <c r="AG14" s="28" t="n">
        <f aca="false">IFERROR(J14*AE14,0)</f>
        <v>5.6</v>
      </c>
      <c r="AH14" s="26" t="str">
        <f aca="false">higiene[[#This Row],[Item]]</f>
        <v>Água Sanitária (1L)</v>
      </c>
      <c r="AI14" s="27" t="n">
        <f aca="false">IFERROR(higiene[[#This Row],[Kg equivalente]],0)</f>
        <v>0.76922790681326</v>
      </c>
      <c r="AJ14" s="27" t="n">
        <f aca="false">IFERROR(higiene[[#This Row],[Preço por produto]],0)</f>
        <v>2.548</v>
      </c>
      <c r="AK14" s="27" t="n">
        <f aca="false">SUMIFS(super1[Qtde],super1[Item],tab_higiene[[#This Row],[Item]],super1[Bairro],mercado1)+SUMIFS(supercb[Qtde],supercb[Item],tab_higiene[[#This Row],[Item]],supercb[Bairro],mercado1)</f>
        <v>1</v>
      </c>
      <c r="AL14" s="27" t="n">
        <f aca="false">SUMIFS(super1[Qtde],super1[Item],tab_higiene[[#This Row],[Item]],super1[Bairro],mercado2)+SUMIFS(supercb[Qtde],supercb[Item],tab_higiene[[#This Row],[Item]],supercb[Bairro],mercado2)</f>
        <v>0</v>
      </c>
      <c r="AM14" s="27" t="n">
        <f aca="false">SUMIFS(super1[Qtde],super1[Item],tab_higiene[[#This Row],[Item]],super1[Bairro],mercado3)+SUMIFS(supercb[Qtde],supercb[Item],tab_higiene[[#This Row],[Item]],supercb[Bairro],mercado3)</f>
        <v>0</v>
      </c>
      <c r="AN14" s="27" t="n">
        <f aca="false">SUMIFS(super1[Qtde],super1[Item],tab_higiene[[#This Row],[Item]],super1[Bairro],mercado4)+SUMIFS(supercb[Qtde],supercb[Item],tab_higiene[[#This Row],[Item]],supercb[Bairro],mercado4)</f>
        <v>0</v>
      </c>
      <c r="AO14" s="27" t="n">
        <f aca="false">SUMIFS(super1[Qtde],super1[Item],tab_higiene[[#This Row],[Item]],super1[Bairro],mercado5)+SUMIFS(supercb[Qtde],supercb[Item],tab_higiene[[#This Row],[Item]],supercb[Bairro],mercado5)</f>
        <v>1</v>
      </c>
      <c r="AP14" s="27" t="n">
        <f aca="false">SUMIFS(super1[Qtde],super1[Item],tab_higiene[[#This Row],[Item]],super1[Bairro],mercado6)+SUMIFS(supercb[Qtde],supercb[Item],tab_higiene[[#This Row],[Item]],supercb[Bairro],mercado6)</f>
        <v>0</v>
      </c>
      <c r="AQ14" s="27" t="n">
        <f aca="false">SUMIFS(super1[Qtde],super1[Item],tab_higiene[[#This Row],[Item]],super1[Bairro],mercado7)+SUMIFS(supercb[Qtde],supercb[Item],tab_higiene[[#This Row],[Item]],supercb[Bairro],mercado7)</f>
        <v>0</v>
      </c>
      <c r="AR14" s="27" t="n">
        <f aca="false">SUMIFS(super1[Qtde],super1[Item],tab_higiene[[#This Row],[Item]],super1[Bairro],mercado8)+SUMIFS(supercb[Qtde],supercb[Item],tab_higiene[[#This Row],[Item]],supercb[Bairro],mercado8)</f>
        <v>0</v>
      </c>
      <c r="AS14" s="27" t="n">
        <f aca="false">SUMIFS(super1[Qtde],super1[Item],tab_higiene[[#This Row],[Item]],super1[Bairro],mercado9)+SUMIFS(supercb[Qtde],supercb[Item],tab_higiene[[#This Row],[Item]],supercb[Bairro],mercado9)</f>
        <v>0</v>
      </c>
      <c r="AT14" s="27" t="n">
        <f aca="false">SUMIFS(super1[Qtde],super1[Item],tab_higiene[[#This Row],[Item]],super1[Bairro],mercado10)+SUMIFS(supercb[Qtde],supercb[Item],tab_higiene[[#This Row],[Item]],supercb[Bairro],mercado10)</f>
        <v>0</v>
      </c>
      <c r="AU14" s="27" t="n">
        <f aca="false">SUMIFS(super1[Qtde],super1[Item],tab_higiene[[#This Row],[Item]],super1[Bairro],mercado11)+SUMIFS(supercb[Qtde],supercb[Item],tab_higiene[[#This Row],[Item]],supercb[Bairro],mercado11)</f>
        <v>0</v>
      </c>
      <c r="AV14" s="27" t="n">
        <f aca="false">SUMIFS(super1[Qtde],super1[Item],tab_higiene[[#This Row],[Item]],super1[Bairro],mercado12)+SUMIFS(supercb[Qtde],supercb[Item],tab_higiene[[#This Row],[Item]],supercb[Bairro],mercado12)</f>
        <v>0</v>
      </c>
      <c r="AW14" s="27" t="n">
        <f aca="false">SUMIFS(super1[Qtde],super1[Item],tab_higiene[[#This Row],[Item]],super1[Bairro],mercado13)+SUMIFS(supercb[Qtde],supercb[Item],tab_higiene[[#This Row],[Item]],supercb[Bairro],mercado13)</f>
        <v>0</v>
      </c>
      <c r="AX14" s="27" t="n">
        <f aca="false">SUMIFS(super1[Qtde],super1[Item],tab_higiene[[#This Row],[Item]],super1[Bairro],mercado14)+SUMIFS(supercb[Qtde],supercb[Item],tab_higiene[[#This Row],[Item]],supercb[Bairro],mercado14)</f>
        <v>0</v>
      </c>
      <c r="AY14" s="27" t="n">
        <f aca="false">SUMIFS(super1[Qtde],super1[Item],tab_higiene[[#This Row],[Item]],super1[Bairro],mercado15)+SUMIFS(supercb[Qtde],supercb[Item],tab_higiene[[#This Row],[Item]],supercb[Bairro],mercado15)</f>
        <v>0</v>
      </c>
      <c r="AZ14" s="27" t="n">
        <f aca="false">SUMIFS(super1[Qtde],super1[Item],tab_higiene[[#This Row],[Item]],super1[Bairro],mercado16)+SUMIFS(supercb[Qtde],supercb[Item],tab_higiene[[#This Row],[Item]],supercb[Bairro],mercado16)</f>
        <v>0</v>
      </c>
      <c r="BA14" s="27" t="n">
        <f aca="false">SUMIFS(super1[Qtde],super1[Item],tab_higiene[[#This Row],[Item]],super1[Bairro],mercado17)+SUMIFS(supercb[Qtde],supercb[Item],tab_higiene[[#This Row],[Item]],supercb[Bairro],mercado17)</f>
        <v>0</v>
      </c>
      <c r="BB14" s="27" t="n">
        <f aca="false">SUMIFS(super1[Qtde],super1[Item],tab_higiene[[#This Row],[Item]],super1[Bairro],mercado18)+SUMIFS(supercb[Qtde],supercb[Item],tab_higiene[[#This Row],[Item]],supercb[Bairro],mercado18)</f>
        <v>0</v>
      </c>
      <c r="BC14" s="27" t="n">
        <f aca="false">SUMIFS(super1[Qtde],super1[Item],tab_higiene[[#This Row],[Item]],super1[Bairro],extras)+SUMIFS(supercb[Qtde],supercb[Item],tab_higiene[[#This Row],[Item]],supercb[Bairro],extras)</f>
        <v>0</v>
      </c>
      <c r="BD14" s="27" t="n">
        <f aca="false">SUM(AK14:BB14)</f>
        <v>2</v>
      </c>
      <c r="BE14" s="27" t="n">
        <f aca="false">IFERROR(BD14*AJ14,0)</f>
        <v>5.096</v>
      </c>
      <c r="BF14" s="28" t="n">
        <f aca="false">IFERROR(AI14*BD14,0)</f>
        <v>1.53845581362652</v>
      </c>
      <c r="BI14" s="22" t="str">
        <f aca="false">tab_alimentos[[#This Row],[Item]]</f>
        <v>Achocolatado (800g)</v>
      </c>
      <c r="BJ14" s="22" t="n">
        <f aca="false">IFERROR(FIND(" (",BI14),0)</f>
        <v>13</v>
      </c>
      <c r="BK14" s="22" t="str">
        <f aca="false">IF(BJ14=0,BI14,LEFT(BI14,BJ14-1))</f>
        <v>Achocolatado</v>
      </c>
      <c r="BL14" s="22" t="n">
        <f aca="false">tab_alimentos[[#This Row],[kg]]</f>
        <v>5.6</v>
      </c>
      <c r="BM14" s="32" t="s">
        <v>271</v>
      </c>
      <c r="BN14" s="22" t="n">
        <f aca="false">SUMIF($BJ$5:$BJ$158,BM14,$BK$5:$BK$158)</f>
        <v>0</v>
      </c>
      <c r="BP14" s="22" t="str">
        <f aca="false">tab_higiene[[#This Row],[Item]]</f>
        <v>Água Sanitária (1L)</v>
      </c>
      <c r="BQ14" s="22" t="n">
        <f aca="false">IFERROR(FIND(" (",BP14),0)</f>
        <v>15</v>
      </c>
      <c r="BR14" s="22" t="str">
        <f aca="false">IF(BQ14=0,BP14,LEFT(BP14,BQ14-1))</f>
        <v>Água Sanitária</v>
      </c>
      <c r="BS14" s="22" t="n">
        <f aca="false">higiene[[#This Row],[Quantidade]]</f>
        <v>1</v>
      </c>
      <c r="BT14" s="22" t="n">
        <f aca="false">tab_higiene[Qtde (tot)]</f>
        <v>2</v>
      </c>
      <c r="BU14" s="22" t="n">
        <f aca="false">BS14*BT14</f>
        <v>2</v>
      </c>
      <c r="BV14" s="32" t="s">
        <v>271</v>
      </c>
      <c r="BW14" s="22" t="n">
        <f aca="false">SUMIF($BR$5:$BR$142,BV14,$BU$5:$BU$142)</f>
        <v>0</v>
      </c>
    </row>
    <row r="15" customFormat="false" ht="15" hidden="false" customHeight="false" outlineLevel="0" collapsed="false">
      <c r="A15" s="0" t="str">
        <f aca="false">tabMercados[[#This Row],[Supermercados]]</f>
        <v>Jaú Vila Prado</v>
      </c>
      <c r="B15" s="34" t="n">
        <f aca="false">SUMPRODUCT(tab_alimentos[kg/embalagem],tab_alimentos[Qtde (S7)])</f>
        <v>200.1</v>
      </c>
      <c r="C15" s="34" t="n">
        <f aca="false">SUMPRODUCT(tab_alimentos[Preço],tab_alimentos[Qtde (S7)])</f>
        <v>682.719666666667</v>
      </c>
      <c r="D15" s="34" t="n">
        <f aca="false">SUMPRODUCT(tab_higiene[kg/embalagem],tab_higiene[Qtde (S7)])</f>
        <v>141.966675761146</v>
      </c>
      <c r="E15" s="34" t="n">
        <f aca="false">SUMPRODUCT(tab_higiene[Preço],tab_higiene[Qtde (S7)])</f>
        <v>470.252166666667</v>
      </c>
      <c r="F15" s="34" t="n">
        <f aca="false">B15+D15</f>
        <v>342.066675761146</v>
      </c>
      <c r="G15" s="34" t="n">
        <f aca="false">C15+E15</f>
        <v>1152.97183333333</v>
      </c>
      <c r="I15" s="26" t="str">
        <f aca="false">alimentos[[#This Row],[Item]]</f>
        <v>Açúcar (1kg)</v>
      </c>
      <c r="J15" s="27" t="n">
        <f aca="false">IFERROR(alimentos[[#This Row],[kg/embalagem]],0)</f>
        <v>1</v>
      </c>
      <c r="K15" s="27" t="n">
        <f aca="false">IFERROR(alimentos[[#This Row],[Preço]],0)</f>
        <v>1.71833333333333</v>
      </c>
      <c r="L15" s="27" t="n">
        <f aca="false">SUMIFS(super1[Qtde],super1[Item],tab_alimentos[[#This Row],[Item]],super1[Bairro],mercado1)+SUMIFS(supercb[Qtde],supercb[Item],tab_alimentos[[#This Row],[Item]],supercb[Bairro],mercado1)</f>
        <v>16</v>
      </c>
      <c r="M15" s="27" t="n">
        <f aca="false">SUMIFS(super1[Qtde],super1[Item],tab_alimentos[[#This Row],[Item]],super1[Bairro],mercado2)+SUMIFS(supercb[Qtde],supercb[Item],tab_alimentos[[#This Row],[Item]],supercb[Bairro],mercado2)</f>
        <v>32</v>
      </c>
      <c r="N15" s="27" t="n">
        <f aca="false">SUMIFS(super1[Qtde],super1[Item],tab_alimentos[[#This Row],[Item]],super1[Bairro],mercado3)+SUMIFS(supercb[Qtde],supercb[Item],tab_alimentos[[#This Row],[Item]],supercb[Bairro],mercado3)</f>
        <v>19</v>
      </c>
      <c r="O15" s="27" t="n">
        <f aca="false">SUMIFS(super1[Qtde],super1[Item],tab_alimentos[[#This Row],[Item]],super1[Bairro],mercado4)+SUMIFS(supercb[Qtde],supercb[Item],tab_alimentos[[#This Row],[Item]],supercb[Bairro],mercado4)</f>
        <v>33</v>
      </c>
      <c r="P15" s="27" t="n">
        <f aca="false">SUMIFS(super1[Qtde],super1[Item],tab_alimentos[[#This Row],[Item]],super1[Bairro],mercado5)+SUMIFS(supercb[Qtde],supercb[Item],tab_alimentos[[#This Row],[Item]],supercb[Bairro],mercado5)</f>
        <v>18</v>
      </c>
      <c r="Q15" s="27" t="n">
        <f aca="false">SUMIFS(super1[Qtde],super1[Item],tab_alimentos[[#This Row],[Item]],super1[Bairro],mercado6)+SUMIFS(supercb[Qtde],supercb[Item],tab_alimentos[[#This Row],[Item]],supercb[Bairro],mercado6)</f>
        <v>21</v>
      </c>
      <c r="R15" s="27" t="n">
        <f aca="false">SUMIFS(super1[Qtde],super1[Item],tab_alimentos[[#This Row],[Item]],super1[Bairro],mercado7)+SUMIFS(supercb[Qtde],supercb[Item],tab_alimentos[[#This Row],[Item]],supercb[Bairro],mercado7)</f>
        <v>22</v>
      </c>
      <c r="S15" s="27" t="n">
        <f aca="false">SUMIFS(super1[Qtde],super1[Item],tab_alimentos[[#This Row],[Item]],super1[Bairro],mercado8)+SUMIFS(supercb[Qtde],supercb[Item],tab_alimentos[[#This Row],[Item]],supercb[Bairro],mercado8)</f>
        <v>30</v>
      </c>
      <c r="T15" s="27" t="n">
        <f aca="false">SUMIFS(super1[Qtde],super1[Item],tab_alimentos[[#This Row],[Item]],super1[Bairro],mercado9)+SUMIFS(supercb[Qtde],supercb[Item],tab_alimentos[[#This Row],[Item]],supercb[Bairro],mercado9)</f>
        <v>22</v>
      </c>
      <c r="U15" s="27" t="n">
        <f aca="false">SUMIFS(super1[Qtde],super1[Item],tab_alimentos[[#This Row],[Item]],super1[Bairro],mercado10)+SUMIFS(supercb[Qtde],supercb[Item],tab_alimentos[[#This Row],[Item]],supercb[Bairro],mercado10)</f>
        <v>31</v>
      </c>
      <c r="V15" s="27" t="n">
        <f aca="false">SUMIFS(super1[Qtde],super1[Item],tab_alimentos[[#This Row],[Item]],super1[Bairro],mercado11)+SUMIFS(supercb[Qtde],supercb[Item],tab_alimentos[[#This Row],[Item]],supercb[Bairro],mercado11)</f>
        <v>31</v>
      </c>
      <c r="W15" s="27" t="n">
        <f aca="false">SUMIFS(super1[Qtde],super1[Item],tab_alimentos[[#This Row],[Item]],super1[Bairro],mercado12)+SUMIFS(supercb[Qtde],supercb[Item],tab_alimentos[[#This Row],[Item]],supercb[Bairro],mercado12)</f>
        <v>0</v>
      </c>
      <c r="X15" s="27" t="n">
        <f aca="false">SUMIFS(super1[Qtde],super1[Item],tab_alimentos[[#This Row],[Item]],super1[Bairro],mercado13)+SUMIFS(supercb[Qtde],supercb[Item],tab_alimentos[[#This Row],[Item]],supercb[Bairro],mercado13)</f>
        <v>47</v>
      </c>
      <c r="Y15" s="27" t="n">
        <f aca="false">SUMIFS(super1[Qtde],super1[Item],tab_alimentos[[#This Row],[Item]],super1[Bairro],mercado14)+SUMIFS(supercb[Qtde],supercb[Item],tab_alimentos[[#This Row],[Item]],supercb[Bairro],mercado14)</f>
        <v>0</v>
      </c>
      <c r="Z15" s="27" t="n">
        <f aca="false">SUMIFS(super1[Qtde],super1[Item],tab_alimentos[[#This Row],[Item]],super1[Bairro],mercado15)+SUMIFS(supercb[Qtde],supercb[Item],tab_alimentos[[#This Row],[Item]],supercb[Bairro],mercado15)</f>
        <v>0</v>
      </c>
      <c r="AA15" s="27" t="n">
        <f aca="false">SUMIFS(super1[Qtde],super1[Item],tab_alimentos[[#This Row],[Item]],super1[Bairro],mercado16)+SUMIFS(supercb[Qtde],supercb[Item],tab_alimentos[[#This Row],[Item]],supercb[Bairro],mercado16)</f>
        <v>0</v>
      </c>
      <c r="AB15" s="27" t="n">
        <f aca="false">SUMIFS(super1[Qtde],super1[Item],tab_alimentos[[#This Row],[Item]],super1[Bairro],mercado17)+SUMIFS(supercb[Qtde],supercb[Item],tab_alimentos[[#This Row],[Item]],supercb[Bairro],mercado17)</f>
        <v>0</v>
      </c>
      <c r="AC15" s="27" t="n">
        <f aca="false">SUMIFS(super1[Qtde],super1[Item],tab_alimentos[[#This Row],[Item]],super1[Bairro],mercado18)+SUMIFS(supercb[Qtde],supercb[Item],tab_alimentos[[#This Row],[Item]],supercb[Bairro],mercado18)</f>
        <v>0</v>
      </c>
      <c r="AD15" s="27" t="n">
        <f aca="false">SUMIFS(super1[Qtde],super1[Item],tab_alimentos[[#This Row],[Item]],super1[Bairro],extras)+SUMIFS(supercb[Qtde],supercb[Item],tab_alimentos[[#This Row],[Item]],supercb[Bairro],extras)</f>
        <v>0</v>
      </c>
      <c r="AE15" s="27" t="n">
        <f aca="false">SUM(L15:AC15)</f>
        <v>322</v>
      </c>
      <c r="AF15" s="27" t="n">
        <f aca="false">IFERROR(AE15*K15,0)</f>
        <v>553.303333333333</v>
      </c>
      <c r="AG15" s="28" t="n">
        <f aca="false">IFERROR(J15*AE15,0)</f>
        <v>322</v>
      </c>
      <c r="AH15" s="26" t="str">
        <f aca="false">higiene[[#This Row],[Item]]</f>
        <v>Água Sanitária (2L)</v>
      </c>
      <c r="AI15" s="27" t="n">
        <f aca="false">IFERROR(higiene[[#This Row],[Kg equivalente]],0)</f>
        <v>1.09406669320693</v>
      </c>
      <c r="AJ15" s="27" t="n">
        <f aca="false">IFERROR(higiene[[#This Row],[Preço por produto]],0)</f>
        <v>3.624</v>
      </c>
      <c r="AK15" s="27" t="n">
        <f aca="false">SUMIFS(super1[Qtde],super1[Item],tab_higiene[[#This Row],[Item]],super1[Bairro],mercado1)+SUMIFS(supercb[Qtde],supercb[Item],tab_higiene[[#This Row],[Item]],supercb[Bairro],mercado1)</f>
        <v>2</v>
      </c>
      <c r="AL15" s="27" t="n">
        <f aca="false">SUMIFS(super1[Qtde],super1[Item],tab_higiene[[#This Row],[Item]],super1[Bairro],mercado2)+SUMIFS(supercb[Qtde],supercb[Item],tab_higiene[[#This Row],[Item]],supercb[Bairro],mercado2)</f>
        <v>1</v>
      </c>
      <c r="AM15" s="27" t="n">
        <f aca="false">SUMIFS(super1[Qtde],super1[Item],tab_higiene[[#This Row],[Item]],super1[Bairro],mercado3)+SUMIFS(supercb[Qtde],supercb[Item],tab_higiene[[#This Row],[Item]],supercb[Bairro],mercado3)</f>
        <v>3</v>
      </c>
      <c r="AN15" s="27" t="n">
        <f aca="false">SUMIFS(super1[Qtde],super1[Item],tab_higiene[[#This Row],[Item]],super1[Bairro],mercado4)+SUMIFS(supercb[Qtde],supercb[Item],tab_higiene[[#This Row],[Item]],supercb[Bairro],mercado4)</f>
        <v>2</v>
      </c>
      <c r="AO15" s="27" t="n">
        <f aca="false">SUMIFS(super1[Qtde],super1[Item],tab_higiene[[#This Row],[Item]],super1[Bairro],mercado5)+SUMIFS(supercb[Qtde],supercb[Item],tab_higiene[[#This Row],[Item]],supercb[Bairro],mercado5)</f>
        <v>7</v>
      </c>
      <c r="AP15" s="27" t="n">
        <f aca="false">SUMIFS(super1[Qtde],super1[Item],tab_higiene[[#This Row],[Item]],super1[Bairro],mercado6)+SUMIFS(supercb[Qtde],supercb[Item],tab_higiene[[#This Row],[Item]],supercb[Bairro],mercado6)</f>
        <v>8</v>
      </c>
      <c r="AQ15" s="27" t="n">
        <f aca="false">SUMIFS(super1[Qtde],super1[Item],tab_higiene[[#This Row],[Item]],super1[Bairro],mercado7)+SUMIFS(supercb[Qtde],supercb[Item],tab_higiene[[#This Row],[Item]],supercb[Bairro],mercado7)</f>
        <v>3</v>
      </c>
      <c r="AR15" s="27" t="n">
        <f aca="false">SUMIFS(super1[Qtde],super1[Item],tab_higiene[[#This Row],[Item]],super1[Bairro],mercado8)+SUMIFS(supercb[Qtde],supercb[Item],tab_higiene[[#This Row],[Item]],supercb[Bairro],mercado8)</f>
        <v>3</v>
      </c>
      <c r="AS15" s="27" t="n">
        <f aca="false">SUMIFS(super1[Qtde],super1[Item],tab_higiene[[#This Row],[Item]],super1[Bairro],mercado9)+SUMIFS(supercb[Qtde],supercb[Item],tab_higiene[[#This Row],[Item]],supercb[Bairro],mercado9)</f>
        <v>0</v>
      </c>
      <c r="AT15" s="27" t="n">
        <f aca="false">SUMIFS(super1[Qtde],super1[Item],tab_higiene[[#This Row],[Item]],super1[Bairro],mercado10)+SUMIFS(supercb[Qtde],supercb[Item],tab_higiene[[#This Row],[Item]],supercb[Bairro],mercado10)</f>
        <v>5</v>
      </c>
      <c r="AU15" s="27" t="n">
        <f aca="false">SUMIFS(super1[Qtde],super1[Item],tab_higiene[[#This Row],[Item]],super1[Bairro],mercado11)+SUMIFS(supercb[Qtde],supercb[Item],tab_higiene[[#This Row],[Item]],supercb[Bairro],mercado11)</f>
        <v>7</v>
      </c>
      <c r="AV15" s="27" t="n">
        <f aca="false">SUMIFS(super1[Qtde],super1[Item],tab_higiene[[#This Row],[Item]],super1[Bairro],mercado12)+SUMIFS(supercb[Qtde],supercb[Item],tab_higiene[[#This Row],[Item]],supercb[Bairro],mercado12)</f>
        <v>0</v>
      </c>
      <c r="AW15" s="27" t="n">
        <f aca="false">SUMIFS(super1[Qtde],super1[Item],tab_higiene[[#This Row],[Item]],super1[Bairro],mercado13)+SUMIFS(supercb[Qtde],supercb[Item],tab_higiene[[#This Row],[Item]],supercb[Bairro],mercado13)</f>
        <v>6</v>
      </c>
      <c r="AX15" s="27" t="n">
        <f aca="false">SUMIFS(super1[Qtde],super1[Item],tab_higiene[[#This Row],[Item]],super1[Bairro],mercado14)+SUMIFS(supercb[Qtde],supercb[Item],tab_higiene[[#This Row],[Item]],supercb[Bairro],mercado14)</f>
        <v>0</v>
      </c>
      <c r="AY15" s="27" t="n">
        <f aca="false">SUMIFS(super1[Qtde],super1[Item],tab_higiene[[#This Row],[Item]],super1[Bairro],mercado15)+SUMIFS(supercb[Qtde],supercb[Item],tab_higiene[[#This Row],[Item]],supercb[Bairro],mercado15)</f>
        <v>0</v>
      </c>
      <c r="AZ15" s="27" t="n">
        <f aca="false">SUMIFS(super1[Qtde],super1[Item],tab_higiene[[#This Row],[Item]],super1[Bairro],mercado16)+SUMIFS(supercb[Qtde],supercb[Item],tab_higiene[[#This Row],[Item]],supercb[Bairro],mercado16)</f>
        <v>0</v>
      </c>
      <c r="BA15" s="27" t="n">
        <f aca="false">SUMIFS(super1[Qtde],super1[Item],tab_higiene[[#This Row],[Item]],super1[Bairro],mercado17)+SUMIFS(supercb[Qtde],supercb[Item],tab_higiene[[#This Row],[Item]],supercb[Bairro],mercado17)</f>
        <v>0</v>
      </c>
      <c r="BB15" s="27" t="n">
        <f aca="false">SUMIFS(super1[Qtde],super1[Item],tab_higiene[[#This Row],[Item]],super1[Bairro],mercado18)+SUMIFS(supercb[Qtde],supercb[Item],tab_higiene[[#This Row],[Item]],supercb[Bairro],mercado18)</f>
        <v>0</v>
      </c>
      <c r="BC15" s="27" t="n">
        <f aca="false">SUMIFS(super1[Qtde],super1[Item],tab_higiene[[#This Row],[Item]],super1[Bairro],extras)+SUMIFS(supercb[Qtde],supercb[Item],tab_higiene[[#This Row],[Item]],supercb[Bairro],extras)</f>
        <v>0</v>
      </c>
      <c r="BD15" s="27" t="n">
        <f aca="false">SUM(AK15:BB15)</f>
        <v>47</v>
      </c>
      <c r="BE15" s="27" t="n">
        <f aca="false">IFERROR(BD15*AJ15,0)</f>
        <v>170.328</v>
      </c>
      <c r="BF15" s="28" t="n">
        <f aca="false">IFERROR(AI15*BD15,0)</f>
        <v>51.4211345807257</v>
      </c>
      <c r="BI15" s="22" t="str">
        <f aca="false">tab_alimentos[[#This Row],[Item]]</f>
        <v>Açúcar (1kg)</v>
      </c>
      <c r="BJ15" s="22" t="n">
        <f aca="false">IFERROR(FIND(" (",BI15),0)</f>
        <v>7</v>
      </c>
      <c r="BK15" s="22" t="str">
        <f aca="false">IF(BJ15=0,BI15,LEFT(BI15,BJ15-1))</f>
        <v>Açúcar</v>
      </c>
      <c r="BL15" s="22" t="n">
        <f aca="false">tab_alimentos[[#This Row],[kg]]</f>
        <v>322</v>
      </c>
      <c r="BM15" s="32" t="s">
        <v>272</v>
      </c>
      <c r="BN15" s="22" t="n">
        <f aca="false">SUMIF($BJ$5:$BJ$158,BM15,$BK$5:$BK$158)</f>
        <v>0</v>
      </c>
      <c r="BP15" s="22" t="str">
        <f aca="false">tab_higiene[[#This Row],[Item]]</f>
        <v>Água Sanitária (2L)</v>
      </c>
      <c r="BQ15" s="22" t="n">
        <f aca="false">IFERROR(FIND(" (",BP15),0)</f>
        <v>15</v>
      </c>
      <c r="BR15" s="22" t="str">
        <f aca="false">IF(BQ15=0,BP15,LEFT(BP15,BQ15-1))</f>
        <v>Água Sanitária</v>
      </c>
      <c r="BS15" s="22" t="n">
        <f aca="false">higiene[[#This Row],[Quantidade]]</f>
        <v>2</v>
      </c>
      <c r="BT15" s="22" t="n">
        <f aca="false">tab_higiene[Qtde (tot)]</f>
        <v>47</v>
      </c>
      <c r="BU15" s="22" t="n">
        <f aca="false">BS15*BT15</f>
        <v>94</v>
      </c>
      <c r="BV15" s="32" t="s">
        <v>273</v>
      </c>
      <c r="BW15" s="22" t="n">
        <f aca="false">SUMIF($BR$5:$BR$142,BV15,$BU$5:$BU$142)</f>
        <v>0</v>
      </c>
    </row>
    <row r="16" customFormat="false" ht="15" hidden="false" customHeight="false" outlineLevel="0" collapsed="false">
      <c r="A16" s="0" t="str">
        <f aca="false">tabMercados[[#This Row],[Supermercados]]</f>
        <v>Jaú Visconde</v>
      </c>
      <c r="B16" s="34" t="n">
        <f aca="false">SUMPRODUCT(tab_alimentos[kg/embalagem],tab_alimentos[Qtde (S8)])</f>
        <v>279.335</v>
      </c>
      <c r="C16" s="34" t="n">
        <f aca="false">SUMPRODUCT(tab_alimentos[Preço],tab_alimentos[Qtde (S8)])</f>
        <v>939.749833333334</v>
      </c>
      <c r="D16" s="34" t="n">
        <f aca="false">SUMPRODUCT(tab_higiene[kg/embalagem],tab_higiene[Qtde (S8)])</f>
        <v>241.189528370484</v>
      </c>
      <c r="E16" s="34" t="n">
        <f aca="false">SUMPRODUCT(tab_higiene[Preço],tab_higiene[Qtde (S8)])</f>
        <v>798.919166666667</v>
      </c>
      <c r="F16" s="34" t="n">
        <f aca="false">B16+D16</f>
        <v>520.524528370484</v>
      </c>
      <c r="G16" s="34" t="n">
        <f aca="false">C16+E16</f>
        <v>1738.669</v>
      </c>
      <c r="I16" s="26" t="str">
        <f aca="false">alimentos[[#This Row],[Item]]</f>
        <v>Açúcar (2kg)</v>
      </c>
      <c r="J16" s="27" t="n">
        <f aca="false">IFERROR(alimentos[[#This Row],[kg/embalagem]],0)</f>
        <v>2</v>
      </c>
      <c r="K16" s="27" t="n">
        <f aca="false">IFERROR(alimentos[[#This Row],[Preço]],0)</f>
        <v>3.34</v>
      </c>
      <c r="L16" s="27" t="n">
        <f aca="false">SUMIFS(super1[Qtde],super1[Item],tab_alimentos[[#This Row],[Item]],super1[Bairro],mercado1)+SUMIFS(supercb[Qtde],supercb[Item],tab_alimentos[[#This Row],[Item]],supercb[Bairro],mercado1)</f>
        <v>0</v>
      </c>
      <c r="M16" s="27" t="n">
        <f aca="false">SUMIFS(super1[Qtde],super1[Item],tab_alimentos[[#This Row],[Item]],super1[Bairro],mercado2)+SUMIFS(supercb[Qtde],supercb[Item],tab_alimentos[[#This Row],[Item]],supercb[Bairro],mercado2)</f>
        <v>3</v>
      </c>
      <c r="N16" s="27" t="n">
        <f aca="false">SUMIFS(super1[Qtde],super1[Item],tab_alimentos[[#This Row],[Item]],super1[Bairro],mercado3)+SUMIFS(supercb[Qtde],supercb[Item],tab_alimentos[[#This Row],[Item]],supercb[Bairro],mercado3)</f>
        <v>1</v>
      </c>
      <c r="O16" s="27" t="n">
        <f aca="false">SUMIFS(super1[Qtde],super1[Item],tab_alimentos[[#This Row],[Item]],super1[Bairro],mercado4)+SUMIFS(supercb[Qtde],supercb[Item],tab_alimentos[[#This Row],[Item]],supercb[Bairro],mercado4)</f>
        <v>0</v>
      </c>
      <c r="P16" s="27" t="n">
        <f aca="false">SUMIFS(super1[Qtde],super1[Item],tab_alimentos[[#This Row],[Item]],super1[Bairro],mercado5)+SUMIFS(supercb[Qtde],supercb[Item],tab_alimentos[[#This Row],[Item]],supercb[Bairro],mercado5)</f>
        <v>1</v>
      </c>
      <c r="Q16" s="27" t="n">
        <f aca="false">SUMIFS(super1[Qtde],super1[Item],tab_alimentos[[#This Row],[Item]],super1[Bairro],mercado6)+SUMIFS(supercb[Qtde],supercb[Item],tab_alimentos[[#This Row],[Item]],supercb[Bairro],mercado6)</f>
        <v>1</v>
      </c>
      <c r="R16" s="27" t="n">
        <f aca="false">SUMIFS(super1[Qtde],super1[Item],tab_alimentos[[#This Row],[Item]],super1[Bairro],mercado7)+SUMIFS(supercb[Qtde],supercb[Item],tab_alimentos[[#This Row],[Item]],supercb[Bairro],mercado7)</f>
        <v>1</v>
      </c>
      <c r="S16" s="27" t="n">
        <f aca="false">SUMIFS(super1[Qtde],super1[Item],tab_alimentos[[#This Row],[Item]],super1[Bairro],mercado8)+SUMIFS(supercb[Qtde],supercb[Item],tab_alimentos[[#This Row],[Item]],supercb[Bairro],mercado8)</f>
        <v>1</v>
      </c>
      <c r="T16" s="27" t="n">
        <f aca="false">SUMIFS(super1[Qtde],super1[Item],tab_alimentos[[#This Row],[Item]],super1[Bairro],mercado9)+SUMIFS(supercb[Qtde],supercb[Item],tab_alimentos[[#This Row],[Item]],supercb[Bairro],mercado9)</f>
        <v>4</v>
      </c>
      <c r="U16" s="27" t="n">
        <f aca="false">SUMIFS(super1[Qtde],super1[Item],tab_alimentos[[#This Row],[Item]],super1[Bairro],mercado10)+SUMIFS(supercb[Qtde],supercb[Item],tab_alimentos[[#This Row],[Item]],supercb[Bairro],mercado10)</f>
        <v>0</v>
      </c>
      <c r="V16" s="27" t="n">
        <f aca="false">SUMIFS(super1[Qtde],super1[Item],tab_alimentos[[#This Row],[Item]],super1[Bairro],mercado11)+SUMIFS(supercb[Qtde],supercb[Item],tab_alimentos[[#This Row],[Item]],supercb[Bairro],mercado11)</f>
        <v>5</v>
      </c>
      <c r="W16" s="27" t="n">
        <f aca="false">SUMIFS(super1[Qtde],super1[Item],tab_alimentos[[#This Row],[Item]],super1[Bairro],mercado12)+SUMIFS(supercb[Qtde],supercb[Item],tab_alimentos[[#This Row],[Item]],supercb[Bairro],mercado12)</f>
        <v>0</v>
      </c>
      <c r="X16" s="27" t="n">
        <f aca="false">SUMIFS(super1[Qtde],super1[Item],tab_alimentos[[#This Row],[Item]],super1[Bairro],mercado13)+SUMIFS(supercb[Qtde],supercb[Item],tab_alimentos[[#This Row],[Item]],supercb[Bairro],mercado13)</f>
        <v>1</v>
      </c>
      <c r="Y16" s="27" t="n">
        <f aca="false">SUMIFS(super1[Qtde],super1[Item],tab_alimentos[[#This Row],[Item]],super1[Bairro],mercado14)+SUMIFS(supercb[Qtde],supercb[Item],tab_alimentos[[#This Row],[Item]],supercb[Bairro],mercado14)</f>
        <v>0</v>
      </c>
      <c r="Z16" s="27" t="n">
        <f aca="false">SUMIFS(super1[Qtde],super1[Item],tab_alimentos[[#This Row],[Item]],super1[Bairro],mercado15)+SUMIFS(supercb[Qtde],supercb[Item],tab_alimentos[[#This Row],[Item]],supercb[Bairro],mercado15)</f>
        <v>0</v>
      </c>
      <c r="AA16" s="27" t="n">
        <f aca="false">SUMIFS(super1[Qtde],super1[Item],tab_alimentos[[#This Row],[Item]],super1[Bairro],mercado16)+SUMIFS(supercb[Qtde],supercb[Item],tab_alimentos[[#This Row],[Item]],supercb[Bairro],mercado16)</f>
        <v>0</v>
      </c>
      <c r="AB16" s="27" t="n">
        <f aca="false">SUMIFS(super1[Qtde],super1[Item],tab_alimentos[[#This Row],[Item]],super1[Bairro],mercado17)+SUMIFS(supercb[Qtde],supercb[Item],tab_alimentos[[#This Row],[Item]],supercb[Bairro],mercado17)</f>
        <v>0</v>
      </c>
      <c r="AC16" s="27" t="n">
        <f aca="false">SUMIFS(super1[Qtde],super1[Item],tab_alimentos[[#This Row],[Item]],super1[Bairro],mercado18)+SUMIFS(supercb[Qtde],supercb[Item],tab_alimentos[[#This Row],[Item]],supercb[Bairro],mercado18)</f>
        <v>0</v>
      </c>
      <c r="AD16" s="27" t="n">
        <f aca="false">SUMIFS(super1[Qtde],super1[Item],tab_alimentos[[#This Row],[Item]],super1[Bairro],extras)+SUMIFS(supercb[Qtde],supercb[Item],tab_alimentos[[#This Row],[Item]],supercb[Bairro],extras)</f>
        <v>0</v>
      </c>
      <c r="AE16" s="27" t="n">
        <f aca="false">SUM(L16:AC16)</f>
        <v>18</v>
      </c>
      <c r="AF16" s="27" t="n">
        <f aca="false">IFERROR(AE16*K16,0)</f>
        <v>60.12</v>
      </c>
      <c r="AG16" s="28" t="n">
        <f aca="false">IFERROR(J16*AE16,0)</f>
        <v>36</v>
      </c>
      <c r="AH16" s="26" t="str">
        <f aca="false">higiene[[#This Row],[Item]]</f>
        <v>Água Sanitária (5L)</v>
      </c>
      <c r="AI16" s="27" t="n">
        <f aca="false">IFERROR(higiene[[#This Row],[Kg equivalente]],0)</f>
        <v>3.72840056873774</v>
      </c>
      <c r="AJ16" s="27" t="n">
        <f aca="false">IFERROR(higiene[[#This Row],[Preço por produto]],0)</f>
        <v>12.35</v>
      </c>
      <c r="AK16" s="27" t="n">
        <f aca="false">SUMIFS(super1[Qtde],super1[Item],tab_higiene[[#This Row],[Item]],super1[Bairro],mercado1)+SUMIFS(supercb[Qtde],supercb[Item],tab_higiene[[#This Row],[Item]],supercb[Bairro],mercado1)</f>
        <v>0</v>
      </c>
      <c r="AL16" s="27" t="n">
        <f aca="false">SUMIFS(super1[Qtde],super1[Item],tab_higiene[[#This Row],[Item]],super1[Bairro],mercado2)+SUMIFS(supercb[Qtde],supercb[Item],tab_higiene[[#This Row],[Item]],supercb[Bairro],mercado2)</f>
        <v>0</v>
      </c>
      <c r="AM16" s="27" t="n">
        <f aca="false">SUMIFS(super1[Qtde],super1[Item],tab_higiene[[#This Row],[Item]],super1[Bairro],mercado3)+SUMIFS(supercb[Qtde],supercb[Item],tab_higiene[[#This Row],[Item]],supercb[Bairro],mercado3)</f>
        <v>0</v>
      </c>
      <c r="AN16" s="27" t="n">
        <f aca="false">SUMIFS(super1[Qtde],super1[Item],tab_higiene[[#This Row],[Item]],super1[Bairro],mercado4)+SUMIFS(supercb[Qtde],supercb[Item],tab_higiene[[#This Row],[Item]],supercb[Bairro],mercado4)</f>
        <v>0</v>
      </c>
      <c r="AO16" s="27" t="n">
        <f aca="false">SUMIFS(super1[Qtde],super1[Item],tab_higiene[[#This Row],[Item]],super1[Bairro],mercado5)+SUMIFS(supercb[Qtde],supercb[Item],tab_higiene[[#This Row],[Item]],supercb[Bairro],mercado5)</f>
        <v>0</v>
      </c>
      <c r="AP16" s="27" t="n">
        <f aca="false">SUMIFS(super1[Qtde],super1[Item],tab_higiene[[#This Row],[Item]],super1[Bairro],mercado6)+SUMIFS(supercb[Qtde],supercb[Item],tab_higiene[[#This Row],[Item]],supercb[Bairro],mercado6)</f>
        <v>0</v>
      </c>
      <c r="AQ16" s="27" t="n">
        <f aca="false">SUMIFS(super1[Qtde],super1[Item],tab_higiene[[#This Row],[Item]],super1[Bairro],mercado7)+SUMIFS(supercb[Qtde],supercb[Item],tab_higiene[[#This Row],[Item]],supercb[Bairro],mercado7)</f>
        <v>0</v>
      </c>
      <c r="AR16" s="27" t="n">
        <f aca="false">SUMIFS(super1[Qtde],super1[Item],tab_higiene[[#This Row],[Item]],super1[Bairro],mercado8)+SUMIFS(supercb[Qtde],supercb[Item],tab_higiene[[#This Row],[Item]],supercb[Bairro],mercado8)</f>
        <v>0</v>
      </c>
      <c r="AS16" s="27" t="n">
        <f aca="false">SUMIFS(super1[Qtde],super1[Item],tab_higiene[[#This Row],[Item]],super1[Bairro],mercado9)+SUMIFS(supercb[Qtde],supercb[Item],tab_higiene[[#This Row],[Item]],supercb[Bairro],mercado9)</f>
        <v>1</v>
      </c>
      <c r="AT16" s="27" t="n">
        <f aca="false">SUMIFS(super1[Qtde],super1[Item],tab_higiene[[#This Row],[Item]],super1[Bairro],mercado10)+SUMIFS(supercb[Qtde],supercb[Item],tab_higiene[[#This Row],[Item]],supercb[Bairro],mercado10)</f>
        <v>2</v>
      </c>
      <c r="AU16" s="27" t="n">
        <f aca="false">SUMIFS(super1[Qtde],super1[Item],tab_higiene[[#This Row],[Item]],super1[Bairro],mercado11)+SUMIFS(supercb[Qtde],supercb[Item],tab_higiene[[#This Row],[Item]],supercb[Bairro],mercado11)</f>
        <v>0</v>
      </c>
      <c r="AV16" s="27" t="n">
        <f aca="false">SUMIFS(super1[Qtde],super1[Item],tab_higiene[[#This Row],[Item]],super1[Bairro],mercado12)+SUMIFS(supercb[Qtde],supercb[Item],tab_higiene[[#This Row],[Item]],supercb[Bairro],mercado12)</f>
        <v>0</v>
      </c>
      <c r="AW16" s="27" t="n">
        <f aca="false">SUMIFS(super1[Qtde],super1[Item],tab_higiene[[#This Row],[Item]],super1[Bairro],mercado13)+SUMIFS(supercb[Qtde],supercb[Item],tab_higiene[[#This Row],[Item]],supercb[Bairro],mercado13)</f>
        <v>1</v>
      </c>
      <c r="AX16" s="27" t="n">
        <f aca="false">SUMIFS(super1[Qtde],super1[Item],tab_higiene[[#This Row],[Item]],super1[Bairro],mercado14)+SUMIFS(supercb[Qtde],supercb[Item],tab_higiene[[#This Row],[Item]],supercb[Bairro],mercado14)</f>
        <v>0</v>
      </c>
      <c r="AY16" s="27" t="n">
        <f aca="false">SUMIFS(super1[Qtde],super1[Item],tab_higiene[[#This Row],[Item]],super1[Bairro],mercado15)+SUMIFS(supercb[Qtde],supercb[Item],tab_higiene[[#This Row],[Item]],supercb[Bairro],mercado15)</f>
        <v>0</v>
      </c>
      <c r="AZ16" s="27" t="n">
        <f aca="false">SUMIFS(super1[Qtde],super1[Item],tab_higiene[[#This Row],[Item]],super1[Bairro],mercado16)+SUMIFS(supercb[Qtde],supercb[Item],tab_higiene[[#This Row],[Item]],supercb[Bairro],mercado16)</f>
        <v>0</v>
      </c>
      <c r="BA16" s="27" t="n">
        <f aca="false">SUMIFS(super1[Qtde],super1[Item],tab_higiene[[#This Row],[Item]],super1[Bairro],mercado17)+SUMIFS(supercb[Qtde],supercb[Item],tab_higiene[[#This Row],[Item]],supercb[Bairro],mercado17)</f>
        <v>0</v>
      </c>
      <c r="BB16" s="27" t="n">
        <f aca="false">SUMIFS(super1[Qtde],super1[Item],tab_higiene[[#This Row],[Item]],super1[Bairro],mercado18)+SUMIFS(supercb[Qtde],supercb[Item],tab_higiene[[#This Row],[Item]],supercb[Bairro],mercado18)</f>
        <v>0</v>
      </c>
      <c r="BC16" s="27" t="n">
        <f aca="false">SUMIFS(super1[Qtde],super1[Item],tab_higiene[[#This Row],[Item]],super1[Bairro],extras)+SUMIFS(supercb[Qtde],supercb[Item],tab_higiene[[#This Row],[Item]],supercb[Bairro],extras)</f>
        <v>0</v>
      </c>
      <c r="BD16" s="27" t="n">
        <f aca="false">SUM(AK16:BB16)</f>
        <v>4</v>
      </c>
      <c r="BE16" s="27" t="n">
        <f aca="false">IFERROR(BD16*AJ16,0)</f>
        <v>49.4</v>
      </c>
      <c r="BF16" s="28" t="n">
        <f aca="false">IFERROR(AI16*BD16,0)</f>
        <v>14.913602274951</v>
      </c>
      <c r="BI16" s="22" t="str">
        <f aca="false">tab_alimentos[[#This Row],[Item]]</f>
        <v>Açúcar (2kg)</v>
      </c>
      <c r="BJ16" s="22" t="n">
        <f aca="false">IFERROR(FIND(" (",BI16),0)</f>
        <v>7</v>
      </c>
      <c r="BK16" s="22" t="str">
        <f aca="false">IF(BJ16=0,BI16,LEFT(BI16,BJ16-1))</f>
        <v>Açúcar</v>
      </c>
      <c r="BL16" s="22" t="n">
        <f aca="false">tab_alimentos[[#This Row],[kg]]</f>
        <v>36</v>
      </c>
      <c r="BM16" s="32" t="s">
        <v>274</v>
      </c>
      <c r="BN16" s="22" t="n">
        <f aca="false">SUMIF($BJ$5:$BJ$158,BM16,$BK$5:$BK$158)</f>
        <v>0</v>
      </c>
      <c r="BP16" s="22" t="str">
        <f aca="false">tab_higiene[[#This Row],[Item]]</f>
        <v>Água Sanitária (5L)</v>
      </c>
      <c r="BQ16" s="22" t="n">
        <f aca="false">IFERROR(FIND(" (",BP16),0)</f>
        <v>15</v>
      </c>
      <c r="BR16" s="22" t="str">
        <f aca="false">IF(BQ16=0,BP16,LEFT(BP16,BQ16-1))</f>
        <v>Água Sanitária</v>
      </c>
      <c r="BS16" s="22" t="n">
        <f aca="false">higiene[[#This Row],[Quantidade]]</f>
        <v>5</v>
      </c>
      <c r="BT16" s="22" t="n">
        <f aca="false">tab_higiene[Qtde (tot)]</f>
        <v>4</v>
      </c>
      <c r="BU16" s="22" t="n">
        <f aca="false">BS16*BT16</f>
        <v>20</v>
      </c>
      <c r="BV16" s="32" t="s">
        <v>114</v>
      </c>
      <c r="BW16" s="22" t="n">
        <f aca="false">SUMIF($BR$5:$BR$142,BV16,$BU$5:$BU$142)</f>
        <v>7</v>
      </c>
    </row>
    <row r="17" customFormat="false" ht="15" hidden="false" customHeight="false" outlineLevel="0" collapsed="false">
      <c r="A17" s="0" t="str">
        <f aca="false">tabMercados[[#This Row],[Supermercados]]</f>
        <v>Savegnago Maffei</v>
      </c>
      <c r="B17" s="34" t="n">
        <f aca="false">SUMPRODUCT(tab_alimentos[kg/embalagem],tab_alimentos[Qtde (S9)])</f>
        <v>413.42</v>
      </c>
      <c r="C17" s="34" t="n">
        <f aca="false">SUMPRODUCT(tab_alimentos[Preço],tab_alimentos[Qtde (S9)])</f>
        <v>1348.51466666667</v>
      </c>
      <c r="D17" s="34" t="n">
        <f aca="false">SUMPRODUCT(tab_higiene[kg/embalagem],tab_higiene[Qtde (S9)])</f>
        <v>287.680067041192</v>
      </c>
      <c r="E17" s="34" t="n">
        <f aca="false">SUMPRODUCT(tab_higiene[Preço],tab_higiene[Qtde (S9)])</f>
        <v>952.915</v>
      </c>
      <c r="F17" s="34" t="n">
        <f aca="false">B17+D17</f>
        <v>701.100067041192</v>
      </c>
      <c r="G17" s="34" t="n">
        <f aca="false">C17+E17</f>
        <v>2301.42966666667</v>
      </c>
      <c r="I17" s="26" t="str">
        <f aca="false">alimentos[[#This Row],[Item]]</f>
        <v>Açucar (500g)</v>
      </c>
      <c r="J17" s="27" t="n">
        <f aca="false">IFERROR(alimentos[[#This Row],[kg/embalagem]],0)</f>
        <v>0.5</v>
      </c>
      <c r="K17" s="27" t="n">
        <f aca="false">IFERROR(alimentos[[#This Row],[Preço]],0)</f>
        <v>3.45</v>
      </c>
      <c r="L17" s="27" t="n">
        <f aca="false">SUMIFS(super1[Qtde],super1[Item],tab_alimentos[[#This Row],[Item]],super1[Bairro],mercado1)+SUMIFS(supercb[Qtde],supercb[Item],tab_alimentos[[#This Row],[Item]],supercb[Bairro],mercado1)</f>
        <v>0</v>
      </c>
      <c r="M17" s="27" t="n">
        <f aca="false">SUMIFS(super1[Qtde],super1[Item],tab_alimentos[[#This Row],[Item]],super1[Bairro],mercado2)+SUMIFS(supercb[Qtde],supercb[Item],tab_alimentos[[#This Row],[Item]],supercb[Bairro],mercado2)</f>
        <v>0</v>
      </c>
      <c r="N17" s="27" t="n">
        <f aca="false">SUMIFS(super1[Qtde],super1[Item],tab_alimentos[[#This Row],[Item]],super1[Bairro],mercado3)+SUMIFS(supercb[Qtde],supercb[Item],tab_alimentos[[#This Row],[Item]],supercb[Bairro],mercado3)</f>
        <v>0</v>
      </c>
      <c r="O17" s="27" t="n">
        <f aca="false">SUMIFS(super1[Qtde],super1[Item],tab_alimentos[[#This Row],[Item]],super1[Bairro],mercado4)+SUMIFS(supercb[Qtde],supercb[Item],tab_alimentos[[#This Row],[Item]],supercb[Bairro],mercado4)</f>
        <v>0</v>
      </c>
      <c r="P17" s="27" t="n">
        <f aca="false">SUMIFS(super1[Qtde],super1[Item],tab_alimentos[[#This Row],[Item]],super1[Bairro],mercado5)+SUMIFS(supercb[Qtde],supercb[Item],tab_alimentos[[#This Row],[Item]],supercb[Bairro],mercado5)</f>
        <v>0</v>
      </c>
      <c r="Q17" s="27" t="n">
        <f aca="false">SUMIFS(super1[Qtde],super1[Item],tab_alimentos[[#This Row],[Item]],super1[Bairro],mercado6)+SUMIFS(supercb[Qtde],supercb[Item],tab_alimentos[[#This Row],[Item]],supercb[Bairro],mercado6)</f>
        <v>0</v>
      </c>
      <c r="R17" s="27" t="n">
        <f aca="false">SUMIFS(super1[Qtde],super1[Item],tab_alimentos[[#This Row],[Item]],super1[Bairro],mercado7)+SUMIFS(supercb[Qtde],supercb[Item],tab_alimentos[[#This Row],[Item]],supercb[Bairro],mercado7)</f>
        <v>0</v>
      </c>
      <c r="S17" s="27" t="n">
        <f aca="false">SUMIFS(super1[Qtde],super1[Item],tab_alimentos[[#This Row],[Item]],super1[Bairro],mercado8)+SUMIFS(supercb[Qtde],supercb[Item],tab_alimentos[[#This Row],[Item]],supercb[Bairro],mercado8)</f>
        <v>0</v>
      </c>
      <c r="T17" s="27" t="n">
        <f aca="false">SUMIFS(super1[Qtde],super1[Item],tab_alimentos[[#This Row],[Item]],super1[Bairro],mercado9)+SUMIFS(supercb[Qtde],supercb[Item],tab_alimentos[[#This Row],[Item]],supercb[Bairro],mercado9)</f>
        <v>0</v>
      </c>
      <c r="U17" s="27" t="n">
        <f aca="false">SUMIFS(super1[Qtde],super1[Item],tab_alimentos[[#This Row],[Item]],super1[Bairro],mercado10)+SUMIFS(supercb[Qtde],supercb[Item],tab_alimentos[[#This Row],[Item]],supercb[Bairro],mercado10)</f>
        <v>0</v>
      </c>
      <c r="V17" s="27" t="n">
        <f aca="false">SUMIFS(super1[Qtde],super1[Item],tab_alimentos[[#This Row],[Item]],super1[Bairro],mercado11)+SUMIFS(supercb[Qtde],supercb[Item],tab_alimentos[[#This Row],[Item]],supercb[Bairro],mercado11)</f>
        <v>0</v>
      </c>
      <c r="W17" s="27" t="n">
        <f aca="false">SUMIFS(super1[Qtde],super1[Item],tab_alimentos[[#This Row],[Item]],super1[Bairro],mercado12)+SUMIFS(supercb[Qtde],supercb[Item],tab_alimentos[[#This Row],[Item]],supercb[Bairro],mercado12)</f>
        <v>0</v>
      </c>
      <c r="X17" s="27" t="n">
        <f aca="false">SUMIFS(super1[Qtde],super1[Item],tab_alimentos[[#This Row],[Item]],super1[Bairro],mercado13)+SUMIFS(supercb[Qtde],supercb[Item],tab_alimentos[[#This Row],[Item]],supercb[Bairro],mercado13)</f>
        <v>0</v>
      </c>
      <c r="Y17" s="27" t="n">
        <f aca="false">SUMIFS(super1[Qtde],super1[Item],tab_alimentos[[#This Row],[Item]],super1[Bairro],mercado14)+SUMIFS(supercb[Qtde],supercb[Item],tab_alimentos[[#This Row],[Item]],supercb[Bairro],mercado14)</f>
        <v>0</v>
      </c>
      <c r="Z17" s="27" t="n">
        <f aca="false">SUMIFS(super1[Qtde],super1[Item],tab_alimentos[[#This Row],[Item]],super1[Bairro],mercado15)+SUMIFS(supercb[Qtde],supercb[Item],tab_alimentos[[#This Row],[Item]],supercb[Bairro],mercado15)</f>
        <v>0</v>
      </c>
      <c r="AA17" s="27" t="n">
        <f aca="false">SUMIFS(super1[Qtde],super1[Item],tab_alimentos[[#This Row],[Item]],super1[Bairro],mercado16)+SUMIFS(supercb[Qtde],supercb[Item],tab_alimentos[[#This Row],[Item]],supercb[Bairro],mercado16)</f>
        <v>0</v>
      </c>
      <c r="AB17" s="27" t="n">
        <f aca="false">SUMIFS(super1[Qtde],super1[Item],tab_alimentos[[#This Row],[Item]],super1[Bairro],mercado17)+SUMIFS(supercb[Qtde],supercb[Item],tab_alimentos[[#This Row],[Item]],supercb[Bairro],mercado17)</f>
        <v>0</v>
      </c>
      <c r="AC17" s="27" t="n">
        <f aca="false">SUMIFS(super1[Qtde],super1[Item],tab_alimentos[[#This Row],[Item]],super1[Bairro],mercado18)+SUMIFS(supercb[Qtde],supercb[Item],tab_alimentos[[#This Row],[Item]],supercb[Bairro],mercado18)</f>
        <v>0</v>
      </c>
      <c r="AD17" s="27" t="n">
        <f aca="false">SUMIFS(super1[Qtde],super1[Item],tab_alimentos[[#This Row],[Item]],super1[Bairro],extras)+SUMIFS(supercb[Qtde],supercb[Item],tab_alimentos[[#This Row],[Item]],supercb[Bairro],extras)</f>
        <v>0</v>
      </c>
      <c r="AE17" s="27" t="n">
        <f aca="false">SUM(L17:AC17)</f>
        <v>0</v>
      </c>
      <c r="AF17" s="27" t="n">
        <f aca="false">IFERROR(AE17*K17,0)</f>
        <v>0</v>
      </c>
      <c r="AG17" s="28" t="n">
        <f aca="false">IFERROR(J17*AE17,0)</f>
        <v>0</v>
      </c>
      <c r="AH17" s="26" t="str">
        <f aca="false">higiene[[#This Row],[Item]]</f>
        <v>Alcool (1L)</v>
      </c>
      <c r="AI17" s="27" t="n">
        <f aca="false">IFERROR(higiene[[#This Row],[Kg equivalente]],0)</f>
        <v>1.67793120332343</v>
      </c>
      <c r="AJ17" s="27" t="n">
        <f aca="false">IFERROR(higiene[[#This Row],[Preço por produto]],0)</f>
        <v>5.558</v>
      </c>
      <c r="AK17" s="27" t="n">
        <f aca="false">SUMIFS(super1[Qtde],super1[Item],tab_higiene[[#This Row],[Item]],super1[Bairro],mercado1)+SUMIFS(supercb[Qtde],supercb[Item],tab_higiene[[#This Row],[Item]],supercb[Bairro],mercado1)</f>
        <v>1</v>
      </c>
      <c r="AL17" s="27" t="n">
        <f aca="false">SUMIFS(super1[Qtde],super1[Item],tab_higiene[[#This Row],[Item]],super1[Bairro],mercado2)+SUMIFS(supercb[Qtde],supercb[Item],tab_higiene[[#This Row],[Item]],supercb[Bairro],mercado2)</f>
        <v>0</v>
      </c>
      <c r="AM17" s="27" t="n">
        <f aca="false">SUMIFS(super1[Qtde],super1[Item],tab_higiene[[#This Row],[Item]],super1[Bairro],mercado3)+SUMIFS(supercb[Qtde],supercb[Item],tab_higiene[[#This Row],[Item]],supercb[Bairro],mercado3)</f>
        <v>0</v>
      </c>
      <c r="AN17" s="27" t="n">
        <f aca="false">SUMIFS(super1[Qtde],super1[Item],tab_higiene[[#This Row],[Item]],super1[Bairro],mercado4)+SUMIFS(supercb[Qtde],supercb[Item],tab_higiene[[#This Row],[Item]],supercb[Bairro],mercado4)</f>
        <v>0</v>
      </c>
      <c r="AO17" s="27" t="n">
        <f aca="false">SUMIFS(super1[Qtde],super1[Item],tab_higiene[[#This Row],[Item]],super1[Bairro],mercado5)+SUMIFS(supercb[Qtde],supercb[Item],tab_higiene[[#This Row],[Item]],supercb[Bairro],mercado5)</f>
        <v>0</v>
      </c>
      <c r="AP17" s="27" t="n">
        <f aca="false">SUMIFS(super1[Qtde],super1[Item],tab_higiene[[#This Row],[Item]],super1[Bairro],mercado6)+SUMIFS(supercb[Qtde],supercb[Item],tab_higiene[[#This Row],[Item]],supercb[Bairro],mercado6)</f>
        <v>0</v>
      </c>
      <c r="AQ17" s="27" t="n">
        <f aca="false">SUMIFS(super1[Qtde],super1[Item],tab_higiene[[#This Row],[Item]],super1[Bairro],mercado7)+SUMIFS(supercb[Qtde],supercb[Item],tab_higiene[[#This Row],[Item]],supercb[Bairro],mercado7)</f>
        <v>0</v>
      </c>
      <c r="AR17" s="27" t="n">
        <f aca="false">SUMIFS(super1[Qtde],super1[Item],tab_higiene[[#This Row],[Item]],super1[Bairro],mercado8)+SUMIFS(supercb[Qtde],supercb[Item],tab_higiene[[#This Row],[Item]],supercb[Bairro],mercado8)</f>
        <v>0</v>
      </c>
      <c r="AS17" s="27" t="n">
        <f aca="false">SUMIFS(super1[Qtde],super1[Item],tab_higiene[[#This Row],[Item]],super1[Bairro],mercado9)+SUMIFS(supercb[Qtde],supercb[Item],tab_higiene[[#This Row],[Item]],supercb[Bairro],mercado9)</f>
        <v>0</v>
      </c>
      <c r="AT17" s="27" t="n">
        <f aca="false">SUMIFS(super1[Qtde],super1[Item],tab_higiene[[#This Row],[Item]],super1[Bairro],mercado10)+SUMIFS(supercb[Qtde],supercb[Item],tab_higiene[[#This Row],[Item]],supercb[Bairro],mercado10)</f>
        <v>0</v>
      </c>
      <c r="AU17" s="27" t="n">
        <f aca="false">SUMIFS(super1[Qtde],super1[Item],tab_higiene[[#This Row],[Item]],super1[Bairro],mercado11)+SUMIFS(supercb[Qtde],supercb[Item],tab_higiene[[#This Row],[Item]],supercb[Bairro],mercado11)</f>
        <v>0</v>
      </c>
      <c r="AV17" s="27" t="n">
        <f aca="false">SUMIFS(super1[Qtde],super1[Item],tab_higiene[[#This Row],[Item]],super1[Bairro],mercado12)+SUMIFS(supercb[Qtde],supercb[Item],tab_higiene[[#This Row],[Item]],supercb[Bairro],mercado12)</f>
        <v>0</v>
      </c>
      <c r="AW17" s="27" t="n">
        <f aca="false">SUMIFS(super1[Qtde],super1[Item],tab_higiene[[#This Row],[Item]],super1[Bairro],mercado13)+SUMIFS(supercb[Qtde],supercb[Item],tab_higiene[[#This Row],[Item]],supercb[Bairro],mercado13)</f>
        <v>0</v>
      </c>
      <c r="AX17" s="27" t="n">
        <f aca="false">SUMIFS(super1[Qtde],super1[Item],tab_higiene[[#This Row],[Item]],super1[Bairro],mercado14)+SUMIFS(supercb[Qtde],supercb[Item],tab_higiene[[#This Row],[Item]],supercb[Bairro],mercado14)</f>
        <v>0</v>
      </c>
      <c r="AY17" s="27" t="n">
        <f aca="false">SUMIFS(super1[Qtde],super1[Item],tab_higiene[[#This Row],[Item]],super1[Bairro],mercado15)+SUMIFS(supercb[Qtde],supercb[Item],tab_higiene[[#This Row],[Item]],supercb[Bairro],mercado15)</f>
        <v>0</v>
      </c>
      <c r="AZ17" s="27" t="n">
        <f aca="false">SUMIFS(super1[Qtde],super1[Item],tab_higiene[[#This Row],[Item]],super1[Bairro],mercado16)+SUMIFS(supercb[Qtde],supercb[Item],tab_higiene[[#This Row],[Item]],supercb[Bairro],mercado16)</f>
        <v>0</v>
      </c>
      <c r="BA17" s="27" t="n">
        <f aca="false">SUMIFS(super1[Qtde],super1[Item],tab_higiene[[#This Row],[Item]],super1[Bairro],mercado17)+SUMIFS(supercb[Qtde],supercb[Item],tab_higiene[[#This Row],[Item]],supercb[Bairro],mercado17)</f>
        <v>0</v>
      </c>
      <c r="BB17" s="27" t="n">
        <f aca="false">SUMIFS(super1[Qtde],super1[Item],tab_higiene[[#This Row],[Item]],super1[Bairro],mercado18)+SUMIFS(supercb[Qtde],supercb[Item],tab_higiene[[#This Row],[Item]],supercb[Bairro],mercado18)</f>
        <v>0</v>
      </c>
      <c r="BC17" s="27" t="n">
        <f aca="false">SUMIFS(super1[Qtde],super1[Item],tab_higiene[[#This Row],[Item]],super1[Bairro],extras)+SUMIFS(supercb[Qtde],supercb[Item],tab_higiene[[#This Row],[Item]],supercb[Bairro],extras)</f>
        <v>0</v>
      </c>
      <c r="BD17" s="27" t="n">
        <f aca="false">SUM(AK17:BB17)</f>
        <v>1</v>
      </c>
      <c r="BE17" s="27" t="n">
        <f aca="false">IFERROR(BD17*AJ17,0)</f>
        <v>5.558</v>
      </c>
      <c r="BF17" s="28" t="n">
        <f aca="false">IFERROR(AI17*BD17,0)</f>
        <v>1.67793120332343</v>
      </c>
      <c r="BI17" s="22" t="str">
        <f aca="false">tab_alimentos[[#This Row],[Item]]</f>
        <v>Açucar (500g)</v>
      </c>
      <c r="BJ17" s="22" t="n">
        <f aca="false">IFERROR(FIND(" (",BI17),0)</f>
        <v>7</v>
      </c>
      <c r="BK17" s="22" t="str">
        <f aca="false">IF(BJ17=0,BI17,LEFT(BI17,BJ17-1))</f>
        <v>Açucar</v>
      </c>
      <c r="BL17" s="22" t="n">
        <f aca="false">tab_alimentos[[#This Row],[kg]]</f>
        <v>0</v>
      </c>
      <c r="BM17" s="32" t="s">
        <v>273</v>
      </c>
      <c r="BN17" s="22" t="n">
        <f aca="false">SUMIF($BJ$5:$BJ$158,BM17,$BK$5:$BK$158)</f>
        <v>0</v>
      </c>
      <c r="BP17" s="22" t="str">
        <f aca="false">tab_higiene[[#This Row],[Item]]</f>
        <v>Alcool (1L)</v>
      </c>
      <c r="BQ17" s="22" t="n">
        <f aca="false">IFERROR(FIND(" (",BP17),0)</f>
        <v>7</v>
      </c>
      <c r="BR17" s="22" t="str">
        <f aca="false">IF(BQ17=0,BP17,LEFT(BP17,BQ17-1))</f>
        <v>Alcool</v>
      </c>
      <c r="BS17" s="22" t="n">
        <f aca="false">higiene[[#This Row],[Quantidade]]</f>
        <v>1</v>
      </c>
      <c r="BT17" s="22" t="n">
        <f aca="false">tab_higiene[Qtde (tot)]</f>
        <v>1</v>
      </c>
      <c r="BU17" s="22" t="n">
        <f aca="false">BS17*BT17</f>
        <v>1</v>
      </c>
      <c r="BV17" s="32" t="s">
        <v>275</v>
      </c>
      <c r="BW17" s="22" t="n">
        <f aca="false">SUMIF($BR$5:$BR$142,BV17,$BU$5:$BU$142)</f>
        <v>0</v>
      </c>
    </row>
    <row r="18" customFormat="false" ht="15" hidden="false" customHeight="false" outlineLevel="0" collapsed="false">
      <c r="A18" s="0" t="str">
        <f aca="false">tabMercados[[#This Row],[Supermercados]]</f>
        <v>Savegnago Passeio</v>
      </c>
      <c r="B18" s="34" t="n">
        <f aca="false">SUMPRODUCT(tab_alimentos[kg/embalagem],tab_alimentos[Qtde (S10)])</f>
        <v>766.02</v>
      </c>
      <c r="C18" s="34" t="n">
        <f aca="false">SUMPRODUCT(tab_alimentos[Preço],tab_alimentos[Qtde (S10)])</f>
        <v>2536.38583333333</v>
      </c>
      <c r="D18" s="34" t="n">
        <f aca="false">SUMPRODUCT(tab_higiene[kg/embalagem],tab_higiene[Qtde (S10)])</f>
        <v>592.999443720489</v>
      </c>
      <c r="E18" s="34" t="n">
        <f aca="false">SUMPRODUCT(tab_higiene[Preço],tab_higiene[Qtde (S10)])</f>
        <v>1964.25866666667</v>
      </c>
      <c r="F18" s="34" t="n">
        <f aca="false">B18+D18</f>
        <v>1359.01944372049</v>
      </c>
      <c r="G18" s="34" t="n">
        <f aca="false">C18+E18</f>
        <v>4500.6445</v>
      </c>
      <c r="I18" s="26" t="str">
        <f aca="false">alimentos[[#This Row],[Item]]</f>
        <v>Açúcar (5kg)</v>
      </c>
      <c r="J18" s="27" t="n">
        <f aca="false">IFERROR(alimentos[[#This Row],[kg/embalagem]],0)</f>
        <v>5</v>
      </c>
      <c r="K18" s="27" t="n">
        <f aca="false">IFERROR(alimentos[[#This Row],[Preço]],0)</f>
        <v>6.98666666666667</v>
      </c>
      <c r="L18" s="27" t="n">
        <f aca="false">SUMIFS(super1[Qtde],super1[Item],tab_alimentos[[#This Row],[Item]],super1[Bairro],mercado1)+SUMIFS(supercb[Qtde],supercb[Item],tab_alimentos[[#This Row],[Item]],supercb[Bairro],mercado1)</f>
        <v>2</v>
      </c>
      <c r="M18" s="27" t="n">
        <f aca="false">SUMIFS(super1[Qtde],super1[Item],tab_alimentos[[#This Row],[Item]],super1[Bairro],mercado2)+SUMIFS(supercb[Qtde],supercb[Item],tab_alimentos[[#This Row],[Item]],supercb[Bairro],mercado2)</f>
        <v>1</v>
      </c>
      <c r="N18" s="27" t="n">
        <f aca="false">SUMIFS(super1[Qtde],super1[Item],tab_alimentos[[#This Row],[Item]],super1[Bairro],mercado3)+SUMIFS(supercb[Qtde],supercb[Item],tab_alimentos[[#This Row],[Item]],supercb[Bairro],mercado3)</f>
        <v>0</v>
      </c>
      <c r="O18" s="27" t="n">
        <f aca="false">SUMIFS(super1[Qtde],super1[Item],tab_alimentos[[#This Row],[Item]],super1[Bairro],mercado4)+SUMIFS(supercb[Qtde],supercb[Item],tab_alimentos[[#This Row],[Item]],supercb[Bairro],mercado4)</f>
        <v>0</v>
      </c>
      <c r="P18" s="27" t="n">
        <f aca="false">SUMIFS(super1[Qtde],super1[Item],tab_alimentos[[#This Row],[Item]],super1[Bairro],mercado5)+SUMIFS(supercb[Qtde],supercb[Item],tab_alimentos[[#This Row],[Item]],supercb[Bairro],mercado5)</f>
        <v>0</v>
      </c>
      <c r="Q18" s="27" t="n">
        <f aca="false">SUMIFS(super1[Qtde],super1[Item],tab_alimentos[[#This Row],[Item]],super1[Bairro],mercado6)+SUMIFS(supercb[Qtde],supercb[Item],tab_alimentos[[#This Row],[Item]],supercb[Bairro],mercado6)</f>
        <v>0</v>
      </c>
      <c r="R18" s="27" t="n">
        <f aca="false">SUMIFS(super1[Qtde],super1[Item],tab_alimentos[[#This Row],[Item]],super1[Bairro],mercado7)+SUMIFS(supercb[Qtde],supercb[Item],tab_alimentos[[#This Row],[Item]],supercb[Bairro],mercado7)</f>
        <v>0</v>
      </c>
      <c r="S18" s="27" t="n">
        <f aca="false">SUMIFS(super1[Qtde],super1[Item],tab_alimentos[[#This Row],[Item]],super1[Bairro],mercado8)+SUMIFS(supercb[Qtde],supercb[Item],tab_alimentos[[#This Row],[Item]],supercb[Bairro],mercado8)</f>
        <v>0</v>
      </c>
      <c r="T18" s="27" t="n">
        <f aca="false">SUMIFS(super1[Qtde],super1[Item],tab_alimentos[[#This Row],[Item]],super1[Bairro],mercado9)+SUMIFS(supercb[Qtde],supercb[Item],tab_alimentos[[#This Row],[Item]],supercb[Bairro],mercado9)</f>
        <v>3</v>
      </c>
      <c r="U18" s="27" t="n">
        <f aca="false">SUMIFS(super1[Qtde],super1[Item],tab_alimentos[[#This Row],[Item]],super1[Bairro],mercado10)+SUMIFS(supercb[Qtde],supercb[Item],tab_alimentos[[#This Row],[Item]],supercb[Bairro],mercado10)</f>
        <v>10</v>
      </c>
      <c r="V18" s="27" t="n">
        <f aca="false">SUMIFS(super1[Qtde],super1[Item],tab_alimentos[[#This Row],[Item]],super1[Bairro],mercado11)+SUMIFS(supercb[Qtde],supercb[Item],tab_alimentos[[#This Row],[Item]],supercb[Bairro],mercado11)</f>
        <v>1</v>
      </c>
      <c r="W18" s="27" t="n">
        <f aca="false">SUMIFS(super1[Qtde],super1[Item],tab_alimentos[[#This Row],[Item]],super1[Bairro],mercado12)+SUMIFS(supercb[Qtde],supercb[Item],tab_alimentos[[#This Row],[Item]],supercb[Bairro],mercado12)</f>
        <v>0</v>
      </c>
      <c r="X18" s="27" t="n">
        <f aca="false">SUMIFS(super1[Qtde],super1[Item],tab_alimentos[[#This Row],[Item]],super1[Bairro],mercado13)+SUMIFS(supercb[Qtde],supercb[Item],tab_alimentos[[#This Row],[Item]],supercb[Bairro],mercado13)</f>
        <v>6</v>
      </c>
      <c r="Y18" s="27" t="n">
        <f aca="false">SUMIFS(super1[Qtde],super1[Item],tab_alimentos[[#This Row],[Item]],super1[Bairro],mercado14)+SUMIFS(supercb[Qtde],supercb[Item],tab_alimentos[[#This Row],[Item]],supercb[Bairro],mercado14)</f>
        <v>0</v>
      </c>
      <c r="Z18" s="27" t="n">
        <f aca="false">SUMIFS(super1[Qtde],super1[Item],tab_alimentos[[#This Row],[Item]],super1[Bairro],mercado15)+SUMIFS(supercb[Qtde],supercb[Item],tab_alimentos[[#This Row],[Item]],supercb[Bairro],mercado15)</f>
        <v>0</v>
      </c>
      <c r="AA18" s="27" t="n">
        <f aca="false">SUMIFS(super1[Qtde],super1[Item],tab_alimentos[[#This Row],[Item]],super1[Bairro],mercado16)+SUMIFS(supercb[Qtde],supercb[Item],tab_alimentos[[#This Row],[Item]],supercb[Bairro],mercado16)</f>
        <v>0</v>
      </c>
      <c r="AB18" s="27" t="n">
        <f aca="false">SUMIFS(super1[Qtde],super1[Item],tab_alimentos[[#This Row],[Item]],super1[Bairro],mercado17)+SUMIFS(supercb[Qtde],supercb[Item],tab_alimentos[[#This Row],[Item]],supercb[Bairro],mercado17)</f>
        <v>0</v>
      </c>
      <c r="AC18" s="27" t="n">
        <f aca="false">SUMIFS(super1[Qtde],super1[Item],tab_alimentos[[#This Row],[Item]],super1[Bairro],mercado18)+SUMIFS(supercb[Qtde],supercb[Item],tab_alimentos[[#This Row],[Item]],supercb[Bairro],mercado18)</f>
        <v>0</v>
      </c>
      <c r="AD18" s="27" t="n">
        <f aca="false">SUMIFS(super1[Qtde],super1[Item],tab_alimentos[[#This Row],[Item]],super1[Bairro],extras)+SUMIFS(supercb[Qtde],supercb[Item],tab_alimentos[[#This Row],[Item]],supercb[Bairro],extras)</f>
        <v>0</v>
      </c>
      <c r="AE18" s="27" t="n">
        <f aca="false">SUM(L18:AC18)</f>
        <v>23</v>
      </c>
      <c r="AF18" s="27" t="n">
        <f aca="false">IFERROR(AE18*K18,0)</f>
        <v>160.693333333333</v>
      </c>
      <c r="AG18" s="28" t="n">
        <f aca="false">IFERROR(J18*AE18,0)</f>
        <v>115</v>
      </c>
      <c r="AH18" s="26" t="str">
        <f aca="false">higiene[[#This Row],[Item]]</f>
        <v>Álcool Gel (1L)</v>
      </c>
      <c r="AI18" s="27" t="n">
        <f aca="false">IFERROR(higiene[[#This Row],[Kg equivalente]],0)</f>
        <v>1.9592971409804</v>
      </c>
      <c r="AJ18" s="27" t="n">
        <f aca="false">IFERROR(higiene[[#This Row],[Preço por produto]],0)</f>
        <v>6.49</v>
      </c>
      <c r="AK18" s="27" t="n">
        <f aca="false">SUMIFS(super1[Qtde],super1[Item],tab_higiene[[#This Row],[Item]],super1[Bairro],mercado1)+SUMIFS(supercb[Qtde],supercb[Item],tab_higiene[[#This Row],[Item]],supercb[Bairro],mercado1)</f>
        <v>0</v>
      </c>
      <c r="AL18" s="27" t="n">
        <f aca="false">SUMIFS(super1[Qtde],super1[Item],tab_higiene[[#This Row],[Item]],super1[Bairro],mercado2)+SUMIFS(supercb[Qtde],supercb[Item],tab_higiene[[#This Row],[Item]],supercb[Bairro],mercado2)</f>
        <v>0</v>
      </c>
      <c r="AM18" s="27" t="n">
        <f aca="false">SUMIFS(super1[Qtde],super1[Item],tab_higiene[[#This Row],[Item]],super1[Bairro],mercado3)+SUMIFS(supercb[Qtde],supercb[Item],tab_higiene[[#This Row],[Item]],supercb[Bairro],mercado3)</f>
        <v>0</v>
      </c>
      <c r="AN18" s="27" t="n">
        <f aca="false">SUMIFS(super1[Qtde],super1[Item],tab_higiene[[#This Row],[Item]],super1[Bairro],mercado4)+SUMIFS(supercb[Qtde],supercb[Item],tab_higiene[[#This Row],[Item]],supercb[Bairro],mercado4)</f>
        <v>0</v>
      </c>
      <c r="AO18" s="27" t="n">
        <f aca="false">SUMIFS(super1[Qtde],super1[Item],tab_higiene[[#This Row],[Item]],super1[Bairro],mercado5)+SUMIFS(supercb[Qtde],supercb[Item],tab_higiene[[#This Row],[Item]],supercb[Bairro],mercado5)</f>
        <v>0</v>
      </c>
      <c r="AP18" s="27" t="n">
        <f aca="false">SUMIFS(super1[Qtde],super1[Item],tab_higiene[[#This Row],[Item]],super1[Bairro],mercado6)+SUMIFS(supercb[Qtde],supercb[Item],tab_higiene[[#This Row],[Item]],supercb[Bairro],mercado6)</f>
        <v>0</v>
      </c>
      <c r="AQ18" s="27" t="n">
        <f aca="false">SUMIFS(super1[Qtde],super1[Item],tab_higiene[[#This Row],[Item]],super1[Bairro],mercado7)+SUMIFS(supercb[Qtde],supercb[Item],tab_higiene[[#This Row],[Item]],supercb[Bairro],mercado7)</f>
        <v>0</v>
      </c>
      <c r="AR18" s="27" t="n">
        <f aca="false">SUMIFS(super1[Qtde],super1[Item],tab_higiene[[#This Row],[Item]],super1[Bairro],mercado8)+SUMIFS(supercb[Qtde],supercb[Item],tab_higiene[[#This Row],[Item]],supercb[Bairro],mercado8)</f>
        <v>0</v>
      </c>
      <c r="AS18" s="27" t="n">
        <f aca="false">SUMIFS(super1[Qtde],super1[Item],tab_higiene[[#This Row],[Item]],super1[Bairro],mercado9)+SUMIFS(supercb[Qtde],supercb[Item],tab_higiene[[#This Row],[Item]],supercb[Bairro],mercado9)</f>
        <v>0</v>
      </c>
      <c r="AT18" s="27" t="n">
        <f aca="false">SUMIFS(super1[Qtde],super1[Item],tab_higiene[[#This Row],[Item]],super1[Bairro],mercado10)+SUMIFS(supercb[Qtde],supercb[Item],tab_higiene[[#This Row],[Item]],supercb[Bairro],mercado10)</f>
        <v>0</v>
      </c>
      <c r="AU18" s="27" t="n">
        <f aca="false">SUMIFS(super1[Qtde],super1[Item],tab_higiene[[#This Row],[Item]],super1[Bairro],mercado11)+SUMIFS(supercb[Qtde],supercb[Item],tab_higiene[[#This Row],[Item]],supercb[Bairro],mercado11)</f>
        <v>0</v>
      </c>
      <c r="AV18" s="27" t="n">
        <f aca="false">SUMIFS(super1[Qtde],super1[Item],tab_higiene[[#This Row],[Item]],super1[Bairro],mercado12)+SUMIFS(supercb[Qtde],supercb[Item],tab_higiene[[#This Row],[Item]],supercb[Bairro],mercado12)</f>
        <v>0</v>
      </c>
      <c r="AW18" s="27" t="n">
        <f aca="false">SUMIFS(super1[Qtde],super1[Item],tab_higiene[[#This Row],[Item]],super1[Bairro],mercado13)+SUMIFS(supercb[Qtde],supercb[Item],tab_higiene[[#This Row],[Item]],supercb[Bairro],mercado13)</f>
        <v>0</v>
      </c>
      <c r="AX18" s="27" t="n">
        <f aca="false">SUMIFS(super1[Qtde],super1[Item],tab_higiene[[#This Row],[Item]],super1[Bairro],mercado14)+SUMIFS(supercb[Qtde],supercb[Item],tab_higiene[[#This Row],[Item]],supercb[Bairro],mercado14)</f>
        <v>0</v>
      </c>
      <c r="AY18" s="27" t="n">
        <f aca="false">SUMIFS(super1[Qtde],super1[Item],tab_higiene[[#This Row],[Item]],super1[Bairro],mercado15)+SUMIFS(supercb[Qtde],supercb[Item],tab_higiene[[#This Row],[Item]],supercb[Bairro],mercado15)</f>
        <v>0</v>
      </c>
      <c r="AZ18" s="27" t="n">
        <f aca="false">SUMIFS(super1[Qtde],super1[Item],tab_higiene[[#This Row],[Item]],super1[Bairro],mercado16)+SUMIFS(supercb[Qtde],supercb[Item],tab_higiene[[#This Row],[Item]],supercb[Bairro],mercado16)</f>
        <v>0</v>
      </c>
      <c r="BA18" s="27" t="n">
        <f aca="false">SUMIFS(super1[Qtde],super1[Item],tab_higiene[[#This Row],[Item]],super1[Bairro],mercado17)+SUMIFS(supercb[Qtde],supercb[Item],tab_higiene[[#This Row],[Item]],supercb[Bairro],mercado17)</f>
        <v>0</v>
      </c>
      <c r="BB18" s="27" t="n">
        <f aca="false">SUMIFS(super1[Qtde],super1[Item],tab_higiene[[#This Row],[Item]],super1[Bairro],mercado18)+SUMIFS(supercb[Qtde],supercb[Item],tab_higiene[[#This Row],[Item]],supercb[Bairro],mercado18)</f>
        <v>0</v>
      </c>
      <c r="BC18" s="27" t="n">
        <f aca="false">SUMIFS(super1[Qtde],super1[Item],tab_higiene[[#This Row],[Item]],super1[Bairro],extras)+SUMIFS(supercb[Qtde],supercb[Item],tab_higiene[[#This Row],[Item]],supercb[Bairro],extras)</f>
        <v>0</v>
      </c>
      <c r="BD18" s="27" t="n">
        <f aca="false">SUM(AK18:BB18)</f>
        <v>0</v>
      </c>
      <c r="BE18" s="27" t="n">
        <f aca="false">IFERROR(BD18*AJ18,0)</f>
        <v>0</v>
      </c>
      <c r="BF18" s="28" t="n">
        <f aca="false">IFERROR(AI18*BD18,0)</f>
        <v>0</v>
      </c>
      <c r="BI18" s="22" t="str">
        <f aca="false">tab_alimentos[[#This Row],[Item]]</f>
        <v>Açúcar (5kg)</v>
      </c>
      <c r="BJ18" s="22" t="n">
        <f aca="false">IFERROR(FIND(" (",BI18),0)</f>
        <v>7</v>
      </c>
      <c r="BK18" s="22" t="str">
        <f aca="false">IF(BJ18=0,BI18,LEFT(BI18,BJ18-1))</f>
        <v>Açúcar</v>
      </c>
      <c r="BL18" s="22" t="n">
        <f aca="false">tab_alimentos[[#This Row],[kg]]</f>
        <v>115</v>
      </c>
      <c r="BM18" s="32" t="s">
        <v>276</v>
      </c>
      <c r="BN18" s="22" t="n">
        <f aca="false">SUMIF($BJ$5:$BJ$158,BM18,$BK$5:$BK$158)</f>
        <v>0</v>
      </c>
      <c r="BP18" s="22" t="str">
        <f aca="false">tab_higiene[[#This Row],[Item]]</f>
        <v>Álcool Gel (1L)</v>
      </c>
      <c r="BQ18" s="22" t="n">
        <f aca="false">IFERROR(FIND(" (",BP18),0)</f>
        <v>11</v>
      </c>
      <c r="BR18" s="22" t="str">
        <f aca="false">IF(BQ18=0,BP18,LEFT(BP18,BQ18-1))</f>
        <v>Álcool Gel</v>
      </c>
      <c r="BS18" s="22" t="n">
        <f aca="false">higiene[[#This Row],[Quantidade]]</f>
        <v>1</v>
      </c>
      <c r="BT18" s="22" t="n">
        <f aca="false">tab_higiene[Qtde (tot)]</f>
        <v>0</v>
      </c>
      <c r="BU18" s="22" t="n">
        <f aca="false">BS18*BT18</f>
        <v>0</v>
      </c>
      <c r="BV18" s="32" t="s">
        <v>277</v>
      </c>
      <c r="BW18" s="22" t="n">
        <f aca="false">SUMIF($BR$5:$BR$142,BV18,$BU$5:$BU$142)</f>
        <v>0.25</v>
      </c>
    </row>
    <row r="19" customFormat="false" ht="15" hidden="false" customHeight="false" outlineLevel="0" collapsed="false">
      <c r="A19" s="0" t="str">
        <f aca="false">tabMercados[[#This Row],[Supermercados]]</f>
        <v>Savegnago Praça Itália</v>
      </c>
      <c r="B19" s="34" t="n">
        <f aca="false">SUMPRODUCT(tab_alimentos[kg/embalagem],tab_alimentos[Qtde (S11)])</f>
        <v>346.775</v>
      </c>
      <c r="C19" s="34" t="n">
        <f aca="false">SUMPRODUCT(tab_alimentos[Preço],tab_alimentos[Qtde (S11)])</f>
        <v>1177.70933333333</v>
      </c>
      <c r="D19" s="34" t="n">
        <f aca="false">SUMPRODUCT(tab_higiene[kg/embalagem],tab_higiene[Qtde (S11)])</f>
        <v>182.744610402547</v>
      </c>
      <c r="E19" s="34" t="n">
        <f aca="false">SUMPRODUCT(tab_higiene[Preço],tab_higiene[Qtde (S11)])</f>
        <v>605.3255</v>
      </c>
      <c r="F19" s="34" t="n">
        <f aca="false">B19+D19</f>
        <v>529.519610402547</v>
      </c>
      <c r="G19" s="34" t="n">
        <f aca="false">C19+E19</f>
        <v>1783.03483333333</v>
      </c>
      <c r="I19" s="26" t="str">
        <f aca="false">alimentos[[#This Row],[Item]]</f>
        <v>Adoçante</v>
      </c>
      <c r="J19" s="27" t="n">
        <f aca="false">IFERROR(alimentos[[#This Row],[kg/embalagem]],0)</f>
        <v>0.1</v>
      </c>
      <c r="K19" s="27" t="n">
        <f aca="false">IFERROR(alimentos[[#This Row],[Preço]],0)</f>
        <v>3.04666666666667</v>
      </c>
      <c r="L19" s="27" t="n">
        <f aca="false">SUMIFS(super1[Qtde],super1[Item],tab_alimentos[[#This Row],[Item]],super1[Bairro],mercado1)+SUMIFS(supercb[Qtde],supercb[Item],tab_alimentos[[#This Row],[Item]],supercb[Bairro],mercado1)</f>
        <v>0</v>
      </c>
      <c r="M19" s="27" t="n">
        <f aca="false">SUMIFS(super1[Qtde],super1[Item],tab_alimentos[[#This Row],[Item]],super1[Bairro],mercado2)+SUMIFS(supercb[Qtde],supercb[Item],tab_alimentos[[#This Row],[Item]],supercb[Bairro],mercado2)</f>
        <v>0</v>
      </c>
      <c r="N19" s="27" t="n">
        <f aca="false">SUMIFS(super1[Qtde],super1[Item],tab_alimentos[[#This Row],[Item]],super1[Bairro],mercado3)+SUMIFS(supercb[Qtde],supercb[Item],tab_alimentos[[#This Row],[Item]],supercb[Bairro],mercado3)</f>
        <v>0</v>
      </c>
      <c r="O19" s="27" t="n">
        <f aca="false">SUMIFS(super1[Qtde],super1[Item],tab_alimentos[[#This Row],[Item]],super1[Bairro],mercado4)+SUMIFS(supercb[Qtde],supercb[Item],tab_alimentos[[#This Row],[Item]],supercb[Bairro],mercado4)</f>
        <v>0</v>
      </c>
      <c r="P19" s="27" t="n">
        <f aca="false">SUMIFS(super1[Qtde],super1[Item],tab_alimentos[[#This Row],[Item]],super1[Bairro],mercado5)+SUMIFS(supercb[Qtde],supercb[Item],tab_alimentos[[#This Row],[Item]],supercb[Bairro],mercado5)</f>
        <v>0</v>
      </c>
      <c r="Q19" s="27" t="n">
        <f aca="false">SUMIFS(super1[Qtde],super1[Item],tab_alimentos[[#This Row],[Item]],super1[Bairro],mercado6)+SUMIFS(supercb[Qtde],supercb[Item],tab_alimentos[[#This Row],[Item]],supercb[Bairro],mercado6)</f>
        <v>0</v>
      </c>
      <c r="R19" s="27" t="n">
        <f aca="false">SUMIFS(super1[Qtde],super1[Item],tab_alimentos[[#This Row],[Item]],super1[Bairro],mercado7)+SUMIFS(supercb[Qtde],supercb[Item],tab_alimentos[[#This Row],[Item]],supercb[Bairro],mercado7)</f>
        <v>0</v>
      </c>
      <c r="S19" s="27" t="n">
        <f aca="false">SUMIFS(super1[Qtde],super1[Item],tab_alimentos[[#This Row],[Item]],super1[Bairro],mercado8)+SUMIFS(supercb[Qtde],supercb[Item],tab_alimentos[[#This Row],[Item]],supercb[Bairro],mercado8)</f>
        <v>0</v>
      </c>
      <c r="T19" s="27" t="n">
        <f aca="false">SUMIFS(super1[Qtde],super1[Item],tab_alimentos[[#This Row],[Item]],super1[Bairro],mercado9)+SUMIFS(supercb[Qtde],supercb[Item],tab_alimentos[[#This Row],[Item]],supercb[Bairro],mercado9)</f>
        <v>0</v>
      </c>
      <c r="U19" s="27" t="n">
        <f aca="false">SUMIFS(super1[Qtde],super1[Item],tab_alimentos[[#This Row],[Item]],super1[Bairro],mercado10)+SUMIFS(supercb[Qtde],supercb[Item],tab_alimentos[[#This Row],[Item]],supercb[Bairro],mercado10)</f>
        <v>0</v>
      </c>
      <c r="V19" s="27" t="n">
        <f aca="false">SUMIFS(super1[Qtde],super1[Item],tab_alimentos[[#This Row],[Item]],super1[Bairro],mercado11)+SUMIFS(supercb[Qtde],supercb[Item],tab_alimentos[[#This Row],[Item]],supercb[Bairro],mercado11)</f>
        <v>0</v>
      </c>
      <c r="W19" s="27" t="n">
        <f aca="false">SUMIFS(super1[Qtde],super1[Item],tab_alimentos[[#This Row],[Item]],super1[Bairro],mercado12)+SUMIFS(supercb[Qtde],supercb[Item],tab_alimentos[[#This Row],[Item]],supercb[Bairro],mercado12)</f>
        <v>0</v>
      </c>
      <c r="X19" s="27" t="n">
        <f aca="false">SUMIFS(super1[Qtde],super1[Item],tab_alimentos[[#This Row],[Item]],super1[Bairro],mercado13)+SUMIFS(supercb[Qtde],supercb[Item],tab_alimentos[[#This Row],[Item]],supercb[Bairro],mercado13)</f>
        <v>0</v>
      </c>
      <c r="Y19" s="27" t="n">
        <f aca="false">SUMIFS(super1[Qtde],super1[Item],tab_alimentos[[#This Row],[Item]],super1[Bairro],mercado14)+SUMIFS(supercb[Qtde],supercb[Item],tab_alimentos[[#This Row],[Item]],supercb[Bairro],mercado14)</f>
        <v>0</v>
      </c>
      <c r="Z19" s="27" t="n">
        <f aca="false">SUMIFS(super1[Qtde],super1[Item],tab_alimentos[[#This Row],[Item]],super1[Bairro],mercado15)+SUMIFS(supercb[Qtde],supercb[Item],tab_alimentos[[#This Row],[Item]],supercb[Bairro],mercado15)</f>
        <v>0</v>
      </c>
      <c r="AA19" s="27" t="n">
        <f aca="false">SUMIFS(super1[Qtde],super1[Item],tab_alimentos[[#This Row],[Item]],super1[Bairro],mercado16)+SUMIFS(supercb[Qtde],supercb[Item],tab_alimentos[[#This Row],[Item]],supercb[Bairro],mercado16)</f>
        <v>0</v>
      </c>
      <c r="AB19" s="27" t="n">
        <f aca="false">SUMIFS(super1[Qtde],super1[Item],tab_alimentos[[#This Row],[Item]],super1[Bairro],mercado17)+SUMIFS(supercb[Qtde],supercb[Item],tab_alimentos[[#This Row],[Item]],supercb[Bairro],mercado17)</f>
        <v>0</v>
      </c>
      <c r="AC19" s="27" t="n">
        <f aca="false">SUMIFS(super1[Qtde],super1[Item],tab_alimentos[[#This Row],[Item]],super1[Bairro],mercado18)+SUMIFS(supercb[Qtde],supercb[Item],tab_alimentos[[#This Row],[Item]],supercb[Bairro],mercado18)</f>
        <v>0</v>
      </c>
      <c r="AD19" s="27" t="n">
        <f aca="false">SUMIFS(super1[Qtde],super1[Item],tab_alimentos[[#This Row],[Item]],super1[Bairro],extras)+SUMIFS(supercb[Qtde],supercb[Item],tab_alimentos[[#This Row],[Item]],supercb[Bairro],extras)</f>
        <v>0</v>
      </c>
      <c r="AE19" s="27" t="n">
        <f aca="false">SUM(L19:AC19)</f>
        <v>0</v>
      </c>
      <c r="AF19" s="27" t="n">
        <f aca="false">IFERROR(AE19*K19,0)</f>
        <v>0</v>
      </c>
      <c r="AG19" s="28" t="n">
        <f aca="false">IFERROR(J19*AE19,0)</f>
        <v>0</v>
      </c>
      <c r="AH19" s="26" t="str">
        <f aca="false">higiene[[#This Row],[Item]]</f>
        <v>Álcool Gel (500ml)</v>
      </c>
      <c r="AI19" s="27" t="n">
        <f aca="false">IFERROR(higiene[[#This Row],[Kg equivalente]],0)</f>
        <v>1.85287923001035</v>
      </c>
      <c r="AJ19" s="27" t="n">
        <f aca="false">IFERROR(higiene[[#This Row],[Preço por produto]],0)</f>
        <v>6.1375</v>
      </c>
      <c r="AK19" s="27" t="n">
        <f aca="false">SUMIFS(super1[Qtde],super1[Item],tab_higiene[[#This Row],[Item]],super1[Bairro],mercado1)+SUMIFS(supercb[Qtde],supercb[Item],tab_higiene[[#This Row],[Item]],supercb[Bairro],mercado1)</f>
        <v>0</v>
      </c>
      <c r="AL19" s="27" t="n">
        <f aca="false">SUMIFS(super1[Qtde],super1[Item],tab_higiene[[#This Row],[Item]],super1[Bairro],mercado2)+SUMIFS(supercb[Qtde],supercb[Item],tab_higiene[[#This Row],[Item]],supercb[Bairro],mercado2)</f>
        <v>0</v>
      </c>
      <c r="AM19" s="27" t="n">
        <f aca="false">SUMIFS(super1[Qtde],super1[Item],tab_higiene[[#This Row],[Item]],super1[Bairro],mercado3)+SUMIFS(supercb[Qtde],supercb[Item],tab_higiene[[#This Row],[Item]],supercb[Bairro],mercado3)</f>
        <v>0</v>
      </c>
      <c r="AN19" s="27" t="n">
        <f aca="false">SUMIFS(super1[Qtde],super1[Item],tab_higiene[[#This Row],[Item]],super1[Bairro],mercado4)+SUMIFS(supercb[Qtde],supercb[Item],tab_higiene[[#This Row],[Item]],supercb[Bairro],mercado4)</f>
        <v>0</v>
      </c>
      <c r="AO19" s="27" t="n">
        <f aca="false">SUMIFS(super1[Qtde],super1[Item],tab_higiene[[#This Row],[Item]],super1[Bairro],mercado5)+SUMIFS(supercb[Qtde],supercb[Item],tab_higiene[[#This Row],[Item]],supercb[Bairro],mercado5)</f>
        <v>0</v>
      </c>
      <c r="AP19" s="27" t="n">
        <f aca="false">SUMIFS(super1[Qtde],super1[Item],tab_higiene[[#This Row],[Item]],super1[Bairro],mercado6)+SUMIFS(supercb[Qtde],supercb[Item],tab_higiene[[#This Row],[Item]],supercb[Bairro],mercado6)</f>
        <v>0</v>
      </c>
      <c r="AQ19" s="27" t="n">
        <f aca="false">SUMIFS(super1[Qtde],super1[Item],tab_higiene[[#This Row],[Item]],super1[Bairro],mercado7)+SUMIFS(supercb[Qtde],supercb[Item],tab_higiene[[#This Row],[Item]],supercb[Bairro],mercado7)</f>
        <v>0</v>
      </c>
      <c r="AR19" s="27" t="n">
        <f aca="false">SUMIFS(super1[Qtde],super1[Item],tab_higiene[[#This Row],[Item]],super1[Bairro],mercado8)+SUMIFS(supercb[Qtde],supercb[Item],tab_higiene[[#This Row],[Item]],supercb[Bairro],mercado8)</f>
        <v>0</v>
      </c>
      <c r="AS19" s="27" t="n">
        <f aca="false">SUMIFS(super1[Qtde],super1[Item],tab_higiene[[#This Row],[Item]],super1[Bairro],mercado9)+SUMIFS(supercb[Qtde],supercb[Item],tab_higiene[[#This Row],[Item]],supercb[Bairro],mercado9)</f>
        <v>0</v>
      </c>
      <c r="AT19" s="27" t="n">
        <f aca="false">SUMIFS(super1[Qtde],super1[Item],tab_higiene[[#This Row],[Item]],super1[Bairro],mercado10)+SUMIFS(supercb[Qtde],supercb[Item],tab_higiene[[#This Row],[Item]],supercb[Bairro],mercado10)</f>
        <v>0</v>
      </c>
      <c r="AU19" s="27" t="n">
        <f aca="false">SUMIFS(super1[Qtde],super1[Item],tab_higiene[[#This Row],[Item]],super1[Bairro],mercado11)+SUMIFS(supercb[Qtde],supercb[Item],tab_higiene[[#This Row],[Item]],supercb[Bairro],mercado11)</f>
        <v>0</v>
      </c>
      <c r="AV19" s="27" t="n">
        <f aca="false">SUMIFS(super1[Qtde],super1[Item],tab_higiene[[#This Row],[Item]],super1[Bairro],mercado12)+SUMIFS(supercb[Qtde],supercb[Item],tab_higiene[[#This Row],[Item]],supercb[Bairro],mercado12)</f>
        <v>0</v>
      </c>
      <c r="AW19" s="27" t="n">
        <f aca="false">SUMIFS(super1[Qtde],super1[Item],tab_higiene[[#This Row],[Item]],super1[Bairro],mercado13)+SUMIFS(supercb[Qtde],supercb[Item],tab_higiene[[#This Row],[Item]],supercb[Bairro],mercado13)</f>
        <v>0</v>
      </c>
      <c r="AX19" s="27" t="n">
        <f aca="false">SUMIFS(super1[Qtde],super1[Item],tab_higiene[[#This Row],[Item]],super1[Bairro],mercado14)+SUMIFS(supercb[Qtde],supercb[Item],tab_higiene[[#This Row],[Item]],supercb[Bairro],mercado14)</f>
        <v>0</v>
      </c>
      <c r="AY19" s="27" t="n">
        <f aca="false">SUMIFS(super1[Qtde],super1[Item],tab_higiene[[#This Row],[Item]],super1[Bairro],mercado15)+SUMIFS(supercb[Qtde],supercb[Item],tab_higiene[[#This Row],[Item]],supercb[Bairro],mercado15)</f>
        <v>0</v>
      </c>
      <c r="AZ19" s="27" t="n">
        <f aca="false">SUMIFS(super1[Qtde],super1[Item],tab_higiene[[#This Row],[Item]],super1[Bairro],mercado16)+SUMIFS(supercb[Qtde],supercb[Item],tab_higiene[[#This Row],[Item]],supercb[Bairro],mercado16)</f>
        <v>0</v>
      </c>
      <c r="BA19" s="27" t="n">
        <f aca="false">SUMIFS(super1[Qtde],super1[Item],tab_higiene[[#This Row],[Item]],super1[Bairro],mercado17)+SUMIFS(supercb[Qtde],supercb[Item],tab_higiene[[#This Row],[Item]],supercb[Bairro],mercado17)</f>
        <v>0</v>
      </c>
      <c r="BB19" s="27" t="n">
        <f aca="false">SUMIFS(super1[Qtde],super1[Item],tab_higiene[[#This Row],[Item]],super1[Bairro],mercado18)+SUMIFS(supercb[Qtde],supercb[Item],tab_higiene[[#This Row],[Item]],supercb[Bairro],mercado18)</f>
        <v>0</v>
      </c>
      <c r="BC19" s="27" t="n">
        <f aca="false">SUMIFS(super1[Qtde],super1[Item],tab_higiene[[#This Row],[Item]],super1[Bairro],extras)+SUMIFS(supercb[Qtde],supercb[Item],tab_higiene[[#This Row],[Item]],supercb[Bairro],extras)</f>
        <v>0</v>
      </c>
      <c r="BD19" s="27" t="n">
        <f aca="false">SUM(AK19:BB19)</f>
        <v>0</v>
      </c>
      <c r="BE19" s="27" t="n">
        <f aca="false">IFERROR(BD19*AJ19,0)</f>
        <v>0</v>
      </c>
      <c r="BF19" s="28" t="n">
        <f aca="false">IFERROR(AI19*BD19,0)</f>
        <v>0</v>
      </c>
      <c r="BI19" s="22" t="str">
        <f aca="false">tab_alimentos[[#This Row],[Item]]</f>
        <v>Adoçante</v>
      </c>
      <c r="BJ19" s="22" t="n">
        <f aca="false">IFERROR(FIND(" (",BI19),0)</f>
        <v>0</v>
      </c>
      <c r="BK19" s="22" t="str">
        <f aca="false">IF(BJ19=0,BI19,LEFT(BI19,BJ19-1))</f>
        <v>Adoçante</v>
      </c>
      <c r="BL19" s="22" t="n">
        <f aca="false">tab_alimentos[[#This Row],[kg]]</f>
        <v>0</v>
      </c>
      <c r="BM19" s="32" t="s">
        <v>278</v>
      </c>
      <c r="BN19" s="22" t="n">
        <f aca="false">SUMIF($BJ$5:$BJ$158,BM19,$BK$5:$BK$158)</f>
        <v>0</v>
      </c>
      <c r="BP19" s="22" t="str">
        <f aca="false">tab_higiene[[#This Row],[Item]]</f>
        <v>Álcool Gel (500ml)</v>
      </c>
      <c r="BQ19" s="22" t="n">
        <f aca="false">IFERROR(FIND(" (",BP19),0)</f>
        <v>11</v>
      </c>
      <c r="BR19" s="22" t="str">
        <f aca="false">IF(BQ19=0,BP19,LEFT(BP19,BQ19-1))</f>
        <v>Álcool Gel</v>
      </c>
      <c r="BS19" s="22" t="n">
        <f aca="false">higiene[[#This Row],[Quantidade]]</f>
        <v>0.5</v>
      </c>
      <c r="BT19" s="22" t="n">
        <f aca="false">tab_higiene[Qtde (tot)]</f>
        <v>0</v>
      </c>
      <c r="BU19" s="22" t="n">
        <f aca="false">BS19*BT19</f>
        <v>0</v>
      </c>
      <c r="BV19" s="32" t="s">
        <v>279</v>
      </c>
      <c r="BW19" s="22" t="n">
        <f aca="false">SUMIF($BR$5:$BR$142,BV19,$BU$5:$BU$142)</f>
        <v>63</v>
      </c>
    </row>
    <row r="20" customFormat="false" ht="15" hidden="false" customHeight="false" outlineLevel="0" collapsed="false">
      <c r="A20" s="0" t="n">
        <f aca="false">tabMercados[[#This Row],[Supermercados]]</f>
        <v>0</v>
      </c>
      <c r="B20" s="34" t="n">
        <f aca="false">SUMPRODUCT(tab_alimentos[kg/embalagem],tab_alimentos[Qtde (S12)])</f>
        <v>0</v>
      </c>
      <c r="C20" s="34" t="n">
        <f aca="false">SUMPRODUCT(tab_alimentos[Preço],tab_alimentos[Qtde (S12)])</f>
        <v>0</v>
      </c>
      <c r="D20" s="34" t="n">
        <f aca="false">SUMPRODUCT(tab_higiene[kg/embalagem],tab_higiene[Qtde (S12)])</f>
        <v>0</v>
      </c>
      <c r="E20" s="34" t="n">
        <f aca="false">SUMPRODUCT(tab_higiene[Preço],tab_higiene[Qtde (S12)])</f>
        <v>0</v>
      </c>
      <c r="F20" s="34" t="n">
        <f aca="false">B20+D20</f>
        <v>0</v>
      </c>
      <c r="G20" s="34" t="n">
        <f aca="false">C20+E20</f>
        <v>0</v>
      </c>
      <c r="I20" s="26" t="str">
        <f aca="false">alimentos[[#This Row],[Item]]</f>
        <v>Água de Coco (2L)</v>
      </c>
      <c r="J20" s="27" t="n">
        <f aca="false">IFERROR(alimentos[[#This Row],[kg/embalagem]],0)</f>
        <v>2</v>
      </c>
      <c r="K20" s="27" t="n">
        <f aca="false">IFERROR(alimentos[[#This Row],[Preço]],0)</f>
        <v>6.2375</v>
      </c>
      <c r="L20" s="27" t="n">
        <f aca="false">SUMIFS(super1[Qtde],super1[Item],tab_alimentos[[#This Row],[Item]],super1[Bairro],mercado1)+SUMIFS(supercb[Qtde],supercb[Item],tab_alimentos[[#This Row],[Item]],supercb[Bairro],mercado1)</f>
        <v>0</v>
      </c>
      <c r="M20" s="27" t="n">
        <f aca="false">SUMIFS(super1[Qtde],super1[Item],tab_alimentos[[#This Row],[Item]],super1[Bairro],mercado2)+SUMIFS(supercb[Qtde],supercb[Item],tab_alimentos[[#This Row],[Item]],supercb[Bairro],mercado2)</f>
        <v>0</v>
      </c>
      <c r="N20" s="27" t="n">
        <f aca="false">SUMIFS(super1[Qtde],super1[Item],tab_alimentos[[#This Row],[Item]],super1[Bairro],mercado3)+SUMIFS(supercb[Qtde],supercb[Item],tab_alimentos[[#This Row],[Item]],supercb[Bairro],mercado3)</f>
        <v>0</v>
      </c>
      <c r="O20" s="27" t="n">
        <f aca="false">SUMIFS(super1[Qtde],super1[Item],tab_alimentos[[#This Row],[Item]],super1[Bairro],mercado4)+SUMIFS(supercb[Qtde],supercb[Item],tab_alimentos[[#This Row],[Item]],supercb[Bairro],mercado4)</f>
        <v>0</v>
      </c>
      <c r="P20" s="27" t="n">
        <f aca="false">SUMIFS(super1[Qtde],super1[Item],tab_alimentos[[#This Row],[Item]],super1[Bairro],mercado5)+SUMIFS(supercb[Qtde],supercb[Item],tab_alimentos[[#This Row],[Item]],supercb[Bairro],mercado5)</f>
        <v>0</v>
      </c>
      <c r="Q20" s="27" t="n">
        <f aca="false">SUMIFS(super1[Qtde],super1[Item],tab_alimentos[[#This Row],[Item]],super1[Bairro],mercado6)+SUMIFS(supercb[Qtde],supercb[Item],tab_alimentos[[#This Row],[Item]],supercb[Bairro],mercado6)</f>
        <v>0</v>
      </c>
      <c r="R20" s="27" t="n">
        <f aca="false">SUMIFS(super1[Qtde],super1[Item],tab_alimentos[[#This Row],[Item]],super1[Bairro],mercado7)+SUMIFS(supercb[Qtde],supercb[Item],tab_alimentos[[#This Row],[Item]],supercb[Bairro],mercado7)</f>
        <v>0</v>
      </c>
      <c r="S20" s="27" t="n">
        <f aca="false">SUMIFS(super1[Qtde],super1[Item],tab_alimentos[[#This Row],[Item]],super1[Bairro],mercado8)+SUMIFS(supercb[Qtde],supercb[Item],tab_alimentos[[#This Row],[Item]],supercb[Bairro],mercado8)</f>
        <v>0</v>
      </c>
      <c r="T20" s="27" t="n">
        <f aca="false">SUMIFS(super1[Qtde],super1[Item],tab_alimentos[[#This Row],[Item]],super1[Bairro],mercado9)+SUMIFS(supercb[Qtde],supercb[Item],tab_alimentos[[#This Row],[Item]],supercb[Bairro],mercado9)</f>
        <v>0</v>
      </c>
      <c r="U20" s="27" t="n">
        <f aca="false">SUMIFS(super1[Qtde],super1[Item],tab_alimentos[[#This Row],[Item]],super1[Bairro],mercado10)+SUMIFS(supercb[Qtde],supercb[Item],tab_alimentos[[#This Row],[Item]],supercb[Bairro],mercado10)</f>
        <v>0</v>
      </c>
      <c r="V20" s="27" t="n">
        <f aca="false">SUMIFS(super1[Qtde],super1[Item],tab_alimentos[[#This Row],[Item]],super1[Bairro],mercado11)+SUMIFS(supercb[Qtde],supercb[Item],tab_alimentos[[#This Row],[Item]],supercb[Bairro],mercado11)</f>
        <v>0</v>
      </c>
      <c r="W20" s="27" t="n">
        <f aca="false">SUMIFS(super1[Qtde],super1[Item],tab_alimentos[[#This Row],[Item]],super1[Bairro],mercado12)+SUMIFS(supercb[Qtde],supercb[Item],tab_alimentos[[#This Row],[Item]],supercb[Bairro],mercado12)</f>
        <v>0</v>
      </c>
      <c r="X20" s="27" t="n">
        <f aca="false">SUMIFS(super1[Qtde],super1[Item],tab_alimentos[[#This Row],[Item]],super1[Bairro],mercado13)+SUMIFS(supercb[Qtde],supercb[Item],tab_alimentos[[#This Row],[Item]],supercb[Bairro],mercado13)</f>
        <v>0</v>
      </c>
      <c r="Y20" s="27" t="n">
        <f aca="false">SUMIFS(super1[Qtde],super1[Item],tab_alimentos[[#This Row],[Item]],super1[Bairro],mercado14)+SUMIFS(supercb[Qtde],supercb[Item],tab_alimentos[[#This Row],[Item]],supercb[Bairro],mercado14)</f>
        <v>0</v>
      </c>
      <c r="Z20" s="27" t="n">
        <f aca="false">SUMIFS(super1[Qtde],super1[Item],tab_alimentos[[#This Row],[Item]],super1[Bairro],mercado15)+SUMIFS(supercb[Qtde],supercb[Item],tab_alimentos[[#This Row],[Item]],supercb[Bairro],mercado15)</f>
        <v>0</v>
      </c>
      <c r="AA20" s="27" t="n">
        <f aca="false">SUMIFS(super1[Qtde],super1[Item],tab_alimentos[[#This Row],[Item]],super1[Bairro],mercado16)+SUMIFS(supercb[Qtde],supercb[Item],tab_alimentos[[#This Row],[Item]],supercb[Bairro],mercado16)</f>
        <v>0</v>
      </c>
      <c r="AB20" s="27" t="n">
        <f aca="false">SUMIFS(super1[Qtde],super1[Item],tab_alimentos[[#This Row],[Item]],super1[Bairro],mercado17)+SUMIFS(supercb[Qtde],supercb[Item],tab_alimentos[[#This Row],[Item]],supercb[Bairro],mercado17)</f>
        <v>0</v>
      </c>
      <c r="AC20" s="27" t="n">
        <f aca="false">SUMIFS(super1[Qtde],super1[Item],tab_alimentos[[#This Row],[Item]],super1[Bairro],mercado18)+SUMIFS(supercb[Qtde],supercb[Item],tab_alimentos[[#This Row],[Item]],supercb[Bairro],mercado18)</f>
        <v>0</v>
      </c>
      <c r="AD20" s="27" t="n">
        <f aca="false">SUMIFS(super1[Qtde],super1[Item],tab_alimentos[[#This Row],[Item]],super1[Bairro],extras)+SUMIFS(supercb[Qtde],supercb[Item],tab_alimentos[[#This Row],[Item]],supercb[Bairro],extras)</f>
        <v>0</v>
      </c>
      <c r="AE20" s="27" t="n">
        <f aca="false">SUM(L20:AC20)</f>
        <v>0</v>
      </c>
      <c r="AF20" s="27" t="n">
        <f aca="false">IFERROR(AE20*K20,0)</f>
        <v>0</v>
      </c>
      <c r="AG20" s="28" t="n">
        <f aca="false">IFERROR(J20*AE20,0)</f>
        <v>0</v>
      </c>
      <c r="AH20" s="26" t="str">
        <f aca="false">higiene[[#This Row],[Item]]</f>
        <v>Algodão (25g)</v>
      </c>
      <c r="AI20" s="27" t="n">
        <f aca="false">IFERROR(higiene[[#This Row],[Kg equivalente]],0)</f>
        <v>0.652092731050488</v>
      </c>
      <c r="AJ20" s="27" t="n">
        <f aca="false">IFERROR(higiene[[#This Row],[Preço por produto]],0)</f>
        <v>2.16</v>
      </c>
      <c r="AK20" s="27" t="n">
        <f aca="false">SUMIFS(super1[Qtde],super1[Item],tab_higiene[[#This Row],[Item]],super1[Bairro],mercado1)+SUMIFS(supercb[Qtde],supercb[Item],tab_higiene[[#This Row],[Item]],supercb[Bairro],mercado1)</f>
        <v>0</v>
      </c>
      <c r="AL20" s="27" t="n">
        <f aca="false">SUMIFS(super1[Qtde],super1[Item],tab_higiene[[#This Row],[Item]],super1[Bairro],mercado2)+SUMIFS(supercb[Qtde],supercb[Item],tab_higiene[[#This Row],[Item]],supercb[Bairro],mercado2)</f>
        <v>0</v>
      </c>
      <c r="AM20" s="27" t="n">
        <f aca="false">SUMIFS(super1[Qtde],super1[Item],tab_higiene[[#This Row],[Item]],super1[Bairro],mercado3)+SUMIFS(supercb[Qtde],supercb[Item],tab_higiene[[#This Row],[Item]],supercb[Bairro],mercado3)</f>
        <v>0</v>
      </c>
      <c r="AN20" s="27" t="n">
        <f aca="false">SUMIFS(super1[Qtde],super1[Item],tab_higiene[[#This Row],[Item]],super1[Bairro],mercado4)+SUMIFS(supercb[Qtde],supercb[Item],tab_higiene[[#This Row],[Item]],supercb[Bairro],mercado4)</f>
        <v>0</v>
      </c>
      <c r="AO20" s="27" t="n">
        <f aca="false">SUMIFS(super1[Qtde],super1[Item],tab_higiene[[#This Row],[Item]],super1[Bairro],mercado5)+SUMIFS(supercb[Qtde],supercb[Item],tab_higiene[[#This Row],[Item]],supercb[Bairro],mercado5)</f>
        <v>0</v>
      </c>
      <c r="AP20" s="27" t="n">
        <f aca="false">SUMIFS(super1[Qtde],super1[Item],tab_higiene[[#This Row],[Item]],super1[Bairro],mercado6)+SUMIFS(supercb[Qtde],supercb[Item],tab_higiene[[#This Row],[Item]],supercb[Bairro],mercado6)</f>
        <v>0</v>
      </c>
      <c r="AQ20" s="27" t="n">
        <f aca="false">SUMIFS(super1[Qtde],super1[Item],tab_higiene[[#This Row],[Item]],super1[Bairro],mercado7)+SUMIFS(supercb[Qtde],supercb[Item],tab_higiene[[#This Row],[Item]],supercb[Bairro],mercado7)</f>
        <v>0</v>
      </c>
      <c r="AR20" s="27" t="n">
        <f aca="false">SUMIFS(super1[Qtde],super1[Item],tab_higiene[[#This Row],[Item]],super1[Bairro],mercado8)+SUMIFS(supercb[Qtde],supercb[Item],tab_higiene[[#This Row],[Item]],supercb[Bairro],mercado8)</f>
        <v>0</v>
      </c>
      <c r="AS20" s="27" t="n">
        <f aca="false">SUMIFS(super1[Qtde],super1[Item],tab_higiene[[#This Row],[Item]],super1[Bairro],mercado9)+SUMIFS(supercb[Qtde],supercb[Item],tab_higiene[[#This Row],[Item]],supercb[Bairro],mercado9)</f>
        <v>0</v>
      </c>
      <c r="AT20" s="27" t="n">
        <f aca="false">SUMIFS(super1[Qtde],super1[Item],tab_higiene[[#This Row],[Item]],super1[Bairro],mercado10)+SUMIFS(supercb[Qtde],supercb[Item],tab_higiene[[#This Row],[Item]],supercb[Bairro],mercado10)</f>
        <v>0</v>
      </c>
      <c r="AU20" s="27" t="n">
        <f aca="false">SUMIFS(super1[Qtde],super1[Item],tab_higiene[[#This Row],[Item]],super1[Bairro],mercado11)+SUMIFS(supercb[Qtde],supercb[Item],tab_higiene[[#This Row],[Item]],supercb[Bairro],mercado11)</f>
        <v>0</v>
      </c>
      <c r="AV20" s="27" t="n">
        <f aca="false">SUMIFS(super1[Qtde],super1[Item],tab_higiene[[#This Row],[Item]],super1[Bairro],mercado12)+SUMIFS(supercb[Qtde],supercb[Item],tab_higiene[[#This Row],[Item]],supercb[Bairro],mercado12)</f>
        <v>0</v>
      </c>
      <c r="AW20" s="27" t="n">
        <f aca="false">SUMIFS(super1[Qtde],super1[Item],tab_higiene[[#This Row],[Item]],super1[Bairro],mercado13)+SUMIFS(supercb[Qtde],supercb[Item],tab_higiene[[#This Row],[Item]],supercb[Bairro],mercado13)</f>
        <v>0</v>
      </c>
      <c r="AX20" s="27" t="n">
        <f aca="false">SUMIFS(super1[Qtde],super1[Item],tab_higiene[[#This Row],[Item]],super1[Bairro],mercado14)+SUMIFS(supercb[Qtde],supercb[Item],tab_higiene[[#This Row],[Item]],supercb[Bairro],mercado14)</f>
        <v>0</v>
      </c>
      <c r="AY20" s="27" t="n">
        <f aca="false">SUMIFS(super1[Qtde],super1[Item],tab_higiene[[#This Row],[Item]],super1[Bairro],mercado15)+SUMIFS(supercb[Qtde],supercb[Item],tab_higiene[[#This Row],[Item]],supercb[Bairro],mercado15)</f>
        <v>0</v>
      </c>
      <c r="AZ20" s="27" t="n">
        <f aca="false">SUMIFS(super1[Qtde],super1[Item],tab_higiene[[#This Row],[Item]],super1[Bairro],mercado16)+SUMIFS(supercb[Qtde],supercb[Item],tab_higiene[[#This Row],[Item]],supercb[Bairro],mercado16)</f>
        <v>0</v>
      </c>
      <c r="BA20" s="27" t="n">
        <f aca="false">SUMIFS(super1[Qtde],super1[Item],tab_higiene[[#This Row],[Item]],super1[Bairro],mercado17)+SUMIFS(supercb[Qtde],supercb[Item],tab_higiene[[#This Row],[Item]],supercb[Bairro],mercado17)</f>
        <v>0</v>
      </c>
      <c r="BB20" s="27" t="n">
        <f aca="false">SUMIFS(super1[Qtde],super1[Item],tab_higiene[[#This Row],[Item]],super1[Bairro],mercado18)+SUMIFS(supercb[Qtde],supercb[Item],tab_higiene[[#This Row],[Item]],supercb[Bairro],mercado18)</f>
        <v>0</v>
      </c>
      <c r="BC20" s="27" t="n">
        <f aca="false">SUMIFS(super1[Qtde],super1[Item],tab_higiene[[#This Row],[Item]],super1[Bairro],extras)+SUMIFS(supercb[Qtde],supercb[Item],tab_higiene[[#This Row],[Item]],supercb[Bairro],extras)</f>
        <v>0</v>
      </c>
      <c r="BD20" s="27" t="n">
        <f aca="false">SUM(AK20:BB20)</f>
        <v>0</v>
      </c>
      <c r="BE20" s="27" t="n">
        <f aca="false">IFERROR(BD20*AJ20,0)</f>
        <v>0</v>
      </c>
      <c r="BF20" s="28" t="n">
        <f aca="false">IFERROR(AI20*BD20,0)</f>
        <v>0</v>
      </c>
      <c r="BI20" s="22" t="str">
        <f aca="false">tab_alimentos[[#This Row],[Item]]</f>
        <v>Água de Coco (2L)</v>
      </c>
      <c r="BJ20" s="22" t="n">
        <f aca="false">IFERROR(FIND(" (",BI20),0)</f>
        <v>13</v>
      </c>
      <c r="BK20" s="22" t="str">
        <f aca="false">IF(BJ20=0,BI20,LEFT(BI20,BJ20-1))</f>
        <v>Água de Coco</v>
      </c>
      <c r="BL20" s="22" t="n">
        <f aca="false">tab_alimentos[[#This Row],[kg]]</f>
        <v>0</v>
      </c>
      <c r="BM20" s="32" t="s">
        <v>280</v>
      </c>
      <c r="BN20" s="22" t="n">
        <f aca="false">SUMIF($BJ$5:$BJ$158,BM20,$BK$5:$BK$158)</f>
        <v>0</v>
      </c>
      <c r="BP20" s="22" t="str">
        <f aca="false">tab_higiene[[#This Row],[Item]]</f>
        <v>Algodão (25g)</v>
      </c>
      <c r="BQ20" s="22" t="n">
        <f aca="false">IFERROR(FIND(" (",BP20),0)</f>
        <v>8</v>
      </c>
      <c r="BR20" s="22" t="str">
        <f aca="false">IF(BQ20=0,BP20,LEFT(BP20,BQ20-1))</f>
        <v>Algodão</v>
      </c>
      <c r="BS20" s="22" t="n">
        <f aca="false">higiene[[#This Row],[Quantidade]]</f>
        <v>0.025</v>
      </c>
      <c r="BT20" s="22" t="n">
        <f aca="false">tab_higiene[Qtde (tot)]</f>
        <v>0</v>
      </c>
      <c r="BU20" s="22" t="n">
        <f aca="false">BS20*BT20</f>
        <v>0</v>
      </c>
      <c r="BV20" s="32" t="s">
        <v>22</v>
      </c>
      <c r="BW20" s="22" t="n">
        <f aca="false">SUMIF($BR$5:$BR$142,BV20,$BU$5:$BU$142)</f>
        <v>17</v>
      </c>
    </row>
    <row r="21" customFormat="false" ht="15" hidden="false" customHeight="false" outlineLevel="0" collapsed="false">
      <c r="A21" s="0" t="str">
        <f aca="false">tabMercados[[#This Row],[Supermercados]]</f>
        <v>Abordagem contínua</v>
      </c>
      <c r="B21" s="34" t="n">
        <f aca="false">SUMPRODUCT(tab_alimentos[kg/embalagem],tab_alimentos[Qtde (S13)])</f>
        <v>665.605</v>
      </c>
      <c r="C21" s="34" t="n">
        <f aca="false">SUMPRODUCT(tab_alimentos[Preço],tab_alimentos[Qtde (S13)])</f>
        <v>2010.78366666667</v>
      </c>
      <c r="D21" s="34" t="n">
        <f aca="false">SUMPRODUCT(tab_higiene[kg/embalagem],tab_higiene[Qtde (S13)])</f>
        <v>255.402483170136</v>
      </c>
      <c r="E21" s="34" t="n">
        <f aca="false">SUMPRODUCT(tab_higiene[Preço],tab_higiene[Qtde (S13)])</f>
        <v>845.998333333333</v>
      </c>
      <c r="F21" s="34" t="n">
        <f aca="false">B21+D21</f>
        <v>921.007483170136</v>
      </c>
      <c r="G21" s="34" t="n">
        <f aca="false">C21+E21</f>
        <v>2856.782</v>
      </c>
      <c r="I21" s="26" t="str">
        <f aca="false">alimentos[[#This Row],[Item]]</f>
        <v>Arroz (1kg)</v>
      </c>
      <c r="J21" s="27" t="n">
        <f aca="false">IFERROR(alimentos[[#This Row],[kg/embalagem]],0)</f>
        <v>1</v>
      </c>
      <c r="K21" s="27" t="n">
        <f aca="false">IFERROR(alimentos[[#This Row],[Preço]],0)</f>
        <v>3.25</v>
      </c>
      <c r="L21" s="27" t="n">
        <f aca="false">SUMIFS(super1[Qtde],super1[Item],tab_alimentos[[#This Row],[Item]],super1[Bairro],mercado1)+SUMIFS(supercb[Qtde],supercb[Item],tab_alimentos[[#This Row],[Item]],supercb[Bairro],mercado1)</f>
        <v>10</v>
      </c>
      <c r="M21" s="27" t="n">
        <f aca="false">SUMIFS(super1[Qtde],super1[Item],tab_alimentos[[#This Row],[Item]],super1[Bairro],mercado2)+SUMIFS(supercb[Qtde],supercb[Item],tab_alimentos[[#This Row],[Item]],supercb[Bairro],mercado2)</f>
        <v>6</v>
      </c>
      <c r="N21" s="27" t="n">
        <f aca="false">SUMIFS(super1[Qtde],super1[Item],tab_alimentos[[#This Row],[Item]],super1[Bairro],mercado3)+SUMIFS(supercb[Qtde],supercb[Item],tab_alimentos[[#This Row],[Item]],supercb[Bairro],mercado3)</f>
        <v>1</v>
      </c>
      <c r="O21" s="27" t="n">
        <f aca="false">SUMIFS(super1[Qtde],super1[Item],tab_alimentos[[#This Row],[Item]],super1[Bairro],mercado4)+SUMIFS(supercb[Qtde],supercb[Item],tab_alimentos[[#This Row],[Item]],supercb[Bairro],mercado4)</f>
        <v>7</v>
      </c>
      <c r="P21" s="27" t="n">
        <f aca="false">SUMIFS(super1[Qtde],super1[Item],tab_alimentos[[#This Row],[Item]],super1[Bairro],mercado5)+SUMIFS(supercb[Qtde],supercb[Item],tab_alimentos[[#This Row],[Item]],supercb[Bairro],mercado5)</f>
        <v>13</v>
      </c>
      <c r="Q21" s="27" t="n">
        <f aca="false">SUMIFS(super1[Qtde],super1[Item],tab_alimentos[[#This Row],[Item]],super1[Bairro],mercado6)+SUMIFS(supercb[Qtde],supercb[Item],tab_alimentos[[#This Row],[Item]],supercb[Bairro],mercado6)</f>
        <v>4</v>
      </c>
      <c r="R21" s="27" t="n">
        <f aca="false">SUMIFS(super1[Qtde],super1[Item],tab_alimentos[[#This Row],[Item]],super1[Bairro],mercado7)+SUMIFS(supercb[Qtde],supercb[Item],tab_alimentos[[#This Row],[Item]],supercb[Bairro],mercado7)</f>
        <v>2</v>
      </c>
      <c r="S21" s="27" t="n">
        <f aca="false">SUMIFS(super1[Qtde],super1[Item],tab_alimentos[[#This Row],[Item]],super1[Bairro],mercado8)+SUMIFS(supercb[Qtde],supercb[Item],tab_alimentos[[#This Row],[Item]],supercb[Bairro],mercado8)</f>
        <v>9</v>
      </c>
      <c r="T21" s="27" t="n">
        <f aca="false">SUMIFS(super1[Qtde],super1[Item],tab_alimentos[[#This Row],[Item]],super1[Bairro],mercado9)+SUMIFS(supercb[Qtde],supercb[Item],tab_alimentos[[#This Row],[Item]],supercb[Bairro],mercado9)</f>
        <v>3</v>
      </c>
      <c r="U21" s="27" t="n">
        <f aca="false">SUMIFS(super1[Qtde],super1[Item],tab_alimentos[[#This Row],[Item]],super1[Bairro],mercado10)+SUMIFS(supercb[Qtde],supercb[Item],tab_alimentos[[#This Row],[Item]],supercb[Bairro],mercado10)</f>
        <v>35</v>
      </c>
      <c r="V21" s="27" t="n">
        <f aca="false">SUMIFS(super1[Qtde],super1[Item],tab_alimentos[[#This Row],[Item]],super1[Bairro],mercado11)+SUMIFS(supercb[Qtde],supercb[Item],tab_alimentos[[#This Row],[Item]],supercb[Bairro],mercado11)</f>
        <v>3</v>
      </c>
      <c r="W21" s="27" t="n">
        <f aca="false">SUMIFS(super1[Qtde],super1[Item],tab_alimentos[[#This Row],[Item]],super1[Bairro],mercado12)+SUMIFS(supercb[Qtde],supercb[Item],tab_alimentos[[#This Row],[Item]],supercb[Bairro],mercado12)</f>
        <v>0</v>
      </c>
      <c r="X21" s="27" t="n">
        <f aca="false">SUMIFS(super1[Qtde],super1[Item],tab_alimentos[[#This Row],[Item]],super1[Bairro],mercado13)+SUMIFS(supercb[Qtde],supercb[Item],tab_alimentos[[#This Row],[Item]],supercb[Bairro],mercado13)</f>
        <v>32</v>
      </c>
      <c r="Y21" s="27" t="n">
        <f aca="false">SUMIFS(super1[Qtde],super1[Item],tab_alimentos[[#This Row],[Item]],super1[Bairro],mercado14)+SUMIFS(supercb[Qtde],supercb[Item],tab_alimentos[[#This Row],[Item]],supercb[Bairro],mercado14)</f>
        <v>0</v>
      </c>
      <c r="Z21" s="27" t="n">
        <f aca="false">SUMIFS(super1[Qtde],super1[Item],tab_alimentos[[#This Row],[Item]],super1[Bairro],mercado15)+SUMIFS(supercb[Qtde],supercb[Item],tab_alimentos[[#This Row],[Item]],supercb[Bairro],mercado15)</f>
        <v>0</v>
      </c>
      <c r="AA21" s="27" t="n">
        <f aca="false">SUMIFS(super1[Qtde],super1[Item],tab_alimentos[[#This Row],[Item]],super1[Bairro],mercado16)+SUMIFS(supercb[Qtde],supercb[Item],tab_alimentos[[#This Row],[Item]],supercb[Bairro],mercado16)</f>
        <v>0</v>
      </c>
      <c r="AB21" s="27" t="n">
        <f aca="false">SUMIFS(super1[Qtde],super1[Item],tab_alimentos[[#This Row],[Item]],super1[Bairro],mercado17)+SUMIFS(supercb[Qtde],supercb[Item],tab_alimentos[[#This Row],[Item]],supercb[Bairro],mercado17)</f>
        <v>0</v>
      </c>
      <c r="AC21" s="27" t="n">
        <f aca="false">SUMIFS(super1[Qtde],super1[Item],tab_alimentos[[#This Row],[Item]],super1[Bairro],mercado18)+SUMIFS(supercb[Qtde],supercb[Item],tab_alimentos[[#This Row],[Item]],supercb[Bairro],mercado18)</f>
        <v>0</v>
      </c>
      <c r="AD21" s="27" t="n">
        <f aca="false">SUMIFS(super1[Qtde],super1[Item],tab_alimentos[[#This Row],[Item]],super1[Bairro],extras)+SUMIFS(supercb[Qtde],supercb[Item],tab_alimentos[[#This Row],[Item]],supercb[Bairro],extras)</f>
        <v>0</v>
      </c>
      <c r="AE21" s="27" t="n">
        <f aca="false">SUM(L21:AC21)</f>
        <v>125</v>
      </c>
      <c r="AF21" s="27" t="n">
        <f aca="false">IFERROR(AE21*K21,0)</f>
        <v>406.25</v>
      </c>
      <c r="AG21" s="28" t="n">
        <f aca="false">IFERROR(J21*AE21,0)</f>
        <v>125</v>
      </c>
      <c r="AH21" s="26" t="str">
        <f aca="false">higiene[[#This Row],[Item]]</f>
        <v>Algodão (50g)</v>
      </c>
      <c r="AI21" s="27" t="n">
        <f aca="false">IFERROR(higiene[[#This Row],[Kg equivalente]],0)</f>
        <v>1.08259469145697</v>
      </c>
      <c r="AJ21" s="27" t="n">
        <f aca="false">IFERROR(higiene[[#This Row],[Preço por produto]],0)</f>
        <v>3.586</v>
      </c>
      <c r="AK21" s="27" t="n">
        <f aca="false">SUMIFS(super1[Qtde],super1[Item],tab_higiene[[#This Row],[Item]],super1[Bairro],mercado1)+SUMIFS(supercb[Qtde],supercb[Item],tab_higiene[[#This Row],[Item]],supercb[Bairro],mercado1)</f>
        <v>0</v>
      </c>
      <c r="AL21" s="27" t="n">
        <f aca="false">SUMIFS(super1[Qtde],super1[Item],tab_higiene[[#This Row],[Item]],super1[Bairro],mercado2)+SUMIFS(supercb[Qtde],supercb[Item],tab_higiene[[#This Row],[Item]],supercb[Bairro],mercado2)</f>
        <v>0</v>
      </c>
      <c r="AM21" s="27" t="n">
        <f aca="false">SUMIFS(super1[Qtde],super1[Item],tab_higiene[[#This Row],[Item]],super1[Bairro],mercado3)+SUMIFS(supercb[Qtde],supercb[Item],tab_higiene[[#This Row],[Item]],supercb[Bairro],mercado3)</f>
        <v>0</v>
      </c>
      <c r="AN21" s="27" t="n">
        <f aca="false">SUMIFS(super1[Qtde],super1[Item],tab_higiene[[#This Row],[Item]],super1[Bairro],mercado4)+SUMIFS(supercb[Qtde],supercb[Item],tab_higiene[[#This Row],[Item]],supercb[Bairro],mercado4)</f>
        <v>0</v>
      </c>
      <c r="AO21" s="27" t="n">
        <f aca="false">SUMIFS(super1[Qtde],super1[Item],tab_higiene[[#This Row],[Item]],super1[Bairro],mercado5)+SUMIFS(supercb[Qtde],supercb[Item],tab_higiene[[#This Row],[Item]],supercb[Bairro],mercado5)</f>
        <v>0</v>
      </c>
      <c r="AP21" s="27" t="n">
        <f aca="false">SUMIFS(super1[Qtde],super1[Item],tab_higiene[[#This Row],[Item]],super1[Bairro],mercado6)+SUMIFS(supercb[Qtde],supercb[Item],tab_higiene[[#This Row],[Item]],supercb[Bairro],mercado6)</f>
        <v>0</v>
      </c>
      <c r="AQ21" s="27" t="n">
        <f aca="false">SUMIFS(super1[Qtde],super1[Item],tab_higiene[[#This Row],[Item]],super1[Bairro],mercado7)+SUMIFS(supercb[Qtde],supercb[Item],tab_higiene[[#This Row],[Item]],supercb[Bairro],mercado7)</f>
        <v>0</v>
      </c>
      <c r="AR21" s="27" t="n">
        <f aca="false">SUMIFS(super1[Qtde],super1[Item],tab_higiene[[#This Row],[Item]],super1[Bairro],mercado8)+SUMIFS(supercb[Qtde],supercb[Item],tab_higiene[[#This Row],[Item]],supercb[Bairro],mercado8)</f>
        <v>0</v>
      </c>
      <c r="AS21" s="27" t="n">
        <f aca="false">SUMIFS(super1[Qtde],super1[Item],tab_higiene[[#This Row],[Item]],super1[Bairro],mercado9)+SUMIFS(supercb[Qtde],supercb[Item],tab_higiene[[#This Row],[Item]],supercb[Bairro],mercado9)</f>
        <v>0</v>
      </c>
      <c r="AT21" s="27" t="n">
        <f aca="false">SUMIFS(super1[Qtde],super1[Item],tab_higiene[[#This Row],[Item]],super1[Bairro],mercado10)+SUMIFS(supercb[Qtde],supercb[Item],tab_higiene[[#This Row],[Item]],supercb[Bairro],mercado10)</f>
        <v>0</v>
      </c>
      <c r="AU21" s="27" t="n">
        <f aca="false">SUMIFS(super1[Qtde],super1[Item],tab_higiene[[#This Row],[Item]],super1[Bairro],mercado11)+SUMIFS(supercb[Qtde],supercb[Item],tab_higiene[[#This Row],[Item]],supercb[Bairro],mercado11)</f>
        <v>0</v>
      </c>
      <c r="AV21" s="27" t="n">
        <f aca="false">SUMIFS(super1[Qtde],super1[Item],tab_higiene[[#This Row],[Item]],super1[Bairro],mercado12)+SUMIFS(supercb[Qtde],supercb[Item],tab_higiene[[#This Row],[Item]],supercb[Bairro],mercado12)</f>
        <v>0</v>
      </c>
      <c r="AW21" s="27" t="n">
        <f aca="false">SUMIFS(super1[Qtde],super1[Item],tab_higiene[[#This Row],[Item]],super1[Bairro],mercado13)+SUMIFS(supercb[Qtde],supercb[Item],tab_higiene[[#This Row],[Item]],supercb[Bairro],mercado13)</f>
        <v>0</v>
      </c>
      <c r="AX21" s="27" t="n">
        <f aca="false">SUMIFS(super1[Qtde],super1[Item],tab_higiene[[#This Row],[Item]],super1[Bairro],mercado14)+SUMIFS(supercb[Qtde],supercb[Item],tab_higiene[[#This Row],[Item]],supercb[Bairro],mercado14)</f>
        <v>0</v>
      </c>
      <c r="AY21" s="27" t="n">
        <f aca="false">SUMIFS(super1[Qtde],super1[Item],tab_higiene[[#This Row],[Item]],super1[Bairro],mercado15)+SUMIFS(supercb[Qtde],supercb[Item],tab_higiene[[#This Row],[Item]],supercb[Bairro],mercado15)</f>
        <v>0</v>
      </c>
      <c r="AZ21" s="27" t="n">
        <f aca="false">SUMIFS(super1[Qtde],super1[Item],tab_higiene[[#This Row],[Item]],super1[Bairro],mercado16)+SUMIFS(supercb[Qtde],supercb[Item],tab_higiene[[#This Row],[Item]],supercb[Bairro],mercado16)</f>
        <v>0</v>
      </c>
      <c r="BA21" s="27" t="n">
        <f aca="false">SUMIFS(super1[Qtde],super1[Item],tab_higiene[[#This Row],[Item]],super1[Bairro],mercado17)+SUMIFS(supercb[Qtde],supercb[Item],tab_higiene[[#This Row],[Item]],supercb[Bairro],mercado17)</f>
        <v>0</v>
      </c>
      <c r="BB21" s="27" t="n">
        <f aca="false">SUMIFS(super1[Qtde],super1[Item],tab_higiene[[#This Row],[Item]],super1[Bairro],mercado18)+SUMIFS(supercb[Qtde],supercb[Item],tab_higiene[[#This Row],[Item]],supercb[Bairro],mercado18)</f>
        <v>0</v>
      </c>
      <c r="BC21" s="27" t="n">
        <f aca="false">SUMIFS(super1[Qtde],super1[Item],tab_higiene[[#This Row],[Item]],super1[Bairro],extras)+SUMIFS(supercb[Qtde],supercb[Item],tab_higiene[[#This Row],[Item]],supercb[Bairro],extras)</f>
        <v>0</v>
      </c>
      <c r="BD21" s="27" t="n">
        <f aca="false">SUM(AK21:BB21)</f>
        <v>0</v>
      </c>
      <c r="BE21" s="27" t="n">
        <f aca="false">IFERROR(BD21*AJ21,0)</f>
        <v>0</v>
      </c>
      <c r="BF21" s="28" t="n">
        <f aca="false">IFERROR(AI21*BD21,0)</f>
        <v>0</v>
      </c>
      <c r="BI21" s="22" t="str">
        <f aca="false">tab_alimentos[[#This Row],[Item]]</f>
        <v>Arroz (1kg)</v>
      </c>
      <c r="BJ21" s="22" t="n">
        <f aca="false">IFERROR(FIND(" (",BI21),0)</f>
        <v>6</v>
      </c>
      <c r="BK21" s="22" t="str">
        <f aca="false">IF(BJ21=0,BI21,LEFT(BI21,BJ21-1))</f>
        <v>Arroz</v>
      </c>
      <c r="BL21" s="22" t="n">
        <f aca="false">tab_alimentos[[#This Row],[kg]]</f>
        <v>125</v>
      </c>
      <c r="BM21" s="32" t="s">
        <v>281</v>
      </c>
      <c r="BN21" s="22" t="n">
        <f aca="false">SUMIF($BJ$5:$BJ$158,BM21,$BK$5:$BK$158)</f>
        <v>0</v>
      </c>
      <c r="BP21" s="22" t="str">
        <f aca="false">tab_higiene[[#This Row],[Item]]</f>
        <v>Algodão (50g)</v>
      </c>
      <c r="BQ21" s="22" t="n">
        <f aca="false">IFERROR(FIND(" (",BP21),0)</f>
        <v>8</v>
      </c>
      <c r="BR21" s="22" t="str">
        <f aca="false">IF(BQ21=0,BP21,LEFT(BP21,BQ21-1))</f>
        <v>Algodão</v>
      </c>
      <c r="BS21" s="22" t="n">
        <f aca="false">higiene[[#This Row],[Quantidade]]</f>
        <v>0.05</v>
      </c>
      <c r="BT21" s="22" t="n">
        <f aca="false">tab_higiene[Qtde (tot)]</f>
        <v>0</v>
      </c>
      <c r="BU21" s="22" t="n">
        <f aca="false">BS21*BT21</f>
        <v>0</v>
      </c>
      <c r="BV21" s="32" t="s">
        <v>139</v>
      </c>
      <c r="BW21" s="22" t="n">
        <f aca="false">SUMIF($BR$5:$BR$142,BV21,$BU$5:$BU$142)</f>
        <v>0</v>
      </c>
    </row>
    <row r="22" customFormat="false" ht="15" hidden="false" customHeight="false" outlineLevel="0" collapsed="false">
      <c r="A22" s="0" t="str">
        <f aca="false">tabMercados[[#This Row],[Supermercados]]</f>
        <v>Outros</v>
      </c>
      <c r="B22" s="34" t="n">
        <f aca="false">SUMPRODUCT(tab_alimentos[kg/embalagem],tab_alimentos[Qtde (S14)])</f>
        <v>0</v>
      </c>
      <c r="C22" s="34" t="n">
        <f aca="false">SUMPRODUCT(tab_alimentos[Preço],tab_alimentos[Qtde (S14)])</f>
        <v>0</v>
      </c>
      <c r="D22" s="34" t="n">
        <f aca="false">SUMPRODUCT(tab_higiene[kg/embalagem],tab_higiene[Qtde (S14)])</f>
        <v>0</v>
      </c>
      <c r="E22" s="34" t="n">
        <f aca="false">SUMPRODUCT(tab_higiene[Preço],tab_higiene[Qtde (S14)])</f>
        <v>0</v>
      </c>
      <c r="F22" s="34" t="n">
        <f aca="false">B22+D22</f>
        <v>0</v>
      </c>
      <c r="G22" s="34" t="n">
        <f aca="false">C22+E22</f>
        <v>0</v>
      </c>
      <c r="I22" s="26" t="str">
        <f aca="false">alimentos[[#This Row],[Item]]</f>
        <v>Arroz (2kg)</v>
      </c>
      <c r="J22" s="27" t="n">
        <f aca="false">IFERROR(alimentos[[#This Row],[kg/embalagem]],0)</f>
        <v>2</v>
      </c>
      <c r="K22" s="27" t="n">
        <f aca="false">IFERROR(alimentos[[#This Row],[Preço]],0)</f>
        <v>5.13</v>
      </c>
      <c r="L22" s="27" t="n">
        <f aca="false">SUMIFS(super1[Qtde],super1[Item],tab_alimentos[[#This Row],[Item]],super1[Bairro],mercado1)+SUMIFS(supercb[Qtde],supercb[Item],tab_alimentos[[#This Row],[Item]],supercb[Bairro],mercado1)</f>
        <v>6</v>
      </c>
      <c r="M22" s="27" t="n">
        <f aca="false">SUMIFS(super1[Qtde],super1[Item],tab_alimentos[[#This Row],[Item]],super1[Bairro],mercado2)+SUMIFS(supercb[Qtde],supercb[Item],tab_alimentos[[#This Row],[Item]],supercb[Bairro],mercado2)</f>
        <v>8</v>
      </c>
      <c r="N22" s="27" t="n">
        <f aca="false">SUMIFS(super1[Qtde],super1[Item],tab_alimentos[[#This Row],[Item]],super1[Bairro],mercado3)+SUMIFS(supercb[Qtde],supercb[Item],tab_alimentos[[#This Row],[Item]],supercb[Bairro],mercado3)</f>
        <v>3</v>
      </c>
      <c r="O22" s="27" t="n">
        <f aca="false">SUMIFS(super1[Qtde],super1[Item],tab_alimentos[[#This Row],[Item]],super1[Bairro],mercado4)+SUMIFS(supercb[Qtde],supercb[Item],tab_alimentos[[#This Row],[Item]],supercb[Bairro],mercado4)</f>
        <v>6</v>
      </c>
      <c r="P22" s="27" t="n">
        <f aca="false">SUMIFS(super1[Qtde],super1[Item],tab_alimentos[[#This Row],[Item]],super1[Bairro],mercado5)+SUMIFS(supercb[Qtde],supercb[Item],tab_alimentos[[#This Row],[Item]],supercb[Bairro],mercado5)</f>
        <v>14</v>
      </c>
      <c r="Q22" s="27" t="n">
        <f aca="false">SUMIFS(super1[Qtde],super1[Item],tab_alimentos[[#This Row],[Item]],super1[Bairro],mercado6)+SUMIFS(supercb[Qtde],supercb[Item],tab_alimentos[[#This Row],[Item]],supercb[Bairro],mercado6)</f>
        <v>6</v>
      </c>
      <c r="R22" s="27" t="n">
        <f aca="false">SUMIFS(super1[Qtde],super1[Item],tab_alimentos[[#This Row],[Item]],super1[Bairro],mercado7)+SUMIFS(supercb[Qtde],supercb[Item],tab_alimentos[[#This Row],[Item]],supercb[Bairro],mercado7)</f>
        <v>1</v>
      </c>
      <c r="S22" s="27" t="n">
        <f aca="false">SUMIFS(super1[Qtde],super1[Item],tab_alimentos[[#This Row],[Item]],super1[Bairro],mercado8)+SUMIFS(supercb[Qtde],supercb[Item],tab_alimentos[[#This Row],[Item]],supercb[Bairro],mercado8)</f>
        <v>8</v>
      </c>
      <c r="T22" s="27" t="n">
        <f aca="false">SUMIFS(super1[Qtde],super1[Item],tab_alimentos[[#This Row],[Item]],super1[Bairro],mercado9)+SUMIFS(supercb[Qtde],supercb[Item],tab_alimentos[[#This Row],[Item]],supercb[Bairro],mercado9)</f>
        <v>6</v>
      </c>
      <c r="U22" s="27" t="n">
        <f aca="false">SUMIFS(super1[Qtde],super1[Item],tab_alimentos[[#This Row],[Item]],super1[Bairro],mercado10)+SUMIFS(supercb[Qtde],supercb[Item],tab_alimentos[[#This Row],[Item]],supercb[Bairro],mercado10)</f>
        <v>5</v>
      </c>
      <c r="V22" s="27" t="n">
        <f aca="false">SUMIFS(super1[Qtde],super1[Item],tab_alimentos[[#This Row],[Item]],super1[Bairro],mercado11)+SUMIFS(supercb[Qtde],supercb[Item],tab_alimentos[[#This Row],[Item]],supercb[Bairro],mercado11)</f>
        <v>2</v>
      </c>
      <c r="W22" s="27" t="n">
        <f aca="false">SUMIFS(super1[Qtde],super1[Item],tab_alimentos[[#This Row],[Item]],super1[Bairro],mercado12)+SUMIFS(supercb[Qtde],supercb[Item],tab_alimentos[[#This Row],[Item]],supercb[Bairro],mercado12)</f>
        <v>0</v>
      </c>
      <c r="X22" s="27" t="n">
        <f aca="false">SUMIFS(super1[Qtde],super1[Item],tab_alimentos[[#This Row],[Item]],super1[Bairro],mercado13)+SUMIFS(supercb[Qtde],supercb[Item],tab_alimentos[[#This Row],[Item]],supercb[Bairro],mercado13)</f>
        <v>15</v>
      </c>
      <c r="Y22" s="27" t="n">
        <f aca="false">SUMIFS(super1[Qtde],super1[Item],tab_alimentos[[#This Row],[Item]],super1[Bairro],mercado14)+SUMIFS(supercb[Qtde],supercb[Item],tab_alimentos[[#This Row],[Item]],supercb[Bairro],mercado14)</f>
        <v>0</v>
      </c>
      <c r="Z22" s="27" t="n">
        <f aca="false">SUMIFS(super1[Qtde],super1[Item],tab_alimentos[[#This Row],[Item]],super1[Bairro],mercado15)+SUMIFS(supercb[Qtde],supercb[Item],tab_alimentos[[#This Row],[Item]],supercb[Bairro],mercado15)</f>
        <v>0</v>
      </c>
      <c r="AA22" s="27" t="n">
        <f aca="false">SUMIFS(super1[Qtde],super1[Item],tab_alimentos[[#This Row],[Item]],super1[Bairro],mercado16)+SUMIFS(supercb[Qtde],supercb[Item],tab_alimentos[[#This Row],[Item]],supercb[Bairro],mercado16)</f>
        <v>0</v>
      </c>
      <c r="AB22" s="27" t="n">
        <f aca="false">SUMIFS(super1[Qtde],super1[Item],tab_alimentos[[#This Row],[Item]],super1[Bairro],mercado17)+SUMIFS(supercb[Qtde],supercb[Item],tab_alimentos[[#This Row],[Item]],supercb[Bairro],mercado17)</f>
        <v>0</v>
      </c>
      <c r="AC22" s="27" t="n">
        <f aca="false">SUMIFS(super1[Qtde],super1[Item],tab_alimentos[[#This Row],[Item]],super1[Bairro],mercado18)+SUMIFS(supercb[Qtde],supercb[Item],tab_alimentos[[#This Row],[Item]],supercb[Bairro],mercado18)</f>
        <v>0</v>
      </c>
      <c r="AD22" s="27" t="n">
        <f aca="false">SUMIFS(super1[Qtde],super1[Item],tab_alimentos[[#This Row],[Item]],super1[Bairro],extras)+SUMIFS(supercb[Qtde],supercb[Item],tab_alimentos[[#This Row],[Item]],supercb[Bairro],extras)</f>
        <v>0</v>
      </c>
      <c r="AE22" s="27" t="n">
        <f aca="false">SUM(L22:AC22)</f>
        <v>80</v>
      </c>
      <c r="AF22" s="27" t="n">
        <f aca="false">IFERROR(AE22*K22,0)</f>
        <v>410.4</v>
      </c>
      <c r="AG22" s="28" t="n">
        <f aca="false">IFERROR(J22*AE22,0)</f>
        <v>160</v>
      </c>
      <c r="AH22" s="26" t="str">
        <f aca="false">higiene[[#This Row],[Item]]</f>
        <v>Alvejante (1L)</v>
      </c>
      <c r="AI22" s="27" t="n">
        <f aca="false">IFERROR(higiene[[#This Row],[Kg equivalente]],0)</f>
        <v>1.89891818440165</v>
      </c>
      <c r="AJ22" s="27" t="n">
        <f aca="false">IFERROR(higiene[[#This Row],[Preço por produto]],0)</f>
        <v>6.29</v>
      </c>
      <c r="AK22" s="27" t="n">
        <f aca="false">SUMIFS(super1[Qtde],super1[Item],tab_higiene[[#This Row],[Item]],super1[Bairro],mercado1)+SUMIFS(supercb[Qtde],supercb[Item],tab_higiene[[#This Row],[Item]],supercb[Bairro],mercado1)</f>
        <v>0</v>
      </c>
      <c r="AL22" s="27" t="n">
        <f aca="false">SUMIFS(super1[Qtde],super1[Item],tab_higiene[[#This Row],[Item]],super1[Bairro],mercado2)+SUMIFS(supercb[Qtde],supercb[Item],tab_higiene[[#This Row],[Item]],supercb[Bairro],mercado2)</f>
        <v>0</v>
      </c>
      <c r="AM22" s="27" t="n">
        <f aca="false">SUMIFS(super1[Qtde],super1[Item],tab_higiene[[#This Row],[Item]],super1[Bairro],mercado3)+SUMIFS(supercb[Qtde],supercb[Item],tab_higiene[[#This Row],[Item]],supercb[Bairro],mercado3)</f>
        <v>0</v>
      </c>
      <c r="AN22" s="27" t="n">
        <f aca="false">SUMIFS(super1[Qtde],super1[Item],tab_higiene[[#This Row],[Item]],super1[Bairro],mercado4)+SUMIFS(supercb[Qtde],supercb[Item],tab_higiene[[#This Row],[Item]],supercb[Bairro],mercado4)</f>
        <v>0</v>
      </c>
      <c r="AO22" s="27" t="n">
        <f aca="false">SUMIFS(super1[Qtde],super1[Item],tab_higiene[[#This Row],[Item]],super1[Bairro],mercado5)+SUMIFS(supercb[Qtde],supercb[Item],tab_higiene[[#This Row],[Item]],supercb[Bairro],mercado5)</f>
        <v>0</v>
      </c>
      <c r="AP22" s="27" t="n">
        <f aca="false">SUMIFS(super1[Qtde],super1[Item],tab_higiene[[#This Row],[Item]],super1[Bairro],mercado6)+SUMIFS(supercb[Qtde],supercb[Item],tab_higiene[[#This Row],[Item]],supercb[Bairro],mercado6)</f>
        <v>0</v>
      </c>
      <c r="AQ22" s="27" t="n">
        <f aca="false">SUMIFS(super1[Qtde],super1[Item],tab_higiene[[#This Row],[Item]],super1[Bairro],mercado7)+SUMIFS(supercb[Qtde],supercb[Item],tab_higiene[[#This Row],[Item]],supercb[Bairro],mercado7)</f>
        <v>0</v>
      </c>
      <c r="AR22" s="27" t="n">
        <f aca="false">SUMIFS(super1[Qtde],super1[Item],tab_higiene[[#This Row],[Item]],super1[Bairro],mercado8)+SUMIFS(supercb[Qtde],supercb[Item],tab_higiene[[#This Row],[Item]],supercb[Bairro],mercado8)</f>
        <v>0</v>
      </c>
      <c r="AS22" s="27" t="n">
        <f aca="false">SUMIFS(super1[Qtde],super1[Item],tab_higiene[[#This Row],[Item]],super1[Bairro],mercado9)+SUMIFS(supercb[Qtde],supercb[Item],tab_higiene[[#This Row],[Item]],supercb[Bairro],mercado9)</f>
        <v>0</v>
      </c>
      <c r="AT22" s="27" t="n">
        <f aca="false">SUMIFS(super1[Qtde],super1[Item],tab_higiene[[#This Row],[Item]],super1[Bairro],mercado10)+SUMIFS(supercb[Qtde],supercb[Item],tab_higiene[[#This Row],[Item]],supercb[Bairro],mercado10)</f>
        <v>0</v>
      </c>
      <c r="AU22" s="27" t="n">
        <f aca="false">SUMIFS(super1[Qtde],super1[Item],tab_higiene[[#This Row],[Item]],super1[Bairro],mercado11)+SUMIFS(supercb[Qtde],supercb[Item],tab_higiene[[#This Row],[Item]],supercb[Bairro],mercado11)</f>
        <v>0</v>
      </c>
      <c r="AV22" s="27" t="n">
        <f aca="false">SUMIFS(super1[Qtde],super1[Item],tab_higiene[[#This Row],[Item]],super1[Bairro],mercado12)+SUMIFS(supercb[Qtde],supercb[Item],tab_higiene[[#This Row],[Item]],supercb[Bairro],mercado12)</f>
        <v>0</v>
      </c>
      <c r="AW22" s="27" t="n">
        <f aca="false">SUMIFS(super1[Qtde],super1[Item],tab_higiene[[#This Row],[Item]],super1[Bairro],mercado13)+SUMIFS(supercb[Qtde],supercb[Item],tab_higiene[[#This Row],[Item]],supercb[Bairro],mercado13)</f>
        <v>0</v>
      </c>
      <c r="AX22" s="27" t="n">
        <f aca="false">SUMIFS(super1[Qtde],super1[Item],tab_higiene[[#This Row],[Item]],super1[Bairro],mercado14)+SUMIFS(supercb[Qtde],supercb[Item],tab_higiene[[#This Row],[Item]],supercb[Bairro],mercado14)</f>
        <v>0</v>
      </c>
      <c r="AY22" s="27" t="n">
        <f aca="false">SUMIFS(super1[Qtde],super1[Item],tab_higiene[[#This Row],[Item]],super1[Bairro],mercado15)+SUMIFS(supercb[Qtde],supercb[Item],tab_higiene[[#This Row],[Item]],supercb[Bairro],mercado15)</f>
        <v>0</v>
      </c>
      <c r="AZ22" s="27" t="n">
        <f aca="false">SUMIFS(super1[Qtde],super1[Item],tab_higiene[[#This Row],[Item]],super1[Bairro],mercado16)+SUMIFS(supercb[Qtde],supercb[Item],tab_higiene[[#This Row],[Item]],supercb[Bairro],mercado16)</f>
        <v>0</v>
      </c>
      <c r="BA22" s="27" t="n">
        <f aca="false">SUMIFS(super1[Qtde],super1[Item],tab_higiene[[#This Row],[Item]],super1[Bairro],mercado17)+SUMIFS(supercb[Qtde],supercb[Item],tab_higiene[[#This Row],[Item]],supercb[Bairro],mercado17)</f>
        <v>0</v>
      </c>
      <c r="BB22" s="27" t="n">
        <f aca="false">SUMIFS(super1[Qtde],super1[Item],tab_higiene[[#This Row],[Item]],super1[Bairro],mercado18)+SUMIFS(supercb[Qtde],supercb[Item],tab_higiene[[#This Row],[Item]],supercb[Bairro],mercado18)</f>
        <v>0</v>
      </c>
      <c r="BC22" s="27" t="n">
        <f aca="false">SUMIFS(super1[Qtde],super1[Item],tab_higiene[[#This Row],[Item]],super1[Bairro],extras)+SUMIFS(supercb[Qtde],supercb[Item],tab_higiene[[#This Row],[Item]],supercb[Bairro],extras)</f>
        <v>0</v>
      </c>
      <c r="BD22" s="27" t="n">
        <f aca="false">SUM(AK22:BB22)</f>
        <v>0</v>
      </c>
      <c r="BE22" s="27" t="n">
        <f aca="false">IFERROR(BD22*AJ22,0)</f>
        <v>0</v>
      </c>
      <c r="BF22" s="28" t="n">
        <f aca="false">IFERROR(AI22*BD22,0)</f>
        <v>0</v>
      </c>
      <c r="BI22" s="22" t="str">
        <f aca="false">tab_alimentos[[#This Row],[Item]]</f>
        <v>Arroz (2kg)</v>
      </c>
      <c r="BJ22" s="22" t="n">
        <f aca="false">IFERROR(FIND(" (",BI22),0)</f>
        <v>6</v>
      </c>
      <c r="BK22" s="22" t="str">
        <f aca="false">IF(BJ22=0,BI22,LEFT(BI22,BJ22-1))</f>
        <v>Arroz</v>
      </c>
      <c r="BL22" s="22" t="n">
        <f aca="false">tab_alimentos[[#This Row],[kg]]</f>
        <v>160</v>
      </c>
      <c r="BM22" s="32" t="s">
        <v>282</v>
      </c>
      <c r="BN22" s="22" t="n">
        <f aca="false">SUMIF($BJ$5:$BJ$158,BM22,$BK$5:$BK$158)</f>
        <v>0</v>
      </c>
      <c r="BP22" s="22" t="str">
        <f aca="false">tab_higiene[[#This Row],[Item]]</f>
        <v>Alvejante (1L)</v>
      </c>
      <c r="BQ22" s="22" t="n">
        <f aca="false">IFERROR(FIND(" (",BP22),0)</f>
        <v>10</v>
      </c>
      <c r="BR22" s="22" t="str">
        <f aca="false">IF(BQ22=0,BP22,LEFT(BP22,BQ22-1))</f>
        <v>Alvejante</v>
      </c>
      <c r="BS22" s="22" t="n">
        <f aca="false">higiene[[#This Row],[Quantidade]]</f>
        <v>1</v>
      </c>
      <c r="BT22" s="22" t="n">
        <f aca="false">tab_higiene[Qtde (tot)]</f>
        <v>0</v>
      </c>
      <c r="BU22" s="22" t="n">
        <f aca="false">BS22*BT22</f>
        <v>0</v>
      </c>
      <c r="BV22" s="32" t="s">
        <v>27</v>
      </c>
      <c r="BW22" s="22" t="n">
        <f aca="false">SUMIF($BR$5:$BR$142,BV22,$BU$5:$BU$142)</f>
        <v>3240</v>
      </c>
    </row>
    <row r="23" customFormat="false" ht="15" hidden="false" customHeight="false" outlineLevel="0" collapsed="false">
      <c r="A23" s="0" t="n">
        <f aca="false">tabMercados[[#This Row],[Supermercados]]</f>
        <v>0</v>
      </c>
      <c r="B23" s="34" t="n">
        <f aca="false">SUMPRODUCT(tab_alimentos[kg/embalagem],tab_alimentos[Qtde (S15)])</f>
        <v>0</v>
      </c>
      <c r="C23" s="34" t="n">
        <f aca="false">SUMPRODUCT(tab_alimentos[Preço],tab_alimentos[Qtde (S15)])</f>
        <v>0</v>
      </c>
      <c r="D23" s="34" t="n">
        <f aca="false">SUMPRODUCT(tab_higiene[kg/embalagem],tab_higiene[Qtde (S15)])</f>
        <v>0</v>
      </c>
      <c r="E23" s="34" t="n">
        <f aca="false">SUMPRODUCT(tab_higiene[Preço],tab_higiene[Qtde (S15)])</f>
        <v>0</v>
      </c>
      <c r="F23" s="34" t="n">
        <f aca="false">B23+D23</f>
        <v>0</v>
      </c>
      <c r="G23" s="34" t="n">
        <f aca="false">C23+E23</f>
        <v>0</v>
      </c>
      <c r="I23" s="26" t="str">
        <f aca="false">alimentos[[#This Row],[Item]]</f>
        <v>Arroz (5kg)</v>
      </c>
      <c r="J23" s="27" t="n">
        <f aca="false">IFERROR(alimentos[[#This Row],[kg/embalagem]],0)</f>
        <v>5</v>
      </c>
      <c r="K23" s="27" t="n">
        <f aca="false">IFERROR(alimentos[[#This Row],[Preço]],0)</f>
        <v>11.3816666666667</v>
      </c>
      <c r="L23" s="27" t="n">
        <f aca="false">SUMIFS(super1[Qtde],super1[Item],tab_alimentos[[#This Row],[Item]],super1[Bairro],mercado1)+SUMIFS(supercb[Qtde],supercb[Item],tab_alimentos[[#This Row],[Item]],supercb[Bairro],mercado1)</f>
        <v>5</v>
      </c>
      <c r="M23" s="27" t="n">
        <f aca="false">SUMIFS(super1[Qtde],super1[Item],tab_alimentos[[#This Row],[Item]],super1[Bairro],mercado2)+SUMIFS(supercb[Qtde],supercb[Item],tab_alimentos[[#This Row],[Item]],supercb[Bairro],mercado2)</f>
        <v>8</v>
      </c>
      <c r="N23" s="27" t="n">
        <f aca="false">SUMIFS(super1[Qtde],super1[Item],tab_alimentos[[#This Row],[Item]],super1[Bairro],mercado3)+SUMIFS(supercb[Qtde],supercb[Item],tab_alimentos[[#This Row],[Item]],supercb[Bairro],mercado3)</f>
        <v>2</v>
      </c>
      <c r="O23" s="27" t="n">
        <f aca="false">SUMIFS(super1[Qtde],super1[Item],tab_alimentos[[#This Row],[Item]],super1[Bairro],mercado4)+SUMIFS(supercb[Qtde],supercb[Item],tab_alimentos[[#This Row],[Item]],supercb[Bairro],mercado4)</f>
        <v>2</v>
      </c>
      <c r="P23" s="27" t="n">
        <f aca="false">SUMIFS(super1[Qtde],super1[Item],tab_alimentos[[#This Row],[Item]],super1[Bairro],mercado5)+SUMIFS(supercb[Qtde],supercb[Item],tab_alimentos[[#This Row],[Item]],supercb[Bairro],mercado5)</f>
        <v>13</v>
      </c>
      <c r="Q23" s="27" t="n">
        <f aca="false">SUMIFS(super1[Qtde],super1[Item],tab_alimentos[[#This Row],[Item]],super1[Bairro],mercado6)+SUMIFS(supercb[Qtde],supercb[Item],tab_alimentos[[#This Row],[Item]],supercb[Bairro],mercado6)</f>
        <v>3</v>
      </c>
      <c r="R23" s="27" t="n">
        <f aca="false">SUMIFS(super1[Qtde],super1[Item],tab_alimentos[[#This Row],[Item]],super1[Bairro],mercado7)+SUMIFS(supercb[Qtde],supercb[Item],tab_alimentos[[#This Row],[Item]],supercb[Bairro],mercado7)</f>
        <v>4</v>
      </c>
      <c r="S23" s="27" t="n">
        <f aca="false">SUMIFS(super1[Qtde],super1[Item],tab_alimentos[[#This Row],[Item]],super1[Bairro],mercado8)+SUMIFS(supercb[Qtde],supercb[Item],tab_alimentos[[#This Row],[Item]],supercb[Bairro],mercado8)</f>
        <v>10</v>
      </c>
      <c r="T23" s="27" t="n">
        <f aca="false">SUMIFS(super1[Qtde],super1[Item],tab_alimentos[[#This Row],[Item]],super1[Bairro],mercado9)+SUMIFS(supercb[Qtde],supercb[Item],tab_alimentos[[#This Row],[Item]],supercb[Bairro],mercado9)</f>
        <v>13</v>
      </c>
      <c r="U23" s="27" t="n">
        <f aca="false">SUMIFS(super1[Qtde],super1[Item],tab_alimentos[[#This Row],[Item]],super1[Bairro],mercado10)+SUMIFS(supercb[Qtde],supercb[Item],tab_alimentos[[#This Row],[Item]],supercb[Bairro],mercado10)</f>
        <v>44</v>
      </c>
      <c r="V23" s="27" t="n">
        <f aca="false">SUMIFS(super1[Qtde],super1[Item],tab_alimentos[[#This Row],[Item]],super1[Bairro],mercado11)+SUMIFS(supercb[Qtde],supercb[Item],tab_alimentos[[#This Row],[Item]],supercb[Bairro],mercado11)</f>
        <v>7</v>
      </c>
      <c r="W23" s="27" t="n">
        <f aca="false">SUMIFS(super1[Qtde],super1[Item],tab_alimentos[[#This Row],[Item]],super1[Bairro],mercado12)+SUMIFS(supercb[Qtde],supercb[Item],tab_alimentos[[#This Row],[Item]],supercb[Bairro],mercado12)</f>
        <v>0</v>
      </c>
      <c r="X23" s="27" t="n">
        <f aca="false">SUMIFS(super1[Qtde],super1[Item],tab_alimentos[[#This Row],[Item]],super1[Bairro],mercado13)+SUMIFS(supercb[Qtde],supercb[Item],tab_alimentos[[#This Row],[Item]],supercb[Bairro],mercado13)</f>
        <v>35</v>
      </c>
      <c r="Y23" s="27" t="n">
        <f aca="false">SUMIFS(super1[Qtde],super1[Item],tab_alimentos[[#This Row],[Item]],super1[Bairro],mercado14)+SUMIFS(supercb[Qtde],supercb[Item],tab_alimentos[[#This Row],[Item]],supercb[Bairro],mercado14)</f>
        <v>0</v>
      </c>
      <c r="Z23" s="27" t="n">
        <f aca="false">SUMIFS(super1[Qtde],super1[Item],tab_alimentos[[#This Row],[Item]],super1[Bairro],mercado15)+SUMIFS(supercb[Qtde],supercb[Item],tab_alimentos[[#This Row],[Item]],supercb[Bairro],mercado15)</f>
        <v>0</v>
      </c>
      <c r="AA23" s="27" t="n">
        <f aca="false">SUMIFS(super1[Qtde],super1[Item],tab_alimentos[[#This Row],[Item]],super1[Bairro],mercado16)+SUMIFS(supercb[Qtde],supercb[Item],tab_alimentos[[#This Row],[Item]],supercb[Bairro],mercado16)</f>
        <v>0</v>
      </c>
      <c r="AB23" s="27" t="n">
        <f aca="false">SUMIFS(super1[Qtde],super1[Item],tab_alimentos[[#This Row],[Item]],super1[Bairro],mercado17)+SUMIFS(supercb[Qtde],supercb[Item],tab_alimentos[[#This Row],[Item]],supercb[Bairro],mercado17)</f>
        <v>0</v>
      </c>
      <c r="AC23" s="27" t="n">
        <f aca="false">SUMIFS(super1[Qtde],super1[Item],tab_alimentos[[#This Row],[Item]],super1[Bairro],mercado18)+SUMIFS(supercb[Qtde],supercb[Item],tab_alimentos[[#This Row],[Item]],supercb[Bairro],mercado18)</f>
        <v>0</v>
      </c>
      <c r="AD23" s="27" t="n">
        <f aca="false">SUMIFS(super1[Qtde],super1[Item],tab_alimentos[[#This Row],[Item]],super1[Bairro],extras)+SUMIFS(supercb[Qtde],supercb[Item],tab_alimentos[[#This Row],[Item]],supercb[Bairro],extras)</f>
        <v>0</v>
      </c>
      <c r="AE23" s="27" t="n">
        <f aca="false">SUM(L23:AC23)</f>
        <v>146</v>
      </c>
      <c r="AF23" s="27" t="n">
        <f aca="false">IFERROR(AE23*K23,0)</f>
        <v>1661.72333333333</v>
      </c>
      <c r="AG23" s="28" t="n">
        <f aca="false">IFERROR(J23*AE23,0)</f>
        <v>730</v>
      </c>
      <c r="AH23" s="26" t="str">
        <f aca="false">higiene[[#This Row],[Item]]</f>
        <v>Alvejante (2L)</v>
      </c>
      <c r="AI23" s="27" t="n">
        <f aca="false">IFERROR(higiene[[#This Row],[Kg equivalente]],0)</f>
        <v>2.7315439956226</v>
      </c>
      <c r="AJ23" s="27" t="n">
        <f aca="false">IFERROR(higiene[[#This Row],[Preço por produto]],0)</f>
        <v>9.048</v>
      </c>
      <c r="AK23" s="27" t="n">
        <f aca="false">SUMIFS(super1[Qtde],super1[Item],tab_higiene[[#This Row],[Item]],super1[Bairro],mercado1)+SUMIFS(supercb[Qtde],supercb[Item],tab_higiene[[#This Row],[Item]],supercb[Bairro],mercado1)</f>
        <v>0</v>
      </c>
      <c r="AL23" s="27" t="n">
        <f aca="false">SUMIFS(super1[Qtde],super1[Item],tab_higiene[[#This Row],[Item]],super1[Bairro],mercado2)+SUMIFS(supercb[Qtde],supercb[Item],tab_higiene[[#This Row],[Item]],supercb[Bairro],mercado2)</f>
        <v>0</v>
      </c>
      <c r="AM23" s="27" t="n">
        <f aca="false">SUMIFS(super1[Qtde],super1[Item],tab_higiene[[#This Row],[Item]],super1[Bairro],mercado3)+SUMIFS(supercb[Qtde],supercb[Item],tab_higiene[[#This Row],[Item]],supercb[Bairro],mercado3)</f>
        <v>0</v>
      </c>
      <c r="AN23" s="27" t="n">
        <f aca="false">SUMIFS(super1[Qtde],super1[Item],tab_higiene[[#This Row],[Item]],super1[Bairro],mercado4)+SUMIFS(supercb[Qtde],supercb[Item],tab_higiene[[#This Row],[Item]],supercb[Bairro],mercado4)</f>
        <v>0</v>
      </c>
      <c r="AO23" s="27" t="n">
        <f aca="false">SUMIFS(super1[Qtde],super1[Item],tab_higiene[[#This Row],[Item]],super1[Bairro],mercado5)+SUMIFS(supercb[Qtde],supercb[Item],tab_higiene[[#This Row],[Item]],supercb[Bairro],mercado5)</f>
        <v>0</v>
      </c>
      <c r="AP23" s="27" t="n">
        <f aca="false">SUMIFS(super1[Qtde],super1[Item],tab_higiene[[#This Row],[Item]],super1[Bairro],mercado6)+SUMIFS(supercb[Qtde],supercb[Item],tab_higiene[[#This Row],[Item]],supercb[Bairro],mercado6)</f>
        <v>0</v>
      </c>
      <c r="AQ23" s="27" t="n">
        <f aca="false">SUMIFS(super1[Qtde],super1[Item],tab_higiene[[#This Row],[Item]],super1[Bairro],mercado7)+SUMIFS(supercb[Qtde],supercb[Item],tab_higiene[[#This Row],[Item]],supercb[Bairro],mercado7)</f>
        <v>0</v>
      </c>
      <c r="AR23" s="27" t="n">
        <f aca="false">SUMIFS(super1[Qtde],super1[Item],tab_higiene[[#This Row],[Item]],super1[Bairro],mercado8)+SUMIFS(supercb[Qtde],supercb[Item],tab_higiene[[#This Row],[Item]],supercb[Bairro],mercado8)</f>
        <v>0</v>
      </c>
      <c r="AS23" s="27" t="n">
        <f aca="false">SUMIFS(super1[Qtde],super1[Item],tab_higiene[[#This Row],[Item]],super1[Bairro],mercado9)+SUMIFS(supercb[Qtde],supercb[Item],tab_higiene[[#This Row],[Item]],supercb[Bairro],mercado9)</f>
        <v>0</v>
      </c>
      <c r="AT23" s="27" t="n">
        <f aca="false">SUMIFS(super1[Qtde],super1[Item],tab_higiene[[#This Row],[Item]],super1[Bairro],mercado10)+SUMIFS(supercb[Qtde],supercb[Item],tab_higiene[[#This Row],[Item]],supercb[Bairro],mercado10)</f>
        <v>0</v>
      </c>
      <c r="AU23" s="27" t="n">
        <f aca="false">SUMIFS(super1[Qtde],super1[Item],tab_higiene[[#This Row],[Item]],super1[Bairro],mercado11)+SUMIFS(supercb[Qtde],supercb[Item],tab_higiene[[#This Row],[Item]],supercb[Bairro],mercado11)</f>
        <v>0</v>
      </c>
      <c r="AV23" s="27" t="n">
        <f aca="false">SUMIFS(super1[Qtde],super1[Item],tab_higiene[[#This Row],[Item]],super1[Bairro],mercado12)+SUMIFS(supercb[Qtde],supercb[Item],tab_higiene[[#This Row],[Item]],supercb[Bairro],mercado12)</f>
        <v>0</v>
      </c>
      <c r="AW23" s="27" t="n">
        <f aca="false">SUMIFS(super1[Qtde],super1[Item],tab_higiene[[#This Row],[Item]],super1[Bairro],mercado13)+SUMIFS(supercb[Qtde],supercb[Item],tab_higiene[[#This Row],[Item]],supercb[Bairro],mercado13)</f>
        <v>0</v>
      </c>
      <c r="AX23" s="27" t="n">
        <f aca="false">SUMIFS(super1[Qtde],super1[Item],tab_higiene[[#This Row],[Item]],super1[Bairro],mercado14)+SUMIFS(supercb[Qtde],supercb[Item],tab_higiene[[#This Row],[Item]],supercb[Bairro],mercado14)</f>
        <v>0</v>
      </c>
      <c r="AY23" s="27" t="n">
        <f aca="false">SUMIFS(super1[Qtde],super1[Item],tab_higiene[[#This Row],[Item]],super1[Bairro],mercado15)+SUMIFS(supercb[Qtde],supercb[Item],tab_higiene[[#This Row],[Item]],supercb[Bairro],mercado15)</f>
        <v>0</v>
      </c>
      <c r="AZ23" s="27" t="n">
        <f aca="false">SUMIFS(super1[Qtde],super1[Item],tab_higiene[[#This Row],[Item]],super1[Bairro],mercado16)+SUMIFS(supercb[Qtde],supercb[Item],tab_higiene[[#This Row],[Item]],supercb[Bairro],mercado16)</f>
        <v>0</v>
      </c>
      <c r="BA23" s="27" t="n">
        <f aca="false">SUMIFS(super1[Qtde],super1[Item],tab_higiene[[#This Row],[Item]],super1[Bairro],mercado17)+SUMIFS(supercb[Qtde],supercb[Item],tab_higiene[[#This Row],[Item]],supercb[Bairro],mercado17)</f>
        <v>0</v>
      </c>
      <c r="BB23" s="27" t="n">
        <f aca="false">SUMIFS(super1[Qtde],super1[Item],tab_higiene[[#This Row],[Item]],super1[Bairro],mercado18)+SUMIFS(supercb[Qtde],supercb[Item],tab_higiene[[#This Row],[Item]],supercb[Bairro],mercado18)</f>
        <v>0</v>
      </c>
      <c r="BC23" s="27" t="n">
        <f aca="false">SUMIFS(super1[Qtde],super1[Item],tab_higiene[[#This Row],[Item]],super1[Bairro],extras)+SUMIFS(supercb[Qtde],supercb[Item],tab_higiene[[#This Row],[Item]],supercb[Bairro],extras)</f>
        <v>0</v>
      </c>
      <c r="BD23" s="27" t="n">
        <f aca="false">SUM(AK23:BB23)</f>
        <v>0</v>
      </c>
      <c r="BE23" s="27" t="n">
        <f aca="false">IFERROR(BD23*AJ23,0)</f>
        <v>0</v>
      </c>
      <c r="BF23" s="28" t="n">
        <f aca="false">IFERROR(AI23*BD23,0)</f>
        <v>0</v>
      </c>
      <c r="BI23" s="22" t="str">
        <f aca="false">tab_alimentos[[#This Row],[Item]]</f>
        <v>Arroz (5kg)</v>
      </c>
      <c r="BJ23" s="22" t="n">
        <f aca="false">IFERROR(FIND(" (",BI23),0)</f>
        <v>6</v>
      </c>
      <c r="BK23" s="22" t="str">
        <f aca="false">IF(BJ23=0,BI23,LEFT(BI23,BJ23-1))</f>
        <v>Arroz</v>
      </c>
      <c r="BL23" s="22" t="n">
        <f aca="false">tab_alimentos[[#This Row],[kg]]</f>
        <v>730</v>
      </c>
      <c r="BM23" s="32" t="s">
        <v>283</v>
      </c>
      <c r="BN23" s="22" t="n">
        <f aca="false">SUMIF($BJ$5:$BJ$158,BM23,$BK$5:$BK$158)</f>
        <v>0</v>
      </c>
      <c r="BP23" s="22" t="str">
        <f aca="false">tab_higiene[[#This Row],[Item]]</f>
        <v>Alvejante (2L)</v>
      </c>
      <c r="BQ23" s="22" t="n">
        <f aca="false">IFERROR(FIND(" (",BP23),0)</f>
        <v>10</v>
      </c>
      <c r="BR23" s="22" t="str">
        <f aca="false">IF(BQ23=0,BP23,LEFT(BP23,BQ23-1))</f>
        <v>Alvejante</v>
      </c>
      <c r="BS23" s="22" t="n">
        <f aca="false">higiene[[#This Row],[Quantidade]]</f>
        <v>2</v>
      </c>
      <c r="BT23" s="22" t="n">
        <f aca="false">tab_higiene[Qtde (tot)]</f>
        <v>0</v>
      </c>
      <c r="BU23" s="22" t="n">
        <f aca="false">BS23*BT23</f>
        <v>0</v>
      </c>
      <c r="BV23" s="32" t="s">
        <v>284</v>
      </c>
      <c r="BW23" s="22" t="n">
        <f aca="false">SUMIF($BR$5:$BR$142,BV23,$BU$5:$BU$142)</f>
        <v>0</v>
      </c>
    </row>
    <row r="24" customFormat="false" ht="15" hidden="false" customHeight="false" outlineLevel="0" collapsed="false">
      <c r="A24" s="0" t="n">
        <f aca="false">tabMercados[[#This Row],[Supermercados]]</f>
        <v>0</v>
      </c>
      <c r="B24" s="34" t="n">
        <f aca="false">SUMPRODUCT(tab_alimentos[kg/embalagem],tab_alimentos[Qtde (S16)])</f>
        <v>0</v>
      </c>
      <c r="C24" s="34" t="n">
        <f aca="false">SUMPRODUCT(tab_alimentos[Preço],tab_alimentos[Qtde (S16)])</f>
        <v>0</v>
      </c>
      <c r="D24" s="34" t="n">
        <f aca="false">SUMPRODUCT(tab_higiene[kg/embalagem],tab_higiene[Qtde (S16)])</f>
        <v>0</v>
      </c>
      <c r="E24" s="34" t="n">
        <f aca="false">SUMPRODUCT(tab_higiene[Preço],tab_higiene[Qtde (S16)])</f>
        <v>0</v>
      </c>
      <c r="F24" s="34" t="n">
        <f aca="false">B24+D24</f>
        <v>0</v>
      </c>
      <c r="G24" s="34" t="n">
        <f aca="false">C24+E24</f>
        <v>0</v>
      </c>
      <c r="I24" s="26" t="str">
        <f aca="false">alimentos[[#This Row],[Item]]</f>
        <v>Arroz integral (1kg)</v>
      </c>
      <c r="J24" s="27" t="n">
        <f aca="false">IFERROR(alimentos[[#This Row],[kg/embalagem]],0)</f>
        <v>1</v>
      </c>
      <c r="K24" s="27" t="n">
        <f aca="false">IFERROR(alimentos[[#This Row],[Preço]],0)</f>
        <v>3.782</v>
      </c>
      <c r="L24" s="27" t="n">
        <f aca="false">SUMIFS(super1[Qtde],super1[Item],tab_alimentos[[#This Row],[Item]],super1[Bairro],mercado1)+SUMIFS(supercb[Qtde],supercb[Item],tab_alimentos[[#This Row],[Item]],supercb[Bairro],mercado1)</f>
        <v>0</v>
      </c>
      <c r="M24" s="27" t="n">
        <f aca="false">SUMIFS(super1[Qtde],super1[Item],tab_alimentos[[#This Row],[Item]],super1[Bairro],mercado2)+SUMIFS(supercb[Qtde],supercb[Item],tab_alimentos[[#This Row],[Item]],supercb[Bairro],mercado2)</f>
        <v>1</v>
      </c>
      <c r="N24" s="27" t="n">
        <f aca="false">SUMIFS(super1[Qtde],super1[Item],tab_alimentos[[#This Row],[Item]],super1[Bairro],mercado3)+SUMIFS(supercb[Qtde],supercb[Item],tab_alimentos[[#This Row],[Item]],supercb[Bairro],mercado3)</f>
        <v>0</v>
      </c>
      <c r="O24" s="27" t="n">
        <f aca="false">SUMIFS(super1[Qtde],super1[Item],tab_alimentos[[#This Row],[Item]],super1[Bairro],mercado4)+SUMIFS(supercb[Qtde],supercb[Item],tab_alimentos[[#This Row],[Item]],supercb[Bairro],mercado4)</f>
        <v>0</v>
      </c>
      <c r="P24" s="27" t="n">
        <f aca="false">SUMIFS(super1[Qtde],super1[Item],tab_alimentos[[#This Row],[Item]],super1[Bairro],mercado5)+SUMIFS(supercb[Qtde],supercb[Item],tab_alimentos[[#This Row],[Item]],supercb[Bairro],mercado5)</f>
        <v>1</v>
      </c>
      <c r="Q24" s="27" t="n">
        <f aca="false">SUMIFS(super1[Qtde],super1[Item],tab_alimentos[[#This Row],[Item]],super1[Bairro],mercado6)+SUMIFS(supercb[Qtde],supercb[Item],tab_alimentos[[#This Row],[Item]],supercb[Bairro],mercado6)</f>
        <v>0</v>
      </c>
      <c r="R24" s="27" t="n">
        <f aca="false">SUMIFS(super1[Qtde],super1[Item],tab_alimentos[[#This Row],[Item]],super1[Bairro],mercado7)+SUMIFS(supercb[Qtde],supercb[Item],tab_alimentos[[#This Row],[Item]],supercb[Bairro],mercado7)</f>
        <v>0</v>
      </c>
      <c r="S24" s="27" t="n">
        <f aca="false">SUMIFS(super1[Qtde],super1[Item],tab_alimentos[[#This Row],[Item]],super1[Bairro],mercado8)+SUMIFS(supercb[Qtde],supercb[Item],tab_alimentos[[#This Row],[Item]],supercb[Bairro],mercado8)</f>
        <v>0</v>
      </c>
      <c r="T24" s="27" t="n">
        <f aca="false">SUMIFS(super1[Qtde],super1[Item],tab_alimentos[[#This Row],[Item]],super1[Bairro],mercado9)+SUMIFS(supercb[Qtde],supercb[Item],tab_alimentos[[#This Row],[Item]],supercb[Bairro],mercado9)</f>
        <v>0</v>
      </c>
      <c r="U24" s="27" t="n">
        <f aca="false">SUMIFS(super1[Qtde],super1[Item],tab_alimentos[[#This Row],[Item]],super1[Bairro],mercado10)+SUMIFS(supercb[Qtde],supercb[Item],tab_alimentos[[#This Row],[Item]],supercb[Bairro],mercado10)</f>
        <v>0</v>
      </c>
      <c r="V24" s="27" t="n">
        <f aca="false">SUMIFS(super1[Qtde],super1[Item],tab_alimentos[[#This Row],[Item]],super1[Bairro],mercado11)+SUMIFS(supercb[Qtde],supercb[Item],tab_alimentos[[#This Row],[Item]],supercb[Bairro],mercado11)</f>
        <v>0</v>
      </c>
      <c r="W24" s="27" t="n">
        <f aca="false">SUMIFS(super1[Qtde],super1[Item],tab_alimentos[[#This Row],[Item]],super1[Bairro],mercado12)+SUMIFS(supercb[Qtde],supercb[Item],tab_alimentos[[#This Row],[Item]],supercb[Bairro],mercado12)</f>
        <v>0</v>
      </c>
      <c r="X24" s="27" t="n">
        <f aca="false">SUMIFS(super1[Qtde],super1[Item],tab_alimentos[[#This Row],[Item]],super1[Bairro],mercado13)+SUMIFS(supercb[Qtde],supercb[Item],tab_alimentos[[#This Row],[Item]],supercb[Bairro],mercado13)</f>
        <v>0</v>
      </c>
      <c r="Y24" s="27" t="n">
        <f aca="false">SUMIFS(super1[Qtde],super1[Item],tab_alimentos[[#This Row],[Item]],super1[Bairro],mercado14)+SUMIFS(supercb[Qtde],supercb[Item],tab_alimentos[[#This Row],[Item]],supercb[Bairro],mercado14)</f>
        <v>0</v>
      </c>
      <c r="Z24" s="27" t="n">
        <f aca="false">SUMIFS(super1[Qtde],super1[Item],tab_alimentos[[#This Row],[Item]],super1[Bairro],mercado15)+SUMIFS(supercb[Qtde],supercb[Item],tab_alimentos[[#This Row],[Item]],supercb[Bairro],mercado15)</f>
        <v>0</v>
      </c>
      <c r="AA24" s="27" t="n">
        <f aca="false">SUMIFS(super1[Qtde],super1[Item],tab_alimentos[[#This Row],[Item]],super1[Bairro],mercado16)+SUMIFS(supercb[Qtde],supercb[Item],tab_alimentos[[#This Row],[Item]],supercb[Bairro],mercado16)</f>
        <v>0</v>
      </c>
      <c r="AB24" s="27" t="n">
        <f aca="false">SUMIFS(super1[Qtde],super1[Item],tab_alimentos[[#This Row],[Item]],super1[Bairro],mercado17)+SUMIFS(supercb[Qtde],supercb[Item],tab_alimentos[[#This Row],[Item]],supercb[Bairro],mercado17)</f>
        <v>0</v>
      </c>
      <c r="AC24" s="27" t="n">
        <f aca="false">SUMIFS(super1[Qtde],super1[Item],tab_alimentos[[#This Row],[Item]],super1[Bairro],mercado18)+SUMIFS(supercb[Qtde],supercb[Item],tab_alimentos[[#This Row],[Item]],supercb[Bairro],mercado18)</f>
        <v>0</v>
      </c>
      <c r="AD24" s="27" t="n">
        <f aca="false">SUMIFS(super1[Qtde],super1[Item],tab_alimentos[[#This Row],[Item]],super1[Bairro],extras)+SUMIFS(supercb[Qtde],supercb[Item],tab_alimentos[[#This Row],[Item]],supercb[Bairro],extras)</f>
        <v>0</v>
      </c>
      <c r="AE24" s="27" t="n">
        <f aca="false">SUM(L24:AC24)</f>
        <v>2</v>
      </c>
      <c r="AF24" s="27" t="n">
        <f aca="false">IFERROR(AE24*K24,0)</f>
        <v>7.564</v>
      </c>
      <c r="AG24" s="28" t="n">
        <f aca="false">IFERROR(J24*AE24,0)</f>
        <v>2</v>
      </c>
      <c r="AH24" s="26" t="str">
        <f aca="false">higiene[[#This Row],[Item]]</f>
        <v>Alvejante (500mL)</v>
      </c>
      <c r="AI24" s="27" t="n">
        <f aca="false">IFERROR(higiene[[#This Row],[Kg equivalente]],0)</f>
        <v>2.92234149841144</v>
      </c>
      <c r="AJ24" s="27" t="n">
        <f aca="false">IFERROR(higiene[[#This Row],[Preço por produto]],0)</f>
        <v>9.68</v>
      </c>
      <c r="AK24" s="27" t="n">
        <f aca="false">SUMIFS(super1[Qtde],super1[Item],tab_higiene[[#This Row],[Item]],super1[Bairro],mercado1)+SUMIFS(supercb[Qtde],supercb[Item],tab_higiene[[#This Row],[Item]],supercb[Bairro],mercado1)</f>
        <v>0</v>
      </c>
      <c r="AL24" s="27" t="n">
        <f aca="false">SUMIFS(super1[Qtde],super1[Item],tab_higiene[[#This Row],[Item]],super1[Bairro],mercado2)+SUMIFS(supercb[Qtde],supercb[Item],tab_higiene[[#This Row],[Item]],supercb[Bairro],mercado2)</f>
        <v>0</v>
      </c>
      <c r="AM24" s="27" t="n">
        <f aca="false">SUMIFS(super1[Qtde],super1[Item],tab_higiene[[#This Row],[Item]],super1[Bairro],mercado3)+SUMIFS(supercb[Qtde],supercb[Item],tab_higiene[[#This Row],[Item]],supercb[Bairro],mercado3)</f>
        <v>0</v>
      </c>
      <c r="AN24" s="27" t="n">
        <f aca="false">SUMIFS(super1[Qtde],super1[Item],tab_higiene[[#This Row],[Item]],super1[Bairro],mercado4)+SUMIFS(supercb[Qtde],supercb[Item],tab_higiene[[#This Row],[Item]],supercb[Bairro],mercado4)</f>
        <v>0</v>
      </c>
      <c r="AO24" s="27" t="n">
        <f aca="false">SUMIFS(super1[Qtde],super1[Item],tab_higiene[[#This Row],[Item]],super1[Bairro],mercado5)+SUMIFS(supercb[Qtde],supercb[Item],tab_higiene[[#This Row],[Item]],supercb[Bairro],mercado5)</f>
        <v>0</v>
      </c>
      <c r="AP24" s="27" t="n">
        <f aca="false">SUMIFS(super1[Qtde],super1[Item],tab_higiene[[#This Row],[Item]],super1[Bairro],mercado6)+SUMIFS(supercb[Qtde],supercb[Item],tab_higiene[[#This Row],[Item]],supercb[Bairro],mercado6)</f>
        <v>0</v>
      </c>
      <c r="AQ24" s="27" t="n">
        <f aca="false">SUMIFS(super1[Qtde],super1[Item],tab_higiene[[#This Row],[Item]],super1[Bairro],mercado7)+SUMIFS(supercb[Qtde],supercb[Item],tab_higiene[[#This Row],[Item]],supercb[Bairro],mercado7)</f>
        <v>0</v>
      </c>
      <c r="AR24" s="27" t="n">
        <f aca="false">SUMIFS(super1[Qtde],super1[Item],tab_higiene[[#This Row],[Item]],super1[Bairro],mercado8)+SUMIFS(supercb[Qtde],supercb[Item],tab_higiene[[#This Row],[Item]],supercb[Bairro],mercado8)</f>
        <v>0</v>
      </c>
      <c r="AS24" s="27" t="n">
        <f aca="false">SUMIFS(super1[Qtde],super1[Item],tab_higiene[[#This Row],[Item]],super1[Bairro],mercado9)+SUMIFS(supercb[Qtde],supercb[Item],tab_higiene[[#This Row],[Item]],supercb[Bairro],mercado9)</f>
        <v>0</v>
      </c>
      <c r="AT24" s="27" t="n">
        <f aca="false">SUMIFS(super1[Qtde],super1[Item],tab_higiene[[#This Row],[Item]],super1[Bairro],mercado10)+SUMIFS(supercb[Qtde],supercb[Item],tab_higiene[[#This Row],[Item]],supercb[Bairro],mercado10)</f>
        <v>0</v>
      </c>
      <c r="AU24" s="27" t="n">
        <f aca="false">SUMIFS(super1[Qtde],super1[Item],tab_higiene[[#This Row],[Item]],super1[Bairro],mercado11)+SUMIFS(supercb[Qtde],supercb[Item],tab_higiene[[#This Row],[Item]],supercb[Bairro],mercado11)</f>
        <v>0</v>
      </c>
      <c r="AV24" s="27" t="n">
        <f aca="false">SUMIFS(super1[Qtde],super1[Item],tab_higiene[[#This Row],[Item]],super1[Bairro],mercado12)+SUMIFS(supercb[Qtde],supercb[Item],tab_higiene[[#This Row],[Item]],supercb[Bairro],mercado12)</f>
        <v>0</v>
      </c>
      <c r="AW24" s="27" t="n">
        <f aca="false">SUMIFS(super1[Qtde],super1[Item],tab_higiene[[#This Row],[Item]],super1[Bairro],mercado13)+SUMIFS(supercb[Qtde],supercb[Item],tab_higiene[[#This Row],[Item]],supercb[Bairro],mercado13)</f>
        <v>0</v>
      </c>
      <c r="AX24" s="27" t="n">
        <f aca="false">SUMIFS(super1[Qtde],super1[Item],tab_higiene[[#This Row],[Item]],super1[Bairro],mercado14)+SUMIFS(supercb[Qtde],supercb[Item],tab_higiene[[#This Row],[Item]],supercb[Bairro],mercado14)</f>
        <v>0</v>
      </c>
      <c r="AY24" s="27" t="n">
        <f aca="false">SUMIFS(super1[Qtde],super1[Item],tab_higiene[[#This Row],[Item]],super1[Bairro],mercado15)+SUMIFS(supercb[Qtde],supercb[Item],tab_higiene[[#This Row],[Item]],supercb[Bairro],mercado15)</f>
        <v>0</v>
      </c>
      <c r="AZ24" s="27" t="n">
        <f aca="false">SUMIFS(super1[Qtde],super1[Item],tab_higiene[[#This Row],[Item]],super1[Bairro],mercado16)+SUMIFS(supercb[Qtde],supercb[Item],tab_higiene[[#This Row],[Item]],supercb[Bairro],mercado16)</f>
        <v>0</v>
      </c>
      <c r="BA24" s="27" t="n">
        <f aca="false">SUMIFS(super1[Qtde],super1[Item],tab_higiene[[#This Row],[Item]],super1[Bairro],mercado17)+SUMIFS(supercb[Qtde],supercb[Item],tab_higiene[[#This Row],[Item]],supercb[Bairro],mercado17)</f>
        <v>0</v>
      </c>
      <c r="BB24" s="27" t="n">
        <f aca="false">SUMIFS(super1[Qtde],super1[Item],tab_higiene[[#This Row],[Item]],super1[Bairro],mercado18)+SUMIFS(supercb[Qtde],supercb[Item],tab_higiene[[#This Row],[Item]],supercb[Bairro],mercado18)</f>
        <v>0</v>
      </c>
      <c r="BC24" s="27" t="n">
        <f aca="false">SUMIFS(super1[Qtde],super1[Item],tab_higiene[[#This Row],[Item]],super1[Bairro],extras)+SUMIFS(supercb[Qtde],supercb[Item],tab_higiene[[#This Row],[Item]],supercb[Bairro],extras)</f>
        <v>0</v>
      </c>
      <c r="BD24" s="27" t="n">
        <f aca="false">SUM(AK24:BB24)</f>
        <v>0</v>
      </c>
      <c r="BE24" s="27" t="n">
        <f aca="false">IFERROR(BD24*AJ24,0)</f>
        <v>0</v>
      </c>
      <c r="BF24" s="28" t="n">
        <f aca="false">IFERROR(AI24*BD24,0)</f>
        <v>0</v>
      </c>
      <c r="BI24" s="22" t="str">
        <f aca="false">tab_alimentos[[#This Row],[Item]]</f>
        <v>Arroz integral (1kg)</v>
      </c>
      <c r="BJ24" s="22" t="n">
        <f aca="false">IFERROR(FIND(" (",BI24),0)</f>
        <v>15</v>
      </c>
      <c r="BK24" s="22" t="str">
        <f aca="false">IF(BJ24=0,BI24,LEFT(BI24,BJ24-1))</f>
        <v>Arroz integral</v>
      </c>
      <c r="BL24" s="22" t="n">
        <f aca="false">tab_alimentos[[#This Row],[kg]]</f>
        <v>2</v>
      </c>
      <c r="BM24" s="32" t="s">
        <v>275</v>
      </c>
      <c r="BN24" s="22" t="n">
        <f aca="false">SUMIF($BJ$5:$BJ$158,BM24,$BK$5:$BK$158)</f>
        <v>0</v>
      </c>
      <c r="BP24" s="22" t="str">
        <f aca="false">tab_higiene[[#This Row],[Item]]</f>
        <v>Alvejante (500mL)</v>
      </c>
      <c r="BQ24" s="22" t="n">
        <f aca="false">IFERROR(FIND(" (",BP24),0)</f>
        <v>10</v>
      </c>
      <c r="BR24" s="22" t="str">
        <f aca="false">IF(BQ24=0,BP24,LEFT(BP24,BQ24-1))</f>
        <v>Alvejante</v>
      </c>
      <c r="BS24" s="22" t="n">
        <f aca="false">higiene[[#This Row],[Quantidade]]</f>
        <v>2</v>
      </c>
      <c r="BT24" s="22" t="n">
        <f aca="false">tab_higiene[Qtde (tot)]</f>
        <v>0</v>
      </c>
      <c r="BU24" s="22" t="n">
        <f aca="false">BS24*BT24</f>
        <v>0</v>
      </c>
      <c r="BV24" s="32" t="s">
        <v>285</v>
      </c>
      <c r="BW24" s="22" t="n">
        <f aca="false">SUMIF($BR$5:$BR$142,BV24,$BU$5:$BU$142)</f>
        <v>0</v>
      </c>
    </row>
    <row r="25" customFormat="false" ht="15" hidden="false" customHeight="false" outlineLevel="0" collapsed="false">
      <c r="A25" s="0" t="n">
        <f aca="false">tabMercados[[#This Row],[Supermercados]]</f>
        <v>0</v>
      </c>
      <c r="B25" s="34" t="n">
        <f aca="false">SUMPRODUCT(tab_alimentos[kg/embalagem],tab_alimentos[Qtde (S17)])</f>
        <v>0</v>
      </c>
      <c r="C25" s="34" t="n">
        <f aca="false">SUMPRODUCT(tab_alimentos[Preço],tab_alimentos[Qtde (S17)])</f>
        <v>0</v>
      </c>
      <c r="D25" s="34" t="n">
        <f aca="false">SUMPRODUCT(tab_higiene[kg/embalagem],tab_higiene[Qtde (S17)])</f>
        <v>0</v>
      </c>
      <c r="E25" s="34" t="n">
        <f aca="false">SUMPRODUCT(tab_higiene[Preço],tab_higiene[Qtde (S17)])</f>
        <v>0</v>
      </c>
      <c r="F25" s="34" t="n">
        <f aca="false">B25+D25</f>
        <v>0</v>
      </c>
      <c r="G25" s="34" t="n">
        <f aca="false">C25+E25</f>
        <v>0</v>
      </c>
      <c r="I25" s="26" t="str">
        <f aca="false">alimentos[[#This Row],[Item]]</f>
        <v>Arroz integral (500g)</v>
      </c>
      <c r="J25" s="27" t="n">
        <f aca="false">IFERROR(alimentos[[#This Row],[kg/embalagem]],0)</f>
        <v>0.5</v>
      </c>
      <c r="K25" s="27" t="n">
        <f aca="false">IFERROR(alimentos[[#This Row],[Preço]],0)</f>
        <v>4.76</v>
      </c>
      <c r="L25" s="27" t="n">
        <f aca="false">SUMIFS(super1[Qtde],super1[Item],tab_alimentos[[#This Row],[Item]],super1[Bairro],mercado1)+SUMIFS(supercb[Qtde],supercb[Item],tab_alimentos[[#This Row],[Item]],supercb[Bairro],mercado1)</f>
        <v>0</v>
      </c>
      <c r="M25" s="27" t="n">
        <f aca="false">SUMIFS(super1[Qtde],super1[Item],tab_alimentos[[#This Row],[Item]],super1[Bairro],mercado2)+SUMIFS(supercb[Qtde],supercb[Item],tab_alimentos[[#This Row],[Item]],supercb[Bairro],mercado2)</f>
        <v>0</v>
      </c>
      <c r="N25" s="27" t="n">
        <f aca="false">SUMIFS(super1[Qtde],super1[Item],tab_alimentos[[#This Row],[Item]],super1[Bairro],mercado3)+SUMIFS(supercb[Qtde],supercb[Item],tab_alimentos[[#This Row],[Item]],supercb[Bairro],mercado3)</f>
        <v>0</v>
      </c>
      <c r="O25" s="27" t="n">
        <f aca="false">SUMIFS(super1[Qtde],super1[Item],tab_alimentos[[#This Row],[Item]],super1[Bairro],mercado4)+SUMIFS(supercb[Qtde],supercb[Item],tab_alimentos[[#This Row],[Item]],supercb[Bairro],mercado4)</f>
        <v>0</v>
      </c>
      <c r="P25" s="27" t="n">
        <f aca="false">SUMIFS(super1[Qtde],super1[Item],tab_alimentos[[#This Row],[Item]],super1[Bairro],mercado5)+SUMIFS(supercb[Qtde],supercb[Item],tab_alimentos[[#This Row],[Item]],supercb[Bairro],mercado5)</f>
        <v>0</v>
      </c>
      <c r="Q25" s="27" t="n">
        <f aca="false">SUMIFS(super1[Qtde],super1[Item],tab_alimentos[[#This Row],[Item]],super1[Bairro],mercado6)+SUMIFS(supercb[Qtde],supercb[Item],tab_alimentos[[#This Row],[Item]],supercb[Bairro],mercado6)</f>
        <v>0</v>
      </c>
      <c r="R25" s="27" t="n">
        <f aca="false">SUMIFS(super1[Qtde],super1[Item],tab_alimentos[[#This Row],[Item]],super1[Bairro],mercado7)+SUMIFS(supercb[Qtde],supercb[Item],tab_alimentos[[#This Row],[Item]],supercb[Bairro],mercado7)</f>
        <v>0</v>
      </c>
      <c r="S25" s="27" t="n">
        <f aca="false">SUMIFS(super1[Qtde],super1[Item],tab_alimentos[[#This Row],[Item]],super1[Bairro],mercado8)+SUMIFS(supercb[Qtde],supercb[Item],tab_alimentos[[#This Row],[Item]],supercb[Bairro],mercado8)</f>
        <v>0</v>
      </c>
      <c r="T25" s="27" t="n">
        <f aca="false">SUMIFS(super1[Qtde],super1[Item],tab_alimentos[[#This Row],[Item]],super1[Bairro],mercado9)+SUMIFS(supercb[Qtde],supercb[Item],tab_alimentos[[#This Row],[Item]],supercb[Bairro],mercado9)</f>
        <v>0</v>
      </c>
      <c r="U25" s="27" t="n">
        <f aca="false">SUMIFS(super1[Qtde],super1[Item],tab_alimentos[[#This Row],[Item]],super1[Bairro],mercado10)+SUMIFS(supercb[Qtde],supercb[Item],tab_alimentos[[#This Row],[Item]],supercb[Bairro],mercado10)</f>
        <v>0</v>
      </c>
      <c r="V25" s="27" t="n">
        <f aca="false">SUMIFS(super1[Qtde],super1[Item],tab_alimentos[[#This Row],[Item]],super1[Bairro],mercado11)+SUMIFS(supercb[Qtde],supercb[Item],tab_alimentos[[#This Row],[Item]],supercb[Bairro],mercado11)</f>
        <v>0</v>
      </c>
      <c r="W25" s="27" t="n">
        <f aca="false">SUMIFS(super1[Qtde],super1[Item],tab_alimentos[[#This Row],[Item]],super1[Bairro],mercado12)+SUMIFS(supercb[Qtde],supercb[Item],tab_alimentos[[#This Row],[Item]],supercb[Bairro],mercado12)</f>
        <v>0</v>
      </c>
      <c r="X25" s="27" t="n">
        <f aca="false">SUMIFS(super1[Qtde],super1[Item],tab_alimentos[[#This Row],[Item]],super1[Bairro],mercado13)+SUMIFS(supercb[Qtde],supercb[Item],tab_alimentos[[#This Row],[Item]],supercb[Bairro],mercado13)</f>
        <v>0</v>
      </c>
      <c r="Y25" s="27" t="n">
        <f aca="false">SUMIFS(super1[Qtde],super1[Item],tab_alimentos[[#This Row],[Item]],super1[Bairro],mercado14)+SUMIFS(supercb[Qtde],supercb[Item],tab_alimentos[[#This Row],[Item]],supercb[Bairro],mercado14)</f>
        <v>0</v>
      </c>
      <c r="Z25" s="27" t="n">
        <f aca="false">SUMIFS(super1[Qtde],super1[Item],tab_alimentos[[#This Row],[Item]],super1[Bairro],mercado15)+SUMIFS(supercb[Qtde],supercb[Item],tab_alimentos[[#This Row],[Item]],supercb[Bairro],mercado15)</f>
        <v>0</v>
      </c>
      <c r="AA25" s="27" t="n">
        <f aca="false">SUMIFS(super1[Qtde],super1[Item],tab_alimentos[[#This Row],[Item]],super1[Bairro],mercado16)+SUMIFS(supercb[Qtde],supercb[Item],tab_alimentos[[#This Row],[Item]],supercb[Bairro],mercado16)</f>
        <v>0</v>
      </c>
      <c r="AB25" s="27" t="n">
        <f aca="false">SUMIFS(super1[Qtde],super1[Item],tab_alimentos[[#This Row],[Item]],super1[Bairro],mercado17)+SUMIFS(supercb[Qtde],supercb[Item],tab_alimentos[[#This Row],[Item]],supercb[Bairro],mercado17)</f>
        <v>0</v>
      </c>
      <c r="AC25" s="27" t="n">
        <f aca="false">SUMIFS(super1[Qtde],super1[Item],tab_alimentos[[#This Row],[Item]],super1[Bairro],mercado18)+SUMIFS(supercb[Qtde],supercb[Item],tab_alimentos[[#This Row],[Item]],supercb[Bairro],mercado18)</f>
        <v>0</v>
      </c>
      <c r="AD25" s="27" t="n">
        <f aca="false">SUMIFS(super1[Qtde],super1[Item],tab_alimentos[[#This Row],[Item]],super1[Bairro],extras)+SUMIFS(supercb[Qtde],supercb[Item],tab_alimentos[[#This Row],[Item]],supercb[Bairro],extras)</f>
        <v>0</v>
      </c>
      <c r="AE25" s="27" t="n">
        <f aca="false">SUM(L25:AC25)</f>
        <v>0</v>
      </c>
      <c r="AF25" s="27" t="n">
        <f aca="false">IFERROR(AE25*K25,0)</f>
        <v>0</v>
      </c>
      <c r="AG25" s="28" t="n">
        <f aca="false">IFERROR(J25*AE25,0)</f>
        <v>0</v>
      </c>
      <c r="AH25" s="26" t="str">
        <f aca="false">higiene[[#This Row],[Item]]</f>
        <v>Amaciante (2L)</v>
      </c>
      <c r="AI25" s="27" t="n">
        <f aca="false">IFERROR(higiene[[#This Row],[Kg equivalente]],0)</f>
        <v>1.34720546866333</v>
      </c>
      <c r="AJ25" s="27" t="n">
        <f aca="false">IFERROR(higiene[[#This Row],[Preço por produto]],0)</f>
        <v>4.4625</v>
      </c>
      <c r="AK25" s="27" t="n">
        <f aca="false">SUMIFS(super1[Qtde],super1[Item],tab_higiene[[#This Row],[Item]],super1[Bairro],mercado1)+SUMIFS(supercb[Qtde],supercb[Item],tab_higiene[[#This Row],[Item]],supercb[Bairro],mercado1)</f>
        <v>0</v>
      </c>
      <c r="AL25" s="27" t="n">
        <f aca="false">SUMIFS(super1[Qtde],super1[Item],tab_higiene[[#This Row],[Item]],super1[Bairro],mercado2)+SUMIFS(supercb[Qtde],supercb[Item],tab_higiene[[#This Row],[Item]],supercb[Bairro],mercado2)</f>
        <v>2</v>
      </c>
      <c r="AM25" s="27" t="n">
        <f aca="false">SUMIFS(super1[Qtde],super1[Item],tab_higiene[[#This Row],[Item]],super1[Bairro],mercado3)+SUMIFS(supercb[Qtde],supercb[Item],tab_higiene[[#This Row],[Item]],supercb[Bairro],mercado3)</f>
        <v>0</v>
      </c>
      <c r="AN25" s="27" t="n">
        <f aca="false">SUMIFS(super1[Qtde],super1[Item],tab_higiene[[#This Row],[Item]],super1[Bairro],mercado4)+SUMIFS(supercb[Qtde],supercb[Item],tab_higiene[[#This Row],[Item]],supercb[Bairro],mercado4)</f>
        <v>1</v>
      </c>
      <c r="AO25" s="27" t="n">
        <f aca="false">SUMIFS(super1[Qtde],super1[Item],tab_higiene[[#This Row],[Item]],super1[Bairro],mercado5)+SUMIFS(supercb[Qtde],supercb[Item],tab_higiene[[#This Row],[Item]],supercb[Bairro],mercado5)</f>
        <v>0</v>
      </c>
      <c r="AP25" s="27" t="n">
        <f aca="false">SUMIFS(super1[Qtde],super1[Item],tab_higiene[[#This Row],[Item]],super1[Bairro],mercado6)+SUMIFS(supercb[Qtde],supercb[Item],tab_higiene[[#This Row],[Item]],supercb[Bairro],mercado6)</f>
        <v>0</v>
      </c>
      <c r="AQ25" s="27" t="n">
        <f aca="false">SUMIFS(super1[Qtde],super1[Item],tab_higiene[[#This Row],[Item]],super1[Bairro],mercado7)+SUMIFS(supercb[Qtde],supercb[Item],tab_higiene[[#This Row],[Item]],supercb[Bairro],mercado7)</f>
        <v>0</v>
      </c>
      <c r="AR25" s="27" t="n">
        <f aca="false">SUMIFS(super1[Qtde],super1[Item],tab_higiene[[#This Row],[Item]],super1[Bairro],mercado8)+SUMIFS(supercb[Qtde],supercb[Item],tab_higiene[[#This Row],[Item]],supercb[Bairro],mercado8)</f>
        <v>1</v>
      </c>
      <c r="AS25" s="27" t="n">
        <f aca="false">SUMIFS(super1[Qtde],super1[Item],tab_higiene[[#This Row],[Item]],super1[Bairro],mercado9)+SUMIFS(supercb[Qtde],supercb[Item],tab_higiene[[#This Row],[Item]],supercb[Bairro],mercado9)</f>
        <v>0</v>
      </c>
      <c r="AT25" s="27" t="n">
        <f aca="false">SUMIFS(super1[Qtde],super1[Item],tab_higiene[[#This Row],[Item]],super1[Bairro],mercado10)+SUMIFS(supercb[Qtde],supercb[Item],tab_higiene[[#This Row],[Item]],supercb[Bairro],mercado10)</f>
        <v>0</v>
      </c>
      <c r="AU25" s="27" t="n">
        <f aca="false">SUMIFS(super1[Qtde],super1[Item],tab_higiene[[#This Row],[Item]],super1[Bairro],mercado11)+SUMIFS(supercb[Qtde],supercb[Item],tab_higiene[[#This Row],[Item]],supercb[Bairro],mercado11)</f>
        <v>0</v>
      </c>
      <c r="AV25" s="27" t="n">
        <f aca="false">SUMIFS(super1[Qtde],super1[Item],tab_higiene[[#This Row],[Item]],super1[Bairro],mercado12)+SUMIFS(supercb[Qtde],supercb[Item],tab_higiene[[#This Row],[Item]],supercb[Bairro],mercado12)</f>
        <v>0</v>
      </c>
      <c r="AW25" s="27" t="n">
        <f aca="false">SUMIFS(super1[Qtde],super1[Item],tab_higiene[[#This Row],[Item]],super1[Bairro],mercado13)+SUMIFS(supercb[Qtde],supercb[Item],tab_higiene[[#This Row],[Item]],supercb[Bairro],mercado13)</f>
        <v>0</v>
      </c>
      <c r="AX25" s="27" t="n">
        <f aca="false">SUMIFS(super1[Qtde],super1[Item],tab_higiene[[#This Row],[Item]],super1[Bairro],mercado14)+SUMIFS(supercb[Qtde],supercb[Item],tab_higiene[[#This Row],[Item]],supercb[Bairro],mercado14)</f>
        <v>0</v>
      </c>
      <c r="AY25" s="27" t="n">
        <f aca="false">SUMIFS(super1[Qtde],super1[Item],tab_higiene[[#This Row],[Item]],super1[Bairro],mercado15)+SUMIFS(supercb[Qtde],supercb[Item],tab_higiene[[#This Row],[Item]],supercb[Bairro],mercado15)</f>
        <v>0</v>
      </c>
      <c r="AZ25" s="27" t="n">
        <f aca="false">SUMIFS(super1[Qtde],super1[Item],tab_higiene[[#This Row],[Item]],super1[Bairro],mercado16)+SUMIFS(supercb[Qtde],supercb[Item],tab_higiene[[#This Row],[Item]],supercb[Bairro],mercado16)</f>
        <v>0</v>
      </c>
      <c r="BA25" s="27" t="n">
        <f aca="false">SUMIFS(super1[Qtde],super1[Item],tab_higiene[[#This Row],[Item]],super1[Bairro],mercado17)+SUMIFS(supercb[Qtde],supercb[Item],tab_higiene[[#This Row],[Item]],supercb[Bairro],mercado17)</f>
        <v>0</v>
      </c>
      <c r="BB25" s="27" t="n">
        <f aca="false">SUMIFS(super1[Qtde],super1[Item],tab_higiene[[#This Row],[Item]],super1[Bairro],mercado18)+SUMIFS(supercb[Qtde],supercb[Item],tab_higiene[[#This Row],[Item]],supercb[Bairro],mercado18)</f>
        <v>0</v>
      </c>
      <c r="BC25" s="27" t="n">
        <f aca="false">SUMIFS(super1[Qtde],super1[Item],tab_higiene[[#This Row],[Item]],super1[Bairro],extras)+SUMIFS(supercb[Qtde],supercb[Item],tab_higiene[[#This Row],[Item]],supercb[Bairro],extras)</f>
        <v>0</v>
      </c>
      <c r="BD25" s="27" t="n">
        <f aca="false">SUM(AK25:BB25)</f>
        <v>4</v>
      </c>
      <c r="BE25" s="27" t="n">
        <f aca="false">IFERROR(BD25*AJ25,0)</f>
        <v>17.85</v>
      </c>
      <c r="BF25" s="28" t="n">
        <f aca="false">IFERROR(AI25*BD25,0)</f>
        <v>5.38882187465333</v>
      </c>
      <c r="BI25" s="22" t="str">
        <f aca="false">tab_alimentos[[#This Row],[Item]]</f>
        <v>Arroz integral (500g)</v>
      </c>
      <c r="BJ25" s="22" t="n">
        <f aca="false">IFERROR(FIND(" (",BI25),0)</f>
        <v>15</v>
      </c>
      <c r="BK25" s="22" t="str">
        <f aca="false">IF(BJ25=0,BI25,LEFT(BI25,BJ25-1))</f>
        <v>Arroz integral</v>
      </c>
      <c r="BL25" s="22" t="n">
        <f aca="false">tab_alimentos[[#This Row],[kg]]</f>
        <v>0</v>
      </c>
      <c r="BM25" s="32" t="s">
        <v>286</v>
      </c>
      <c r="BN25" s="22" t="n">
        <f aca="false">SUMIF($BJ$5:$BJ$158,BM25,$BK$5:$BK$158)</f>
        <v>0</v>
      </c>
      <c r="BP25" s="22" t="str">
        <f aca="false">tab_higiene[[#This Row],[Item]]</f>
        <v>Amaciante (2L)</v>
      </c>
      <c r="BQ25" s="22" t="n">
        <f aca="false">IFERROR(FIND(" (",BP25),0)</f>
        <v>10</v>
      </c>
      <c r="BR25" s="22" t="str">
        <f aca="false">IF(BQ25=0,BP25,LEFT(BP25,BQ25-1))</f>
        <v>Amaciante</v>
      </c>
      <c r="BS25" s="22" t="n">
        <f aca="false">higiene[[#This Row],[Quantidade]]</f>
        <v>0.5</v>
      </c>
      <c r="BT25" s="22" t="n">
        <f aca="false">tab_higiene[Qtde (tot)]</f>
        <v>4</v>
      </c>
      <c r="BU25" s="22" t="n">
        <f aca="false">BS25*BT25</f>
        <v>2</v>
      </c>
      <c r="BV25" s="32" t="s">
        <v>287</v>
      </c>
      <c r="BW25" s="22" t="n">
        <f aca="false">SUMIF($BR$5:$BR$142,BV25,$BU$5:$BU$142)</f>
        <v>3410</v>
      </c>
    </row>
    <row r="26" customFormat="false" ht="15" hidden="false" customHeight="false" outlineLevel="0" collapsed="false">
      <c r="A26" s="0" t="n">
        <f aca="false">tabMercados[[#This Row],[Supermercados]]</f>
        <v>0</v>
      </c>
      <c r="B26" s="34" t="n">
        <f aca="false">SUMPRODUCT(tab_alimentos[kg/embalagem],tab_alimentos[Qtde (S18)])</f>
        <v>0</v>
      </c>
      <c r="C26" s="34" t="n">
        <f aca="false">SUMPRODUCT(tab_alimentos[Preço],tab_alimentos[Qtde (S18)])</f>
        <v>0</v>
      </c>
      <c r="D26" s="34" t="n">
        <f aca="false">SUMPRODUCT(tab_higiene[kg/embalagem],tab_higiene[Qtde (S18)])</f>
        <v>0</v>
      </c>
      <c r="E26" s="34" t="n">
        <f aca="false">SUMPRODUCT(tab_higiene[Preço],tab_higiene[Qtde (S18)])</f>
        <v>0</v>
      </c>
      <c r="F26" s="34" t="n">
        <f aca="false">B26+D26</f>
        <v>0</v>
      </c>
      <c r="G26" s="34" t="n">
        <f aca="false">C26+E26</f>
        <v>0</v>
      </c>
      <c r="I26" s="26" t="str">
        <f aca="false">alimentos[[#This Row],[Item]]</f>
        <v>Atum (170g)</v>
      </c>
      <c r="J26" s="27" t="n">
        <f aca="false">IFERROR(alimentos[[#This Row],[kg/embalagem]],0)</f>
        <v>0.17</v>
      </c>
      <c r="K26" s="27" t="n">
        <f aca="false">IFERROR(alimentos[[#This Row],[Preço]],0)</f>
        <v>4.694</v>
      </c>
      <c r="L26" s="27" t="n">
        <f aca="false">SUMIFS(super1[Qtde],super1[Item],tab_alimentos[[#This Row],[Item]],super1[Bairro],mercado1)+SUMIFS(supercb[Qtde],supercb[Item],tab_alimentos[[#This Row],[Item]],supercb[Bairro],mercado1)</f>
        <v>0</v>
      </c>
      <c r="M26" s="27" t="n">
        <f aca="false">SUMIFS(super1[Qtde],super1[Item],tab_alimentos[[#This Row],[Item]],super1[Bairro],mercado2)+SUMIFS(supercb[Qtde],supercb[Item],tab_alimentos[[#This Row],[Item]],supercb[Bairro],mercado2)</f>
        <v>0</v>
      </c>
      <c r="N26" s="27" t="n">
        <f aca="false">SUMIFS(super1[Qtde],super1[Item],tab_alimentos[[#This Row],[Item]],super1[Bairro],mercado3)+SUMIFS(supercb[Qtde],supercb[Item],tab_alimentos[[#This Row],[Item]],supercb[Bairro],mercado3)</f>
        <v>0</v>
      </c>
      <c r="O26" s="27" t="n">
        <f aca="false">SUMIFS(super1[Qtde],super1[Item],tab_alimentos[[#This Row],[Item]],super1[Bairro],mercado4)+SUMIFS(supercb[Qtde],supercb[Item],tab_alimentos[[#This Row],[Item]],supercb[Bairro],mercado4)</f>
        <v>0</v>
      </c>
      <c r="P26" s="27" t="n">
        <f aca="false">SUMIFS(super1[Qtde],super1[Item],tab_alimentos[[#This Row],[Item]],super1[Bairro],mercado5)+SUMIFS(supercb[Qtde],supercb[Item],tab_alimentos[[#This Row],[Item]],supercb[Bairro],mercado5)</f>
        <v>0</v>
      </c>
      <c r="Q26" s="27" t="n">
        <f aca="false">SUMIFS(super1[Qtde],super1[Item],tab_alimentos[[#This Row],[Item]],super1[Bairro],mercado6)+SUMIFS(supercb[Qtde],supercb[Item],tab_alimentos[[#This Row],[Item]],supercb[Bairro],mercado6)</f>
        <v>0</v>
      </c>
      <c r="R26" s="27" t="n">
        <f aca="false">SUMIFS(super1[Qtde],super1[Item],tab_alimentos[[#This Row],[Item]],super1[Bairro],mercado7)+SUMIFS(supercb[Qtde],supercb[Item],tab_alimentos[[#This Row],[Item]],supercb[Bairro],mercado7)</f>
        <v>0</v>
      </c>
      <c r="S26" s="27" t="n">
        <f aca="false">SUMIFS(super1[Qtde],super1[Item],tab_alimentos[[#This Row],[Item]],super1[Bairro],mercado8)+SUMIFS(supercb[Qtde],supercb[Item],tab_alimentos[[#This Row],[Item]],supercb[Bairro],mercado8)</f>
        <v>0</v>
      </c>
      <c r="T26" s="27" t="n">
        <f aca="false">SUMIFS(super1[Qtde],super1[Item],tab_alimentos[[#This Row],[Item]],super1[Bairro],mercado9)+SUMIFS(supercb[Qtde],supercb[Item],tab_alimentos[[#This Row],[Item]],supercb[Bairro],mercado9)</f>
        <v>0</v>
      </c>
      <c r="U26" s="27" t="n">
        <f aca="false">SUMIFS(super1[Qtde],super1[Item],tab_alimentos[[#This Row],[Item]],super1[Bairro],mercado10)+SUMIFS(supercb[Qtde],supercb[Item],tab_alimentos[[#This Row],[Item]],supercb[Bairro],mercado10)</f>
        <v>0</v>
      </c>
      <c r="V26" s="27" t="n">
        <f aca="false">SUMIFS(super1[Qtde],super1[Item],tab_alimentos[[#This Row],[Item]],super1[Bairro],mercado11)+SUMIFS(supercb[Qtde],supercb[Item],tab_alimentos[[#This Row],[Item]],supercb[Bairro],mercado11)</f>
        <v>0</v>
      </c>
      <c r="W26" s="27" t="n">
        <f aca="false">SUMIFS(super1[Qtde],super1[Item],tab_alimentos[[#This Row],[Item]],super1[Bairro],mercado12)+SUMIFS(supercb[Qtde],supercb[Item],tab_alimentos[[#This Row],[Item]],supercb[Bairro],mercado12)</f>
        <v>0</v>
      </c>
      <c r="X26" s="27" t="n">
        <f aca="false">SUMIFS(super1[Qtde],super1[Item],tab_alimentos[[#This Row],[Item]],super1[Bairro],mercado13)+SUMIFS(supercb[Qtde],supercb[Item],tab_alimentos[[#This Row],[Item]],supercb[Bairro],mercado13)</f>
        <v>0</v>
      </c>
      <c r="Y26" s="27" t="n">
        <f aca="false">SUMIFS(super1[Qtde],super1[Item],tab_alimentos[[#This Row],[Item]],super1[Bairro],mercado14)+SUMIFS(supercb[Qtde],supercb[Item],tab_alimentos[[#This Row],[Item]],supercb[Bairro],mercado14)</f>
        <v>0</v>
      </c>
      <c r="Z26" s="27" t="n">
        <f aca="false">SUMIFS(super1[Qtde],super1[Item],tab_alimentos[[#This Row],[Item]],super1[Bairro],mercado15)+SUMIFS(supercb[Qtde],supercb[Item],tab_alimentos[[#This Row],[Item]],supercb[Bairro],mercado15)</f>
        <v>0</v>
      </c>
      <c r="AA26" s="27" t="n">
        <f aca="false">SUMIFS(super1[Qtde],super1[Item],tab_alimentos[[#This Row],[Item]],super1[Bairro],mercado16)+SUMIFS(supercb[Qtde],supercb[Item],tab_alimentos[[#This Row],[Item]],supercb[Bairro],mercado16)</f>
        <v>0</v>
      </c>
      <c r="AB26" s="27" t="n">
        <f aca="false">SUMIFS(super1[Qtde],super1[Item],tab_alimentos[[#This Row],[Item]],super1[Bairro],mercado17)+SUMIFS(supercb[Qtde],supercb[Item],tab_alimentos[[#This Row],[Item]],supercb[Bairro],mercado17)</f>
        <v>0</v>
      </c>
      <c r="AC26" s="27" t="n">
        <f aca="false">SUMIFS(super1[Qtde],super1[Item],tab_alimentos[[#This Row],[Item]],super1[Bairro],mercado18)+SUMIFS(supercb[Qtde],supercb[Item],tab_alimentos[[#This Row],[Item]],supercb[Bairro],mercado18)</f>
        <v>0</v>
      </c>
      <c r="AD26" s="27" t="n">
        <f aca="false">SUMIFS(super1[Qtde],super1[Item],tab_alimentos[[#This Row],[Item]],super1[Bairro],extras)+SUMIFS(supercb[Qtde],supercb[Item],tab_alimentos[[#This Row],[Item]],supercb[Bairro],extras)</f>
        <v>0</v>
      </c>
      <c r="AE26" s="27" t="n">
        <f aca="false">SUM(L26:AC26)</f>
        <v>0</v>
      </c>
      <c r="AF26" s="27" t="n">
        <f aca="false">IFERROR(AE26*K26,0)</f>
        <v>0</v>
      </c>
      <c r="AG26" s="28" t="n">
        <f aca="false">IFERROR(J26*AE26,0)</f>
        <v>0</v>
      </c>
      <c r="AH26" s="26" t="str">
        <f aca="false">higiene[[#This Row],[Item]]</f>
        <v>Amaciante (500mL)</v>
      </c>
      <c r="AI26" s="27" t="n">
        <f aca="false">IFERROR(higiene[[#This Row],[Kg equivalente]],0)</f>
        <v>1.92850387312524</v>
      </c>
      <c r="AJ26" s="27" t="n">
        <f aca="false">IFERROR(higiene[[#This Row],[Preço por produto]],0)</f>
        <v>6.388</v>
      </c>
      <c r="AK26" s="27" t="n">
        <f aca="false">SUMIFS(super1[Qtde],super1[Item],tab_higiene[[#This Row],[Item]],super1[Bairro],mercado1)+SUMIFS(supercb[Qtde],supercb[Item],tab_higiene[[#This Row],[Item]],supercb[Bairro],mercado1)</f>
        <v>0</v>
      </c>
      <c r="AL26" s="27" t="n">
        <f aca="false">SUMIFS(super1[Qtde],super1[Item],tab_higiene[[#This Row],[Item]],super1[Bairro],mercado2)+SUMIFS(supercb[Qtde],supercb[Item],tab_higiene[[#This Row],[Item]],supercb[Bairro],mercado2)</f>
        <v>0</v>
      </c>
      <c r="AM26" s="27" t="n">
        <f aca="false">SUMIFS(super1[Qtde],super1[Item],tab_higiene[[#This Row],[Item]],super1[Bairro],mercado3)+SUMIFS(supercb[Qtde],supercb[Item],tab_higiene[[#This Row],[Item]],supercb[Bairro],mercado3)</f>
        <v>0</v>
      </c>
      <c r="AN26" s="27" t="n">
        <f aca="false">SUMIFS(super1[Qtde],super1[Item],tab_higiene[[#This Row],[Item]],super1[Bairro],mercado4)+SUMIFS(supercb[Qtde],supercb[Item],tab_higiene[[#This Row],[Item]],supercb[Bairro],mercado4)</f>
        <v>0</v>
      </c>
      <c r="AO26" s="27" t="n">
        <f aca="false">SUMIFS(super1[Qtde],super1[Item],tab_higiene[[#This Row],[Item]],super1[Bairro],mercado5)+SUMIFS(supercb[Qtde],supercb[Item],tab_higiene[[#This Row],[Item]],supercb[Bairro],mercado5)</f>
        <v>0</v>
      </c>
      <c r="AP26" s="27" t="n">
        <f aca="false">SUMIFS(super1[Qtde],super1[Item],tab_higiene[[#This Row],[Item]],super1[Bairro],mercado6)+SUMIFS(supercb[Qtde],supercb[Item],tab_higiene[[#This Row],[Item]],supercb[Bairro],mercado6)</f>
        <v>0</v>
      </c>
      <c r="AQ26" s="27" t="n">
        <f aca="false">SUMIFS(super1[Qtde],super1[Item],tab_higiene[[#This Row],[Item]],super1[Bairro],mercado7)+SUMIFS(supercb[Qtde],supercb[Item],tab_higiene[[#This Row],[Item]],supercb[Bairro],mercado7)</f>
        <v>0</v>
      </c>
      <c r="AR26" s="27" t="n">
        <f aca="false">SUMIFS(super1[Qtde],super1[Item],tab_higiene[[#This Row],[Item]],super1[Bairro],mercado8)+SUMIFS(supercb[Qtde],supercb[Item],tab_higiene[[#This Row],[Item]],supercb[Bairro],mercado8)</f>
        <v>0</v>
      </c>
      <c r="AS26" s="27" t="n">
        <f aca="false">SUMIFS(super1[Qtde],super1[Item],tab_higiene[[#This Row],[Item]],super1[Bairro],mercado9)+SUMIFS(supercb[Qtde],supercb[Item],tab_higiene[[#This Row],[Item]],supercb[Bairro],mercado9)</f>
        <v>0</v>
      </c>
      <c r="AT26" s="27" t="n">
        <f aca="false">SUMIFS(super1[Qtde],super1[Item],tab_higiene[[#This Row],[Item]],super1[Bairro],mercado10)+SUMIFS(supercb[Qtde],supercb[Item],tab_higiene[[#This Row],[Item]],supercb[Bairro],mercado10)</f>
        <v>0</v>
      </c>
      <c r="AU26" s="27" t="n">
        <f aca="false">SUMIFS(super1[Qtde],super1[Item],tab_higiene[[#This Row],[Item]],super1[Bairro],mercado11)+SUMIFS(supercb[Qtde],supercb[Item],tab_higiene[[#This Row],[Item]],supercb[Bairro],mercado11)</f>
        <v>0</v>
      </c>
      <c r="AV26" s="27" t="n">
        <f aca="false">SUMIFS(super1[Qtde],super1[Item],tab_higiene[[#This Row],[Item]],super1[Bairro],mercado12)+SUMIFS(supercb[Qtde],supercb[Item],tab_higiene[[#This Row],[Item]],supercb[Bairro],mercado12)</f>
        <v>0</v>
      </c>
      <c r="AW26" s="27" t="n">
        <f aca="false">SUMIFS(super1[Qtde],super1[Item],tab_higiene[[#This Row],[Item]],super1[Bairro],mercado13)+SUMIFS(supercb[Qtde],supercb[Item],tab_higiene[[#This Row],[Item]],supercb[Bairro],mercado13)</f>
        <v>0</v>
      </c>
      <c r="AX26" s="27" t="n">
        <f aca="false">SUMIFS(super1[Qtde],super1[Item],tab_higiene[[#This Row],[Item]],super1[Bairro],mercado14)+SUMIFS(supercb[Qtde],supercb[Item],tab_higiene[[#This Row],[Item]],supercb[Bairro],mercado14)</f>
        <v>0</v>
      </c>
      <c r="AY26" s="27" t="n">
        <f aca="false">SUMIFS(super1[Qtde],super1[Item],tab_higiene[[#This Row],[Item]],super1[Bairro],mercado15)+SUMIFS(supercb[Qtde],supercb[Item],tab_higiene[[#This Row],[Item]],supercb[Bairro],mercado15)</f>
        <v>0</v>
      </c>
      <c r="AZ26" s="27" t="n">
        <f aca="false">SUMIFS(super1[Qtde],super1[Item],tab_higiene[[#This Row],[Item]],super1[Bairro],mercado16)+SUMIFS(supercb[Qtde],supercb[Item],tab_higiene[[#This Row],[Item]],supercb[Bairro],mercado16)</f>
        <v>0</v>
      </c>
      <c r="BA26" s="27" t="n">
        <f aca="false">SUMIFS(super1[Qtde],super1[Item],tab_higiene[[#This Row],[Item]],super1[Bairro],mercado17)+SUMIFS(supercb[Qtde],supercb[Item],tab_higiene[[#This Row],[Item]],supercb[Bairro],mercado17)</f>
        <v>0</v>
      </c>
      <c r="BB26" s="27" t="n">
        <f aca="false">SUMIFS(super1[Qtde],super1[Item],tab_higiene[[#This Row],[Item]],super1[Bairro],mercado18)+SUMIFS(supercb[Qtde],supercb[Item],tab_higiene[[#This Row],[Item]],supercb[Bairro],mercado18)</f>
        <v>0</v>
      </c>
      <c r="BC26" s="27" t="n">
        <f aca="false">SUMIFS(super1[Qtde],super1[Item],tab_higiene[[#This Row],[Item]],super1[Bairro],extras)+SUMIFS(supercb[Qtde],supercb[Item],tab_higiene[[#This Row],[Item]],supercb[Bairro],extras)</f>
        <v>0</v>
      </c>
      <c r="BD26" s="27" t="n">
        <f aca="false">SUM(AK26:BB26)</f>
        <v>0</v>
      </c>
      <c r="BE26" s="27" t="n">
        <f aca="false">IFERROR(BD26*AJ26,0)</f>
        <v>0</v>
      </c>
      <c r="BF26" s="28" t="n">
        <f aca="false">IFERROR(AI26*BD26,0)</f>
        <v>0</v>
      </c>
      <c r="BI26" s="22" t="str">
        <f aca="false">tab_alimentos[[#This Row],[Item]]</f>
        <v>Atum (170g)</v>
      </c>
      <c r="BJ26" s="22" t="n">
        <f aca="false">IFERROR(FIND(" (",BI26),0)</f>
        <v>5</v>
      </c>
      <c r="BK26" s="22" t="str">
        <f aca="false">IF(BJ26=0,BI26,LEFT(BI26,BJ26-1))</f>
        <v>Atum</v>
      </c>
      <c r="BL26" s="22" t="n">
        <f aca="false">tab_alimentos[[#This Row],[kg]]</f>
        <v>0</v>
      </c>
      <c r="BM26" s="32" t="s">
        <v>284</v>
      </c>
      <c r="BN26" s="22" t="n">
        <f aca="false">SUMIF($BJ$5:$BJ$158,BM26,$BK$5:$BK$158)</f>
        <v>0</v>
      </c>
      <c r="BP26" s="22" t="str">
        <f aca="false">tab_higiene[[#This Row],[Item]]</f>
        <v>Amaciante (500mL)</v>
      </c>
      <c r="BQ26" s="22" t="n">
        <f aca="false">IFERROR(FIND(" (",BP26),0)</f>
        <v>10</v>
      </c>
      <c r="BR26" s="22" t="str">
        <f aca="false">IF(BQ26=0,BP26,LEFT(BP26,BQ26-1))</f>
        <v>Amaciante</v>
      </c>
      <c r="BS26" s="22" t="n">
        <f aca="false">higiene[[#This Row],[Quantidade]]</f>
        <v>5</v>
      </c>
      <c r="BT26" s="22" t="n">
        <f aca="false">tab_higiene[Qtde (tot)]</f>
        <v>0</v>
      </c>
      <c r="BU26" s="22" t="n">
        <f aca="false">BS26*BT26</f>
        <v>0</v>
      </c>
      <c r="BV26" s="32" t="s">
        <v>288</v>
      </c>
      <c r="BW26" s="22" t="n">
        <f aca="false">SUMIF($BR$5:$BR$142,BV26,$BU$5:$BU$142)</f>
        <v>358</v>
      </c>
    </row>
    <row r="27" customFormat="false" ht="15" hidden="false" customHeight="false" outlineLevel="0" collapsed="false">
      <c r="A27" s="0" t="n">
        <f aca="false">tabMercados[[#This Row],[Supermercados]]</f>
        <v>0</v>
      </c>
      <c r="B27" s="34" t="n">
        <f aca="false">SUMPRODUCT(tab_alimentos[kg/embalagem],tab_alimentos[Qtde (ex)])</f>
        <v>0</v>
      </c>
      <c r="C27" s="34" t="n">
        <f aca="false">SUMPRODUCT(tab_alimentos[Preço],tab_alimentos[Qtde (ex)])</f>
        <v>0</v>
      </c>
      <c r="D27" s="34" t="n">
        <f aca="false">SUMPRODUCT(tab_higiene[kg/embalagem],tab_higiene[Qtde (ex)])</f>
        <v>0</v>
      </c>
      <c r="E27" s="34" t="n">
        <f aca="false">SUMPRODUCT(tab_higiene[Preço],tab_higiene[Qtde (ex)])</f>
        <v>0</v>
      </c>
      <c r="F27" s="34" t="n">
        <f aca="false">B27+D27</f>
        <v>0</v>
      </c>
      <c r="G27" s="34" t="n">
        <f aca="false">C27+E27</f>
        <v>0</v>
      </c>
      <c r="I27" s="26" t="str">
        <f aca="false">alimentos[[#This Row],[Item]]</f>
        <v>Atum (325g)</v>
      </c>
      <c r="J27" s="27" t="n">
        <f aca="false">IFERROR(alimentos[[#This Row],[kg/embalagem]],0)</f>
        <v>0.325</v>
      </c>
      <c r="K27" s="27" t="n">
        <f aca="false">IFERROR(alimentos[[#This Row],[Preço]],0)</f>
        <v>7.52</v>
      </c>
      <c r="L27" s="27" t="n">
        <f aca="false">SUMIFS(super1[Qtde],super1[Item],tab_alimentos[[#This Row],[Item]],super1[Bairro],mercado1)+SUMIFS(supercb[Qtde],supercb[Item],tab_alimentos[[#This Row],[Item]],supercb[Bairro],mercado1)</f>
        <v>0</v>
      </c>
      <c r="M27" s="27" t="n">
        <f aca="false">SUMIFS(super1[Qtde],super1[Item],tab_alimentos[[#This Row],[Item]],super1[Bairro],mercado2)+SUMIFS(supercb[Qtde],supercb[Item],tab_alimentos[[#This Row],[Item]],supercb[Bairro],mercado2)</f>
        <v>0</v>
      </c>
      <c r="N27" s="27" t="n">
        <f aca="false">SUMIFS(super1[Qtde],super1[Item],tab_alimentos[[#This Row],[Item]],super1[Bairro],mercado3)+SUMIFS(supercb[Qtde],supercb[Item],tab_alimentos[[#This Row],[Item]],supercb[Bairro],mercado3)</f>
        <v>0</v>
      </c>
      <c r="O27" s="27" t="n">
        <f aca="false">SUMIFS(super1[Qtde],super1[Item],tab_alimentos[[#This Row],[Item]],super1[Bairro],mercado4)+SUMIFS(supercb[Qtde],supercb[Item],tab_alimentos[[#This Row],[Item]],supercb[Bairro],mercado4)</f>
        <v>0</v>
      </c>
      <c r="P27" s="27" t="n">
        <f aca="false">SUMIFS(super1[Qtde],super1[Item],tab_alimentos[[#This Row],[Item]],super1[Bairro],mercado5)+SUMIFS(supercb[Qtde],supercb[Item],tab_alimentos[[#This Row],[Item]],supercb[Bairro],mercado5)</f>
        <v>0</v>
      </c>
      <c r="Q27" s="27" t="n">
        <f aca="false">SUMIFS(super1[Qtde],super1[Item],tab_alimentos[[#This Row],[Item]],super1[Bairro],mercado6)+SUMIFS(supercb[Qtde],supercb[Item],tab_alimentos[[#This Row],[Item]],supercb[Bairro],mercado6)</f>
        <v>0</v>
      </c>
      <c r="R27" s="27" t="n">
        <f aca="false">SUMIFS(super1[Qtde],super1[Item],tab_alimentos[[#This Row],[Item]],super1[Bairro],mercado7)+SUMIFS(supercb[Qtde],supercb[Item],tab_alimentos[[#This Row],[Item]],supercb[Bairro],mercado7)</f>
        <v>0</v>
      </c>
      <c r="S27" s="27" t="n">
        <f aca="false">SUMIFS(super1[Qtde],super1[Item],tab_alimentos[[#This Row],[Item]],super1[Bairro],mercado8)+SUMIFS(supercb[Qtde],supercb[Item],tab_alimentos[[#This Row],[Item]],supercb[Bairro],mercado8)</f>
        <v>0</v>
      </c>
      <c r="T27" s="27" t="n">
        <f aca="false">SUMIFS(super1[Qtde],super1[Item],tab_alimentos[[#This Row],[Item]],super1[Bairro],mercado9)+SUMIFS(supercb[Qtde],supercb[Item],tab_alimentos[[#This Row],[Item]],supercb[Bairro],mercado9)</f>
        <v>0</v>
      </c>
      <c r="U27" s="27" t="n">
        <f aca="false">SUMIFS(super1[Qtde],super1[Item],tab_alimentos[[#This Row],[Item]],super1[Bairro],mercado10)+SUMIFS(supercb[Qtde],supercb[Item],tab_alimentos[[#This Row],[Item]],supercb[Bairro],mercado10)</f>
        <v>0</v>
      </c>
      <c r="V27" s="27" t="n">
        <f aca="false">SUMIFS(super1[Qtde],super1[Item],tab_alimentos[[#This Row],[Item]],super1[Bairro],mercado11)+SUMIFS(supercb[Qtde],supercb[Item],tab_alimentos[[#This Row],[Item]],supercb[Bairro],mercado11)</f>
        <v>0</v>
      </c>
      <c r="W27" s="27" t="n">
        <f aca="false">SUMIFS(super1[Qtde],super1[Item],tab_alimentos[[#This Row],[Item]],super1[Bairro],mercado12)+SUMIFS(supercb[Qtde],supercb[Item],tab_alimentos[[#This Row],[Item]],supercb[Bairro],mercado12)</f>
        <v>0</v>
      </c>
      <c r="X27" s="27" t="n">
        <f aca="false">SUMIFS(super1[Qtde],super1[Item],tab_alimentos[[#This Row],[Item]],super1[Bairro],mercado13)+SUMIFS(supercb[Qtde],supercb[Item],tab_alimentos[[#This Row],[Item]],supercb[Bairro],mercado13)</f>
        <v>0</v>
      </c>
      <c r="Y27" s="27" t="n">
        <f aca="false">SUMIFS(super1[Qtde],super1[Item],tab_alimentos[[#This Row],[Item]],super1[Bairro],mercado14)+SUMIFS(supercb[Qtde],supercb[Item],tab_alimentos[[#This Row],[Item]],supercb[Bairro],mercado14)</f>
        <v>0</v>
      </c>
      <c r="Z27" s="27" t="n">
        <f aca="false">SUMIFS(super1[Qtde],super1[Item],tab_alimentos[[#This Row],[Item]],super1[Bairro],mercado15)+SUMIFS(supercb[Qtde],supercb[Item],tab_alimentos[[#This Row],[Item]],supercb[Bairro],mercado15)</f>
        <v>0</v>
      </c>
      <c r="AA27" s="27" t="n">
        <f aca="false">SUMIFS(super1[Qtde],super1[Item],tab_alimentos[[#This Row],[Item]],super1[Bairro],mercado16)+SUMIFS(supercb[Qtde],supercb[Item],tab_alimentos[[#This Row],[Item]],supercb[Bairro],mercado16)</f>
        <v>0</v>
      </c>
      <c r="AB27" s="27" t="n">
        <f aca="false">SUMIFS(super1[Qtde],super1[Item],tab_alimentos[[#This Row],[Item]],super1[Bairro],mercado17)+SUMIFS(supercb[Qtde],supercb[Item],tab_alimentos[[#This Row],[Item]],supercb[Bairro],mercado17)</f>
        <v>0</v>
      </c>
      <c r="AC27" s="27" t="n">
        <f aca="false">SUMIFS(super1[Qtde],super1[Item],tab_alimentos[[#This Row],[Item]],super1[Bairro],mercado18)+SUMIFS(supercb[Qtde],supercb[Item],tab_alimentos[[#This Row],[Item]],supercb[Bairro],mercado18)</f>
        <v>0</v>
      </c>
      <c r="AD27" s="27" t="n">
        <f aca="false">SUMIFS(super1[Qtde],super1[Item],tab_alimentos[[#This Row],[Item]],super1[Bairro],extras)+SUMIFS(supercb[Qtde],supercb[Item],tab_alimentos[[#This Row],[Item]],supercb[Bairro],extras)</f>
        <v>0</v>
      </c>
      <c r="AE27" s="27" t="n">
        <f aca="false">SUM(L27:AC27)</f>
        <v>0</v>
      </c>
      <c r="AF27" s="27" t="n">
        <f aca="false">IFERROR(AE27*K27,0)</f>
        <v>0</v>
      </c>
      <c r="AG27" s="28" t="n">
        <f aca="false">IFERROR(J27*AE27,0)</f>
        <v>0</v>
      </c>
      <c r="AH27" s="26" t="str">
        <f aca="false">higiene[[#This Row],[Item]]</f>
        <v>Amaciante (5L)</v>
      </c>
      <c r="AI27" s="27" t="n">
        <f aca="false">IFERROR(higiene[[#This Row],[Kg equivalente]],0)</f>
        <v>2.99358866717437</v>
      </c>
      <c r="AJ27" s="27" t="n">
        <f aca="false">IFERROR(higiene[[#This Row],[Preço por produto]],0)</f>
        <v>9.916</v>
      </c>
      <c r="AK27" s="27" t="n">
        <f aca="false">SUMIFS(super1[Qtde],super1[Item],tab_higiene[[#This Row],[Item]],super1[Bairro],mercado1)+SUMIFS(supercb[Qtde],supercb[Item],tab_higiene[[#This Row],[Item]],supercb[Bairro],mercado1)</f>
        <v>0</v>
      </c>
      <c r="AL27" s="27" t="n">
        <f aca="false">SUMIFS(super1[Qtde],super1[Item],tab_higiene[[#This Row],[Item]],super1[Bairro],mercado2)+SUMIFS(supercb[Qtde],supercb[Item],tab_higiene[[#This Row],[Item]],supercb[Bairro],mercado2)</f>
        <v>0</v>
      </c>
      <c r="AM27" s="27" t="n">
        <f aca="false">SUMIFS(super1[Qtde],super1[Item],tab_higiene[[#This Row],[Item]],super1[Bairro],mercado3)+SUMIFS(supercb[Qtde],supercb[Item],tab_higiene[[#This Row],[Item]],supercb[Bairro],mercado3)</f>
        <v>0</v>
      </c>
      <c r="AN27" s="27" t="n">
        <f aca="false">SUMIFS(super1[Qtde],super1[Item],tab_higiene[[#This Row],[Item]],super1[Bairro],mercado4)+SUMIFS(supercb[Qtde],supercb[Item],tab_higiene[[#This Row],[Item]],supercb[Bairro],mercado4)</f>
        <v>0</v>
      </c>
      <c r="AO27" s="27" t="n">
        <f aca="false">SUMIFS(super1[Qtde],super1[Item],tab_higiene[[#This Row],[Item]],super1[Bairro],mercado5)+SUMIFS(supercb[Qtde],supercb[Item],tab_higiene[[#This Row],[Item]],supercb[Bairro],mercado5)</f>
        <v>0</v>
      </c>
      <c r="AP27" s="27" t="n">
        <f aca="false">SUMIFS(super1[Qtde],super1[Item],tab_higiene[[#This Row],[Item]],super1[Bairro],mercado6)+SUMIFS(supercb[Qtde],supercb[Item],tab_higiene[[#This Row],[Item]],supercb[Bairro],mercado6)</f>
        <v>0</v>
      </c>
      <c r="AQ27" s="27" t="n">
        <f aca="false">SUMIFS(super1[Qtde],super1[Item],tab_higiene[[#This Row],[Item]],super1[Bairro],mercado7)+SUMIFS(supercb[Qtde],supercb[Item],tab_higiene[[#This Row],[Item]],supercb[Bairro],mercado7)</f>
        <v>1</v>
      </c>
      <c r="AR27" s="27" t="n">
        <f aca="false">SUMIFS(super1[Qtde],super1[Item],tab_higiene[[#This Row],[Item]],super1[Bairro],mercado8)+SUMIFS(supercb[Qtde],supercb[Item],tab_higiene[[#This Row],[Item]],supercb[Bairro],mercado8)</f>
        <v>0</v>
      </c>
      <c r="AS27" s="27" t="n">
        <f aca="false">SUMIFS(super1[Qtde],super1[Item],tab_higiene[[#This Row],[Item]],super1[Bairro],mercado9)+SUMIFS(supercb[Qtde],supercb[Item],tab_higiene[[#This Row],[Item]],supercb[Bairro],mercado9)</f>
        <v>0</v>
      </c>
      <c r="AT27" s="27" t="n">
        <f aca="false">SUMIFS(super1[Qtde],super1[Item],tab_higiene[[#This Row],[Item]],super1[Bairro],mercado10)+SUMIFS(supercb[Qtde],supercb[Item],tab_higiene[[#This Row],[Item]],supercb[Bairro],mercado10)</f>
        <v>1</v>
      </c>
      <c r="AU27" s="27" t="n">
        <f aca="false">SUMIFS(super1[Qtde],super1[Item],tab_higiene[[#This Row],[Item]],super1[Bairro],mercado11)+SUMIFS(supercb[Qtde],supercb[Item],tab_higiene[[#This Row],[Item]],supercb[Bairro],mercado11)</f>
        <v>0</v>
      </c>
      <c r="AV27" s="27" t="n">
        <f aca="false">SUMIFS(super1[Qtde],super1[Item],tab_higiene[[#This Row],[Item]],super1[Bairro],mercado12)+SUMIFS(supercb[Qtde],supercb[Item],tab_higiene[[#This Row],[Item]],supercb[Bairro],mercado12)</f>
        <v>0</v>
      </c>
      <c r="AW27" s="27" t="n">
        <f aca="false">SUMIFS(super1[Qtde],super1[Item],tab_higiene[[#This Row],[Item]],super1[Bairro],mercado13)+SUMIFS(supercb[Qtde],supercb[Item],tab_higiene[[#This Row],[Item]],supercb[Bairro],mercado13)</f>
        <v>0</v>
      </c>
      <c r="AX27" s="27" t="n">
        <f aca="false">SUMIFS(super1[Qtde],super1[Item],tab_higiene[[#This Row],[Item]],super1[Bairro],mercado14)+SUMIFS(supercb[Qtde],supercb[Item],tab_higiene[[#This Row],[Item]],supercb[Bairro],mercado14)</f>
        <v>0</v>
      </c>
      <c r="AY27" s="27" t="n">
        <f aca="false">SUMIFS(super1[Qtde],super1[Item],tab_higiene[[#This Row],[Item]],super1[Bairro],mercado15)+SUMIFS(supercb[Qtde],supercb[Item],tab_higiene[[#This Row],[Item]],supercb[Bairro],mercado15)</f>
        <v>0</v>
      </c>
      <c r="AZ27" s="27" t="n">
        <f aca="false">SUMIFS(super1[Qtde],super1[Item],tab_higiene[[#This Row],[Item]],super1[Bairro],mercado16)+SUMIFS(supercb[Qtde],supercb[Item],tab_higiene[[#This Row],[Item]],supercb[Bairro],mercado16)</f>
        <v>0</v>
      </c>
      <c r="BA27" s="27" t="n">
        <f aca="false">SUMIFS(super1[Qtde],super1[Item],tab_higiene[[#This Row],[Item]],super1[Bairro],mercado17)+SUMIFS(supercb[Qtde],supercb[Item],tab_higiene[[#This Row],[Item]],supercb[Bairro],mercado17)</f>
        <v>0</v>
      </c>
      <c r="BB27" s="27" t="n">
        <f aca="false">SUMIFS(super1[Qtde],super1[Item],tab_higiene[[#This Row],[Item]],super1[Bairro],mercado18)+SUMIFS(supercb[Qtde],supercb[Item],tab_higiene[[#This Row],[Item]],supercb[Bairro],mercado18)</f>
        <v>0</v>
      </c>
      <c r="BC27" s="27" t="n">
        <f aca="false">SUMIFS(super1[Qtde],super1[Item],tab_higiene[[#This Row],[Item]],super1[Bairro],extras)+SUMIFS(supercb[Qtde],supercb[Item],tab_higiene[[#This Row],[Item]],supercb[Bairro],extras)</f>
        <v>0</v>
      </c>
      <c r="BD27" s="27" t="n">
        <f aca="false">SUM(AK27:BB27)</f>
        <v>2</v>
      </c>
      <c r="BE27" s="27" t="n">
        <f aca="false">IFERROR(BD27*AJ27,0)</f>
        <v>19.832</v>
      </c>
      <c r="BF27" s="28" t="n">
        <f aca="false">IFERROR(AI27*BD27,0)</f>
        <v>5.98717733434874</v>
      </c>
      <c r="BI27" s="22" t="str">
        <f aca="false">tab_alimentos[[#This Row],[Item]]</f>
        <v>Atum (325g)</v>
      </c>
      <c r="BJ27" s="22" t="n">
        <f aca="false">IFERROR(FIND(" (",BI27),0)</f>
        <v>5</v>
      </c>
      <c r="BK27" s="22" t="str">
        <f aca="false">IF(BJ27=0,BI27,LEFT(BI27,BJ27-1))</f>
        <v>Atum</v>
      </c>
      <c r="BL27" s="22" t="n">
        <f aca="false">tab_alimentos[[#This Row],[kg]]</f>
        <v>0</v>
      </c>
      <c r="BM27" s="32" t="s">
        <v>289</v>
      </c>
      <c r="BN27" s="22" t="n">
        <f aca="false">SUMIF($BJ$5:$BJ$158,BM27,$BK$5:$BK$158)</f>
        <v>0</v>
      </c>
      <c r="BP27" s="22" t="str">
        <f aca="false">tab_higiene[[#This Row],[Item]]</f>
        <v>Amaciante (5L)</v>
      </c>
      <c r="BQ27" s="22" t="n">
        <f aca="false">IFERROR(FIND(" (",BP27),0)</f>
        <v>10</v>
      </c>
      <c r="BR27" s="22" t="str">
        <f aca="false">IF(BQ27=0,BP27,LEFT(BP27,BQ27-1))</f>
        <v>Amaciante</v>
      </c>
      <c r="BS27" s="22" t="n">
        <f aca="false">higiene[[#This Row],[Quantidade]]</f>
        <v>0.1</v>
      </c>
      <c r="BT27" s="22" t="n">
        <f aca="false">tab_higiene[Qtde (tot)]</f>
        <v>2</v>
      </c>
      <c r="BU27" s="22" t="n">
        <f aca="false">BS27*BT27</f>
        <v>0.2</v>
      </c>
      <c r="BV27" s="32" t="s">
        <v>83</v>
      </c>
      <c r="BW27" s="22" t="n">
        <f aca="false">SUMIF($BR$5:$BR$142,BV27,$BU$5:$BU$142)</f>
        <v>120</v>
      </c>
    </row>
    <row r="28" customFormat="false" ht="15" hidden="false" customHeight="false" outlineLevel="0" collapsed="false">
      <c r="I28" s="26" t="str">
        <f aca="false">alimentos[[#This Row],[Item]]</f>
        <v>Aveia (200g)</v>
      </c>
      <c r="J28" s="27" t="n">
        <f aca="false">IFERROR(alimentos[[#This Row],[kg/embalagem]],0)</f>
        <v>0.2</v>
      </c>
      <c r="K28" s="27" t="n">
        <f aca="false">IFERROR(alimentos[[#This Row],[Preço]],0)</f>
        <v>2.726</v>
      </c>
      <c r="L28" s="27" t="n">
        <f aca="false">SUMIFS(super1[Qtde],super1[Item],tab_alimentos[[#This Row],[Item]],super1[Bairro],mercado1)+SUMIFS(supercb[Qtde],supercb[Item],tab_alimentos[[#This Row],[Item]],supercb[Bairro],mercado1)</f>
        <v>0</v>
      </c>
      <c r="M28" s="27" t="n">
        <f aca="false">SUMIFS(super1[Qtde],super1[Item],tab_alimentos[[#This Row],[Item]],super1[Bairro],mercado2)+SUMIFS(supercb[Qtde],supercb[Item],tab_alimentos[[#This Row],[Item]],supercb[Bairro],mercado2)</f>
        <v>0</v>
      </c>
      <c r="N28" s="27" t="n">
        <f aca="false">SUMIFS(super1[Qtde],super1[Item],tab_alimentos[[#This Row],[Item]],super1[Bairro],mercado3)+SUMIFS(supercb[Qtde],supercb[Item],tab_alimentos[[#This Row],[Item]],supercb[Bairro],mercado3)</f>
        <v>0</v>
      </c>
      <c r="O28" s="27" t="n">
        <f aca="false">SUMIFS(super1[Qtde],super1[Item],tab_alimentos[[#This Row],[Item]],super1[Bairro],mercado4)+SUMIFS(supercb[Qtde],supercb[Item],tab_alimentos[[#This Row],[Item]],supercb[Bairro],mercado4)</f>
        <v>0</v>
      </c>
      <c r="P28" s="27" t="n">
        <f aca="false">SUMIFS(super1[Qtde],super1[Item],tab_alimentos[[#This Row],[Item]],super1[Bairro],mercado5)+SUMIFS(supercb[Qtde],supercb[Item],tab_alimentos[[#This Row],[Item]],supercb[Bairro],mercado5)</f>
        <v>0</v>
      </c>
      <c r="Q28" s="27" t="n">
        <f aca="false">SUMIFS(super1[Qtde],super1[Item],tab_alimentos[[#This Row],[Item]],super1[Bairro],mercado6)+SUMIFS(supercb[Qtde],supercb[Item],tab_alimentos[[#This Row],[Item]],supercb[Bairro],mercado6)</f>
        <v>0</v>
      </c>
      <c r="R28" s="27" t="n">
        <f aca="false">SUMIFS(super1[Qtde],super1[Item],tab_alimentos[[#This Row],[Item]],super1[Bairro],mercado7)+SUMIFS(supercb[Qtde],supercb[Item],tab_alimentos[[#This Row],[Item]],supercb[Bairro],mercado7)</f>
        <v>0</v>
      </c>
      <c r="S28" s="27" t="n">
        <f aca="false">SUMIFS(super1[Qtde],super1[Item],tab_alimentos[[#This Row],[Item]],super1[Bairro],mercado8)+SUMIFS(supercb[Qtde],supercb[Item],tab_alimentos[[#This Row],[Item]],supercb[Bairro],mercado8)</f>
        <v>0</v>
      </c>
      <c r="T28" s="27" t="n">
        <f aca="false">SUMIFS(super1[Qtde],super1[Item],tab_alimentos[[#This Row],[Item]],super1[Bairro],mercado9)+SUMIFS(supercb[Qtde],supercb[Item],tab_alimentos[[#This Row],[Item]],supercb[Bairro],mercado9)</f>
        <v>0</v>
      </c>
      <c r="U28" s="27" t="n">
        <f aca="false">SUMIFS(super1[Qtde],super1[Item],tab_alimentos[[#This Row],[Item]],super1[Bairro],mercado10)+SUMIFS(supercb[Qtde],supercb[Item],tab_alimentos[[#This Row],[Item]],supercb[Bairro],mercado10)</f>
        <v>0</v>
      </c>
      <c r="V28" s="27" t="n">
        <f aca="false">SUMIFS(super1[Qtde],super1[Item],tab_alimentos[[#This Row],[Item]],super1[Bairro],mercado11)+SUMIFS(supercb[Qtde],supercb[Item],tab_alimentos[[#This Row],[Item]],supercb[Bairro],mercado11)</f>
        <v>0</v>
      </c>
      <c r="W28" s="27" t="n">
        <f aca="false">SUMIFS(super1[Qtde],super1[Item],tab_alimentos[[#This Row],[Item]],super1[Bairro],mercado12)+SUMIFS(supercb[Qtde],supercb[Item],tab_alimentos[[#This Row],[Item]],supercb[Bairro],mercado12)</f>
        <v>0</v>
      </c>
      <c r="X28" s="27" t="n">
        <f aca="false">SUMIFS(super1[Qtde],super1[Item],tab_alimentos[[#This Row],[Item]],super1[Bairro],mercado13)+SUMIFS(supercb[Qtde],supercb[Item],tab_alimentos[[#This Row],[Item]],supercb[Bairro],mercado13)</f>
        <v>0</v>
      </c>
      <c r="Y28" s="27" t="n">
        <f aca="false">SUMIFS(super1[Qtde],super1[Item],tab_alimentos[[#This Row],[Item]],super1[Bairro],mercado14)+SUMIFS(supercb[Qtde],supercb[Item],tab_alimentos[[#This Row],[Item]],supercb[Bairro],mercado14)</f>
        <v>0</v>
      </c>
      <c r="Z28" s="27" t="n">
        <f aca="false">SUMIFS(super1[Qtde],super1[Item],tab_alimentos[[#This Row],[Item]],super1[Bairro],mercado15)+SUMIFS(supercb[Qtde],supercb[Item],tab_alimentos[[#This Row],[Item]],supercb[Bairro],mercado15)</f>
        <v>0</v>
      </c>
      <c r="AA28" s="27" t="n">
        <f aca="false">SUMIFS(super1[Qtde],super1[Item],tab_alimentos[[#This Row],[Item]],super1[Bairro],mercado16)+SUMIFS(supercb[Qtde],supercb[Item],tab_alimentos[[#This Row],[Item]],supercb[Bairro],mercado16)</f>
        <v>0</v>
      </c>
      <c r="AB28" s="27" t="n">
        <f aca="false">SUMIFS(super1[Qtde],super1[Item],tab_alimentos[[#This Row],[Item]],super1[Bairro],mercado17)+SUMIFS(supercb[Qtde],supercb[Item],tab_alimentos[[#This Row],[Item]],supercb[Bairro],mercado17)</f>
        <v>0</v>
      </c>
      <c r="AC28" s="27" t="n">
        <f aca="false">SUMIFS(super1[Qtde],super1[Item],tab_alimentos[[#This Row],[Item]],super1[Bairro],mercado18)+SUMIFS(supercb[Qtde],supercb[Item],tab_alimentos[[#This Row],[Item]],supercb[Bairro],mercado18)</f>
        <v>0</v>
      </c>
      <c r="AD28" s="27" t="n">
        <f aca="false">SUMIFS(super1[Qtde],super1[Item],tab_alimentos[[#This Row],[Item]],super1[Bairro],extras)+SUMIFS(supercb[Qtde],supercb[Item],tab_alimentos[[#This Row],[Item]],supercb[Bairro],extras)</f>
        <v>0</v>
      </c>
      <c r="AE28" s="27" t="n">
        <f aca="false">SUM(L28:AC28)</f>
        <v>0</v>
      </c>
      <c r="AF28" s="27" t="n">
        <f aca="false">IFERROR(AE28*K28,0)</f>
        <v>0</v>
      </c>
      <c r="AG28" s="28" t="n">
        <f aca="false">IFERROR(J28*AE28,0)</f>
        <v>0</v>
      </c>
      <c r="AH28" s="26" t="str">
        <f aca="false">higiene[[#This Row],[Item]]</f>
        <v>Amaciante (900ml)</v>
      </c>
      <c r="AI28" s="27" t="n">
        <f aca="false">IFERROR(higiene[[#This Row],[Kg equivalente]],0)</f>
        <v>2.46949932407083</v>
      </c>
      <c r="AJ28" s="27" t="n">
        <f aca="false">IFERROR(higiene[[#This Row],[Preço por produto]],0)</f>
        <v>8.18</v>
      </c>
      <c r="AK28" s="27" t="n">
        <f aca="false">SUMIFS(super1[Qtde],super1[Item],tab_higiene[[#This Row],[Item]],super1[Bairro],mercado1)+SUMIFS(supercb[Qtde],supercb[Item],tab_higiene[[#This Row],[Item]],supercb[Bairro],mercado1)</f>
        <v>0</v>
      </c>
      <c r="AL28" s="27" t="n">
        <f aca="false">SUMIFS(super1[Qtde],super1[Item],tab_higiene[[#This Row],[Item]],super1[Bairro],mercado2)+SUMIFS(supercb[Qtde],supercb[Item],tab_higiene[[#This Row],[Item]],supercb[Bairro],mercado2)</f>
        <v>0</v>
      </c>
      <c r="AM28" s="27" t="n">
        <f aca="false">SUMIFS(super1[Qtde],super1[Item],tab_higiene[[#This Row],[Item]],super1[Bairro],mercado3)+SUMIFS(supercb[Qtde],supercb[Item],tab_higiene[[#This Row],[Item]],supercb[Bairro],mercado3)</f>
        <v>0</v>
      </c>
      <c r="AN28" s="27" t="n">
        <f aca="false">SUMIFS(super1[Qtde],super1[Item],tab_higiene[[#This Row],[Item]],super1[Bairro],mercado4)+SUMIFS(supercb[Qtde],supercb[Item],tab_higiene[[#This Row],[Item]],supercb[Bairro],mercado4)</f>
        <v>0</v>
      </c>
      <c r="AO28" s="27" t="n">
        <f aca="false">SUMIFS(super1[Qtde],super1[Item],tab_higiene[[#This Row],[Item]],super1[Bairro],mercado5)+SUMIFS(supercb[Qtde],supercb[Item],tab_higiene[[#This Row],[Item]],supercb[Bairro],mercado5)</f>
        <v>0</v>
      </c>
      <c r="AP28" s="27" t="n">
        <f aca="false">SUMIFS(super1[Qtde],super1[Item],tab_higiene[[#This Row],[Item]],super1[Bairro],mercado6)+SUMIFS(supercb[Qtde],supercb[Item],tab_higiene[[#This Row],[Item]],supercb[Bairro],mercado6)</f>
        <v>0</v>
      </c>
      <c r="AQ28" s="27" t="n">
        <f aca="false">SUMIFS(super1[Qtde],super1[Item],tab_higiene[[#This Row],[Item]],super1[Bairro],mercado7)+SUMIFS(supercb[Qtde],supercb[Item],tab_higiene[[#This Row],[Item]],supercb[Bairro],mercado7)</f>
        <v>0</v>
      </c>
      <c r="AR28" s="27" t="n">
        <f aca="false">SUMIFS(super1[Qtde],super1[Item],tab_higiene[[#This Row],[Item]],super1[Bairro],mercado8)+SUMIFS(supercb[Qtde],supercb[Item],tab_higiene[[#This Row],[Item]],supercb[Bairro],mercado8)</f>
        <v>0</v>
      </c>
      <c r="AS28" s="27" t="n">
        <f aca="false">SUMIFS(super1[Qtde],super1[Item],tab_higiene[[#This Row],[Item]],super1[Bairro],mercado9)+SUMIFS(supercb[Qtde],supercb[Item],tab_higiene[[#This Row],[Item]],supercb[Bairro],mercado9)</f>
        <v>0</v>
      </c>
      <c r="AT28" s="27" t="n">
        <f aca="false">SUMIFS(super1[Qtde],super1[Item],tab_higiene[[#This Row],[Item]],super1[Bairro],mercado10)+SUMIFS(supercb[Qtde],supercb[Item],tab_higiene[[#This Row],[Item]],supercb[Bairro],mercado10)</f>
        <v>0</v>
      </c>
      <c r="AU28" s="27" t="n">
        <f aca="false">SUMIFS(super1[Qtde],super1[Item],tab_higiene[[#This Row],[Item]],super1[Bairro],mercado11)+SUMIFS(supercb[Qtde],supercb[Item],tab_higiene[[#This Row],[Item]],supercb[Bairro],mercado11)</f>
        <v>0</v>
      </c>
      <c r="AV28" s="27" t="n">
        <f aca="false">SUMIFS(super1[Qtde],super1[Item],tab_higiene[[#This Row],[Item]],super1[Bairro],mercado12)+SUMIFS(supercb[Qtde],supercb[Item],tab_higiene[[#This Row],[Item]],supercb[Bairro],mercado12)</f>
        <v>0</v>
      </c>
      <c r="AW28" s="27" t="n">
        <f aca="false">SUMIFS(super1[Qtde],super1[Item],tab_higiene[[#This Row],[Item]],super1[Bairro],mercado13)+SUMIFS(supercb[Qtde],supercb[Item],tab_higiene[[#This Row],[Item]],supercb[Bairro],mercado13)</f>
        <v>0</v>
      </c>
      <c r="AX28" s="27" t="n">
        <f aca="false">SUMIFS(super1[Qtde],super1[Item],tab_higiene[[#This Row],[Item]],super1[Bairro],mercado14)+SUMIFS(supercb[Qtde],supercb[Item],tab_higiene[[#This Row],[Item]],supercb[Bairro],mercado14)</f>
        <v>0</v>
      </c>
      <c r="AY28" s="27" t="n">
        <f aca="false">SUMIFS(super1[Qtde],super1[Item],tab_higiene[[#This Row],[Item]],super1[Bairro],mercado15)+SUMIFS(supercb[Qtde],supercb[Item],tab_higiene[[#This Row],[Item]],supercb[Bairro],mercado15)</f>
        <v>0</v>
      </c>
      <c r="AZ28" s="27" t="n">
        <f aca="false">SUMIFS(super1[Qtde],super1[Item],tab_higiene[[#This Row],[Item]],super1[Bairro],mercado16)+SUMIFS(supercb[Qtde],supercb[Item],tab_higiene[[#This Row],[Item]],supercb[Bairro],mercado16)</f>
        <v>0</v>
      </c>
      <c r="BA28" s="27" t="n">
        <f aca="false">SUMIFS(super1[Qtde],super1[Item],tab_higiene[[#This Row],[Item]],super1[Bairro],mercado17)+SUMIFS(supercb[Qtde],supercb[Item],tab_higiene[[#This Row],[Item]],supercb[Bairro],mercado17)</f>
        <v>0</v>
      </c>
      <c r="BB28" s="27" t="n">
        <f aca="false">SUMIFS(super1[Qtde],super1[Item],tab_higiene[[#This Row],[Item]],super1[Bairro],mercado18)+SUMIFS(supercb[Qtde],supercb[Item],tab_higiene[[#This Row],[Item]],supercb[Bairro],mercado18)</f>
        <v>0</v>
      </c>
      <c r="BC28" s="27" t="n">
        <f aca="false">SUMIFS(super1[Qtde],super1[Item],tab_higiene[[#This Row],[Item]],super1[Bairro],extras)+SUMIFS(supercb[Qtde],supercb[Item],tab_higiene[[#This Row],[Item]],supercb[Bairro],extras)</f>
        <v>0</v>
      </c>
      <c r="BD28" s="27" t="n">
        <f aca="false">SUM(AK28:BB28)</f>
        <v>0</v>
      </c>
      <c r="BE28" s="27" t="n">
        <f aca="false">IFERROR(BD28*AJ28,0)</f>
        <v>0</v>
      </c>
      <c r="BF28" s="28" t="n">
        <f aca="false">IFERROR(AI28*BD28,0)</f>
        <v>0</v>
      </c>
      <c r="BI28" s="22" t="str">
        <f aca="false">tab_alimentos[[#This Row],[Item]]</f>
        <v>Aveia (200g)</v>
      </c>
      <c r="BJ28" s="22" t="n">
        <f aca="false">IFERROR(FIND(" (",BI28),0)</f>
        <v>6</v>
      </c>
      <c r="BK28" s="22" t="str">
        <f aca="false">IF(BJ28=0,BI28,LEFT(BI28,BJ28-1))</f>
        <v>Aveia</v>
      </c>
      <c r="BL28" s="22" t="n">
        <f aca="false">tab_alimentos[[#This Row],[kg]]</f>
        <v>0</v>
      </c>
      <c r="BM28" s="32" t="s">
        <v>290</v>
      </c>
      <c r="BN28" s="22" t="n">
        <f aca="false">SUMIF($BJ$5:$BJ$158,BM28,$BK$5:$BK$158)</f>
        <v>0</v>
      </c>
      <c r="BP28" s="22" t="str">
        <f aca="false">tab_higiene[[#This Row],[Item]]</f>
        <v>Amaciante (900ml)</v>
      </c>
      <c r="BQ28" s="22" t="n">
        <f aca="false">IFERROR(FIND(" (",BP28),0)</f>
        <v>10</v>
      </c>
      <c r="BR28" s="22" t="str">
        <f aca="false">IF(BQ28=0,BP28,LEFT(BP28,BQ28-1))</f>
        <v>Amaciante</v>
      </c>
      <c r="BS28" s="22" t="n">
        <f aca="false">higiene[[#This Row],[Quantidade]]</f>
        <v>2</v>
      </c>
      <c r="BT28" s="22" t="n">
        <f aca="false">tab_higiene[Qtde (tot)]</f>
        <v>0</v>
      </c>
      <c r="BU28" s="22" t="n">
        <f aca="false">BS28*BT28</f>
        <v>0</v>
      </c>
      <c r="BV28" s="32" t="s">
        <v>291</v>
      </c>
      <c r="BW28" s="22" t="n">
        <f aca="false">SUMIF($BR$5:$BR$142,BV28,$BU$5:$BU$142)</f>
        <v>0</v>
      </c>
    </row>
    <row r="29" customFormat="false" ht="15" hidden="false" customHeight="false" outlineLevel="0" collapsed="false">
      <c r="A29" s="0" t="s">
        <v>254</v>
      </c>
      <c r="B29" s="34" t="n">
        <f aca="false">SUM(B9:B27)</f>
        <v>4191.425</v>
      </c>
      <c r="C29" s="34" t="n">
        <f aca="false">SUM(C9:C27)</f>
        <v>13883.7278333333</v>
      </c>
      <c r="D29" s="34" t="n">
        <f aca="false">SUM(D9:D27)</f>
        <v>2670.92709563913</v>
      </c>
      <c r="E29" s="34" t="n">
        <f aca="false">SUM(E9:E27)</f>
        <v>8847.21183333333</v>
      </c>
      <c r="F29" s="34" t="n">
        <f aca="false">SUM(F9:F27)</f>
        <v>6862.35209563913</v>
      </c>
      <c r="G29" s="34" t="n">
        <f aca="false">SUM(G9:G27)</f>
        <v>22730.9396666667</v>
      </c>
      <c r="I29" s="26" t="str">
        <f aca="false">alimentos[[#This Row],[Item]]</f>
        <v>Aveia (500g)</v>
      </c>
      <c r="J29" s="27" t="n">
        <f aca="false">IFERROR(alimentos[[#This Row],[kg/embalagem]],0)</f>
        <v>0.5</v>
      </c>
      <c r="K29" s="27" t="n">
        <f aca="false">IFERROR(alimentos[[#This Row],[Preço]],0)</f>
        <v>7.648</v>
      </c>
      <c r="L29" s="27" t="n">
        <f aca="false">SUMIFS(super1[Qtde],super1[Item],tab_alimentos[[#This Row],[Item]],super1[Bairro],mercado1)+SUMIFS(supercb[Qtde],supercb[Item],tab_alimentos[[#This Row],[Item]],supercb[Bairro],mercado1)</f>
        <v>0</v>
      </c>
      <c r="M29" s="27" t="n">
        <f aca="false">SUMIFS(super1[Qtde],super1[Item],tab_alimentos[[#This Row],[Item]],super1[Bairro],mercado2)+SUMIFS(supercb[Qtde],supercb[Item],tab_alimentos[[#This Row],[Item]],supercb[Bairro],mercado2)</f>
        <v>0</v>
      </c>
      <c r="N29" s="27" t="n">
        <f aca="false">SUMIFS(super1[Qtde],super1[Item],tab_alimentos[[#This Row],[Item]],super1[Bairro],mercado3)+SUMIFS(supercb[Qtde],supercb[Item],tab_alimentos[[#This Row],[Item]],supercb[Bairro],mercado3)</f>
        <v>0</v>
      </c>
      <c r="O29" s="27" t="n">
        <f aca="false">SUMIFS(super1[Qtde],super1[Item],tab_alimentos[[#This Row],[Item]],super1[Bairro],mercado4)+SUMIFS(supercb[Qtde],supercb[Item],tab_alimentos[[#This Row],[Item]],supercb[Bairro],mercado4)</f>
        <v>0</v>
      </c>
      <c r="P29" s="27" t="n">
        <f aca="false">SUMIFS(super1[Qtde],super1[Item],tab_alimentos[[#This Row],[Item]],super1[Bairro],mercado5)+SUMIFS(supercb[Qtde],supercb[Item],tab_alimentos[[#This Row],[Item]],supercb[Bairro],mercado5)</f>
        <v>0</v>
      </c>
      <c r="Q29" s="27" t="n">
        <f aca="false">SUMIFS(super1[Qtde],super1[Item],tab_alimentos[[#This Row],[Item]],super1[Bairro],mercado6)+SUMIFS(supercb[Qtde],supercb[Item],tab_alimentos[[#This Row],[Item]],supercb[Bairro],mercado6)</f>
        <v>0</v>
      </c>
      <c r="R29" s="27" t="n">
        <f aca="false">SUMIFS(super1[Qtde],super1[Item],tab_alimentos[[#This Row],[Item]],super1[Bairro],mercado7)+SUMIFS(supercb[Qtde],supercb[Item],tab_alimentos[[#This Row],[Item]],supercb[Bairro],mercado7)</f>
        <v>0</v>
      </c>
      <c r="S29" s="27" t="n">
        <f aca="false">SUMIFS(super1[Qtde],super1[Item],tab_alimentos[[#This Row],[Item]],super1[Bairro],mercado8)+SUMIFS(supercb[Qtde],supercb[Item],tab_alimentos[[#This Row],[Item]],supercb[Bairro],mercado8)</f>
        <v>0</v>
      </c>
      <c r="T29" s="27" t="n">
        <f aca="false">SUMIFS(super1[Qtde],super1[Item],tab_alimentos[[#This Row],[Item]],super1[Bairro],mercado9)+SUMIFS(supercb[Qtde],supercb[Item],tab_alimentos[[#This Row],[Item]],supercb[Bairro],mercado9)</f>
        <v>0</v>
      </c>
      <c r="U29" s="27" t="n">
        <f aca="false">SUMIFS(super1[Qtde],super1[Item],tab_alimentos[[#This Row],[Item]],super1[Bairro],mercado10)+SUMIFS(supercb[Qtde],supercb[Item],tab_alimentos[[#This Row],[Item]],supercb[Bairro],mercado10)</f>
        <v>0</v>
      </c>
      <c r="V29" s="27" t="n">
        <f aca="false">SUMIFS(super1[Qtde],super1[Item],tab_alimentos[[#This Row],[Item]],super1[Bairro],mercado11)+SUMIFS(supercb[Qtde],supercb[Item],tab_alimentos[[#This Row],[Item]],supercb[Bairro],mercado11)</f>
        <v>0</v>
      </c>
      <c r="W29" s="27" t="n">
        <f aca="false">SUMIFS(super1[Qtde],super1[Item],tab_alimentos[[#This Row],[Item]],super1[Bairro],mercado12)+SUMIFS(supercb[Qtde],supercb[Item],tab_alimentos[[#This Row],[Item]],supercb[Bairro],mercado12)</f>
        <v>0</v>
      </c>
      <c r="X29" s="27" t="n">
        <f aca="false">SUMIFS(super1[Qtde],super1[Item],tab_alimentos[[#This Row],[Item]],super1[Bairro],mercado13)+SUMIFS(supercb[Qtde],supercb[Item],tab_alimentos[[#This Row],[Item]],supercb[Bairro],mercado13)</f>
        <v>0</v>
      </c>
      <c r="Y29" s="27" t="n">
        <f aca="false">SUMIFS(super1[Qtde],super1[Item],tab_alimentos[[#This Row],[Item]],super1[Bairro],mercado14)+SUMIFS(supercb[Qtde],supercb[Item],tab_alimentos[[#This Row],[Item]],supercb[Bairro],mercado14)</f>
        <v>0</v>
      </c>
      <c r="Z29" s="27" t="n">
        <f aca="false">SUMIFS(super1[Qtde],super1[Item],tab_alimentos[[#This Row],[Item]],super1[Bairro],mercado15)+SUMIFS(supercb[Qtde],supercb[Item],tab_alimentos[[#This Row],[Item]],supercb[Bairro],mercado15)</f>
        <v>0</v>
      </c>
      <c r="AA29" s="27" t="n">
        <f aca="false">SUMIFS(super1[Qtde],super1[Item],tab_alimentos[[#This Row],[Item]],super1[Bairro],mercado16)+SUMIFS(supercb[Qtde],supercb[Item],tab_alimentos[[#This Row],[Item]],supercb[Bairro],mercado16)</f>
        <v>0</v>
      </c>
      <c r="AB29" s="27" t="n">
        <f aca="false">SUMIFS(super1[Qtde],super1[Item],tab_alimentos[[#This Row],[Item]],super1[Bairro],mercado17)+SUMIFS(supercb[Qtde],supercb[Item],tab_alimentos[[#This Row],[Item]],supercb[Bairro],mercado17)</f>
        <v>0</v>
      </c>
      <c r="AC29" s="27" t="n">
        <f aca="false">SUMIFS(super1[Qtde],super1[Item],tab_alimentos[[#This Row],[Item]],super1[Bairro],mercado18)+SUMIFS(supercb[Qtde],supercb[Item],tab_alimentos[[#This Row],[Item]],supercb[Bairro],mercado18)</f>
        <v>0</v>
      </c>
      <c r="AD29" s="27" t="n">
        <f aca="false">SUMIFS(super1[Qtde],super1[Item],tab_alimentos[[#This Row],[Item]],super1[Bairro],extras)+SUMIFS(supercb[Qtde],supercb[Item],tab_alimentos[[#This Row],[Item]],supercb[Bairro],extras)</f>
        <v>0</v>
      </c>
      <c r="AE29" s="27" t="n">
        <f aca="false">SUM(L29:AC29)</f>
        <v>0</v>
      </c>
      <c r="AF29" s="27" t="n">
        <f aca="false">IFERROR(AE29*K29,0)</f>
        <v>0</v>
      </c>
      <c r="AG29" s="28" t="n">
        <f aca="false">IFERROR(J29*AE29,0)</f>
        <v>0</v>
      </c>
      <c r="AH29" s="26" t="str">
        <f aca="false">higiene[[#This Row],[Item]]</f>
        <v>Amaciante(1L)</v>
      </c>
      <c r="AI29" s="27" t="n">
        <f aca="false">IFERROR(higiene[[#This Row],[Kg equivalente]],0)</f>
        <v>5.58505348353427</v>
      </c>
      <c r="AJ29" s="27" t="n">
        <f aca="false">IFERROR(higiene[[#This Row],[Preço por produto]],0)</f>
        <v>18.5</v>
      </c>
      <c r="AK29" s="27" t="n">
        <f aca="false">SUMIFS(super1[Qtde],super1[Item],tab_higiene[[#This Row],[Item]],super1[Bairro],mercado1)+SUMIFS(supercb[Qtde],supercb[Item],tab_higiene[[#This Row],[Item]],supercb[Bairro],mercado1)</f>
        <v>0</v>
      </c>
      <c r="AL29" s="27" t="n">
        <f aca="false">SUMIFS(super1[Qtde],super1[Item],tab_higiene[[#This Row],[Item]],super1[Bairro],mercado2)+SUMIFS(supercb[Qtde],supercb[Item],tab_higiene[[#This Row],[Item]],supercb[Bairro],mercado2)</f>
        <v>0</v>
      </c>
      <c r="AM29" s="27" t="n">
        <f aca="false">SUMIFS(super1[Qtde],super1[Item],tab_higiene[[#This Row],[Item]],super1[Bairro],mercado3)+SUMIFS(supercb[Qtde],supercb[Item],tab_higiene[[#This Row],[Item]],supercb[Bairro],mercado3)</f>
        <v>0</v>
      </c>
      <c r="AN29" s="27" t="n">
        <f aca="false">SUMIFS(super1[Qtde],super1[Item],tab_higiene[[#This Row],[Item]],super1[Bairro],mercado4)+SUMIFS(supercb[Qtde],supercb[Item],tab_higiene[[#This Row],[Item]],supercb[Bairro],mercado4)</f>
        <v>0</v>
      </c>
      <c r="AO29" s="27" t="n">
        <f aca="false">SUMIFS(super1[Qtde],super1[Item],tab_higiene[[#This Row],[Item]],super1[Bairro],mercado5)+SUMIFS(supercb[Qtde],supercb[Item],tab_higiene[[#This Row],[Item]],supercb[Bairro],mercado5)</f>
        <v>0</v>
      </c>
      <c r="AP29" s="27" t="n">
        <f aca="false">SUMIFS(super1[Qtde],super1[Item],tab_higiene[[#This Row],[Item]],super1[Bairro],mercado6)+SUMIFS(supercb[Qtde],supercb[Item],tab_higiene[[#This Row],[Item]],supercb[Bairro],mercado6)</f>
        <v>0</v>
      </c>
      <c r="AQ29" s="27" t="n">
        <f aca="false">SUMIFS(super1[Qtde],super1[Item],tab_higiene[[#This Row],[Item]],super1[Bairro],mercado7)+SUMIFS(supercb[Qtde],supercb[Item],tab_higiene[[#This Row],[Item]],supercb[Bairro],mercado7)</f>
        <v>0</v>
      </c>
      <c r="AR29" s="27" t="n">
        <f aca="false">SUMIFS(super1[Qtde],super1[Item],tab_higiene[[#This Row],[Item]],super1[Bairro],mercado8)+SUMIFS(supercb[Qtde],supercb[Item],tab_higiene[[#This Row],[Item]],supercb[Bairro],mercado8)</f>
        <v>0</v>
      </c>
      <c r="AS29" s="27" t="n">
        <f aca="false">SUMIFS(super1[Qtde],super1[Item],tab_higiene[[#This Row],[Item]],super1[Bairro],mercado9)+SUMIFS(supercb[Qtde],supercb[Item],tab_higiene[[#This Row],[Item]],supercb[Bairro],mercado9)</f>
        <v>0</v>
      </c>
      <c r="AT29" s="27" t="n">
        <f aca="false">SUMIFS(super1[Qtde],super1[Item],tab_higiene[[#This Row],[Item]],super1[Bairro],mercado10)+SUMIFS(supercb[Qtde],supercb[Item],tab_higiene[[#This Row],[Item]],supercb[Bairro],mercado10)</f>
        <v>0</v>
      </c>
      <c r="AU29" s="27" t="n">
        <f aca="false">SUMIFS(super1[Qtde],super1[Item],tab_higiene[[#This Row],[Item]],super1[Bairro],mercado11)+SUMIFS(supercb[Qtde],supercb[Item],tab_higiene[[#This Row],[Item]],supercb[Bairro],mercado11)</f>
        <v>0</v>
      </c>
      <c r="AV29" s="27" t="n">
        <f aca="false">SUMIFS(super1[Qtde],super1[Item],tab_higiene[[#This Row],[Item]],super1[Bairro],mercado12)+SUMIFS(supercb[Qtde],supercb[Item],tab_higiene[[#This Row],[Item]],supercb[Bairro],mercado12)</f>
        <v>0</v>
      </c>
      <c r="AW29" s="27" t="n">
        <f aca="false">SUMIFS(super1[Qtde],super1[Item],tab_higiene[[#This Row],[Item]],super1[Bairro],mercado13)+SUMIFS(supercb[Qtde],supercb[Item],tab_higiene[[#This Row],[Item]],supercb[Bairro],mercado13)</f>
        <v>0</v>
      </c>
      <c r="AX29" s="27" t="n">
        <f aca="false">SUMIFS(super1[Qtde],super1[Item],tab_higiene[[#This Row],[Item]],super1[Bairro],mercado14)+SUMIFS(supercb[Qtde],supercb[Item],tab_higiene[[#This Row],[Item]],supercb[Bairro],mercado14)</f>
        <v>0</v>
      </c>
      <c r="AY29" s="27" t="n">
        <f aca="false">SUMIFS(super1[Qtde],super1[Item],tab_higiene[[#This Row],[Item]],super1[Bairro],mercado15)+SUMIFS(supercb[Qtde],supercb[Item],tab_higiene[[#This Row],[Item]],supercb[Bairro],mercado15)</f>
        <v>0</v>
      </c>
      <c r="AZ29" s="27" t="n">
        <f aca="false">SUMIFS(super1[Qtde],super1[Item],tab_higiene[[#This Row],[Item]],super1[Bairro],mercado16)+SUMIFS(supercb[Qtde],supercb[Item],tab_higiene[[#This Row],[Item]],supercb[Bairro],mercado16)</f>
        <v>0</v>
      </c>
      <c r="BA29" s="27" t="n">
        <f aca="false">SUMIFS(super1[Qtde],super1[Item],tab_higiene[[#This Row],[Item]],super1[Bairro],mercado17)+SUMIFS(supercb[Qtde],supercb[Item],tab_higiene[[#This Row],[Item]],supercb[Bairro],mercado17)</f>
        <v>0</v>
      </c>
      <c r="BB29" s="27" t="n">
        <f aca="false">SUMIFS(super1[Qtde],super1[Item],tab_higiene[[#This Row],[Item]],super1[Bairro],mercado18)+SUMIFS(supercb[Qtde],supercb[Item],tab_higiene[[#This Row],[Item]],supercb[Bairro],mercado18)</f>
        <v>0</v>
      </c>
      <c r="BC29" s="27" t="n">
        <f aca="false">SUMIFS(super1[Qtde],super1[Item],tab_higiene[[#This Row],[Item]],super1[Bairro],extras)+SUMIFS(supercb[Qtde],supercb[Item],tab_higiene[[#This Row],[Item]],supercb[Bairro],extras)</f>
        <v>0</v>
      </c>
      <c r="BD29" s="27" t="n">
        <f aca="false">SUM(AK29:BB29)</f>
        <v>0</v>
      </c>
      <c r="BE29" s="27" t="n">
        <f aca="false">IFERROR(BD29*AJ29,0)</f>
        <v>0</v>
      </c>
      <c r="BF29" s="28" t="n">
        <f aca="false">IFERROR(AI29*BD29,0)</f>
        <v>0</v>
      </c>
      <c r="BI29" s="22" t="str">
        <f aca="false">tab_alimentos[[#This Row],[Item]]</f>
        <v>Aveia (500g)</v>
      </c>
      <c r="BJ29" s="22" t="n">
        <f aca="false">IFERROR(FIND(" (",BI29),0)</f>
        <v>6</v>
      </c>
      <c r="BK29" s="22" t="str">
        <f aca="false">IF(BJ29=0,BI29,LEFT(BI29,BJ29-1))</f>
        <v>Aveia</v>
      </c>
      <c r="BL29" s="22" t="n">
        <f aca="false">tab_alimentos[[#This Row],[kg]]</f>
        <v>0</v>
      </c>
      <c r="BM29" s="32" t="s">
        <v>292</v>
      </c>
      <c r="BN29" s="22" t="n">
        <f aca="false">SUMIF($BJ$5:$BJ$158,BM29,$BK$5:$BK$158)</f>
        <v>0</v>
      </c>
      <c r="BP29" s="22" t="str">
        <f aca="false">tab_higiene[[#This Row],[Item]]</f>
        <v>Amaciante(1L)</v>
      </c>
      <c r="BQ29" s="22" t="n">
        <f aca="false">IFERROR(FIND(" (",BP29),0)</f>
        <v>0</v>
      </c>
      <c r="BR29" s="22" t="str">
        <f aca="false">IF(BQ29=0,BP29,LEFT(BP29,BQ29-1))</f>
        <v>Amaciante(1L)</v>
      </c>
      <c r="BS29" s="22" t="n">
        <f aca="false">higiene[[#This Row],[Quantidade]]</f>
        <v>0</v>
      </c>
      <c r="BT29" s="22" t="n">
        <f aca="false">tab_higiene[Qtde (tot)]</f>
        <v>0</v>
      </c>
      <c r="BU29" s="22" t="n">
        <f aca="false">BS29*BT29</f>
        <v>0</v>
      </c>
      <c r="BV29" s="32" t="s">
        <v>293</v>
      </c>
      <c r="BW29" s="22" t="n">
        <f aca="false">SUMIF($BR$5:$BR$142,BV29,$BU$5:$BU$142)</f>
        <v>402</v>
      </c>
    </row>
    <row r="30" customFormat="false" ht="15" hidden="false" customHeight="false" outlineLevel="0" collapsed="false">
      <c r="I30" s="26" t="str">
        <f aca="false">alimentos[[#This Row],[Item]]</f>
        <v>Azeite (200mL)</v>
      </c>
      <c r="J30" s="27" t="n">
        <f aca="false">IFERROR(alimentos[[#This Row],[kg/embalagem]],0)</f>
        <v>0.2</v>
      </c>
      <c r="K30" s="27" t="n">
        <f aca="false">IFERROR(alimentos[[#This Row],[Preço]],0)</f>
        <v>9.096</v>
      </c>
      <c r="L30" s="27" t="n">
        <f aca="false">SUMIFS(super1[Qtde],super1[Item],tab_alimentos[[#This Row],[Item]],super1[Bairro],mercado1)+SUMIFS(supercb[Qtde],supercb[Item],tab_alimentos[[#This Row],[Item]],supercb[Bairro],mercado1)</f>
        <v>0</v>
      </c>
      <c r="M30" s="27" t="n">
        <f aca="false">SUMIFS(super1[Qtde],super1[Item],tab_alimentos[[#This Row],[Item]],super1[Bairro],mercado2)+SUMIFS(supercb[Qtde],supercb[Item],tab_alimentos[[#This Row],[Item]],supercb[Bairro],mercado2)</f>
        <v>0</v>
      </c>
      <c r="N30" s="27" t="n">
        <f aca="false">SUMIFS(super1[Qtde],super1[Item],tab_alimentos[[#This Row],[Item]],super1[Bairro],mercado3)+SUMIFS(supercb[Qtde],supercb[Item],tab_alimentos[[#This Row],[Item]],supercb[Bairro],mercado3)</f>
        <v>0</v>
      </c>
      <c r="O30" s="27" t="n">
        <f aca="false">SUMIFS(super1[Qtde],super1[Item],tab_alimentos[[#This Row],[Item]],super1[Bairro],mercado4)+SUMIFS(supercb[Qtde],supercb[Item],tab_alimentos[[#This Row],[Item]],supercb[Bairro],mercado4)</f>
        <v>0</v>
      </c>
      <c r="P30" s="27" t="n">
        <f aca="false">SUMIFS(super1[Qtde],super1[Item],tab_alimentos[[#This Row],[Item]],super1[Bairro],mercado5)+SUMIFS(supercb[Qtde],supercb[Item],tab_alimentos[[#This Row],[Item]],supercb[Bairro],mercado5)</f>
        <v>0</v>
      </c>
      <c r="Q30" s="27" t="n">
        <f aca="false">SUMIFS(super1[Qtde],super1[Item],tab_alimentos[[#This Row],[Item]],super1[Bairro],mercado6)+SUMIFS(supercb[Qtde],supercb[Item],tab_alimentos[[#This Row],[Item]],supercb[Bairro],mercado6)</f>
        <v>0</v>
      </c>
      <c r="R30" s="27" t="n">
        <f aca="false">SUMIFS(super1[Qtde],super1[Item],tab_alimentos[[#This Row],[Item]],super1[Bairro],mercado7)+SUMIFS(supercb[Qtde],supercb[Item],tab_alimentos[[#This Row],[Item]],supercb[Bairro],mercado7)</f>
        <v>0</v>
      </c>
      <c r="S30" s="27" t="n">
        <f aca="false">SUMIFS(super1[Qtde],super1[Item],tab_alimentos[[#This Row],[Item]],super1[Bairro],mercado8)+SUMIFS(supercb[Qtde],supercb[Item],tab_alimentos[[#This Row],[Item]],supercb[Bairro],mercado8)</f>
        <v>0</v>
      </c>
      <c r="T30" s="27" t="n">
        <f aca="false">SUMIFS(super1[Qtde],super1[Item],tab_alimentos[[#This Row],[Item]],super1[Bairro],mercado9)+SUMIFS(supercb[Qtde],supercb[Item],tab_alimentos[[#This Row],[Item]],supercb[Bairro],mercado9)</f>
        <v>0</v>
      </c>
      <c r="U30" s="27" t="n">
        <f aca="false">SUMIFS(super1[Qtde],super1[Item],tab_alimentos[[#This Row],[Item]],super1[Bairro],mercado10)+SUMIFS(supercb[Qtde],supercb[Item],tab_alimentos[[#This Row],[Item]],supercb[Bairro],mercado10)</f>
        <v>0</v>
      </c>
      <c r="V30" s="27" t="n">
        <f aca="false">SUMIFS(super1[Qtde],super1[Item],tab_alimentos[[#This Row],[Item]],super1[Bairro],mercado11)+SUMIFS(supercb[Qtde],supercb[Item],tab_alimentos[[#This Row],[Item]],supercb[Bairro],mercado11)</f>
        <v>0</v>
      </c>
      <c r="W30" s="27" t="n">
        <f aca="false">SUMIFS(super1[Qtde],super1[Item],tab_alimentos[[#This Row],[Item]],super1[Bairro],mercado12)+SUMIFS(supercb[Qtde],supercb[Item],tab_alimentos[[#This Row],[Item]],supercb[Bairro],mercado12)</f>
        <v>0</v>
      </c>
      <c r="X30" s="27" t="n">
        <f aca="false">SUMIFS(super1[Qtde],super1[Item],tab_alimentos[[#This Row],[Item]],super1[Bairro],mercado13)+SUMIFS(supercb[Qtde],supercb[Item],tab_alimentos[[#This Row],[Item]],supercb[Bairro],mercado13)</f>
        <v>0</v>
      </c>
      <c r="Y30" s="27" t="n">
        <f aca="false">SUMIFS(super1[Qtde],super1[Item],tab_alimentos[[#This Row],[Item]],super1[Bairro],mercado14)+SUMIFS(supercb[Qtde],supercb[Item],tab_alimentos[[#This Row],[Item]],supercb[Bairro],mercado14)</f>
        <v>0</v>
      </c>
      <c r="Z30" s="27" t="n">
        <f aca="false">SUMIFS(super1[Qtde],super1[Item],tab_alimentos[[#This Row],[Item]],super1[Bairro],mercado15)+SUMIFS(supercb[Qtde],supercb[Item],tab_alimentos[[#This Row],[Item]],supercb[Bairro],mercado15)</f>
        <v>0</v>
      </c>
      <c r="AA30" s="27" t="n">
        <f aca="false">SUMIFS(super1[Qtde],super1[Item],tab_alimentos[[#This Row],[Item]],super1[Bairro],mercado16)+SUMIFS(supercb[Qtde],supercb[Item],tab_alimentos[[#This Row],[Item]],supercb[Bairro],mercado16)</f>
        <v>0</v>
      </c>
      <c r="AB30" s="27" t="n">
        <f aca="false">SUMIFS(super1[Qtde],super1[Item],tab_alimentos[[#This Row],[Item]],super1[Bairro],mercado17)+SUMIFS(supercb[Qtde],supercb[Item],tab_alimentos[[#This Row],[Item]],supercb[Bairro],mercado17)</f>
        <v>0</v>
      </c>
      <c r="AC30" s="27" t="n">
        <f aca="false">SUMIFS(super1[Qtde],super1[Item],tab_alimentos[[#This Row],[Item]],super1[Bairro],mercado18)+SUMIFS(supercb[Qtde],supercb[Item],tab_alimentos[[#This Row],[Item]],supercb[Bairro],mercado18)</f>
        <v>0</v>
      </c>
      <c r="AD30" s="27" t="n">
        <f aca="false">SUMIFS(super1[Qtde],super1[Item],tab_alimentos[[#This Row],[Item]],super1[Bairro],extras)+SUMIFS(supercb[Qtde],supercb[Item],tab_alimentos[[#This Row],[Item]],supercb[Bairro],extras)</f>
        <v>0</v>
      </c>
      <c r="AE30" s="27" t="n">
        <f aca="false">SUM(L30:AC30)</f>
        <v>0</v>
      </c>
      <c r="AF30" s="27" t="n">
        <f aca="false">IFERROR(AE30*K30,0)</f>
        <v>0</v>
      </c>
      <c r="AG30" s="28" t="n">
        <f aca="false">IFERROR(J30*AE30,0)</f>
        <v>0</v>
      </c>
      <c r="AH30" s="26" t="str">
        <f aca="false">higiene[[#This Row],[Item]]</f>
        <v>Amaciante(2L)</v>
      </c>
      <c r="AI30" s="27" t="n">
        <f aca="false">IFERROR(higiene[[#This Row],[Kg equivalente]],0)</f>
        <v>1.20456018374604</v>
      </c>
      <c r="AJ30" s="27" t="n">
        <f aca="false">IFERROR(higiene[[#This Row],[Preço por produto]],0)</f>
        <v>3.99</v>
      </c>
      <c r="AK30" s="27" t="n">
        <f aca="false">SUMIFS(super1[Qtde],super1[Item],tab_higiene[[#This Row],[Item]],super1[Bairro],mercado1)+SUMIFS(supercb[Qtde],supercb[Item],tab_higiene[[#This Row],[Item]],supercb[Bairro],mercado1)</f>
        <v>0</v>
      </c>
      <c r="AL30" s="27" t="n">
        <f aca="false">SUMIFS(super1[Qtde],super1[Item],tab_higiene[[#This Row],[Item]],super1[Bairro],mercado2)+SUMIFS(supercb[Qtde],supercb[Item],tab_higiene[[#This Row],[Item]],supercb[Bairro],mercado2)</f>
        <v>0</v>
      </c>
      <c r="AM30" s="27" t="n">
        <f aca="false">SUMIFS(super1[Qtde],super1[Item],tab_higiene[[#This Row],[Item]],super1[Bairro],mercado3)+SUMIFS(supercb[Qtde],supercb[Item],tab_higiene[[#This Row],[Item]],supercb[Bairro],mercado3)</f>
        <v>0</v>
      </c>
      <c r="AN30" s="27" t="n">
        <f aca="false">SUMIFS(super1[Qtde],super1[Item],tab_higiene[[#This Row],[Item]],super1[Bairro],mercado4)+SUMIFS(supercb[Qtde],supercb[Item],tab_higiene[[#This Row],[Item]],supercb[Bairro],mercado4)</f>
        <v>0</v>
      </c>
      <c r="AO30" s="27" t="n">
        <f aca="false">SUMIFS(super1[Qtde],super1[Item],tab_higiene[[#This Row],[Item]],super1[Bairro],mercado5)+SUMIFS(supercb[Qtde],supercb[Item],tab_higiene[[#This Row],[Item]],supercb[Bairro],mercado5)</f>
        <v>0</v>
      </c>
      <c r="AP30" s="27" t="n">
        <f aca="false">SUMIFS(super1[Qtde],super1[Item],tab_higiene[[#This Row],[Item]],super1[Bairro],mercado6)+SUMIFS(supercb[Qtde],supercb[Item],tab_higiene[[#This Row],[Item]],supercb[Bairro],mercado6)</f>
        <v>0</v>
      </c>
      <c r="AQ30" s="27" t="n">
        <f aca="false">SUMIFS(super1[Qtde],super1[Item],tab_higiene[[#This Row],[Item]],super1[Bairro],mercado7)+SUMIFS(supercb[Qtde],supercb[Item],tab_higiene[[#This Row],[Item]],supercb[Bairro],mercado7)</f>
        <v>0</v>
      </c>
      <c r="AR30" s="27" t="n">
        <f aca="false">SUMIFS(super1[Qtde],super1[Item],tab_higiene[[#This Row],[Item]],super1[Bairro],mercado8)+SUMIFS(supercb[Qtde],supercb[Item],tab_higiene[[#This Row],[Item]],supercb[Bairro],mercado8)</f>
        <v>0</v>
      </c>
      <c r="AS30" s="27" t="n">
        <f aca="false">SUMIFS(super1[Qtde],super1[Item],tab_higiene[[#This Row],[Item]],super1[Bairro],mercado9)+SUMIFS(supercb[Qtde],supercb[Item],tab_higiene[[#This Row],[Item]],supercb[Bairro],mercado9)</f>
        <v>0</v>
      </c>
      <c r="AT30" s="27" t="n">
        <f aca="false">SUMIFS(super1[Qtde],super1[Item],tab_higiene[[#This Row],[Item]],super1[Bairro],mercado10)+SUMIFS(supercb[Qtde],supercb[Item],tab_higiene[[#This Row],[Item]],supercb[Bairro],mercado10)</f>
        <v>0</v>
      </c>
      <c r="AU30" s="27" t="n">
        <f aca="false">SUMIFS(super1[Qtde],super1[Item],tab_higiene[[#This Row],[Item]],super1[Bairro],mercado11)+SUMIFS(supercb[Qtde],supercb[Item],tab_higiene[[#This Row],[Item]],supercb[Bairro],mercado11)</f>
        <v>0</v>
      </c>
      <c r="AV30" s="27" t="n">
        <f aca="false">SUMIFS(super1[Qtde],super1[Item],tab_higiene[[#This Row],[Item]],super1[Bairro],mercado12)+SUMIFS(supercb[Qtde],supercb[Item],tab_higiene[[#This Row],[Item]],supercb[Bairro],mercado12)</f>
        <v>0</v>
      </c>
      <c r="AW30" s="27" t="n">
        <f aca="false">SUMIFS(super1[Qtde],super1[Item],tab_higiene[[#This Row],[Item]],super1[Bairro],mercado13)+SUMIFS(supercb[Qtde],supercb[Item],tab_higiene[[#This Row],[Item]],supercb[Bairro],mercado13)</f>
        <v>2</v>
      </c>
      <c r="AX30" s="27" t="n">
        <f aca="false">SUMIFS(super1[Qtde],super1[Item],tab_higiene[[#This Row],[Item]],super1[Bairro],mercado14)+SUMIFS(supercb[Qtde],supercb[Item],tab_higiene[[#This Row],[Item]],supercb[Bairro],mercado14)</f>
        <v>0</v>
      </c>
      <c r="AY30" s="27" t="n">
        <f aca="false">SUMIFS(super1[Qtde],super1[Item],tab_higiene[[#This Row],[Item]],super1[Bairro],mercado15)+SUMIFS(supercb[Qtde],supercb[Item],tab_higiene[[#This Row],[Item]],supercb[Bairro],mercado15)</f>
        <v>0</v>
      </c>
      <c r="AZ30" s="27" t="n">
        <f aca="false">SUMIFS(super1[Qtde],super1[Item],tab_higiene[[#This Row],[Item]],super1[Bairro],mercado16)+SUMIFS(supercb[Qtde],supercb[Item],tab_higiene[[#This Row],[Item]],supercb[Bairro],mercado16)</f>
        <v>0</v>
      </c>
      <c r="BA30" s="27" t="n">
        <f aca="false">SUMIFS(super1[Qtde],super1[Item],tab_higiene[[#This Row],[Item]],super1[Bairro],mercado17)+SUMIFS(supercb[Qtde],supercb[Item],tab_higiene[[#This Row],[Item]],supercb[Bairro],mercado17)</f>
        <v>0</v>
      </c>
      <c r="BB30" s="27" t="n">
        <f aca="false">SUMIFS(super1[Qtde],super1[Item],tab_higiene[[#This Row],[Item]],super1[Bairro],mercado18)+SUMIFS(supercb[Qtde],supercb[Item],tab_higiene[[#This Row],[Item]],supercb[Bairro],mercado18)</f>
        <v>0</v>
      </c>
      <c r="BC30" s="27" t="n">
        <f aca="false">SUMIFS(super1[Qtde],super1[Item],tab_higiene[[#This Row],[Item]],super1[Bairro],extras)+SUMIFS(supercb[Qtde],supercb[Item],tab_higiene[[#This Row],[Item]],supercb[Bairro],extras)</f>
        <v>0</v>
      </c>
      <c r="BD30" s="27" t="n">
        <f aca="false">SUM(AK30:BB30)</f>
        <v>2</v>
      </c>
      <c r="BE30" s="27" t="n">
        <f aca="false">IFERROR(BD30*AJ30,0)</f>
        <v>7.98</v>
      </c>
      <c r="BF30" s="28" t="n">
        <f aca="false">IFERROR(AI30*BD30,0)</f>
        <v>2.40912036749208</v>
      </c>
      <c r="BI30" s="22" t="str">
        <f aca="false">tab_alimentos[[#This Row],[Item]]</f>
        <v>Azeite (200mL)</v>
      </c>
      <c r="BJ30" s="22" t="n">
        <f aca="false">IFERROR(FIND(" (",BI30),0)</f>
        <v>7</v>
      </c>
      <c r="BK30" s="22" t="str">
        <f aca="false">IF(BJ30=0,BI30,LEFT(BI30,BJ30-1))</f>
        <v>Azeite</v>
      </c>
      <c r="BL30" s="22" t="n">
        <f aca="false">tab_alimentos[[#This Row],[kg]]</f>
        <v>0</v>
      </c>
      <c r="BM30" s="32" t="s">
        <v>291</v>
      </c>
      <c r="BN30" s="22" t="n">
        <f aca="false">SUMIF($BJ$5:$BJ$158,BM30,$BK$5:$BK$158)</f>
        <v>0</v>
      </c>
      <c r="BP30" s="22" t="str">
        <f aca="false">tab_higiene[[#This Row],[Item]]</f>
        <v>Amaciante(2L)</v>
      </c>
      <c r="BQ30" s="22" t="n">
        <f aca="false">IFERROR(FIND(" (",BP30),0)</f>
        <v>0</v>
      </c>
      <c r="BR30" s="22" t="str">
        <f aca="false">IF(BQ30=0,BP30,LEFT(BP30,BQ30-1))</f>
        <v>Amaciante(2L)</v>
      </c>
      <c r="BS30" s="22" t="str">
        <f aca="false">higiene[[#This Row],[Quantidade]]</f>
        <v>x</v>
      </c>
      <c r="BT30" s="22" t="n">
        <f aca="false">tab_higiene[Qtde (tot)]</f>
        <v>2</v>
      </c>
      <c r="BU30" s="22" t="e">
        <f aca="false">BS30*BT30</f>
        <v>#VALUE!</v>
      </c>
      <c r="BV30" s="32" t="s">
        <v>294</v>
      </c>
      <c r="BW30" s="22" t="n">
        <f aca="false">SUMIF($BR$5:$BR$142,BV30,$BU$5:$BU$142)</f>
        <v>108.75</v>
      </c>
    </row>
    <row r="31" customFormat="false" ht="15" hidden="false" customHeight="false" outlineLevel="0" collapsed="false">
      <c r="A31" s="31" t="s">
        <v>295</v>
      </c>
      <c r="B31" s="31"/>
      <c r="C31" s="31"/>
      <c r="D31" s="31"/>
      <c r="E31" s="31"/>
      <c r="F31" s="31"/>
      <c r="G31" s="31"/>
      <c r="I31" s="26" t="str">
        <f aca="false">alimentos[[#This Row],[Item]]</f>
        <v>Azeite (500mL)</v>
      </c>
      <c r="J31" s="27" t="n">
        <f aca="false">IFERROR(alimentos[[#This Row],[kg/embalagem]],0)</f>
        <v>0.5</v>
      </c>
      <c r="K31" s="27" t="n">
        <f aca="false">IFERROR(alimentos[[#This Row],[Preço]],0)</f>
        <v>10.6066666666667</v>
      </c>
      <c r="L31" s="27" t="n">
        <f aca="false">SUMIFS(super1[Qtde],super1[Item],tab_alimentos[[#This Row],[Item]],super1[Bairro],mercado1)+SUMIFS(supercb[Qtde],supercb[Item],tab_alimentos[[#This Row],[Item]],supercb[Bairro],mercado1)</f>
        <v>0</v>
      </c>
      <c r="M31" s="27" t="n">
        <f aca="false">SUMIFS(super1[Qtde],super1[Item],tab_alimentos[[#This Row],[Item]],super1[Bairro],mercado2)+SUMIFS(supercb[Qtde],supercb[Item],tab_alimentos[[#This Row],[Item]],supercb[Bairro],mercado2)</f>
        <v>0</v>
      </c>
      <c r="N31" s="27" t="n">
        <f aca="false">SUMIFS(super1[Qtde],super1[Item],tab_alimentos[[#This Row],[Item]],super1[Bairro],mercado3)+SUMIFS(supercb[Qtde],supercb[Item],tab_alimentos[[#This Row],[Item]],supercb[Bairro],mercado3)</f>
        <v>0</v>
      </c>
      <c r="O31" s="27" t="n">
        <f aca="false">SUMIFS(super1[Qtde],super1[Item],tab_alimentos[[#This Row],[Item]],super1[Bairro],mercado4)+SUMIFS(supercb[Qtde],supercb[Item],tab_alimentos[[#This Row],[Item]],supercb[Bairro],mercado4)</f>
        <v>0</v>
      </c>
      <c r="P31" s="27" t="n">
        <f aca="false">SUMIFS(super1[Qtde],super1[Item],tab_alimentos[[#This Row],[Item]],super1[Bairro],mercado5)+SUMIFS(supercb[Qtde],supercb[Item],tab_alimentos[[#This Row],[Item]],supercb[Bairro],mercado5)</f>
        <v>0</v>
      </c>
      <c r="Q31" s="27" t="n">
        <f aca="false">SUMIFS(super1[Qtde],super1[Item],tab_alimentos[[#This Row],[Item]],super1[Bairro],mercado6)+SUMIFS(supercb[Qtde],supercb[Item],tab_alimentos[[#This Row],[Item]],supercb[Bairro],mercado6)</f>
        <v>0</v>
      </c>
      <c r="R31" s="27" t="n">
        <f aca="false">SUMIFS(super1[Qtde],super1[Item],tab_alimentos[[#This Row],[Item]],super1[Bairro],mercado7)+SUMIFS(supercb[Qtde],supercb[Item],tab_alimentos[[#This Row],[Item]],supercb[Bairro],mercado7)</f>
        <v>0</v>
      </c>
      <c r="S31" s="27" t="n">
        <f aca="false">SUMIFS(super1[Qtde],super1[Item],tab_alimentos[[#This Row],[Item]],super1[Bairro],mercado8)+SUMIFS(supercb[Qtde],supercb[Item],tab_alimentos[[#This Row],[Item]],supercb[Bairro],mercado8)</f>
        <v>0</v>
      </c>
      <c r="T31" s="27" t="n">
        <f aca="false">SUMIFS(super1[Qtde],super1[Item],tab_alimentos[[#This Row],[Item]],super1[Bairro],mercado9)+SUMIFS(supercb[Qtde],supercb[Item],tab_alimentos[[#This Row],[Item]],supercb[Bairro],mercado9)</f>
        <v>0</v>
      </c>
      <c r="U31" s="27" t="n">
        <f aca="false">SUMIFS(super1[Qtde],super1[Item],tab_alimentos[[#This Row],[Item]],super1[Bairro],mercado10)+SUMIFS(supercb[Qtde],supercb[Item],tab_alimentos[[#This Row],[Item]],supercb[Bairro],mercado10)</f>
        <v>0</v>
      </c>
      <c r="V31" s="27" t="n">
        <f aca="false">SUMIFS(super1[Qtde],super1[Item],tab_alimentos[[#This Row],[Item]],super1[Bairro],mercado11)+SUMIFS(supercb[Qtde],supercb[Item],tab_alimentos[[#This Row],[Item]],supercb[Bairro],mercado11)</f>
        <v>0</v>
      </c>
      <c r="W31" s="27" t="n">
        <f aca="false">SUMIFS(super1[Qtde],super1[Item],tab_alimentos[[#This Row],[Item]],super1[Bairro],mercado12)+SUMIFS(supercb[Qtde],supercb[Item],tab_alimentos[[#This Row],[Item]],supercb[Bairro],mercado12)</f>
        <v>0</v>
      </c>
      <c r="X31" s="27" t="n">
        <f aca="false">SUMIFS(super1[Qtde],super1[Item],tab_alimentos[[#This Row],[Item]],super1[Bairro],mercado13)+SUMIFS(supercb[Qtde],supercb[Item],tab_alimentos[[#This Row],[Item]],supercb[Bairro],mercado13)</f>
        <v>0</v>
      </c>
      <c r="Y31" s="27" t="n">
        <f aca="false">SUMIFS(super1[Qtde],super1[Item],tab_alimentos[[#This Row],[Item]],super1[Bairro],mercado14)+SUMIFS(supercb[Qtde],supercb[Item],tab_alimentos[[#This Row],[Item]],supercb[Bairro],mercado14)</f>
        <v>0</v>
      </c>
      <c r="Z31" s="27" t="n">
        <f aca="false">SUMIFS(super1[Qtde],super1[Item],tab_alimentos[[#This Row],[Item]],super1[Bairro],mercado15)+SUMIFS(supercb[Qtde],supercb[Item],tab_alimentos[[#This Row],[Item]],supercb[Bairro],mercado15)</f>
        <v>0</v>
      </c>
      <c r="AA31" s="27" t="n">
        <f aca="false">SUMIFS(super1[Qtde],super1[Item],tab_alimentos[[#This Row],[Item]],super1[Bairro],mercado16)+SUMIFS(supercb[Qtde],supercb[Item],tab_alimentos[[#This Row],[Item]],supercb[Bairro],mercado16)</f>
        <v>0</v>
      </c>
      <c r="AB31" s="27" t="n">
        <f aca="false">SUMIFS(super1[Qtde],super1[Item],tab_alimentos[[#This Row],[Item]],super1[Bairro],mercado17)+SUMIFS(supercb[Qtde],supercb[Item],tab_alimentos[[#This Row],[Item]],supercb[Bairro],mercado17)</f>
        <v>0</v>
      </c>
      <c r="AC31" s="27" t="n">
        <f aca="false">SUMIFS(super1[Qtde],super1[Item],tab_alimentos[[#This Row],[Item]],super1[Bairro],mercado18)+SUMIFS(supercb[Qtde],supercb[Item],tab_alimentos[[#This Row],[Item]],supercb[Bairro],mercado18)</f>
        <v>0</v>
      </c>
      <c r="AD31" s="27" t="n">
        <f aca="false">SUMIFS(super1[Qtde],super1[Item],tab_alimentos[[#This Row],[Item]],super1[Bairro],extras)+SUMIFS(supercb[Qtde],supercb[Item],tab_alimentos[[#This Row],[Item]],supercb[Bairro],extras)</f>
        <v>0</v>
      </c>
      <c r="AE31" s="27" t="n">
        <f aca="false">SUM(L31:AC31)</f>
        <v>0</v>
      </c>
      <c r="AF31" s="27" t="n">
        <f aca="false">IFERROR(AE31*K31,0)</f>
        <v>0</v>
      </c>
      <c r="AG31" s="28" t="n">
        <f aca="false">IFERROR(J31*AE31,0)</f>
        <v>0</v>
      </c>
      <c r="AH31" s="26" t="str">
        <f aca="false">higiene[[#This Row],[Item]]</f>
        <v>Antisséptico (100ml)</v>
      </c>
      <c r="AI31" s="27" t="n">
        <f aca="false">IFERROR(higiene[[#This Row],[Kg equivalente]],0)</f>
        <v>1.37664020999547</v>
      </c>
      <c r="AJ31" s="27" t="n">
        <f aca="false">IFERROR(higiene[[#This Row],[Preço por produto]],0)</f>
        <v>4.56</v>
      </c>
      <c r="AK31" s="27" t="n">
        <f aca="false">SUMIFS(super1[Qtde],super1[Item],tab_higiene[[#This Row],[Item]],super1[Bairro],mercado1)+SUMIFS(supercb[Qtde],supercb[Item],tab_higiene[[#This Row],[Item]],supercb[Bairro],mercado1)</f>
        <v>0</v>
      </c>
      <c r="AL31" s="27" t="n">
        <f aca="false">SUMIFS(super1[Qtde],super1[Item],tab_higiene[[#This Row],[Item]],super1[Bairro],mercado2)+SUMIFS(supercb[Qtde],supercb[Item],tab_higiene[[#This Row],[Item]],supercb[Bairro],mercado2)</f>
        <v>0</v>
      </c>
      <c r="AM31" s="27" t="n">
        <f aca="false">SUMIFS(super1[Qtde],super1[Item],tab_higiene[[#This Row],[Item]],super1[Bairro],mercado3)+SUMIFS(supercb[Qtde],supercb[Item],tab_higiene[[#This Row],[Item]],supercb[Bairro],mercado3)</f>
        <v>0</v>
      </c>
      <c r="AN31" s="27" t="n">
        <f aca="false">SUMIFS(super1[Qtde],super1[Item],tab_higiene[[#This Row],[Item]],super1[Bairro],mercado4)+SUMIFS(supercb[Qtde],supercb[Item],tab_higiene[[#This Row],[Item]],supercb[Bairro],mercado4)</f>
        <v>0</v>
      </c>
      <c r="AO31" s="27" t="n">
        <f aca="false">SUMIFS(super1[Qtde],super1[Item],tab_higiene[[#This Row],[Item]],super1[Bairro],mercado5)+SUMIFS(supercb[Qtde],supercb[Item],tab_higiene[[#This Row],[Item]],supercb[Bairro],mercado5)</f>
        <v>0</v>
      </c>
      <c r="AP31" s="27" t="n">
        <f aca="false">SUMIFS(super1[Qtde],super1[Item],tab_higiene[[#This Row],[Item]],super1[Bairro],mercado6)+SUMIFS(supercb[Qtde],supercb[Item],tab_higiene[[#This Row],[Item]],supercb[Bairro],mercado6)</f>
        <v>0</v>
      </c>
      <c r="AQ31" s="27" t="n">
        <f aca="false">SUMIFS(super1[Qtde],super1[Item],tab_higiene[[#This Row],[Item]],super1[Bairro],mercado7)+SUMIFS(supercb[Qtde],supercb[Item],tab_higiene[[#This Row],[Item]],supercb[Bairro],mercado7)</f>
        <v>0</v>
      </c>
      <c r="AR31" s="27" t="n">
        <f aca="false">SUMIFS(super1[Qtde],super1[Item],tab_higiene[[#This Row],[Item]],super1[Bairro],mercado8)+SUMIFS(supercb[Qtde],supercb[Item],tab_higiene[[#This Row],[Item]],supercb[Bairro],mercado8)</f>
        <v>0</v>
      </c>
      <c r="AS31" s="27" t="n">
        <f aca="false">SUMIFS(super1[Qtde],super1[Item],tab_higiene[[#This Row],[Item]],super1[Bairro],mercado9)+SUMIFS(supercb[Qtde],supercb[Item],tab_higiene[[#This Row],[Item]],supercb[Bairro],mercado9)</f>
        <v>0</v>
      </c>
      <c r="AT31" s="27" t="n">
        <f aca="false">SUMIFS(super1[Qtde],super1[Item],tab_higiene[[#This Row],[Item]],super1[Bairro],mercado10)+SUMIFS(supercb[Qtde],supercb[Item],tab_higiene[[#This Row],[Item]],supercb[Bairro],mercado10)</f>
        <v>0</v>
      </c>
      <c r="AU31" s="27" t="n">
        <f aca="false">SUMIFS(super1[Qtde],super1[Item],tab_higiene[[#This Row],[Item]],super1[Bairro],mercado11)+SUMIFS(supercb[Qtde],supercb[Item],tab_higiene[[#This Row],[Item]],supercb[Bairro],mercado11)</f>
        <v>0</v>
      </c>
      <c r="AV31" s="27" t="n">
        <f aca="false">SUMIFS(super1[Qtde],super1[Item],tab_higiene[[#This Row],[Item]],super1[Bairro],mercado12)+SUMIFS(supercb[Qtde],supercb[Item],tab_higiene[[#This Row],[Item]],supercb[Bairro],mercado12)</f>
        <v>0</v>
      </c>
      <c r="AW31" s="27" t="n">
        <f aca="false">SUMIFS(super1[Qtde],super1[Item],tab_higiene[[#This Row],[Item]],super1[Bairro],mercado13)+SUMIFS(supercb[Qtde],supercb[Item],tab_higiene[[#This Row],[Item]],supercb[Bairro],mercado13)</f>
        <v>0</v>
      </c>
      <c r="AX31" s="27" t="n">
        <f aca="false">SUMIFS(super1[Qtde],super1[Item],tab_higiene[[#This Row],[Item]],super1[Bairro],mercado14)+SUMIFS(supercb[Qtde],supercb[Item],tab_higiene[[#This Row],[Item]],supercb[Bairro],mercado14)</f>
        <v>0</v>
      </c>
      <c r="AY31" s="27" t="n">
        <f aca="false">SUMIFS(super1[Qtde],super1[Item],tab_higiene[[#This Row],[Item]],super1[Bairro],mercado15)+SUMIFS(supercb[Qtde],supercb[Item],tab_higiene[[#This Row],[Item]],supercb[Bairro],mercado15)</f>
        <v>0</v>
      </c>
      <c r="AZ31" s="27" t="n">
        <f aca="false">SUMIFS(super1[Qtde],super1[Item],tab_higiene[[#This Row],[Item]],super1[Bairro],mercado16)+SUMIFS(supercb[Qtde],supercb[Item],tab_higiene[[#This Row],[Item]],supercb[Bairro],mercado16)</f>
        <v>0</v>
      </c>
      <c r="BA31" s="27" t="n">
        <f aca="false">SUMIFS(super1[Qtde],super1[Item],tab_higiene[[#This Row],[Item]],super1[Bairro],mercado17)+SUMIFS(supercb[Qtde],supercb[Item],tab_higiene[[#This Row],[Item]],supercb[Bairro],mercado17)</f>
        <v>0</v>
      </c>
      <c r="BB31" s="27" t="n">
        <f aca="false">SUMIFS(super1[Qtde],super1[Item],tab_higiene[[#This Row],[Item]],super1[Bairro],mercado18)+SUMIFS(supercb[Qtde],supercb[Item],tab_higiene[[#This Row],[Item]],supercb[Bairro],mercado18)</f>
        <v>0</v>
      </c>
      <c r="BC31" s="27" t="n">
        <f aca="false">SUMIFS(super1[Qtde],super1[Item],tab_higiene[[#This Row],[Item]],super1[Bairro],extras)+SUMIFS(supercb[Qtde],supercb[Item],tab_higiene[[#This Row],[Item]],supercb[Bairro],extras)</f>
        <v>0</v>
      </c>
      <c r="BD31" s="27" t="n">
        <f aca="false">SUM(AK31:BB31)</f>
        <v>0</v>
      </c>
      <c r="BE31" s="27" t="n">
        <f aca="false">IFERROR(BD31*AJ31,0)</f>
        <v>0</v>
      </c>
      <c r="BF31" s="28" t="n">
        <f aca="false">IFERROR(AI31*BD31,0)</f>
        <v>0</v>
      </c>
      <c r="BI31" s="22" t="str">
        <f aca="false">tab_alimentos[[#This Row],[Item]]</f>
        <v>Azeite (500mL)</v>
      </c>
      <c r="BJ31" s="22" t="n">
        <f aca="false">IFERROR(FIND(" (",BI31),0)</f>
        <v>7</v>
      </c>
      <c r="BK31" s="22" t="str">
        <f aca="false">IF(BJ31=0,BI31,LEFT(BI31,BJ31-1))</f>
        <v>Azeite</v>
      </c>
      <c r="BL31" s="22" t="n">
        <f aca="false">tab_alimentos[[#This Row],[kg]]</f>
        <v>0</v>
      </c>
      <c r="BM31" s="32" t="s">
        <v>296</v>
      </c>
      <c r="BN31" s="22" t="n">
        <f aca="false">SUMIF($BJ$5:$BJ$158,BM31,$BK$5:$BK$158)</f>
        <v>0</v>
      </c>
      <c r="BP31" s="22" t="str">
        <f aca="false">tab_higiene[[#This Row],[Item]]</f>
        <v>Antisséptico (100ml)</v>
      </c>
      <c r="BQ31" s="22" t="n">
        <f aca="false">IFERROR(FIND(" (",BP31),0)</f>
        <v>13</v>
      </c>
      <c r="BR31" s="22" t="str">
        <f aca="false">IF(BQ31=0,BP31,LEFT(BP31,BQ31-1))</f>
        <v>Antisséptico</v>
      </c>
      <c r="BS31" s="22" t="n">
        <f aca="false">higiene[[#This Row],[Quantidade]]</f>
        <v>1</v>
      </c>
      <c r="BT31" s="22" t="n">
        <f aca="false">tab_higiene[Qtde (tot)]</f>
        <v>0</v>
      </c>
      <c r="BU31" s="22" t="n">
        <f aca="false">BS31*BT31</f>
        <v>0</v>
      </c>
      <c r="BV31" s="32" t="s">
        <v>297</v>
      </c>
      <c r="BW31" s="22" t="n">
        <f aca="false">SUMIF($BR$5:$BR$142,BV31,$BU$5:$BU$142)</f>
        <v>0</v>
      </c>
    </row>
    <row r="32" customFormat="false" ht="15" hidden="false" customHeight="false" outlineLevel="0" collapsed="false">
      <c r="A32" s="35" t="n">
        <f aca="false">SUM(tab_alimentos[kg])</f>
        <v>4191.425</v>
      </c>
      <c r="B32" s="35"/>
      <c r="C32" s="35"/>
      <c r="D32" s="35"/>
      <c r="E32" s="35"/>
      <c r="F32" s="35"/>
      <c r="G32" s="35"/>
      <c r="I32" s="26" t="str">
        <f aca="false">alimentos[[#This Row],[Item]]</f>
        <v>Azeitona (100g)</v>
      </c>
      <c r="J32" s="27" t="n">
        <f aca="false">IFERROR(alimentos[[#This Row],[kg/embalagem]],0)</f>
        <v>0.1</v>
      </c>
      <c r="K32" s="27" t="n">
        <f aca="false">IFERROR(alimentos[[#This Row],[Preço]],0)</f>
        <v>2.26</v>
      </c>
      <c r="L32" s="27" t="n">
        <f aca="false">SUMIFS(super1[Qtde],super1[Item],tab_alimentos[[#This Row],[Item]],super1[Bairro],mercado1)+SUMIFS(supercb[Qtde],supercb[Item],tab_alimentos[[#This Row],[Item]],supercb[Bairro],mercado1)</f>
        <v>0</v>
      </c>
      <c r="M32" s="27" t="n">
        <f aca="false">SUMIFS(super1[Qtde],super1[Item],tab_alimentos[[#This Row],[Item]],super1[Bairro],mercado2)+SUMIFS(supercb[Qtde],supercb[Item],tab_alimentos[[#This Row],[Item]],supercb[Bairro],mercado2)</f>
        <v>0</v>
      </c>
      <c r="N32" s="27" t="n">
        <f aca="false">SUMIFS(super1[Qtde],super1[Item],tab_alimentos[[#This Row],[Item]],super1[Bairro],mercado3)+SUMIFS(supercb[Qtde],supercb[Item],tab_alimentos[[#This Row],[Item]],supercb[Bairro],mercado3)</f>
        <v>0</v>
      </c>
      <c r="O32" s="27" t="n">
        <f aca="false">SUMIFS(super1[Qtde],super1[Item],tab_alimentos[[#This Row],[Item]],super1[Bairro],mercado4)+SUMIFS(supercb[Qtde],supercb[Item],tab_alimentos[[#This Row],[Item]],supercb[Bairro],mercado4)</f>
        <v>0</v>
      </c>
      <c r="P32" s="27" t="n">
        <f aca="false">SUMIFS(super1[Qtde],super1[Item],tab_alimentos[[#This Row],[Item]],super1[Bairro],mercado5)+SUMIFS(supercb[Qtde],supercb[Item],tab_alimentos[[#This Row],[Item]],supercb[Bairro],mercado5)</f>
        <v>0</v>
      </c>
      <c r="Q32" s="27" t="n">
        <f aca="false">SUMIFS(super1[Qtde],super1[Item],tab_alimentos[[#This Row],[Item]],super1[Bairro],mercado6)+SUMIFS(supercb[Qtde],supercb[Item],tab_alimentos[[#This Row],[Item]],supercb[Bairro],mercado6)</f>
        <v>0</v>
      </c>
      <c r="R32" s="27" t="n">
        <f aca="false">SUMIFS(super1[Qtde],super1[Item],tab_alimentos[[#This Row],[Item]],super1[Bairro],mercado7)+SUMIFS(supercb[Qtde],supercb[Item],tab_alimentos[[#This Row],[Item]],supercb[Bairro],mercado7)</f>
        <v>0</v>
      </c>
      <c r="S32" s="27" t="n">
        <f aca="false">SUMIFS(super1[Qtde],super1[Item],tab_alimentos[[#This Row],[Item]],super1[Bairro],mercado8)+SUMIFS(supercb[Qtde],supercb[Item],tab_alimentos[[#This Row],[Item]],supercb[Bairro],mercado8)</f>
        <v>0</v>
      </c>
      <c r="T32" s="27" t="n">
        <f aca="false">SUMIFS(super1[Qtde],super1[Item],tab_alimentos[[#This Row],[Item]],super1[Bairro],mercado9)+SUMIFS(supercb[Qtde],supercb[Item],tab_alimentos[[#This Row],[Item]],supercb[Bairro],mercado9)</f>
        <v>0</v>
      </c>
      <c r="U32" s="27" t="n">
        <f aca="false">SUMIFS(super1[Qtde],super1[Item],tab_alimentos[[#This Row],[Item]],super1[Bairro],mercado10)+SUMIFS(supercb[Qtde],supercb[Item],tab_alimentos[[#This Row],[Item]],supercb[Bairro],mercado10)</f>
        <v>0</v>
      </c>
      <c r="V32" s="27" t="n">
        <f aca="false">SUMIFS(super1[Qtde],super1[Item],tab_alimentos[[#This Row],[Item]],super1[Bairro],mercado11)+SUMIFS(supercb[Qtde],supercb[Item],tab_alimentos[[#This Row],[Item]],supercb[Bairro],mercado11)</f>
        <v>0</v>
      </c>
      <c r="W32" s="27" t="n">
        <f aca="false">SUMIFS(super1[Qtde],super1[Item],tab_alimentos[[#This Row],[Item]],super1[Bairro],mercado12)+SUMIFS(supercb[Qtde],supercb[Item],tab_alimentos[[#This Row],[Item]],supercb[Bairro],mercado12)</f>
        <v>0</v>
      </c>
      <c r="X32" s="27" t="n">
        <f aca="false">SUMIFS(super1[Qtde],super1[Item],tab_alimentos[[#This Row],[Item]],super1[Bairro],mercado13)+SUMIFS(supercb[Qtde],supercb[Item],tab_alimentos[[#This Row],[Item]],supercb[Bairro],mercado13)</f>
        <v>0</v>
      </c>
      <c r="Y32" s="27" t="n">
        <f aca="false">SUMIFS(super1[Qtde],super1[Item],tab_alimentos[[#This Row],[Item]],super1[Bairro],mercado14)+SUMIFS(supercb[Qtde],supercb[Item],tab_alimentos[[#This Row],[Item]],supercb[Bairro],mercado14)</f>
        <v>0</v>
      </c>
      <c r="Z32" s="27" t="n">
        <f aca="false">SUMIFS(super1[Qtde],super1[Item],tab_alimentos[[#This Row],[Item]],super1[Bairro],mercado15)+SUMIFS(supercb[Qtde],supercb[Item],tab_alimentos[[#This Row],[Item]],supercb[Bairro],mercado15)</f>
        <v>0</v>
      </c>
      <c r="AA32" s="27" t="n">
        <f aca="false">SUMIFS(super1[Qtde],super1[Item],tab_alimentos[[#This Row],[Item]],super1[Bairro],mercado16)+SUMIFS(supercb[Qtde],supercb[Item],tab_alimentos[[#This Row],[Item]],supercb[Bairro],mercado16)</f>
        <v>0</v>
      </c>
      <c r="AB32" s="27" t="n">
        <f aca="false">SUMIFS(super1[Qtde],super1[Item],tab_alimentos[[#This Row],[Item]],super1[Bairro],mercado17)+SUMIFS(supercb[Qtde],supercb[Item],tab_alimentos[[#This Row],[Item]],supercb[Bairro],mercado17)</f>
        <v>0</v>
      </c>
      <c r="AC32" s="27" t="n">
        <f aca="false">SUMIFS(super1[Qtde],super1[Item],tab_alimentos[[#This Row],[Item]],super1[Bairro],mercado18)+SUMIFS(supercb[Qtde],supercb[Item],tab_alimentos[[#This Row],[Item]],supercb[Bairro],mercado18)</f>
        <v>0</v>
      </c>
      <c r="AD32" s="27" t="n">
        <f aca="false">SUMIFS(super1[Qtde],super1[Item],tab_alimentos[[#This Row],[Item]],super1[Bairro],extras)+SUMIFS(supercb[Qtde],supercb[Item],tab_alimentos[[#This Row],[Item]],supercb[Bairro],extras)</f>
        <v>0</v>
      </c>
      <c r="AE32" s="27" t="n">
        <f aca="false">SUM(L32:AC32)</f>
        <v>0</v>
      </c>
      <c r="AF32" s="27" t="n">
        <f aca="false">IFERROR(AE32*K32,0)</f>
        <v>0</v>
      </c>
      <c r="AG32" s="28" t="n">
        <f aca="false">IFERROR(J32*AE32,0)</f>
        <v>0</v>
      </c>
      <c r="AH32" s="26" t="str">
        <f aca="false">higiene[[#This Row],[Item]]</f>
        <v>Antisséptico (440ml)</v>
      </c>
      <c r="AI32" s="27" t="n">
        <f aca="false">IFERROR(higiene[[#This Row],[Kg equivalente]],0)</f>
        <v>3.61669949906706</v>
      </c>
      <c r="AJ32" s="27" t="n">
        <f aca="false">IFERROR(higiene[[#This Row],[Preço por produto]],0)</f>
        <v>11.98</v>
      </c>
      <c r="AK32" s="27" t="n">
        <f aca="false">SUMIFS(super1[Qtde],super1[Item],tab_higiene[[#This Row],[Item]],super1[Bairro],mercado1)+SUMIFS(supercb[Qtde],supercb[Item],tab_higiene[[#This Row],[Item]],supercb[Bairro],mercado1)</f>
        <v>0</v>
      </c>
      <c r="AL32" s="27" t="n">
        <f aca="false">SUMIFS(super1[Qtde],super1[Item],tab_higiene[[#This Row],[Item]],super1[Bairro],mercado2)+SUMIFS(supercb[Qtde],supercb[Item],tab_higiene[[#This Row],[Item]],supercb[Bairro],mercado2)</f>
        <v>0</v>
      </c>
      <c r="AM32" s="27" t="n">
        <f aca="false">SUMIFS(super1[Qtde],super1[Item],tab_higiene[[#This Row],[Item]],super1[Bairro],mercado3)+SUMIFS(supercb[Qtde],supercb[Item],tab_higiene[[#This Row],[Item]],supercb[Bairro],mercado3)</f>
        <v>0</v>
      </c>
      <c r="AN32" s="27" t="n">
        <f aca="false">SUMIFS(super1[Qtde],super1[Item],tab_higiene[[#This Row],[Item]],super1[Bairro],mercado4)+SUMIFS(supercb[Qtde],supercb[Item],tab_higiene[[#This Row],[Item]],supercb[Bairro],mercado4)</f>
        <v>0</v>
      </c>
      <c r="AO32" s="27" t="n">
        <f aca="false">SUMIFS(super1[Qtde],super1[Item],tab_higiene[[#This Row],[Item]],super1[Bairro],mercado5)+SUMIFS(supercb[Qtde],supercb[Item],tab_higiene[[#This Row],[Item]],supercb[Bairro],mercado5)</f>
        <v>0</v>
      </c>
      <c r="AP32" s="27" t="n">
        <f aca="false">SUMIFS(super1[Qtde],super1[Item],tab_higiene[[#This Row],[Item]],super1[Bairro],mercado6)+SUMIFS(supercb[Qtde],supercb[Item],tab_higiene[[#This Row],[Item]],supercb[Bairro],mercado6)</f>
        <v>0</v>
      </c>
      <c r="AQ32" s="27" t="n">
        <f aca="false">SUMIFS(super1[Qtde],super1[Item],tab_higiene[[#This Row],[Item]],super1[Bairro],mercado7)+SUMIFS(supercb[Qtde],supercb[Item],tab_higiene[[#This Row],[Item]],supercb[Bairro],mercado7)</f>
        <v>0</v>
      </c>
      <c r="AR32" s="27" t="n">
        <f aca="false">SUMIFS(super1[Qtde],super1[Item],tab_higiene[[#This Row],[Item]],super1[Bairro],mercado8)+SUMIFS(supercb[Qtde],supercb[Item],tab_higiene[[#This Row],[Item]],supercb[Bairro],mercado8)</f>
        <v>0</v>
      </c>
      <c r="AS32" s="27" t="n">
        <f aca="false">SUMIFS(super1[Qtde],super1[Item],tab_higiene[[#This Row],[Item]],super1[Bairro],mercado9)+SUMIFS(supercb[Qtde],supercb[Item],tab_higiene[[#This Row],[Item]],supercb[Bairro],mercado9)</f>
        <v>0</v>
      </c>
      <c r="AT32" s="27" t="n">
        <f aca="false">SUMIFS(super1[Qtde],super1[Item],tab_higiene[[#This Row],[Item]],super1[Bairro],mercado10)+SUMIFS(supercb[Qtde],supercb[Item],tab_higiene[[#This Row],[Item]],supercb[Bairro],mercado10)</f>
        <v>0</v>
      </c>
      <c r="AU32" s="27" t="n">
        <f aca="false">SUMIFS(super1[Qtde],super1[Item],tab_higiene[[#This Row],[Item]],super1[Bairro],mercado11)+SUMIFS(supercb[Qtde],supercb[Item],tab_higiene[[#This Row],[Item]],supercb[Bairro],mercado11)</f>
        <v>0</v>
      </c>
      <c r="AV32" s="27" t="n">
        <f aca="false">SUMIFS(super1[Qtde],super1[Item],tab_higiene[[#This Row],[Item]],super1[Bairro],mercado12)+SUMIFS(supercb[Qtde],supercb[Item],tab_higiene[[#This Row],[Item]],supercb[Bairro],mercado12)</f>
        <v>0</v>
      </c>
      <c r="AW32" s="27" t="n">
        <f aca="false">SUMIFS(super1[Qtde],super1[Item],tab_higiene[[#This Row],[Item]],super1[Bairro],mercado13)+SUMIFS(supercb[Qtde],supercb[Item],tab_higiene[[#This Row],[Item]],supercb[Bairro],mercado13)</f>
        <v>0</v>
      </c>
      <c r="AX32" s="27" t="n">
        <f aca="false">SUMIFS(super1[Qtde],super1[Item],tab_higiene[[#This Row],[Item]],super1[Bairro],mercado14)+SUMIFS(supercb[Qtde],supercb[Item],tab_higiene[[#This Row],[Item]],supercb[Bairro],mercado14)</f>
        <v>0</v>
      </c>
      <c r="AY32" s="27" t="n">
        <f aca="false">SUMIFS(super1[Qtde],super1[Item],tab_higiene[[#This Row],[Item]],super1[Bairro],mercado15)+SUMIFS(supercb[Qtde],supercb[Item],tab_higiene[[#This Row],[Item]],supercb[Bairro],mercado15)</f>
        <v>0</v>
      </c>
      <c r="AZ32" s="27" t="n">
        <f aca="false">SUMIFS(super1[Qtde],super1[Item],tab_higiene[[#This Row],[Item]],super1[Bairro],mercado16)+SUMIFS(supercb[Qtde],supercb[Item],tab_higiene[[#This Row],[Item]],supercb[Bairro],mercado16)</f>
        <v>0</v>
      </c>
      <c r="BA32" s="27" t="n">
        <f aca="false">SUMIFS(super1[Qtde],super1[Item],tab_higiene[[#This Row],[Item]],super1[Bairro],mercado17)+SUMIFS(supercb[Qtde],supercb[Item],tab_higiene[[#This Row],[Item]],supercb[Bairro],mercado17)</f>
        <v>0</v>
      </c>
      <c r="BB32" s="27" t="n">
        <f aca="false">SUMIFS(super1[Qtde],super1[Item],tab_higiene[[#This Row],[Item]],super1[Bairro],mercado18)+SUMIFS(supercb[Qtde],supercb[Item],tab_higiene[[#This Row],[Item]],supercb[Bairro],mercado18)</f>
        <v>0</v>
      </c>
      <c r="BC32" s="27" t="n">
        <f aca="false">SUMIFS(super1[Qtde],super1[Item],tab_higiene[[#This Row],[Item]],super1[Bairro],extras)+SUMIFS(supercb[Qtde],supercb[Item],tab_higiene[[#This Row],[Item]],supercb[Bairro],extras)</f>
        <v>0</v>
      </c>
      <c r="BD32" s="27" t="n">
        <f aca="false">SUM(AK32:BB32)</f>
        <v>0</v>
      </c>
      <c r="BE32" s="27" t="n">
        <f aca="false">IFERROR(BD32*AJ32,0)</f>
        <v>0</v>
      </c>
      <c r="BF32" s="28" t="n">
        <f aca="false">IFERROR(AI32*BD32,0)</f>
        <v>0</v>
      </c>
      <c r="BI32" s="22" t="str">
        <f aca="false">tab_alimentos[[#This Row],[Item]]</f>
        <v>Azeitona (100g)</v>
      </c>
      <c r="BJ32" s="22" t="n">
        <f aca="false">IFERROR(FIND(" (",BI32),0)</f>
        <v>9</v>
      </c>
      <c r="BK32" s="22" t="str">
        <f aca="false">IF(BJ32=0,BI32,LEFT(BI32,BJ32-1))</f>
        <v>Azeitona</v>
      </c>
      <c r="BL32" s="22" t="n">
        <f aca="false">tab_alimentos[[#This Row],[kg]]</f>
        <v>0</v>
      </c>
      <c r="BM32" s="32" t="s">
        <v>298</v>
      </c>
      <c r="BN32" s="22" t="n">
        <f aca="false">SUMIF($BJ$5:$BJ$158,BM32,$BK$5:$BK$158)</f>
        <v>0</v>
      </c>
      <c r="BP32" s="22" t="str">
        <f aca="false">tab_higiene[[#This Row],[Item]]</f>
        <v>Antisséptico (440ml)</v>
      </c>
      <c r="BQ32" s="22" t="n">
        <f aca="false">IFERROR(FIND(" (",BP32),0)</f>
        <v>13</v>
      </c>
      <c r="BR32" s="22" t="str">
        <f aca="false">IF(BQ32=0,BP32,LEFT(BP32,BQ32-1))</f>
        <v>Antisséptico</v>
      </c>
      <c r="BS32" s="22" t="n">
        <f aca="false">higiene[[#This Row],[Quantidade]]</f>
        <v>0</v>
      </c>
      <c r="BT32" s="22" t="n">
        <f aca="false">tab_higiene[Qtde (tot)]</f>
        <v>0</v>
      </c>
      <c r="BU32" s="22" t="n">
        <f aca="false">BS32*BT32</f>
        <v>0</v>
      </c>
      <c r="BV32" s="32" t="s">
        <v>119</v>
      </c>
      <c r="BW32" s="22" t="n">
        <f aca="false">SUMIF($BR$5:$BR$142,BV32,$BU$5:$BU$142)</f>
        <v>48</v>
      </c>
    </row>
    <row r="33" customFormat="false" ht="15" hidden="false" customHeight="false" outlineLevel="0" collapsed="false">
      <c r="A33" s="35"/>
      <c r="B33" s="35"/>
      <c r="C33" s="35"/>
      <c r="D33" s="35"/>
      <c r="E33" s="35"/>
      <c r="F33" s="35"/>
      <c r="G33" s="35"/>
      <c r="I33" s="26" t="str">
        <f aca="false">alimentos[[#This Row],[Item]]</f>
        <v>Azeitona (120g)</v>
      </c>
      <c r="J33" s="27" t="n">
        <f aca="false">IFERROR(alimentos[[#This Row],[kg/embalagem]],0)</f>
        <v>0.12</v>
      </c>
      <c r="K33" s="27" t="n">
        <f aca="false">IFERROR(alimentos[[#This Row],[Preço]],0)</f>
        <v>4.45</v>
      </c>
      <c r="L33" s="27" t="n">
        <f aca="false">SUMIFS(super1[Qtde],super1[Item],tab_alimentos[[#This Row],[Item]],super1[Bairro],mercado1)+SUMIFS(supercb[Qtde],supercb[Item],tab_alimentos[[#This Row],[Item]],supercb[Bairro],mercado1)</f>
        <v>0</v>
      </c>
      <c r="M33" s="27" t="n">
        <f aca="false">SUMIFS(super1[Qtde],super1[Item],tab_alimentos[[#This Row],[Item]],super1[Bairro],mercado2)+SUMIFS(supercb[Qtde],supercb[Item],tab_alimentos[[#This Row],[Item]],supercb[Bairro],mercado2)</f>
        <v>0</v>
      </c>
      <c r="N33" s="27" t="n">
        <f aca="false">SUMIFS(super1[Qtde],super1[Item],tab_alimentos[[#This Row],[Item]],super1[Bairro],mercado3)+SUMIFS(supercb[Qtde],supercb[Item],tab_alimentos[[#This Row],[Item]],supercb[Bairro],mercado3)</f>
        <v>0</v>
      </c>
      <c r="O33" s="27" t="n">
        <f aca="false">SUMIFS(super1[Qtde],super1[Item],tab_alimentos[[#This Row],[Item]],super1[Bairro],mercado4)+SUMIFS(supercb[Qtde],supercb[Item],tab_alimentos[[#This Row],[Item]],supercb[Bairro],mercado4)</f>
        <v>0</v>
      </c>
      <c r="P33" s="27" t="n">
        <f aca="false">SUMIFS(super1[Qtde],super1[Item],tab_alimentos[[#This Row],[Item]],super1[Bairro],mercado5)+SUMIFS(supercb[Qtde],supercb[Item],tab_alimentos[[#This Row],[Item]],supercb[Bairro],mercado5)</f>
        <v>0</v>
      </c>
      <c r="Q33" s="27" t="n">
        <f aca="false">SUMIFS(super1[Qtde],super1[Item],tab_alimentos[[#This Row],[Item]],super1[Bairro],mercado6)+SUMIFS(supercb[Qtde],supercb[Item],tab_alimentos[[#This Row],[Item]],supercb[Bairro],mercado6)</f>
        <v>0</v>
      </c>
      <c r="R33" s="27" t="n">
        <f aca="false">SUMIFS(super1[Qtde],super1[Item],tab_alimentos[[#This Row],[Item]],super1[Bairro],mercado7)+SUMIFS(supercb[Qtde],supercb[Item],tab_alimentos[[#This Row],[Item]],supercb[Bairro],mercado7)</f>
        <v>0</v>
      </c>
      <c r="S33" s="27" t="n">
        <f aca="false">SUMIFS(super1[Qtde],super1[Item],tab_alimentos[[#This Row],[Item]],super1[Bairro],mercado8)+SUMIFS(supercb[Qtde],supercb[Item],tab_alimentos[[#This Row],[Item]],supercb[Bairro],mercado8)</f>
        <v>0</v>
      </c>
      <c r="T33" s="27" t="n">
        <f aca="false">SUMIFS(super1[Qtde],super1[Item],tab_alimentos[[#This Row],[Item]],super1[Bairro],mercado9)+SUMIFS(supercb[Qtde],supercb[Item],tab_alimentos[[#This Row],[Item]],supercb[Bairro],mercado9)</f>
        <v>0</v>
      </c>
      <c r="U33" s="27" t="n">
        <f aca="false">SUMIFS(super1[Qtde],super1[Item],tab_alimentos[[#This Row],[Item]],super1[Bairro],mercado10)+SUMIFS(supercb[Qtde],supercb[Item],tab_alimentos[[#This Row],[Item]],supercb[Bairro],mercado10)</f>
        <v>0</v>
      </c>
      <c r="V33" s="27" t="n">
        <f aca="false">SUMIFS(super1[Qtde],super1[Item],tab_alimentos[[#This Row],[Item]],super1[Bairro],mercado11)+SUMIFS(supercb[Qtde],supercb[Item],tab_alimentos[[#This Row],[Item]],supercb[Bairro],mercado11)</f>
        <v>0</v>
      </c>
      <c r="W33" s="27" t="n">
        <f aca="false">SUMIFS(super1[Qtde],super1[Item],tab_alimentos[[#This Row],[Item]],super1[Bairro],mercado12)+SUMIFS(supercb[Qtde],supercb[Item],tab_alimentos[[#This Row],[Item]],supercb[Bairro],mercado12)</f>
        <v>0</v>
      </c>
      <c r="X33" s="27" t="n">
        <f aca="false">SUMIFS(super1[Qtde],super1[Item],tab_alimentos[[#This Row],[Item]],super1[Bairro],mercado13)+SUMIFS(supercb[Qtde],supercb[Item],tab_alimentos[[#This Row],[Item]],supercb[Bairro],mercado13)</f>
        <v>0</v>
      </c>
      <c r="Y33" s="27" t="n">
        <f aca="false">SUMIFS(super1[Qtde],super1[Item],tab_alimentos[[#This Row],[Item]],super1[Bairro],mercado14)+SUMIFS(supercb[Qtde],supercb[Item],tab_alimentos[[#This Row],[Item]],supercb[Bairro],mercado14)</f>
        <v>0</v>
      </c>
      <c r="Z33" s="27" t="n">
        <f aca="false">SUMIFS(super1[Qtde],super1[Item],tab_alimentos[[#This Row],[Item]],super1[Bairro],mercado15)+SUMIFS(supercb[Qtde],supercb[Item],tab_alimentos[[#This Row],[Item]],supercb[Bairro],mercado15)</f>
        <v>0</v>
      </c>
      <c r="AA33" s="27" t="n">
        <f aca="false">SUMIFS(super1[Qtde],super1[Item],tab_alimentos[[#This Row],[Item]],super1[Bairro],mercado16)+SUMIFS(supercb[Qtde],supercb[Item],tab_alimentos[[#This Row],[Item]],supercb[Bairro],mercado16)</f>
        <v>0</v>
      </c>
      <c r="AB33" s="27" t="n">
        <f aca="false">SUMIFS(super1[Qtde],super1[Item],tab_alimentos[[#This Row],[Item]],super1[Bairro],mercado17)+SUMIFS(supercb[Qtde],supercb[Item],tab_alimentos[[#This Row],[Item]],supercb[Bairro],mercado17)</f>
        <v>0</v>
      </c>
      <c r="AC33" s="27" t="n">
        <f aca="false">SUMIFS(super1[Qtde],super1[Item],tab_alimentos[[#This Row],[Item]],super1[Bairro],mercado18)+SUMIFS(supercb[Qtde],supercb[Item],tab_alimentos[[#This Row],[Item]],supercb[Bairro],mercado18)</f>
        <v>0</v>
      </c>
      <c r="AD33" s="27" t="n">
        <f aca="false">SUMIFS(super1[Qtde],super1[Item],tab_alimentos[[#This Row],[Item]],super1[Bairro],extras)+SUMIFS(supercb[Qtde],supercb[Item],tab_alimentos[[#This Row],[Item]],supercb[Bairro],extras)</f>
        <v>0</v>
      </c>
      <c r="AE33" s="27" t="n">
        <f aca="false">SUM(L33:AC33)</f>
        <v>0</v>
      </c>
      <c r="AF33" s="27" t="n">
        <f aca="false">IFERROR(AE33*K33,0)</f>
        <v>0</v>
      </c>
      <c r="AG33" s="28" t="n">
        <f aca="false">IFERROR(J33*AE33,0)</f>
        <v>0</v>
      </c>
      <c r="AH33" s="26" t="str">
        <f aca="false">higiene[[#This Row],[Item]]</f>
        <v>B</v>
      </c>
      <c r="AI33" s="27" t="n">
        <f aca="false">IFERROR(higiene[[#This Row],[Kg equivalente]],0)</f>
        <v>0</v>
      </c>
      <c r="AJ33" s="27" t="n">
        <f aca="false">IFERROR(higiene[[#This Row],[Preço por produto]],0)</f>
        <v>0</v>
      </c>
      <c r="AK33" s="27" t="n">
        <f aca="false">SUMIFS(super1[Qtde],super1[Item],tab_higiene[[#This Row],[Item]],super1[Bairro],mercado1)+SUMIFS(supercb[Qtde],supercb[Item],tab_higiene[[#This Row],[Item]],supercb[Bairro],mercado1)</f>
        <v>0</v>
      </c>
      <c r="AL33" s="27" t="n">
        <f aca="false">SUMIFS(super1[Qtde],super1[Item],tab_higiene[[#This Row],[Item]],super1[Bairro],mercado2)+SUMIFS(supercb[Qtde],supercb[Item],tab_higiene[[#This Row],[Item]],supercb[Bairro],mercado2)</f>
        <v>0</v>
      </c>
      <c r="AM33" s="27" t="n">
        <f aca="false">SUMIFS(super1[Qtde],super1[Item],tab_higiene[[#This Row],[Item]],super1[Bairro],mercado3)+SUMIFS(supercb[Qtde],supercb[Item],tab_higiene[[#This Row],[Item]],supercb[Bairro],mercado3)</f>
        <v>0</v>
      </c>
      <c r="AN33" s="27" t="n">
        <f aca="false">SUMIFS(super1[Qtde],super1[Item],tab_higiene[[#This Row],[Item]],super1[Bairro],mercado4)+SUMIFS(supercb[Qtde],supercb[Item],tab_higiene[[#This Row],[Item]],supercb[Bairro],mercado4)</f>
        <v>0</v>
      </c>
      <c r="AO33" s="27" t="n">
        <f aca="false">SUMIFS(super1[Qtde],super1[Item],tab_higiene[[#This Row],[Item]],super1[Bairro],mercado5)+SUMIFS(supercb[Qtde],supercb[Item],tab_higiene[[#This Row],[Item]],supercb[Bairro],mercado5)</f>
        <v>0</v>
      </c>
      <c r="AP33" s="27" t="n">
        <f aca="false">SUMIFS(super1[Qtde],super1[Item],tab_higiene[[#This Row],[Item]],super1[Bairro],mercado6)+SUMIFS(supercb[Qtde],supercb[Item],tab_higiene[[#This Row],[Item]],supercb[Bairro],mercado6)</f>
        <v>0</v>
      </c>
      <c r="AQ33" s="27" t="n">
        <f aca="false">SUMIFS(super1[Qtde],super1[Item],tab_higiene[[#This Row],[Item]],super1[Bairro],mercado7)+SUMIFS(supercb[Qtde],supercb[Item],tab_higiene[[#This Row],[Item]],supercb[Bairro],mercado7)</f>
        <v>0</v>
      </c>
      <c r="AR33" s="27" t="n">
        <f aca="false">SUMIFS(super1[Qtde],super1[Item],tab_higiene[[#This Row],[Item]],super1[Bairro],mercado8)+SUMIFS(supercb[Qtde],supercb[Item],tab_higiene[[#This Row],[Item]],supercb[Bairro],mercado8)</f>
        <v>0</v>
      </c>
      <c r="AS33" s="27" t="n">
        <f aca="false">SUMIFS(super1[Qtde],super1[Item],tab_higiene[[#This Row],[Item]],super1[Bairro],mercado9)+SUMIFS(supercb[Qtde],supercb[Item],tab_higiene[[#This Row],[Item]],supercb[Bairro],mercado9)</f>
        <v>0</v>
      </c>
      <c r="AT33" s="27" t="n">
        <f aca="false">SUMIFS(super1[Qtde],super1[Item],tab_higiene[[#This Row],[Item]],super1[Bairro],mercado10)+SUMIFS(supercb[Qtde],supercb[Item],tab_higiene[[#This Row],[Item]],supercb[Bairro],mercado10)</f>
        <v>0</v>
      </c>
      <c r="AU33" s="27" t="n">
        <f aca="false">SUMIFS(super1[Qtde],super1[Item],tab_higiene[[#This Row],[Item]],super1[Bairro],mercado11)+SUMIFS(supercb[Qtde],supercb[Item],tab_higiene[[#This Row],[Item]],supercb[Bairro],mercado11)</f>
        <v>0</v>
      </c>
      <c r="AV33" s="27" t="n">
        <f aca="false">SUMIFS(super1[Qtde],super1[Item],tab_higiene[[#This Row],[Item]],super1[Bairro],mercado12)+SUMIFS(supercb[Qtde],supercb[Item],tab_higiene[[#This Row],[Item]],supercb[Bairro],mercado12)</f>
        <v>0</v>
      </c>
      <c r="AW33" s="27" t="n">
        <f aca="false">SUMIFS(super1[Qtde],super1[Item],tab_higiene[[#This Row],[Item]],super1[Bairro],mercado13)+SUMIFS(supercb[Qtde],supercb[Item],tab_higiene[[#This Row],[Item]],supercb[Bairro],mercado13)</f>
        <v>0</v>
      </c>
      <c r="AX33" s="27" t="n">
        <f aca="false">SUMIFS(super1[Qtde],super1[Item],tab_higiene[[#This Row],[Item]],super1[Bairro],mercado14)+SUMIFS(supercb[Qtde],supercb[Item],tab_higiene[[#This Row],[Item]],supercb[Bairro],mercado14)</f>
        <v>0</v>
      </c>
      <c r="AY33" s="27" t="n">
        <f aca="false">SUMIFS(super1[Qtde],super1[Item],tab_higiene[[#This Row],[Item]],super1[Bairro],mercado15)+SUMIFS(supercb[Qtde],supercb[Item],tab_higiene[[#This Row],[Item]],supercb[Bairro],mercado15)</f>
        <v>0</v>
      </c>
      <c r="AZ33" s="27" t="n">
        <f aca="false">SUMIFS(super1[Qtde],super1[Item],tab_higiene[[#This Row],[Item]],super1[Bairro],mercado16)+SUMIFS(supercb[Qtde],supercb[Item],tab_higiene[[#This Row],[Item]],supercb[Bairro],mercado16)</f>
        <v>0</v>
      </c>
      <c r="BA33" s="27" t="n">
        <f aca="false">SUMIFS(super1[Qtde],super1[Item],tab_higiene[[#This Row],[Item]],super1[Bairro],mercado17)+SUMIFS(supercb[Qtde],supercb[Item],tab_higiene[[#This Row],[Item]],supercb[Bairro],mercado17)</f>
        <v>0</v>
      </c>
      <c r="BB33" s="27" t="n">
        <f aca="false">SUMIFS(super1[Qtde],super1[Item],tab_higiene[[#This Row],[Item]],super1[Bairro],mercado18)+SUMIFS(supercb[Qtde],supercb[Item],tab_higiene[[#This Row],[Item]],supercb[Bairro],mercado18)</f>
        <v>0</v>
      </c>
      <c r="BC33" s="27" t="n">
        <f aca="false">SUMIFS(super1[Qtde],super1[Item],tab_higiene[[#This Row],[Item]],super1[Bairro],extras)+SUMIFS(supercb[Qtde],supercb[Item],tab_higiene[[#This Row],[Item]],supercb[Bairro],extras)</f>
        <v>0</v>
      </c>
      <c r="BD33" s="27" t="n">
        <f aca="false">SUM(AK33:BB33)</f>
        <v>0</v>
      </c>
      <c r="BE33" s="27" t="n">
        <f aca="false">IFERROR(BD33*AJ33,0)</f>
        <v>0</v>
      </c>
      <c r="BF33" s="28" t="n">
        <f aca="false">IFERROR(AI33*BD33,0)</f>
        <v>0</v>
      </c>
      <c r="BI33" s="22" t="str">
        <f aca="false">tab_alimentos[[#This Row],[Item]]</f>
        <v>Azeitona (120g)</v>
      </c>
      <c r="BJ33" s="22" t="n">
        <f aca="false">IFERROR(FIND(" (",BI33),0)</f>
        <v>9</v>
      </c>
      <c r="BK33" s="22" t="str">
        <f aca="false">IF(BJ33=0,BI33,LEFT(BI33,BJ33-1))</f>
        <v>Azeitona</v>
      </c>
      <c r="BL33" s="22" t="n">
        <f aca="false">tab_alimentos[[#This Row],[kg]]</f>
        <v>0</v>
      </c>
      <c r="BM33" s="32" t="s">
        <v>59</v>
      </c>
      <c r="BN33" s="22" t="n">
        <f aca="false">SUMIF($BJ$5:$BJ$158,BM33,$BK$5:$BK$158)</f>
        <v>0</v>
      </c>
      <c r="BP33" s="22" t="str">
        <f aca="false">tab_higiene[[#This Row],[Item]]</f>
        <v>B</v>
      </c>
      <c r="BQ33" s="22" t="n">
        <f aca="false">IFERROR(FIND(" (",BP33),0)</f>
        <v>0</v>
      </c>
      <c r="BR33" s="22" t="str">
        <f aca="false">IF(BQ33=0,BP33,LEFT(BP33,BQ33-1))</f>
        <v>B</v>
      </c>
      <c r="BS33" s="22" t="n">
        <f aca="false">higiene[[#This Row],[Quantidade]]</f>
        <v>0</v>
      </c>
      <c r="BT33" s="22" t="n">
        <f aca="false">tab_higiene[Qtde (tot)]</f>
        <v>0</v>
      </c>
      <c r="BU33" s="22" t="n">
        <f aca="false">BS33*BT33</f>
        <v>0</v>
      </c>
      <c r="BV33" s="32" t="s">
        <v>299</v>
      </c>
      <c r="BW33" s="22" t="n">
        <f aca="false">SUMIF($BR$5:$BR$142,BV33,$BU$5:$BU$142)</f>
        <v>0</v>
      </c>
    </row>
    <row r="34" customFormat="false" ht="15" hidden="false" customHeight="false" outlineLevel="0" collapsed="false">
      <c r="A34" s="31" t="s">
        <v>300</v>
      </c>
      <c r="B34" s="31"/>
      <c r="C34" s="31"/>
      <c r="D34" s="31"/>
      <c r="E34" s="31"/>
      <c r="F34" s="31"/>
      <c r="G34" s="31"/>
      <c r="I34" s="26" t="str">
        <f aca="false">alimentos[[#This Row],[Item]]</f>
        <v>Azeitona (150g)</v>
      </c>
      <c r="J34" s="27" t="n">
        <f aca="false">IFERROR(alimentos[[#This Row],[kg/embalagem]],0)</f>
        <v>0.15</v>
      </c>
      <c r="K34" s="27" t="n">
        <f aca="false">IFERROR(alimentos[[#This Row],[Preço]],0)</f>
        <v>3.28</v>
      </c>
      <c r="L34" s="27" t="n">
        <f aca="false">SUMIFS(super1[Qtde],super1[Item],tab_alimentos[[#This Row],[Item]],super1[Bairro],mercado1)+SUMIFS(supercb[Qtde],supercb[Item],tab_alimentos[[#This Row],[Item]],supercb[Bairro],mercado1)</f>
        <v>0</v>
      </c>
      <c r="M34" s="27" t="n">
        <f aca="false">SUMIFS(super1[Qtde],super1[Item],tab_alimentos[[#This Row],[Item]],super1[Bairro],mercado2)+SUMIFS(supercb[Qtde],supercb[Item],tab_alimentos[[#This Row],[Item]],supercb[Bairro],mercado2)</f>
        <v>0</v>
      </c>
      <c r="N34" s="27" t="n">
        <f aca="false">SUMIFS(super1[Qtde],super1[Item],tab_alimentos[[#This Row],[Item]],super1[Bairro],mercado3)+SUMIFS(supercb[Qtde],supercb[Item],tab_alimentos[[#This Row],[Item]],supercb[Bairro],mercado3)</f>
        <v>0</v>
      </c>
      <c r="O34" s="27" t="n">
        <f aca="false">SUMIFS(super1[Qtde],super1[Item],tab_alimentos[[#This Row],[Item]],super1[Bairro],mercado4)+SUMIFS(supercb[Qtde],supercb[Item],tab_alimentos[[#This Row],[Item]],supercb[Bairro],mercado4)</f>
        <v>0</v>
      </c>
      <c r="P34" s="27" t="n">
        <f aca="false">SUMIFS(super1[Qtde],super1[Item],tab_alimentos[[#This Row],[Item]],super1[Bairro],mercado5)+SUMIFS(supercb[Qtde],supercb[Item],tab_alimentos[[#This Row],[Item]],supercb[Bairro],mercado5)</f>
        <v>0</v>
      </c>
      <c r="Q34" s="27" t="n">
        <f aca="false">SUMIFS(super1[Qtde],super1[Item],tab_alimentos[[#This Row],[Item]],super1[Bairro],mercado6)+SUMIFS(supercb[Qtde],supercb[Item],tab_alimentos[[#This Row],[Item]],supercb[Bairro],mercado6)</f>
        <v>0</v>
      </c>
      <c r="R34" s="27" t="n">
        <f aca="false">SUMIFS(super1[Qtde],super1[Item],tab_alimentos[[#This Row],[Item]],super1[Bairro],mercado7)+SUMIFS(supercb[Qtde],supercb[Item],tab_alimentos[[#This Row],[Item]],supercb[Bairro],mercado7)</f>
        <v>0</v>
      </c>
      <c r="S34" s="27" t="n">
        <f aca="false">SUMIFS(super1[Qtde],super1[Item],tab_alimentos[[#This Row],[Item]],super1[Bairro],mercado8)+SUMIFS(supercb[Qtde],supercb[Item],tab_alimentos[[#This Row],[Item]],supercb[Bairro],mercado8)</f>
        <v>0</v>
      </c>
      <c r="T34" s="27" t="n">
        <f aca="false">SUMIFS(super1[Qtde],super1[Item],tab_alimentos[[#This Row],[Item]],super1[Bairro],mercado9)+SUMIFS(supercb[Qtde],supercb[Item],tab_alimentos[[#This Row],[Item]],supercb[Bairro],mercado9)</f>
        <v>0</v>
      </c>
      <c r="U34" s="27" t="n">
        <f aca="false">SUMIFS(super1[Qtde],super1[Item],tab_alimentos[[#This Row],[Item]],super1[Bairro],mercado10)+SUMIFS(supercb[Qtde],supercb[Item],tab_alimentos[[#This Row],[Item]],supercb[Bairro],mercado10)</f>
        <v>0</v>
      </c>
      <c r="V34" s="27" t="n">
        <f aca="false">SUMIFS(super1[Qtde],super1[Item],tab_alimentos[[#This Row],[Item]],super1[Bairro],mercado11)+SUMIFS(supercb[Qtde],supercb[Item],tab_alimentos[[#This Row],[Item]],supercb[Bairro],mercado11)</f>
        <v>0</v>
      </c>
      <c r="W34" s="27" t="n">
        <f aca="false">SUMIFS(super1[Qtde],super1[Item],tab_alimentos[[#This Row],[Item]],super1[Bairro],mercado12)+SUMIFS(supercb[Qtde],supercb[Item],tab_alimentos[[#This Row],[Item]],supercb[Bairro],mercado12)</f>
        <v>0</v>
      </c>
      <c r="X34" s="27" t="n">
        <f aca="false">SUMIFS(super1[Qtde],super1[Item],tab_alimentos[[#This Row],[Item]],super1[Bairro],mercado13)+SUMIFS(supercb[Qtde],supercb[Item],tab_alimentos[[#This Row],[Item]],supercb[Bairro],mercado13)</f>
        <v>0</v>
      </c>
      <c r="Y34" s="27" t="n">
        <f aca="false">SUMIFS(super1[Qtde],super1[Item],tab_alimentos[[#This Row],[Item]],super1[Bairro],mercado14)+SUMIFS(supercb[Qtde],supercb[Item],tab_alimentos[[#This Row],[Item]],supercb[Bairro],mercado14)</f>
        <v>0</v>
      </c>
      <c r="Z34" s="27" t="n">
        <f aca="false">SUMIFS(super1[Qtde],super1[Item],tab_alimentos[[#This Row],[Item]],super1[Bairro],mercado15)+SUMIFS(supercb[Qtde],supercb[Item],tab_alimentos[[#This Row],[Item]],supercb[Bairro],mercado15)</f>
        <v>0</v>
      </c>
      <c r="AA34" s="27" t="n">
        <f aca="false">SUMIFS(super1[Qtde],super1[Item],tab_alimentos[[#This Row],[Item]],super1[Bairro],mercado16)+SUMIFS(supercb[Qtde],supercb[Item],tab_alimentos[[#This Row],[Item]],supercb[Bairro],mercado16)</f>
        <v>0</v>
      </c>
      <c r="AB34" s="27" t="n">
        <f aca="false">SUMIFS(super1[Qtde],super1[Item],tab_alimentos[[#This Row],[Item]],super1[Bairro],mercado17)+SUMIFS(supercb[Qtde],supercb[Item],tab_alimentos[[#This Row],[Item]],supercb[Bairro],mercado17)</f>
        <v>0</v>
      </c>
      <c r="AC34" s="27" t="n">
        <f aca="false">SUMIFS(super1[Qtde],super1[Item],tab_alimentos[[#This Row],[Item]],super1[Bairro],mercado18)+SUMIFS(supercb[Qtde],supercb[Item],tab_alimentos[[#This Row],[Item]],supercb[Bairro],mercado18)</f>
        <v>0</v>
      </c>
      <c r="AD34" s="27" t="n">
        <f aca="false">SUMIFS(super1[Qtde],super1[Item],tab_alimentos[[#This Row],[Item]],super1[Bairro],extras)+SUMIFS(supercb[Qtde],supercb[Item],tab_alimentos[[#This Row],[Item]],supercb[Bairro],extras)</f>
        <v>0</v>
      </c>
      <c r="AE34" s="27" t="n">
        <f aca="false">SUM(L34:AC34)</f>
        <v>0</v>
      </c>
      <c r="AF34" s="27" t="n">
        <f aca="false">IFERROR(AE34*K34,0)</f>
        <v>0</v>
      </c>
      <c r="AG34" s="28" t="n">
        <f aca="false">IFERROR(J34*AE34,0)</f>
        <v>0</v>
      </c>
      <c r="AH34" s="26" t="str">
        <f aca="false">higiene[[#This Row],[Item]]</f>
        <v>Band Aid</v>
      </c>
      <c r="AI34" s="27" t="n">
        <f aca="false">IFERROR(higiene[[#This Row],[Kg equivalente]],0)</f>
        <v>2.5479919676232</v>
      </c>
      <c r="AJ34" s="27" t="n">
        <f aca="false">IFERROR(higiene[[#This Row],[Preço por produto]],0)</f>
        <v>8.44</v>
      </c>
      <c r="AK34" s="27" t="n">
        <f aca="false">SUMIFS(super1[Qtde],super1[Item],tab_higiene[[#This Row],[Item]],super1[Bairro],mercado1)+SUMIFS(supercb[Qtde],supercb[Item],tab_higiene[[#This Row],[Item]],supercb[Bairro],mercado1)</f>
        <v>0</v>
      </c>
      <c r="AL34" s="27" t="n">
        <f aca="false">SUMIFS(super1[Qtde],super1[Item],tab_higiene[[#This Row],[Item]],super1[Bairro],mercado2)+SUMIFS(supercb[Qtde],supercb[Item],tab_higiene[[#This Row],[Item]],supercb[Bairro],mercado2)</f>
        <v>0</v>
      </c>
      <c r="AM34" s="27" t="n">
        <f aca="false">SUMIFS(super1[Qtde],super1[Item],tab_higiene[[#This Row],[Item]],super1[Bairro],mercado3)+SUMIFS(supercb[Qtde],supercb[Item],tab_higiene[[#This Row],[Item]],supercb[Bairro],mercado3)</f>
        <v>0</v>
      </c>
      <c r="AN34" s="27" t="n">
        <f aca="false">SUMIFS(super1[Qtde],super1[Item],tab_higiene[[#This Row],[Item]],super1[Bairro],mercado4)+SUMIFS(supercb[Qtde],supercb[Item],tab_higiene[[#This Row],[Item]],supercb[Bairro],mercado4)</f>
        <v>0</v>
      </c>
      <c r="AO34" s="27" t="n">
        <f aca="false">SUMIFS(super1[Qtde],super1[Item],tab_higiene[[#This Row],[Item]],super1[Bairro],mercado5)+SUMIFS(supercb[Qtde],supercb[Item],tab_higiene[[#This Row],[Item]],supercb[Bairro],mercado5)</f>
        <v>0</v>
      </c>
      <c r="AP34" s="27" t="n">
        <f aca="false">SUMIFS(super1[Qtde],super1[Item],tab_higiene[[#This Row],[Item]],super1[Bairro],mercado6)+SUMIFS(supercb[Qtde],supercb[Item],tab_higiene[[#This Row],[Item]],supercb[Bairro],mercado6)</f>
        <v>0</v>
      </c>
      <c r="AQ34" s="27" t="n">
        <f aca="false">SUMIFS(super1[Qtde],super1[Item],tab_higiene[[#This Row],[Item]],super1[Bairro],mercado7)+SUMIFS(supercb[Qtde],supercb[Item],tab_higiene[[#This Row],[Item]],supercb[Bairro],mercado7)</f>
        <v>0</v>
      </c>
      <c r="AR34" s="27" t="n">
        <f aca="false">SUMIFS(super1[Qtde],super1[Item],tab_higiene[[#This Row],[Item]],super1[Bairro],mercado8)+SUMIFS(supercb[Qtde],supercb[Item],tab_higiene[[#This Row],[Item]],supercb[Bairro],mercado8)</f>
        <v>0</v>
      </c>
      <c r="AS34" s="27" t="n">
        <f aca="false">SUMIFS(super1[Qtde],super1[Item],tab_higiene[[#This Row],[Item]],super1[Bairro],mercado9)+SUMIFS(supercb[Qtde],supercb[Item],tab_higiene[[#This Row],[Item]],supercb[Bairro],mercado9)</f>
        <v>0</v>
      </c>
      <c r="AT34" s="27" t="n">
        <f aca="false">SUMIFS(super1[Qtde],super1[Item],tab_higiene[[#This Row],[Item]],super1[Bairro],mercado10)+SUMIFS(supercb[Qtde],supercb[Item],tab_higiene[[#This Row],[Item]],supercb[Bairro],mercado10)</f>
        <v>0</v>
      </c>
      <c r="AU34" s="27" t="n">
        <f aca="false">SUMIFS(super1[Qtde],super1[Item],tab_higiene[[#This Row],[Item]],super1[Bairro],mercado11)+SUMIFS(supercb[Qtde],supercb[Item],tab_higiene[[#This Row],[Item]],supercb[Bairro],mercado11)</f>
        <v>0</v>
      </c>
      <c r="AV34" s="27" t="n">
        <f aca="false">SUMIFS(super1[Qtde],super1[Item],tab_higiene[[#This Row],[Item]],super1[Bairro],mercado12)+SUMIFS(supercb[Qtde],supercb[Item],tab_higiene[[#This Row],[Item]],supercb[Bairro],mercado12)</f>
        <v>0</v>
      </c>
      <c r="AW34" s="27" t="n">
        <f aca="false">SUMIFS(super1[Qtde],super1[Item],tab_higiene[[#This Row],[Item]],super1[Bairro],mercado13)+SUMIFS(supercb[Qtde],supercb[Item],tab_higiene[[#This Row],[Item]],supercb[Bairro],mercado13)</f>
        <v>0</v>
      </c>
      <c r="AX34" s="27" t="n">
        <f aca="false">SUMIFS(super1[Qtde],super1[Item],tab_higiene[[#This Row],[Item]],super1[Bairro],mercado14)+SUMIFS(supercb[Qtde],supercb[Item],tab_higiene[[#This Row],[Item]],supercb[Bairro],mercado14)</f>
        <v>0</v>
      </c>
      <c r="AY34" s="27" t="n">
        <f aca="false">SUMIFS(super1[Qtde],super1[Item],tab_higiene[[#This Row],[Item]],super1[Bairro],mercado15)+SUMIFS(supercb[Qtde],supercb[Item],tab_higiene[[#This Row],[Item]],supercb[Bairro],mercado15)</f>
        <v>0</v>
      </c>
      <c r="AZ34" s="27" t="n">
        <f aca="false">SUMIFS(super1[Qtde],super1[Item],tab_higiene[[#This Row],[Item]],super1[Bairro],mercado16)+SUMIFS(supercb[Qtde],supercb[Item],tab_higiene[[#This Row],[Item]],supercb[Bairro],mercado16)</f>
        <v>0</v>
      </c>
      <c r="BA34" s="27" t="n">
        <f aca="false">SUMIFS(super1[Qtde],super1[Item],tab_higiene[[#This Row],[Item]],super1[Bairro],mercado17)+SUMIFS(supercb[Qtde],supercb[Item],tab_higiene[[#This Row],[Item]],supercb[Bairro],mercado17)</f>
        <v>0</v>
      </c>
      <c r="BB34" s="27" t="n">
        <f aca="false">SUMIFS(super1[Qtde],super1[Item],tab_higiene[[#This Row],[Item]],super1[Bairro],mercado18)+SUMIFS(supercb[Qtde],supercb[Item],tab_higiene[[#This Row],[Item]],supercb[Bairro],mercado18)</f>
        <v>0</v>
      </c>
      <c r="BC34" s="27" t="n">
        <f aca="false">SUMIFS(super1[Qtde],super1[Item],tab_higiene[[#This Row],[Item]],super1[Bairro],extras)+SUMIFS(supercb[Qtde],supercb[Item],tab_higiene[[#This Row],[Item]],supercb[Bairro],extras)</f>
        <v>0</v>
      </c>
      <c r="BD34" s="27" t="n">
        <f aca="false">SUM(AK34:BB34)</f>
        <v>0</v>
      </c>
      <c r="BE34" s="27" t="n">
        <f aca="false">IFERROR(BD34*AJ34,0)</f>
        <v>0</v>
      </c>
      <c r="BF34" s="28" t="n">
        <f aca="false">IFERROR(AI34*BD34,0)</f>
        <v>0</v>
      </c>
      <c r="BI34" s="22" t="str">
        <f aca="false">tab_alimentos[[#This Row],[Item]]</f>
        <v>Azeitona (150g)</v>
      </c>
      <c r="BJ34" s="22" t="n">
        <f aca="false">IFERROR(FIND(" (",BI34),0)</f>
        <v>9</v>
      </c>
      <c r="BK34" s="22" t="str">
        <f aca="false">IF(BJ34=0,BI34,LEFT(BI34,BJ34-1))</f>
        <v>Azeitona</v>
      </c>
      <c r="BL34" s="22" t="n">
        <f aca="false">tab_alimentos[[#This Row],[kg]]</f>
        <v>0</v>
      </c>
      <c r="BM34" s="32" t="s">
        <v>301</v>
      </c>
      <c r="BN34" s="22" t="n">
        <f aca="false">SUMIF($BJ$5:$BJ$158,BM34,$BK$5:$BK$158)</f>
        <v>0</v>
      </c>
      <c r="BP34" s="22" t="str">
        <f aca="false">tab_higiene[[#This Row],[Item]]</f>
        <v>Band Aid</v>
      </c>
      <c r="BQ34" s="22" t="n">
        <f aca="false">IFERROR(FIND(" (",BP34),0)</f>
        <v>0</v>
      </c>
      <c r="BR34" s="22" t="str">
        <f aca="false">IF(BQ34=0,BP34,LEFT(BP34,BQ34-1))</f>
        <v>Band Aid</v>
      </c>
      <c r="BS34" s="22" t="n">
        <f aca="false">higiene[[#This Row],[Quantidade]]</f>
        <v>1</v>
      </c>
      <c r="BT34" s="22" t="n">
        <f aca="false">tab_higiene[Qtde (tot)]</f>
        <v>0</v>
      </c>
      <c r="BU34" s="22" t="n">
        <f aca="false">BS34*BT34</f>
        <v>0</v>
      </c>
      <c r="BV34" s="32" t="s">
        <v>302</v>
      </c>
      <c r="BW34" s="22" t="n">
        <f aca="false">SUMIF($BR$5:$BR$142,BV34,$BU$5:$BU$142)</f>
        <v>0</v>
      </c>
    </row>
    <row r="35" customFormat="false" ht="15" hidden="false" customHeight="false" outlineLevel="0" collapsed="false">
      <c r="A35" s="35" t="n">
        <f aca="false">SUM(tab_higiene[kg])</f>
        <v>2670.92709563913</v>
      </c>
      <c r="B35" s="35"/>
      <c r="C35" s="35"/>
      <c r="D35" s="35"/>
      <c r="E35" s="35"/>
      <c r="F35" s="35"/>
      <c r="G35" s="35"/>
      <c r="I35" s="26" t="str">
        <f aca="false">alimentos[[#This Row],[Item]]</f>
        <v>Azeitona (160g)</v>
      </c>
      <c r="J35" s="27" t="n">
        <f aca="false">IFERROR(alimentos[[#This Row],[kg/embalagem]],0)</f>
        <v>0.16</v>
      </c>
      <c r="K35" s="27" t="n">
        <f aca="false">IFERROR(alimentos[[#This Row],[Preço]],0)</f>
        <v>4.2175</v>
      </c>
      <c r="L35" s="27" t="n">
        <f aca="false">SUMIFS(super1[Qtde],super1[Item],tab_alimentos[[#This Row],[Item]],super1[Bairro],mercado1)+SUMIFS(supercb[Qtde],supercb[Item],tab_alimentos[[#This Row],[Item]],supercb[Bairro],mercado1)</f>
        <v>0</v>
      </c>
      <c r="M35" s="27" t="n">
        <f aca="false">SUMIFS(super1[Qtde],super1[Item],tab_alimentos[[#This Row],[Item]],super1[Bairro],mercado2)+SUMIFS(supercb[Qtde],supercb[Item],tab_alimentos[[#This Row],[Item]],supercb[Bairro],mercado2)</f>
        <v>0</v>
      </c>
      <c r="N35" s="27" t="n">
        <f aca="false">SUMIFS(super1[Qtde],super1[Item],tab_alimentos[[#This Row],[Item]],super1[Bairro],mercado3)+SUMIFS(supercb[Qtde],supercb[Item],tab_alimentos[[#This Row],[Item]],supercb[Bairro],mercado3)</f>
        <v>0</v>
      </c>
      <c r="O35" s="27" t="n">
        <f aca="false">SUMIFS(super1[Qtde],super1[Item],tab_alimentos[[#This Row],[Item]],super1[Bairro],mercado4)+SUMIFS(supercb[Qtde],supercb[Item],tab_alimentos[[#This Row],[Item]],supercb[Bairro],mercado4)</f>
        <v>0</v>
      </c>
      <c r="P35" s="27" t="n">
        <f aca="false">SUMIFS(super1[Qtde],super1[Item],tab_alimentos[[#This Row],[Item]],super1[Bairro],mercado5)+SUMIFS(supercb[Qtde],supercb[Item],tab_alimentos[[#This Row],[Item]],supercb[Bairro],mercado5)</f>
        <v>0</v>
      </c>
      <c r="Q35" s="27" t="n">
        <f aca="false">SUMIFS(super1[Qtde],super1[Item],tab_alimentos[[#This Row],[Item]],super1[Bairro],mercado6)+SUMIFS(supercb[Qtde],supercb[Item],tab_alimentos[[#This Row],[Item]],supercb[Bairro],mercado6)</f>
        <v>0</v>
      </c>
      <c r="R35" s="27" t="n">
        <f aca="false">SUMIFS(super1[Qtde],super1[Item],tab_alimentos[[#This Row],[Item]],super1[Bairro],mercado7)+SUMIFS(supercb[Qtde],supercb[Item],tab_alimentos[[#This Row],[Item]],supercb[Bairro],mercado7)</f>
        <v>0</v>
      </c>
      <c r="S35" s="27" t="n">
        <f aca="false">SUMIFS(super1[Qtde],super1[Item],tab_alimentos[[#This Row],[Item]],super1[Bairro],mercado8)+SUMIFS(supercb[Qtde],supercb[Item],tab_alimentos[[#This Row],[Item]],supercb[Bairro],mercado8)</f>
        <v>0</v>
      </c>
      <c r="T35" s="27" t="n">
        <f aca="false">SUMIFS(super1[Qtde],super1[Item],tab_alimentos[[#This Row],[Item]],super1[Bairro],mercado9)+SUMIFS(supercb[Qtde],supercb[Item],tab_alimentos[[#This Row],[Item]],supercb[Bairro],mercado9)</f>
        <v>0</v>
      </c>
      <c r="U35" s="27" t="n">
        <f aca="false">SUMIFS(super1[Qtde],super1[Item],tab_alimentos[[#This Row],[Item]],super1[Bairro],mercado10)+SUMIFS(supercb[Qtde],supercb[Item],tab_alimentos[[#This Row],[Item]],supercb[Bairro],mercado10)</f>
        <v>0</v>
      </c>
      <c r="V35" s="27" t="n">
        <f aca="false">SUMIFS(super1[Qtde],super1[Item],tab_alimentos[[#This Row],[Item]],super1[Bairro],mercado11)+SUMIFS(supercb[Qtde],supercb[Item],tab_alimentos[[#This Row],[Item]],supercb[Bairro],mercado11)</f>
        <v>0</v>
      </c>
      <c r="W35" s="27" t="n">
        <f aca="false">SUMIFS(super1[Qtde],super1[Item],tab_alimentos[[#This Row],[Item]],super1[Bairro],mercado12)+SUMIFS(supercb[Qtde],supercb[Item],tab_alimentos[[#This Row],[Item]],supercb[Bairro],mercado12)</f>
        <v>0</v>
      </c>
      <c r="X35" s="27" t="n">
        <f aca="false">SUMIFS(super1[Qtde],super1[Item],tab_alimentos[[#This Row],[Item]],super1[Bairro],mercado13)+SUMIFS(supercb[Qtde],supercb[Item],tab_alimentos[[#This Row],[Item]],supercb[Bairro],mercado13)</f>
        <v>0</v>
      </c>
      <c r="Y35" s="27" t="n">
        <f aca="false">SUMIFS(super1[Qtde],super1[Item],tab_alimentos[[#This Row],[Item]],super1[Bairro],mercado14)+SUMIFS(supercb[Qtde],supercb[Item],tab_alimentos[[#This Row],[Item]],supercb[Bairro],mercado14)</f>
        <v>0</v>
      </c>
      <c r="Z35" s="27" t="n">
        <f aca="false">SUMIFS(super1[Qtde],super1[Item],tab_alimentos[[#This Row],[Item]],super1[Bairro],mercado15)+SUMIFS(supercb[Qtde],supercb[Item],tab_alimentos[[#This Row],[Item]],supercb[Bairro],mercado15)</f>
        <v>0</v>
      </c>
      <c r="AA35" s="27" t="n">
        <f aca="false">SUMIFS(super1[Qtde],super1[Item],tab_alimentos[[#This Row],[Item]],super1[Bairro],mercado16)+SUMIFS(supercb[Qtde],supercb[Item],tab_alimentos[[#This Row],[Item]],supercb[Bairro],mercado16)</f>
        <v>0</v>
      </c>
      <c r="AB35" s="27" t="n">
        <f aca="false">SUMIFS(super1[Qtde],super1[Item],tab_alimentos[[#This Row],[Item]],super1[Bairro],mercado17)+SUMIFS(supercb[Qtde],supercb[Item],tab_alimentos[[#This Row],[Item]],supercb[Bairro],mercado17)</f>
        <v>0</v>
      </c>
      <c r="AC35" s="27" t="n">
        <f aca="false">SUMIFS(super1[Qtde],super1[Item],tab_alimentos[[#This Row],[Item]],super1[Bairro],mercado18)+SUMIFS(supercb[Qtde],supercb[Item],tab_alimentos[[#This Row],[Item]],supercb[Bairro],mercado18)</f>
        <v>0</v>
      </c>
      <c r="AD35" s="27" t="n">
        <f aca="false">SUMIFS(super1[Qtde],super1[Item],tab_alimentos[[#This Row],[Item]],super1[Bairro],extras)+SUMIFS(supercb[Qtde],supercb[Item],tab_alimentos[[#This Row],[Item]],supercb[Bairro],extras)</f>
        <v>0</v>
      </c>
      <c r="AE35" s="27" t="n">
        <f aca="false">SUM(L35:AC35)</f>
        <v>0</v>
      </c>
      <c r="AF35" s="27" t="n">
        <f aca="false">IFERROR(AE35*K35,0)</f>
        <v>0</v>
      </c>
      <c r="AG35" s="28" t="n">
        <f aca="false">IFERROR(J35*AE35,0)</f>
        <v>0</v>
      </c>
      <c r="AH35" s="26" t="str">
        <f aca="false">higiene[[#This Row],[Item]]</f>
        <v>Band Aid (10un)</v>
      </c>
      <c r="AI35" s="27" t="n">
        <f aca="false">IFERROR(higiene[[#This Row],[Kg equivalente]],0)</f>
        <v>1.28305282729841</v>
      </c>
      <c r="AJ35" s="27" t="n">
        <f aca="false">IFERROR(higiene[[#This Row],[Preço por produto]],0)</f>
        <v>4.25</v>
      </c>
      <c r="AK35" s="27" t="n">
        <f aca="false">SUMIFS(super1[Qtde],super1[Item],tab_higiene[[#This Row],[Item]],super1[Bairro],mercado1)+SUMIFS(supercb[Qtde],supercb[Item],tab_higiene[[#This Row],[Item]],supercb[Bairro],mercado1)</f>
        <v>0</v>
      </c>
      <c r="AL35" s="27" t="n">
        <f aca="false">SUMIFS(super1[Qtde],super1[Item],tab_higiene[[#This Row],[Item]],super1[Bairro],mercado2)+SUMIFS(supercb[Qtde],supercb[Item],tab_higiene[[#This Row],[Item]],supercb[Bairro],mercado2)</f>
        <v>0</v>
      </c>
      <c r="AM35" s="27" t="n">
        <f aca="false">SUMIFS(super1[Qtde],super1[Item],tab_higiene[[#This Row],[Item]],super1[Bairro],mercado3)+SUMIFS(supercb[Qtde],supercb[Item],tab_higiene[[#This Row],[Item]],supercb[Bairro],mercado3)</f>
        <v>0</v>
      </c>
      <c r="AN35" s="27" t="n">
        <f aca="false">SUMIFS(super1[Qtde],super1[Item],tab_higiene[[#This Row],[Item]],super1[Bairro],mercado4)+SUMIFS(supercb[Qtde],supercb[Item],tab_higiene[[#This Row],[Item]],supercb[Bairro],mercado4)</f>
        <v>0</v>
      </c>
      <c r="AO35" s="27" t="n">
        <f aca="false">SUMIFS(super1[Qtde],super1[Item],tab_higiene[[#This Row],[Item]],super1[Bairro],mercado5)+SUMIFS(supercb[Qtde],supercb[Item],tab_higiene[[#This Row],[Item]],supercb[Bairro],mercado5)</f>
        <v>0</v>
      </c>
      <c r="AP35" s="27" t="n">
        <f aca="false">SUMIFS(super1[Qtde],super1[Item],tab_higiene[[#This Row],[Item]],super1[Bairro],mercado6)+SUMIFS(supercb[Qtde],supercb[Item],tab_higiene[[#This Row],[Item]],supercb[Bairro],mercado6)</f>
        <v>0</v>
      </c>
      <c r="AQ35" s="27" t="n">
        <f aca="false">SUMIFS(super1[Qtde],super1[Item],tab_higiene[[#This Row],[Item]],super1[Bairro],mercado7)+SUMIFS(supercb[Qtde],supercb[Item],tab_higiene[[#This Row],[Item]],supercb[Bairro],mercado7)</f>
        <v>0</v>
      </c>
      <c r="AR35" s="27" t="n">
        <f aca="false">SUMIFS(super1[Qtde],super1[Item],tab_higiene[[#This Row],[Item]],super1[Bairro],mercado8)+SUMIFS(supercb[Qtde],supercb[Item],tab_higiene[[#This Row],[Item]],supercb[Bairro],mercado8)</f>
        <v>0</v>
      </c>
      <c r="AS35" s="27" t="n">
        <f aca="false">SUMIFS(super1[Qtde],super1[Item],tab_higiene[[#This Row],[Item]],super1[Bairro],mercado9)+SUMIFS(supercb[Qtde],supercb[Item],tab_higiene[[#This Row],[Item]],supercb[Bairro],mercado9)</f>
        <v>0</v>
      </c>
      <c r="AT35" s="27" t="n">
        <f aca="false">SUMIFS(super1[Qtde],super1[Item],tab_higiene[[#This Row],[Item]],super1[Bairro],mercado10)+SUMIFS(supercb[Qtde],supercb[Item],tab_higiene[[#This Row],[Item]],supercb[Bairro],mercado10)</f>
        <v>0</v>
      </c>
      <c r="AU35" s="27" t="n">
        <f aca="false">SUMIFS(super1[Qtde],super1[Item],tab_higiene[[#This Row],[Item]],super1[Bairro],mercado11)+SUMIFS(supercb[Qtde],supercb[Item],tab_higiene[[#This Row],[Item]],supercb[Bairro],mercado11)</f>
        <v>0</v>
      </c>
      <c r="AV35" s="27" t="n">
        <f aca="false">SUMIFS(super1[Qtde],super1[Item],tab_higiene[[#This Row],[Item]],super1[Bairro],mercado12)+SUMIFS(supercb[Qtde],supercb[Item],tab_higiene[[#This Row],[Item]],supercb[Bairro],mercado12)</f>
        <v>0</v>
      </c>
      <c r="AW35" s="27" t="n">
        <f aca="false">SUMIFS(super1[Qtde],super1[Item],tab_higiene[[#This Row],[Item]],super1[Bairro],mercado13)+SUMIFS(supercb[Qtde],supercb[Item],tab_higiene[[#This Row],[Item]],supercb[Bairro],mercado13)</f>
        <v>0</v>
      </c>
      <c r="AX35" s="27" t="n">
        <f aca="false">SUMIFS(super1[Qtde],super1[Item],tab_higiene[[#This Row],[Item]],super1[Bairro],mercado14)+SUMIFS(supercb[Qtde],supercb[Item],tab_higiene[[#This Row],[Item]],supercb[Bairro],mercado14)</f>
        <v>0</v>
      </c>
      <c r="AY35" s="27" t="n">
        <f aca="false">SUMIFS(super1[Qtde],super1[Item],tab_higiene[[#This Row],[Item]],super1[Bairro],mercado15)+SUMIFS(supercb[Qtde],supercb[Item],tab_higiene[[#This Row],[Item]],supercb[Bairro],mercado15)</f>
        <v>0</v>
      </c>
      <c r="AZ35" s="27" t="n">
        <f aca="false">SUMIFS(super1[Qtde],super1[Item],tab_higiene[[#This Row],[Item]],super1[Bairro],mercado16)+SUMIFS(supercb[Qtde],supercb[Item],tab_higiene[[#This Row],[Item]],supercb[Bairro],mercado16)</f>
        <v>0</v>
      </c>
      <c r="BA35" s="27" t="n">
        <f aca="false">SUMIFS(super1[Qtde],super1[Item],tab_higiene[[#This Row],[Item]],super1[Bairro],mercado17)+SUMIFS(supercb[Qtde],supercb[Item],tab_higiene[[#This Row],[Item]],supercb[Bairro],mercado17)</f>
        <v>0</v>
      </c>
      <c r="BB35" s="27" t="n">
        <f aca="false">SUMIFS(super1[Qtde],super1[Item],tab_higiene[[#This Row],[Item]],super1[Bairro],mercado18)+SUMIFS(supercb[Qtde],supercb[Item],tab_higiene[[#This Row],[Item]],supercb[Bairro],mercado18)</f>
        <v>0</v>
      </c>
      <c r="BC35" s="27" t="n">
        <f aca="false">SUMIFS(super1[Qtde],super1[Item],tab_higiene[[#This Row],[Item]],super1[Bairro],extras)+SUMIFS(supercb[Qtde],supercb[Item],tab_higiene[[#This Row],[Item]],supercb[Bairro],extras)</f>
        <v>0</v>
      </c>
      <c r="BD35" s="27" t="n">
        <f aca="false">SUM(AK35:BB35)</f>
        <v>0</v>
      </c>
      <c r="BE35" s="27" t="n">
        <f aca="false">IFERROR(BD35*AJ35,0)</f>
        <v>0</v>
      </c>
      <c r="BF35" s="28" t="n">
        <f aca="false">IFERROR(AI35*BD35,0)</f>
        <v>0</v>
      </c>
      <c r="BI35" s="22" t="str">
        <f aca="false">tab_alimentos[[#This Row],[Item]]</f>
        <v>Azeitona (160g)</v>
      </c>
      <c r="BJ35" s="22" t="n">
        <f aca="false">IFERROR(FIND(" (",BI35),0)</f>
        <v>9</v>
      </c>
      <c r="BK35" s="22" t="str">
        <f aca="false">IF(BJ35=0,BI35,LEFT(BI35,BJ35-1))</f>
        <v>Azeitona</v>
      </c>
      <c r="BL35" s="22" t="n">
        <f aca="false">tab_alimentos[[#This Row],[kg]]</f>
        <v>0</v>
      </c>
      <c r="BM35" s="32" t="s">
        <v>303</v>
      </c>
      <c r="BN35" s="22" t="n">
        <f aca="false">SUMIF($BJ$5:$BJ$158,BM35,$BK$5:$BK$158)</f>
        <v>0</v>
      </c>
      <c r="BP35" s="22" t="str">
        <f aca="false">tab_higiene[[#This Row],[Item]]</f>
        <v>Band Aid (10un)</v>
      </c>
      <c r="BQ35" s="22" t="n">
        <f aca="false">IFERROR(FIND(" (",BP35),0)</f>
        <v>9</v>
      </c>
      <c r="BR35" s="22" t="str">
        <f aca="false">IF(BQ35=0,BP35,LEFT(BP35,BQ35-1))</f>
        <v>Band Aid</v>
      </c>
      <c r="BS35" s="22" t="n">
        <f aca="false">higiene[[#This Row],[Quantidade]]</f>
        <v>1</v>
      </c>
      <c r="BT35" s="22" t="n">
        <f aca="false">tab_higiene[Qtde (tot)]</f>
        <v>0</v>
      </c>
      <c r="BU35" s="22" t="n">
        <f aca="false">BS35*BT35</f>
        <v>0</v>
      </c>
      <c r="BV35" s="32" t="s">
        <v>304</v>
      </c>
      <c r="BW35" s="22" t="n">
        <f aca="false">SUMIF($BR$5:$BR$142,BV35,$BU$5:$BU$142)</f>
        <v>0</v>
      </c>
    </row>
    <row r="36" customFormat="false" ht="15" hidden="false" customHeight="false" outlineLevel="0" collapsed="false">
      <c r="A36" s="35"/>
      <c r="B36" s="35"/>
      <c r="C36" s="35"/>
      <c r="D36" s="35"/>
      <c r="E36" s="35"/>
      <c r="F36" s="35"/>
      <c r="G36" s="35"/>
      <c r="I36" s="26" t="str">
        <f aca="false">alimentos[[#This Row],[Item]]</f>
        <v>Azeitona (1kg)</v>
      </c>
      <c r="J36" s="27" t="n">
        <f aca="false">IFERROR(alimentos[[#This Row],[kg/embalagem]],0)</f>
        <v>1</v>
      </c>
      <c r="K36" s="27" t="n">
        <f aca="false">IFERROR(alimentos[[#This Row],[Preço]],0)</f>
        <v>13.98</v>
      </c>
      <c r="L36" s="27" t="n">
        <f aca="false">SUMIFS(super1[Qtde],super1[Item],tab_alimentos[[#This Row],[Item]],super1[Bairro],mercado1)+SUMIFS(supercb[Qtde],supercb[Item],tab_alimentos[[#This Row],[Item]],supercb[Bairro],mercado1)</f>
        <v>0</v>
      </c>
      <c r="M36" s="27" t="n">
        <f aca="false">SUMIFS(super1[Qtde],super1[Item],tab_alimentos[[#This Row],[Item]],super1[Bairro],mercado2)+SUMIFS(supercb[Qtde],supercb[Item],tab_alimentos[[#This Row],[Item]],supercb[Bairro],mercado2)</f>
        <v>0</v>
      </c>
      <c r="N36" s="27" t="n">
        <f aca="false">SUMIFS(super1[Qtde],super1[Item],tab_alimentos[[#This Row],[Item]],super1[Bairro],mercado3)+SUMIFS(supercb[Qtde],supercb[Item],tab_alimentos[[#This Row],[Item]],supercb[Bairro],mercado3)</f>
        <v>0</v>
      </c>
      <c r="O36" s="27" t="n">
        <f aca="false">SUMIFS(super1[Qtde],super1[Item],tab_alimentos[[#This Row],[Item]],super1[Bairro],mercado4)+SUMIFS(supercb[Qtde],supercb[Item],tab_alimentos[[#This Row],[Item]],supercb[Bairro],mercado4)</f>
        <v>0</v>
      </c>
      <c r="P36" s="27" t="n">
        <f aca="false">SUMIFS(super1[Qtde],super1[Item],tab_alimentos[[#This Row],[Item]],super1[Bairro],mercado5)+SUMIFS(supercb[Qtde],supercb[Item],tab_alimentos[[#This Row],[Item]],supercb[Bairro],mercado5)</f>
        <v>0</v>
      </c>
      <c r="Q36" s="27" t="n">
        <f aca="false">SUMIFS(super1[Qtde],super1[Item],tab_alimentos[[#This Row],[Item]],super1[Bairro],mercado6)+SUMIFS(supercb[Qtde],supercb[Item],tab_alimentos[[#This Row],[Item]],supercb[Bairro],mercado6)</f>
        <v>0</v>
      </c>
      <c r="R36" s="27" t="n">
        <f aca="false">SUMIFS(super1[Qtde],super1[Item],tab_alimentos[[#This Row],[Item]],super1[Bairro],mercado7)+SUMIFS(supercb[Qtde],supercb[Item],tab_alimentos[[#This Row],[Item]],supercb[Bairro],mercado7)</f>
        <v>0</v>
      </c>
      <c r="S36" s="27" t="n">
        <f aca="false">SUMIFS(super1[Qtde],super1[Item],tab_alimentos[[#This Row],[Item]],super1[Bairro],mercado8)+SUMIFS(supercb[Qtde],supercb[Item],tab_alimentos[[#This Row],[Item]],supercb[Bairro],mercado8)</f>
        <v>0</v>
      </c>
      <c r="T36" s="27" t="n">
        <f aca="false">SUMIFS(super1[Qtde],super1[Item],tab_alimentos[[#This Row],[Item]],super1[Bairro],mercado9)+SUMIFS(supercb[Qtde],supercb[Item],tab_alimentos[[#This Row],[Item]],supercb[Bairro],mercado9)</f>
        <v>0</v>
      </c>
      <c r="U36" s="27" t="n">
        <f aca="false">SUMIFS(super1[Qtde],super1[Item],tab_alimentos[[#This Row],[Item]],super1[Bairro],mercado10)+SUMIFS(supercb[Qtde],supercb[Item],tab_alimentos[[#This Row],[Item]],supercb[Bairro],mercado10)</f>
        <v>0</v>
      </c>
      <c r="V36" s="27" t="n">
        <f aca="false">SUMIFS(super1[Qtde],super1[Item],tab_alimentos[[#This Row],[Item]],super1[Bairro],mercado11)+SUMIFS(supercb[Qtde],supercb[Item],tab_alimentos[[#This Row],[Item]],supercb[Bairro],mercado11)</f>
        <v>0</v>
      </c>
      <c r="W36" s="27" t="n">
        <f aca="false">SUMIFS(super1[Qtde],super1[Item],tab_alimentos[[#This Row],[Item]],super1[Bairro],mercado12)+SUMIFS(supercb[Qtde],supercb[Item],tab_alimentos[[#This Row],[Item]],supercb[Bairro],mercado12)</f>
        <v>0</v>
      </c>
      <c r="X36" s="27" t="n">
        <f aca="false">SUMIFS(super1[Qtde],super1[Item],tab_alimentos[[#This Row],[Item]],super1[Bairro],mercado13)+SUMIFS(supercb[Qtde],supercb[Item],tab_alimentos[[#This Row],[Item]],supercb[Bairro],mercado13)</f>
        <v>0</v>
      </c>
      <c r="Y36" s="27" t="n">
        <f aca="false">SUMIFS(super1[Qtde],super1[Item],tab_alimentos[[#This Row],[Item]],super1[Bairro],mercado14)+SUMIFS(supercb[Qtde],supercb[Item],tab_alimentos[[#This Row],[Item]],supercb[Bairro],mercado14)</f>
        <v>0</v>
      </c>
      <c r="Z36" s="27" t="n">
        <f aca="false">SUMIFS(super1[Qtde],super1[Item],tab_alimentos[[#This Row],[Item]],super1[Bairro],mercado15)+SUMIFS(supercb[Qtde],supercb[Item],tab_alimentos[[#This Row],[Item]],supercb[Bairro],mercado15)</f>
        <v>0</v>
      </c>
      <c r="AA36" s="27" t="n">
        <f aca="false">SUMIFS(super1[Qtde],super1[Item],tab_alimentos[[#This Row],[Item]],super1[Bairro],mercado16)+SUMIFS(supercb[Qtde],supercb[Item],tab_alimentos[[#This Row],[Item]],supercb[Bairro],mercado16)</f>
        <v>0</v>
      </c>
      <c r="AB36" s="27" t="n">
        <f aca="false">SUMIFS(super1[Qtde],super1[Item],tab_alimentos[[#This Row],[Item]],super1[Bairro],mercado17)+SUMIFS(supercb[Qtde],supercb[Item],tab_alimentos[[#This Row],[Item]],supercb[Bairro],mercado17)</f>
        <v>0</v>
      </c>
      <c r="AC36" s="27" t="n">
        <f aca="false">SUMIFS(super1[Qtde],super1[Item],tab_alimentos[[#This Row],[Item]],super1[Bairro],mercado18)+SUMIFS(supercb[Qtde],supercb[Item],tab_alimentos[[#This Row],[Item]],supercb[Bairro],mercado18)</f>
        <v>0</v>
      </c>
      <c r="AD36" s="27" t="n">
        <f aca="false">SUMIFS(super1[Qtde],super1[Item],tab_alimentos[[#This Row],[Item]],super1[Bairro],extras)+SUMIFS(supercb[Qtde],supercb[Item],tab_alimentos[[#This Row],[Item]],supercb[Bairro],extras)</f>
        <v>0</v>
      </c>
      <c r="AE36" s="27" t="n">
        <f aca="false">SUM(L36:AC36)</f>
        <v>0</v>
      </c>
      <c r="AF36" s="27" t="n">
        <f aca="false">IFERROR(AE36*K36,0)</f>
        <v>0</v>
      </c>
      <c r="AG36" s="28" t="n">
        <f aca="false">IFERROR(J36*AE36,0)</f>
        <v>0</v>
      </c>
      <c r="AH36" s="26" t="str">
        <f aca="false">higiene[[#This Row],[Item]]</f>
        <v>Band Aid (40un)</v>
      </c>
      <c r="AI36" s="27" t="n">
        <f aca="false">IFERROR(higiene[[#This Row],[Kg equivalente]],0)</f>
        <v>3.46877105544912</v>
      </c>
      <c r="AJ36" s="27" t="n">
        <f aca="false">IFERROR(higiene[[#This Row],[Preço por produto]],0)</f>
        <v>11.49</v>
      </c>
      <c r="AK36" s="27" t="n">
        <f aca="false">SUMIFS(super1[Qtde],super1[Item],tab_higiene[[#This Row],[Item]],super1[Bairro],mercado1)+SUMIFS(supercb[Qtde],supercb[Item],tab_higiene[[#This Row],[Item]],supercb[Bairro],mercado1)</f>
        <v>0</v>
      </c>
      <c r="AL36" s="27" t="n">
        <f aca="false">SUMIFS(super1[Qtde],super1[Item],tab_higiene[[#This Row],[Item]],super1[Bairro],mercado2)+SUMIFS(supercb[Qtde],supercb[Item],tab_higiene[[#This Row],[Item]],supercb[Bairro],mercado2)</f>
        <v>0</v>
      </c>
      <c r="AM36" s="27" t="n">
        <f aca="false">SUMIFS(super1[Qtde],super1[Item],tab_higiene[[#This Row],[Item]],super1[Bairro],mercado3)+SUMIFS(supercb[Qtde],supercb[Item],tab_higiene[[#This Row],[Item]],supercb[Bairro],mercado3)</f>
        <v>0</v>
      </c>
      <c r="AN36" s="27" t="n">
        <f aca="false">SUMIFS(super1[Qtde],super1[Item],tab_higiene[[#This Row],[Item]],super1[Bairro],mercado4)+SUMIFS(supercb[Qtde],supercb[Item],tab_higiene[[#This Row],[Item]],supercb[Bairro],mercado4)</f>
        <v>0</v>
      </c>
      <c r="AO36" s="27" t="n">
        <f aca="false">SUMIFS(super1[Qtde],super1[Item],tab_higiene[[#This Row],[Item]],super1[Bairro],mercado5)+SUMIFS(supercb[Qtde],supercb[Item],tab_higiene[[#This Row],[Item]],supercb[Bairro],mercado5)</f>
        <v>0</v>
      </c>
      <c r="AP36" s="27" t="n">
        <f aca="false">SUMIFS(super1[Qtde],super1[Item],tab_higiene[[#This Row],[Item]],super1[Bairro],mercado6)+SUMIFS(supercb[Qtde],supercb[Item],tab_higiene[[#This Row],[Item]],supercb[Bairro],mercado6)</f>
        <v>0</v>
      </c>
      <c r="AQ36" s="27" t="n">
        <f aca="false">SUMIFS(super1[Qtde],super1[Item],tab_higiene[[#This Row],[Item]],super1[Bairro],mercado7)+SUMIFS(supercb[Qtde],supercb[Item],tab_higiene[[#This Row],[Item]],supercb[Bairro],mercado7)</f>
        <v>0</v>
      </c>
      <c r="AR36" s="27" t="n">
        <f aca="false">SUMIFS(super1[Qtde],super1[Item],tab_higiene[[#This Row],[Item]],super1[Bairro],mercado8)+SUMIFS(supercb[Qtde],supercb[Item],tab_higiene[[#This Row],[Item]],supercb[Bairro],mercado8)</f>
        <v>0</v>
      </c>
      <c r="AS36" s="27" t="n">
        <f aca="false">SUMIFS(super1[Qtde],super1[Item],tab_higiene[[#This Row],[Item]],super1[Bairro],mercado9)+SUMIFS(supercb[Qtde],supercb[Item],tab_higiene[[#This Row],[Item]],supercb[Bairro],mercado9)</f>
        <v>0</v>
      </c>
      <c r="AT36" s="27" t="n">
        <f aca="false">SUMIFS(super1[Qtde],super1[Item],tab_higiene[[#This Row],[Item]],super1[Bairro],mercado10)+SUMIFS(supercb[Qtde],supercb[Item],tab_higiene[[#This Row],[Item]],supercb[Bairro],mercado10)</f>
        <v>0</v>
      </c>
      <c r="AU36" s="27" t="n">
        <f aca="false">SUMIFS(super1[Qtde],super1[Item],tab_higiene[[#This Row],[Item]],super1[Bairro],mercado11)+SUMIFS(supercb[Qtde],supercb[Item],tab_higiene[[#This Row],[Item]],supercb[Bairro],mercado11)</f>
        <v>0</v>
      </c>
      <c r="AV36" s="27" t="n">
        <f aca="false">SUMIFS(super1[Qtde],super1[Item],tab_higiene[[#This Row],[Item]],super1[Bairro],mercado12)+SUMIFS(supercb[Qtde],supercb[Item],tab_higiene[[#This Row],[Item]],supercb[Bairro],mercado12)</f>
        <v>0</v>
      </c>
      <c r="AW36" s="27" t="n">
        <f aca="false">SUMIFS(super1[Qtde],super1[Item],tab_higiene[[#This Row],[Item]],super1[Bairro],mercado13)+SUMIFS(supercb[Qtde],supercb[Item],tab_higiene[[#This Row],[Item]],supercb[Bairro],mercado13)</f>
        <v>0</v>
      </c>
      <c r="AX36" s="27" t="n">
        <f aca="false">SUMIFS(super1[Qtde],super1[Item],tab_higiene[[#This Row],[Item]],super1[Bairro],mercado14)+SUMIFS(supercb[Qtde],supercb[Item],tab_higiene[[#This Row],[Item]],supercb[Bairro],mercado14)</f>
        <v>0</v>
      </c>
      <c r="AY36" s="27" t="n">
        <f aca="false">SUMIFS(super1[Qtde],super1[Item],tab_higiene[[#This Row],[Item]],super1[Bairro],mercado15)+SUMIFS(supercb[Qtde],supercb[Item],tab_higiene[[#This Row],[Item]],supercb[Bairro],mercado15)</f>
        <v>0</v>
      </c>
      <c r="AZ36" s="27" t="n">
        <f aca="false">SUMIFS(super1[Qtde],super1[Item],tab_higiene[[#This Row],[Item]],super1[Bairro],mercado16)+SUMIFS(supercb[Qtde],supercb[Item],tab_higiene[[#This Row],[Item]],supercb[Bairro],mercado16)</f>
        <v>0</v>
      </c>
      <c r="BA36" s="27" t="n">
        <f aca="false">SUMIFS(super1[Qtde],super1[Item],tab_higiene[[#This Row],[Item]],super1[Bairro],mercado17)+SUMIFS(supercb[Qtde],supercb[Item],tab_higiene[[#This Row],[Item]],supercb[Bairro],mercado17)</f>
        <v>0</v>
      </c>
      <c r="BB36" s="27" t="n">
        <f aca="false">SUMIFS(super1[Qtde],super1[Item],tab_higiene[[#This Row],[Item]],super1[Bairro],mercado18)+SUMIFS(supercb[Qtde],supercb[Item],tab_higiene[[#This Row],[Item]],supercb[Bairro],mercado18)</f>
        <v>0</v>
      </c>
      <c r="BC36" s="27" t="n">
        <f aca="false">SUMIFS(super1[Qtde],super1[Item],tab_higiene[[#This Row],[Item]],super1[Bairro],extras)+SUMIFS(supercb[Qtde],supercb[Item],tab_higiene[[#This Row],[Item]],supercb[Bairro],extras)</f>
        <v>0</v>
      </c>
      <c r="BD36" s="27" t="n">
        <f aca="false">SUM(AK36:BB36)</f>
        <v>0</v>
      </c>
      <c r="BE36" s="27" t="n">
        <f aca="false">IFERROR(BD36*AJ36,0)</f>
        <v>0</v>
      </c>
      <c r="BF36" s="28" t="n">
        <f aca="false">IFERROR(AI36*BD36,0)</f>
        <v>0</v>
      </c>
      <c r="BI36" s="22" t="str">
        <f aca="false">tab_alimentos[[#This Row],[Item]]</f>
        <v>Azeitona (1kg)</v>
      </c>
      <c r="BJ36" s="22" t="n">
        <f aca="false">IFERROR(FIND(" (",BI36),0)</f>
        <v>9</v>
      </c>
      <c r="BK36" s="22" t="str">
        <f aca="false">IF(BJ36=0,BI36,LEFT(BI36,BJ36-1))</f>
        <v>Azeitona</v>
      </c>
      <c r="BL36" s="22" t="n">
        <f aca="false">tab_alimentos[[#This Row],[kg]]</f>
        <v>0</v>
      </c>
      <c r="BM36" s="32" t="s">
        <v>305</v>
      </c>
      <c r="BN36" s="22" t="n">
        <f aca="false">SUMIF($BJ$5:$BJ$158,BM36,$BK$5:$BK$158)</f>
        <v>0</v>
      </c>
      <c r="BP36" s="22" t="str">
        <f aca="false">tab_higiene[[#This Row],[Item]]</f>
        <v>Band Aid (40un)</v>
      </c>
      <c r="BQ36" s="22" t="n">
        <f aca="false">IFERROR(FIND(" (",BP36),0)</f>
        <v>9</v>
      </c>
      <c r="BR36" s="22" t="str">
        <f aca="false">IF(BQ36=0,BP36,LEFT(BP36,BQ36-1))</f>
        <v>Band Aid</v>
      </c>
      <c r="BS36" s="22" t="n">
        <f aca="false">higiene[[#This Row],[Quantidade]]</f>
        <v>0</v>
      </c>
      <c r="BT36" s="22" t="n">
        <f aca="false">tab_higiene[Qtde (tot)]</f>
        <v>0</v>
      </c>
      <c r="BU36" s="22" t="n">
        <f aca="false">BS36*BT36</f>
        <v>0</v>
      </c>
      <c r="BV36" s="32" t="s">
        <v>306</v>
      </c>
      <c r="BW36" s="22" t="n">
        <f aca="false">SUMIF($BR$5:$BR$142,BV36,$BU$5:$BU$142)</f>
        <v>0</v>
      </c>
    </row>
    <row r="37" customFormat="false" ht="15" hidden="false" customHeight="false" outlineLevel="0" collapsed="false">
      <c r="A37" s="31" t="s">
        <v>307</v>
      </c>
      <c r="B37" s="31"/>
      <c r="C37" s="31"/>
      <c r="D37" s="31"/>
      <c r="E37" s="31"/>
      <c r="F37" s="31"/>
      <c r="G37" s="31"/>
      <c r="I37" s="26" t="str">
        <f aca="false">alimentos[[#This Row],[Item]]</f>
        <v>Azeitona (270g)</v>
      </c>
      <c r="J37" s="27" t="n">
        <f aca="false">IFERROR(alimentos[[#This Row],[kg/embalagem]],0)</f>
        <v>0.27</v>
      </c>
      <c r="K37" s="27" t="n">
        <f aca="false">IFERROR(alimentos[[#This Row],[Preço]],0)</f>
        <v>6.99</v>
      </c>
      <c r="L37" s="27" t="n">
        <f aca="false">SUMIFS(super1[Qtde],super1[Item],tab_alimentos[[#This Row],[Item]],super1[Bairro],mercado1)+SUMIFS(supercb[Qtde],supercb[Item],tab_alimentos[[#This Row],[Item]],supercb[Bairro],mercado1)</f>
        <v>0</v>
      </c>
      <c r="M37" s="27" t="n">
        <f aca="false">SUMIFS(super1[Qtde],super1[Item],tab_alimentos[[#This Row],[Item]],super1[Bairro],mercado2)+SUMIFS(supercb[Qtde],supercb[Item],tab_alimentos[[#This Row],[Item]],supercb[Bairro],mercado2)</f>
        <v>0</v>
      </c>
      <c r="N37" s="27" t="n">
        <f aca="false">SUMIFS(super1[Qtde],super1[Item],tab_alimentos[[#This Row],[Item]],super1[Bairro],mercado3)+SUMIFS(supercb[Qtde],supercb[Item],tab_alimentos[[#This Row],[Item]],supercb[Bairro],mercado3)</f>
        <v>0</v>
      </c>
      <c r="O37" s="27" t="n">
        <f aca="false">SUMIFS(super1[Qtde],super1[Item],tab_alimentos[[#This Row],[Item]],super1[Bairro],mercado4)+SUMIFS(supercb[Qtde],supercb[Item],tab_alimentos[[#This Row],[Item]],supercb[Bairro],mercado4)</f>
        <v>0</v>
      </c>
      <c r="P37" s="27" t="n">
        <f aca="false">SUMIFS(super1[Qtde],super1[Item],tab_alimentos[[#This Row],[Item]],super1[Bairro],mercado5)+SUMIFS(supercb[Qtde],supercb[Item],tab_alimentos[[#This Row],[Item]],supercb[Bairro],mercado5)</f>
        <v>0</v>
      </c>
      <c r="Q37" s="27" t="n">
        <f aca="false">SUMIFS(super1[Qtde],super1[Item],tab_alimentos[[#This Row],[Item]],super1[Bairro],mercado6)+SUMIFS(supercb[Qtde],supercb[Item],tab_alimentos[[#This Row],[Item]],supercb[Bairro],mercado6)</f>
        <v>0</v>
      </c>
      <c r="R37" s="27" t="n">
        <f aca="false">SUMIFS(super1[Qtde],super1[Item],tab_alimentos[[#This Row],[Item]],super1[Bairro],mercado7)+SUMIFS(supercb[Qtde],supercb[Item],tab_alimentos[[#This Row],[Item]],supercb[Bairro],mercado7)</f>
        <v>0</v>
      </c>
      <c r="S37" s="27" t="n">
        <f aca="false">SUMIFS(super1[Qtde],super1[Item],tab_alimentos[[#This Row],[Item]],super1[Bairro],mercado8)+SUMIFS(supercb[Qtde],supercb[Item],tab_alimentos[[#This Row],[Item]],supercb[Bairro],mercado8)</f>
        <v>0</v>
      </c>
      <c r="T37" s="27" t="n">
        <f aca="false">SUMIFS(super1[Qtde],super1[Item],tab_alimentos[[#This Row],[Item]],super1[Bairro],mercado9)+SUMIFS(supercb[Qtde],supercb[Item],tab_alimentos[[#This Row],[Item]],supercb[Bairro],mercado9)</f>
        <v>0</v>
      </c>
      <c r="U37" s="27" t="n">
        <f aca="false">SUMIFS(super1[Qtde],super1[Item],tab_alimentos[[#This Row],[Item]],super1[Bairro],mercado10)+SUMIFS(supercb[Qtde],supercb[Item],tab_alimentos[[#This Row],[Item]],supercb[Bairro],mercado10)</f>
        <v>0</v>
      </c>
      <c r="V37" s="27" t="n">
        <f aca="false">SUMIFS(super1[Qtde],super1[Item],tab_alimentos[[#This Row],[Item]],super1[Bairro],mercado11)+SUMIFS(supercb[Qtde],supercb[Item],tab_alimentos[[#This Row],[Item]],supercb[Bairro],mercado11)</f>
        <v>0</v>
      </c>
      <c r="W37" s="27" t="n">
        <f aca="false">SUMIFS(super1[Qtde],super1[Item],tab_alimentos[[#This Row],[Item]],super1[Bairro],mercado12)+SUMIFS(supercb[Qtde],supercb[Item],tab_alimentos[[#This Row],[Item]],supercb[Bairro],mercado12)</f>
        <v>0</v>
      </c>
      <c r="X37" s="27" t="n">
        <f aca="false">SUMIFS(super1[Qtde],super1[Item],tab_alimentos[[#This Row],[Item]],super1[Bairro],mercado13)+SUMIFS(supercb[Qtde],supercb[Item],tab_alimentos[[#This Row],[Item]],supercb[Bairro],mercado13)</f>
        <v>0</v>
      </c>
      <c r="Y37" s="27" t="n">
        <f aca="false">SUMIFS(super1[Qtde],super1[Item],tab_alimentos[[#This Row],[Item]],super1[Bairro],mercado14)+SUMIFS(supercb[Qtde],supercb[Item],tab_alimentos[[#This Row],[Item]],supercb[Bairro],mercado14)</f>
        <v>0</v>
      </c>
      <c r="Z37" s="27" t="n">
        <f aca="false">SUMIFS(super1[Qtde],super1[Item],tab_alimentos[[#This Row],[Item]],super1[Bairro],mercado15)+SUMIFS(supercb[Qtde],supercb[Item],tab_alimentos[[#This Row],[Item]],supercb[Bairro],mercado15)</f>
        <v>0</v>
      </c>
      <c r="AA37" s="27" t="n">
        <f aca="false">SUMIFS(super1[Qtde],super1[Item],tab_alimentos[[#This Row],[Item]],super1[Bairro],mercado16)+SUMIFS(supercb[Qtde],supercb[Item],tab_alimentos[[#This Row],[Item]],supercb[Bairro],mercado16)</f>
        <v>0</v>
      </c>
      <c r="AB37" s="27" t="n">
        <f aca="false">SUMIFS(super1[Qtde],super1[Item],tab_alimentos[[#This Row],[Item]],super1[Bairro],mercado17)+SUMIFS(supercb[Qtde],supercb[Item],tab_alimentos[[#This Row],[Item]],supercb[Bairro],mercado17)</f>
        <v>0</v>
      </c>
      <c r="AC37" s="27" t="n">
        <f aca="false">SUMIFS(super1[Qtde],super1[Item],tab_alimentos[[#This Row],[Item]],super1[Bairro],mercado18)+SUMIFS(supercb[Qtde],supercb[Item],tab_alimentos[[#This Row],[Item]],supercb[Bairro],mercado18)</f>
        <v>0</v>
      </c>
      <c r="AD37" s="27" t="n">
        <f aca="false">SUMIFS(super1[Qtde],super1[Item],tab_alimentos[[#This Row],[Item]],super1[Bairro],extras)+SUMIFS(supercb[Qtde],supercb[Item],tab_alimentos[[#This Row],[Item]],supercb[Bairro],extras)</f>
        <v>0</v>
      </c>
      <c r="AE37" s="27" t="n">
        <f aca="false">SUM(L37:AC37)</f>
        <v>0</v>
      </c>
      <c r="AF37" s="27" t="n">
        <f aca="false">IFERROR(AE37*K37,0)</f>
        <v>0</v>
      </c>
      <c r="AG37" s="28" t="n">
        <f aca="false">IFERROR(J37*AE37,0)</f>
        <v>0</v>
      </c>
      <c r="AH37" s="26" t="str">
        <f aca="false">higiene[[#This Row],[Item]]</f>
        <v>Brilho Alumínio (2L)</v>
      </c>
      <c r="AI37" s="27" t="n">
        <f aca="false">IFERROR(higiene[[#This Row],[Kg equivalente]],0)</f>
        <v>1.77816027124415</v>
      </c>
      <c r="AJ37" s="27" t="n">
        <f aca="false">IFERROR(higiene[[#This Row],[Preço por produto]],0)</f>
        <v>5.89</v>
      </c>
      <c r="AK37" s="27" t="n">
        <f aca="false">SUMIFS(super1[Qtde],super1[Item],tab_higiene[[#This Row],[Item]],super1[Bairro],mercado1)+SUMIFS(supercb[Qtde],supercb[Item],tab_higiene[[#This Row],[Item]],supercb[Bairro],mercado1)</f>
        <v>0</v>
      </c>
      <c r="AL37" s="27" t="n">
        <f aca="false">SUMIFS(super1[Qtde],super1[Item],tab_higiene[[#This Row],[Item]],super1[Bairro],mercado2)+SUMIFS(supercb[Qtde],supercb[Item],tab_higiene[[#This Row],[Item]],supercb[Bairro],mercado2)</f>
        <v>0</v>
      </c>
      <c r="AM37" s="27" t="n">
        <f aca="false">SUMIFS(super1[Qtde],super1[Item],tab_higiene[[#This Row],[Item]],super1[Bairro],mercado3)+SUMIFS(supercb[Qtde],supercb[Item],tab_higiene[[#This Row],[Item]],supercb[Bairro],mercado3)</f>
        <v>0</v>
      </c>
      <c r="AN37" s="27" t="n">
        <f aca="false">SUMIFS(super1[Qtde],super1[Item],tab_higiene[[#This Row],[Item]],super1[Bairro],mercado4)+SUMIFS(supercb[Qtde],supercb[Item],tab_higiene[[#This Row],[Item]],supercb[Bairro],mercado4)</f>
        <v>0</v>
      </c>
      <c r="AO37" s="27" t="n">
        <f aca="false">SUMIFS(super1[Qtde],super1[Item],tab_higiene[[#This Row],[Item]],super1[Bairro],mercado5)+SUMIFS(supercb[Qtde],supercb[Item],tab_higiene[[#This Row],[Item]],supercb[Bairro],mercado5)</f>
        <v>0</v>
      </c>
      <c r="AP37" s="27" t="n">
        <f aca="false">SUMIFS(super1[Qtde],super1[Item],tab_higiene[[#This Row],[Item]],super1[Bairro],mercado6)+SUMIFS(supercb[Qtde],supercb[Item],tab_higiene[[#This Row],[Item]],supercb[Bairro],mercado6)</f>
        <v>0</v>
      </c>
      <c r="AQ37" s="27" t="n">
        <f aca="false">SUMIFS(super1[Qtde],super1[Item],tab_higiene[[#This Row],[Item]],super1[Bairro],mercado7)+SUMIFS(supercb[Qtde],supercb[Item],tab_higiene[[#This Row],[Item]],supercb[Bairro],mercado7)</f>
        <v>0</v>
      </c>
      <c r="AR37" s="27" t="n">
        <f aca="false">SUMIFS(super1[Qtde],super1[Item],tab_higiene[[#This Row],[Item]],super1[Bairro],mercado8)+SUMIFS(supercb[Qtde],supercb[Item],tab_higiene[[#This Row],[Item]],supercb[Bairro],mercado8)</f>
        <v>0</v>
      </c>
      <c r="AS37" s="27" t="n">
        <f aca="false">SUMIFS(super1[Qtde],super1[Item],tab_higiene[[#This Row],[Item]],super1[Bairro],mercado9)+SUMIFS(supercb[Qtde],supercb[Item],tab_higiene[[#This Row],[Item]],supercb[Bairro],mercado9)</f>
        <v>0</v>
      </c>
      <c r="AT37" s="27" t="n">
        <f aca="false">SUMIFS(super1[Qtde],super1[Item],tab_higiene[[#This Row],[Item]],super1[Bairro],mercado10)+SUMIFS(supercb[Qtde],supercb[Item],tab_higiene[[#This Row],[Item]],supercb[Bairro],mercado10)</f>
        <v>0</v>
      </c>
      <c r="AU37" s="27" t="n">
        <f aca="false">SUMIFS(super1[Qtde],super1[Item],tab_higiene[[#This Row],[Item]],super1[Bairro],mercado11)+SUMIFS(supercb[Qtde],supercb[Item],tab_higiene[[#This Row],[Item]],supercb[Bairro],mercado11)</f>
        <v>0</v>
      </c>
      <c r="AV37" s="27" t="n">
        <f aca="false">SUMIFS(super1[Qtde],super1[Item],tab_higiene[[#This Row],[Item]],super1[Bairro],mercado12)+SUMIFS(supercb[Qtde],supercb[Item],tab_higiene[[#This Row],[Item]],supercb[Bairro],mercado12)</f>
        <v>0</v>
      </c>
      <c r="AW37" s="27" t="n">
        <f aca="false">SUMIFS(super1[Qtde],super1[Item],tab_higiene[[#This Row],[Item]],super1[Bairro],mercado13)+SUMIFS(supercb[Qtde],supercb[Item],tab_higiene[[#This Row],[Item]],supercb[Bairro],mercado13)</f>
        <v>0</v>
      </c>
      <c r="AX37" s="27" t="n">
        <f aca="false">SUMIFS(super1[Qtde],super1[Item],tab_higiene[[#This Row],[Item]],super1[Bairro],mercado14)+SUMIFS(supercb[Qtde],supercb[Item],tab_higiene[[#This Row],[Item]],supercb[Bairro],mercado14)</f>
        <v>0</v>
      </c>
      <c r="AY37" s="27" t="n">
        <f aca="false">SUMIFS(super1[Qtde],super1[Item],tab_higiene[[#This Row],[Item]],super1[Bairro],mercado15)+SUMIFS(supercb[Qtde],supercb[Item],tab_higiene[[#This Row],[Item]],supercb[Bairro],mercado15)</f>
        <v>0</v>
      </c>
      <c r="AZ37" s="27" t="n">
        <f aca="false">SUMIFS(super1[Qtde],super1[Item],tab_higiene[[#This Row],[Item]],super1[Bairro],mercado16)+SUMIFS(supercb[Qtde],supercb[Item],tab_higiene[[#This Row],[Item]],supercb[Bairro],mercado16)</f>
        <v>0</v>
      </c>
      <c r="BA37" s="27" t="n">
        <f aca="false">SUMIFS(super1[Qtde],super1[Item],tab_higiene[[#This Row],[Item]],super1[Bairro],mercado17)+SUMIFS(supercb[Qtde],supercb[Item],tab_higiene[[#This Row],[Item]],supercb[Bairro],mercado17)</f>
        <v>0</v>
      </c>
      <c r="BB37" s="27" t="n">
        <f aca="false">SUMIFS(super1[Qtde],super1[Item],tab_higiene[[#This Row],[Item]],super1[Bairro],mercado18)+SUMIFS(supercb[Qtde],supercb[Item],tab_higiene[[#This Row],[Item]],supercb[Bairro],mercado18)</f>
        <v>0</v>
      </c>
      <c r="BC37" s="27" t="n">
        <f aca="false">SUMIFS(super1[Qtde],super1[Item],tab_higiene[[#This Row],[Item]],super1[Bairro],extras)+SUMIFS(supercb[Qtde],supercb[Item],tab_higiene[[#This Row],[Item]],supercb[Bairro],extras)</f>
        <v>0</v>
      </c>
      <c r="BD37" s="27" t="n">
        <f aca="false">SUM(AK37:BB37)</f>
        <v>0</v>
      </c>
      <c r="BE37" s="27" t="n">
        <f aca="false">IFERROR(BD37*AJ37,0)</f>
        <v>0</v>
      </c>
      <c r="BF37" s="28" t="n">
        <f aca="false">IFERROR(AI37*BD37,0)</f>
        <v>0</v>
      </c>
      <c r="BI37" s="22" t="str">
        <f aca="false">tab_alimentos[[#This Row],[Item]]</f>
        <v>Azeitona (270g)</v>
      </c>
      <c r="BJ37" s="22" t="n">
        <f aca="false">IFERROR(FIND(" (",BI37),0)</f>
        <v>9</v>
      </c>
      <c r="BK37" s="22" t="str">
        <f aca="false">IF(BJ37=0,BI37,LEFT(BI37,BJ37-1))</f>
        <v>Azeitona</v>
      </c>
      <c r="BL37" s="22" t="n">
        <f aca="false">tab_alimentos[[#This Row],[kg]]</f>
        <v>0</v>
      </c>
      <c r="BM37" s="32" t="s">
        <v>308</v>
      </c>
      <c r="BN37" s="22" t="n">
        <f aca="false">SUMIF($BJ$5:$BJ$158,BM37,$BK$5:$BK$158)</f>
        <v>0</v>
      </c>
      <c r="BP37" s="22" t="str">
        <f aca="false">tab_higiene[[#This Row],[Item]]</f>
        <v>Brilho Alumínio (2L)</v>
      </c>
      <c r="BQ37" s="22" t="n">
        <f aca="false">IFERROR(FIND(" (",BP37),0)</f>
        <v>16</v>
      </c>
      <c r="BR37" s="22" t="str">
        <f aca="false">IF(BQ37=0,BP37,LEFT(BP37,BQ37-1))</f>
        <v>Brilho Alumínio</v>
      </c>
      <c r="BS37" s="22" t="n">
        <f aca="false">higiene[[#This Row],[Quantidade]]</f>
        <v>0.5</v>
      </c>
      <c r="BT37" s="22" t="n">
        <f aca="false">tab_higiene[Qtde (tot)]</f>
        <v>0</v>
      </c>
      <c r="BU37" s="22" t="n">
        <f aca="false">BS37*BT37</f>
        <v>0</v>
      </c>
      <c r="BV37" s="32" t="s">
        <v>309</v>
      </c>
      <c r="BW37" s="22" t="n">
        <f aca="false">SUMIF($BR$5:$BR$142,BV37,$BU$5:$BU$142)</f>
        <v>12.95</v>
      </c>
    </row>
    <row r="38" customFormat="false" ht="15" hidden="false" customHeight="false" outlineLevel="0" collapsed="false">
      <c r="A38" s="35" t="n">
        <f aca="false">SUM(tab_alimentos[Preço x Qtde])/SUM(tab_alimentos[kg])</f>
        <v>3.31241232595915</v>
      </c>
      <c r="B38" s="35"/>
      <c r="C38" s="35"/>
      <c r="D38" s="35"/>
      <c r="E38" s="35"/>
      <c r="F38" s="35"/>
      <c r="G38" s="35"/>
      <c r="I38" s="26" t="str">
        <f aca="false">alimentos[[#This Row],[Item]]</f>
        <v>B</v>
      </c>
      <c r="J38" s="27" t="n">
        <f aca="false">IFERROR(alimentos[[#This Row],[kg/embalagem]],0)</f>
        <v>0</v>
      </c>
      <c r="K38" s="27" t="n">
        <f aca="false">IFERROR(alimentos[[#This Row],[Preço]],0)</f>
        <v>0</v>
      </c>
      <c r="L38" s="27" t="n">
        <f aca="false">SUMIFS(super1[Qtde],super1[Item],tab_alimentos[[#This Row],[Item]],super1[Bairro],mercado1)+SUMIFS(supercb[Qtde],supercb[Item],tab_alimentos[[#This Row],[Item]],supercb[Bairro],mercado1)</f>
        <v>0</v>
      </c>
      <c r="M38" s="27" t="n">
        <f aca="false">SUMIFS(super1[Qtde],super1[Item],tab_alimentos[[#This Row],[Item]],super1[Bairro],mercado2)+SUMIFS(supercb[Qtde],supercb[Item],tab_alimentos[[#This Row],[Item]],supercb[Bairro],mercado2)</f>
        <v>0</v>
      </c>
      <c r="N38" s="27" t="n">
        <f aca="false">SUMIFS(super1[Qtde],super1[Item],tab_alimentos[[#This Row],[Item]],super1[Bairro],mercado3)+SUMIFS(supercb[Qtde],supercb[Item],tab_alimentos[[#This Row],[Item]],supercb[Bairro],mercado3)</f>
        <v>0</v>
      </c>
      <c r="O38" s="27" t="n">
        <f aca="false">SUMIFS(super1[Qtde],super1[Item],tab_alimentos[[#This Row],[Item]],super1[Bairro],mercado4)+SUMIFS(supercb[Qtde],supercb[Item],tab_alimentos[[#This Row],[Item]],supercb[Bairro],mercado4)</f>
        <v>0</v>
      </c>
      <c r="P38" s="27" t="n">
        <f aca="false">SUMIFS(super1[Qtde],super1[Item],tab_alimentos[[#This Row],[Item]],super1[Bairro],mercado5)+SUMIFS(supercb[Qtde],supercb[Item],tab_alimentos[[#This Row],[Item]],supercb[Bairro],mercado5)</f>
        <v>0</v>
      </c>
      <c r="Q38" s="27" t="n">
        <f aca="false">SUMIFS(super1[Qtde],super1[Item],tab_alimentos[[#This Row],[Item]],super1[Bairro],mercado6)+SUMIFS(supercb[Qtde],supercb[Item],tab_alimentos[[#This Row],[Item]],supercb[Bairro],mercado6)</f>
        <v>0</v>
      </c>
      <c r="R38" s="27" t="n">
        <f aca="false">SUMIFS(super1[Qtde],super1[Item],tab_alimentos[[#This Row],[Item]],super1[Bairro],mercado7)+SUMIFS(supercb[Qtde],supercb[Item],tab_alimentos[[#This Row],[Item]],supercb[Bairro],mercado7)</f>
        <v>0</v>
      </c>
      <c r="S38" s="27" t="n">
        <f aca="false">SUMIFS(super1[Qtde],super1[Item],tab_alimentos[[#This Row],[Item]],super1[Bairro],mercado8)+SUMIFS(supercb[Qtde],supercb[Item],tab_alimentos[[#This Row],[Item]],supercb[Bairro],mercado8)</f>
        <v>0</v>
      </c>
      <c r="T38" s="27" t="n">
        <f aca="false">SUMIFS(super1[Qtde],super1[Item],tab_alimentos[[#This Row],[Item]],super1[Bairro],mercado9)+SUMIFS(supercb[Qtde],supercb[Item],tab_alimentos[[#This Row],[Item]],supercb[Bairro],mercado9)</f>
        <v>0</v>
      </c>
      <c r="U38" s="27" t="n">
        <f aca="false">SUMIFS(super1[Qtde],super1[Item],tab_alimentos[[#This Row],[Item]],super1[Bairro],mercado10)+SUMIFS(supercb[Qtde],supercb[Item],tab_alimentos[[#This Row],[Item]],supercb[Bairro],mercado10)</f>
        <v>0</v>
      </c>
      <c r="V38" s="27" t="n">
        <f aca="false">SUMIFS(super1[Qtde],super1[Item],tab_alimentos[[#This Row],[Item]],super1[Bairro],mercado11)+SUMIFS(supercb[Qtde],supercb[Item],tab_alimentos[[#This Row],[Item]],supercb[Bairro],mercado11)</f>
        <v>0</v>
      </c>
      <c r="W38" s="27" t="n">
        <f aca="false">SUMIFS(super1[Qtde],super1[Item],tab_alimentos[[#This Row],[Item]],super1[Bairro],mercado12)+SUMIFS(supercb[Qtde],supercb[Item],tab_alimentos[[#This Row],[Item]],supercb[Bairro],mercado12)</f>
        <v>0</v>
      </c>
      <c r="X38" s="27" t="n">
        <f aca="false">SUMIFS(super1[Qtde],super1[Item],tab_alimentos[[#This Row],[Item]],super1[Bairro],mercado13)+SUMIFS(supercb[Qtde],supercb[Item],tab_alimentos[[#This Row],[Item]],supercb[Bairro],mercado13)</f>
        <v>0</v>
      </c>
      <c r="Y38" s="27" t="n">
        <f aca="false">SUMIFS(super1[Qtde],super1[Item],tab_alimentos[[#This Row],[Item]],super1[Bairro],mercado14)+SUMIFS(supercb[Qtde],supercb[Item],tab_alimentos[[#This Row],[Item]],supercb[Bairro],mercado14)</f>
        <v>0</v>
      </c>
      <c r="Z38" s="27" t="n">
        <f aca="false">SUMIFS(super1[Qtde],super1[Item],tab_alimentos[[#This Row],[Item]],super1[Bairro],mercado15)+SUMIFS(supercb[Qtde],supercb[Item],tab_alimentos[[#This Row],[Item]],supercb[Bairro],mercado15)</f>
        <v>0</v>
      </c>
      <c r="AA38" s="27" t="n">
        <f aca="false">SUMIFS(super1[Qtde],super1[Item],tab_alimentos[[#This Row],[Item]],super1[Bairro],mercado16)+SUMIFS(supercb[Qtde],supercb[Item],tab_alimentos[[#This Row],[Item]],supercb[Bairro],mercado16)</f>
        <v>0</v>
      </c>
      <c r="AB38" s="27" t="n">
        <f aca="false">SUMIFS(super1[Qtde],super1[Item],tab_alimentos[[#This Row],[Item]],super1[Bairro],mercado17)+SUMIFS(supercb[Qtde],supercb[Item],tab_alimentos[[#This Row],[Item]],supercb[Bairro],mercado17)</f>
        <v>0</v>
      </c>
      <c r="AC38" s="27" t="n">
        <f aca="false">SUMIFS(super1[Qtde],super1[Item],tab_alimentos[[#This Row],[Item]],super1[Bairro],mercado18)+SUMIFS(supercb[Qtde],supercb[Item],tab_alimentos[[#This Row],[Item]],supercb[Bairro],mercado18)</f>
        <v>0</v>
      </c>
      <c r="AD38" s="27" t="n">
        <f aca="false">SUMIFS(super1[Qtde],super1[Item],tab_alimentos[[#This Row],[Item]],super1[Bairro],extras)+SUMIFS(supercb[Qtde],supercb[Item],tab_alimentos[[#This Row],[Item]],supercb[Bairro],extras)</f>
        <v>0</v>
      </c>
      <c r="AE38" s="27" t="n">
        <f aca="false">SUM(L38:AC38)</f>
        <v>0</v>
      </c>
      <c r="AF38" s="27" t="n">
        <f aca="false">IFERROR(AE38*K38,0)</f>
        <v>0</v>
      </c>
      <c r="AG38" s="28" t="n">
        <f aca="false">IFERROR(J38*AE38,0)</f>
        <v>0</v>
      </c>
      <c r="AH38" s="26" t="str">
        <f aca="false">higiene[[#This Row],[Item]]</f>
        <v>Brilho Alumínio (500mL)</v>
      </c>
      <c r="AI38" s="27" t="n">
        <f aca="false">IFERROR(higiene[[#This Row],[Kg equivalente]],0)</f>
        <v>0.570581139669177</v>
      </c>
      <c r="AJ38" s="27" t="n">
        <f aca="false">IFERROR(higiene[[#This Row],[Preço por produto]],0)</f>
        <v>1.89</v>
      </c>
      <c r="AK38" s="27" t="n">
        <f aca="false">SUMIFS(super1[Qtde],super1[Item],tab_higiene[[#This Row],[Item]],super1[Bairro],mercado1)+SUMIFS(supercb[Qtde],supercb[Item],tab_higiene[[#This Row],[Item]],supercb[Bairro],mercado1)</f>
        <v>0</v>
      </c>
      <c r="AL38" s="27" t="n">
        <f aca="false">SUMIFS(super1[Qtde],super1[Item],tab_higiene[[#This Row],[Item]],super1[Bairro],mercado2)+SUMIFS(supercb[Qtde],supercb[Item],tab_higiene[[#This Row],[Item]],supercb[Bairro],mercado2)</f>
        <v>0</v>
      </c>
      <c r="AM38" s="27" t="n">
        <f aca="false">SUMIFS(super1[Qtde],super1[Item],tab_higiene[[#This Row],[Item]],super1[Bairro],mercado3)+SUMIFS(supercb[Qtde],supercb[Item],tab_higiene[[#This Row],[Item]],supercb[Bairro],mercado3)</f>
        <v>0</v>
      </c>
      <c r="AN38" s="27" t="n">
        <f aca="false">SUMIFS(super1[Qtde],super1[Item],tab_higiene[[#This Row],[Item]],super1[Bairro],mercado4)+SUMIFS(supercb[Qtde],supercb[Item],tab_higiene[[#This Row],[Item]],supercb[Bairro],mercado4)</f>
        <v>0</v>
      </c>
      <c r="AO38" s="27" t="n">
        <f aca="false">SUMIFS(super1[Qtde],super1[Item],tab_higiene[[#This Row],[Item]],super1[Bairro],mercado5)+SUMIFS(supercb[Qtde],supercb[Item],tab_higiene[[#This Row],[Item]],supercb[Bairro],mercado5)</f>
        <v>0</v>
      </c>
      <c r="AP38" s="27" t="n">
        <f aca="false">SUMIFS(super1[Qtde],super1[Item],tab_higiene[[#This Row],[Item]],super1[Bairro],mercado6)+SUMIFS(supercb[Qtde],supercb[Item],tab_higiene[[#This Row],[Item]],supercb[Bairro],mercado6)</f>
        <v>0</v>
      </c>
      <c r="AQ38" s="27" t="n">
        <f aca="false">SUMIFS(super1[Qtde],super1[Item],tab_higiene[[#This Row],[Item]],super1[Bairro],mercado7)+SUMIFS(supercb[Qtde],supercb[Item],tab_higiene[[#This Row],[Item]],supercb[Bairro],mercado7)</f>
        <v>0</v>
      </c>
      <c r="AR38" s="27" t="n">
        <f aca="false">SUMIFS(super1[Qtde],super1[Item],tab_higiene[[#This Row],[Item]],super1[Bairro],mercado8)+SUMIFS(supercb[Qtde],supercb[Item],tab_higiene[[#This Row],[Item]],supercb[Bairro],mercado8)</f>
        <v>0</v>
      </c>
      <c r="AS38" s="27" t="n">
        <f aca="false">SUMIFS(super1[Qtde],super1[Item],tab_higiene[[#This Row],[Item]],super1[Bairro],mercado9)+SUMIFS(supercb[Qtde],supercb[Item],tab_higiene[[#This Row],[Item]],supercb[Bairro],mercado9)</f>
        <v>0</v>
      </c>
      <c r="AT38" s="27" t="n">
        <f aca="false">SUMIFS(super1[Qtde],super1[Item],tab_higiene[[#This Row],[Item]],super1[Bairro],mercado10)+SUMIFS(supercb[Qtde],supercb[Item],tab_higiene[[#This Row],[Item]],supercb[Bairro],mercado10)</f>
        <v>0</v>
      </c>
      <c r="AU38" s="27" t="n">
        <f aca="false">SUMIFS(super1[Qtde],super1[Item],tab_higiene[[#This Row],[Item]],super1[Bairro],mercado11)+SUMIFS(supercb[Qtde],supercb[Item],tab_higiene[[#This Row],[Item]],supercb[Bairro],mercado11)</f>
        <v>0</v>
      </c>
      <c r="AV38" s="27" t="n">
        <f aca="false">SUMIFS(super1[Qtde],super1[Item],tab_higiene[[#This Row],[Item]],super1[Bairro],mercado12)+SUMIFS(supercb[Qtde],supercb[Item],tab_higiene[[#This Row],[Item]],supercb[Bairro],mercado12)</f>
        <v>0</v>
      </c>
      <c r="AW38" s="27" t="n">
        <f aca="false">SUMIFS(super1[Qtde],super1[Item],tab_higiene[[#This Row],[Item]],super1[Bairro],mercado13)+SUMIFS(supercb[Qtde],supercb[Item],tab_higiene[[#This Row],[Item]],supercb[Bairro],mercado13)</f>
        <v>0</v>
      </c>
      <c r="AX38" s="27" t="n">
        <f aca="false">SUMIFS(super1[Qtde],super1[Item],tab_higiene[[#This Row],[Item]],super1[Bairro],mercado14)+SUMIFS(supercb[Qtde],supercb[Item],tab_higiene[[#This Row],[Item]],supercb[Bairro],mercado14)</f>
        <v>0</v>
      </c>
      <c r="AY38" s="27" t="n">
        <f aca="false">SUMIFS(super1[Qtde],super1[Item],tab_higiene[[#This Row],[Item]],super1[Bairro],mercado15)+SUMIFS(supercb[Qtde],supercb[Item],tab_higiene[[#This Row],[Item]],supercb[Bairro],mercado15)</f>
        <v>0</v>
      </c>
      <c r="AZ38" s="27" t="n">
        <f aca="false">SUMIFS(super1[Qtde],super1[Item],tab_higiene[[#This Row],[Item]],super1[Bairro],mercado16)+SUMIFS(supercb[Qtde],supercb[Item],tab_higiene[[#This Row],[Item]],supercb[Bairro],mercado16)</f>
        <v>0</v>
      </c>
      <c r="BA38" s="27" t="n">
        <f aca="false">SUMIFS(super1[Qtde],super1[Item],tab_higiene[[#This Row],[Item]],super1[Bairro],mercado17)+SUMIFS(supercb[Qtde],supercb[Item],tab_higiene[[#This Row],[Item]],supercb[Bairro],mercado17)</f>
        <v>0</v>
      </c>
      <c r="BB38" s="27" t="n">
        <f aca="false">SUMIFS(super1[Qtde],super1[Item],tab_higiene[[#This Row],[Item]],super1[Bairro],mercado18)+SUMIFS(supercb[Qtde],supercb[Item],tab_higiene[[#This Row],[Item]],supercb[Bairro],mercado18)</f>
        <v>0</v>
      </c>
      <c r="BC38" s="27" t="n">
        <f aca="false">SUMIFS(super1[Qtde],super1[Item],tab_higiene[[#This Row],[Item]],super1[Bairro],extras)+SUMIFS(supercb[Qtde],supercb[Item],tab_higiene[[#This Row],[Item]],supercb[Bairro],extras)</f>
        <v>0</v>
      </c>
      <c r="BD38" s="27" t="n">
        <f aca="false">SUM(AK38:BB38)</f>
        <v>0</v>
      </c>
      <c r="BE38" s="27" t="n">
        <f aca="false">IFERROR(BD38*AJ38,0)</f>
        <v>0</v>
      </c>
      <c r="BF38" s="28" t="n">
        <f aca="false">IFERROR(AI38*BD38,0)</f>
        <v>0</v>
      </c>
      <c r="BI38" s="22" t="str">
        <f aca="false">tab_alimentos[[#This Row],[Item]]</f>
        <v>B</v>
      </c>
      <c r="BJ38" s="22" t="n">
        <f aca="false">IFERROR(FIND(" (",BI38),0)</f>
        <v>0</v>
      </c>
      <c r="BK38" s="22" t="str">
        <f aca="false">IF(BJ38=0,BI38,LEFT(BI38,BJ38-1))</f>
        <v>B</v>
      </c>
      <c r="BL38" s="22" t="n">
        <f aca="false">tab_alimentos[[#This Row],[kg]]</f>
        <v>0</v>
      </c>
      <c r="BM38" s="32" t="s">
        <v>297</v>
      </c>
      <c r="BN38" s="22" t="n">
        <f aca="false">SUMIF($BJ$5:$BJ$158,BM38,$BK$5:$BK$158)</f>
        <v>0</v>
      </c>
      <c r="BP38" s="22" t="str">
        <f aca="false">tab_higiene[[#This Row],[Item]]</f>
        <v>Brilho Alumínio (500mL)</v>
      </c>
      <c r="BQ38" s="22" t="n">
        <f aca="false">IFERROR(FIND(" (",BP38),0)</f>
        <v>16</v>
      </c>
      <c r="BR38" s="22" t="str">
        <f aca="false">IF(BQ38=0,BP38,LEFT(BP38,BQ38-1))</f>
        <v>Brilho Alumínio</v>
      </c>
      <c r="BS38" s="22" t="n">
        <f aca="false">higiene[[#This Row],[Quantidade]]</f>
        <v>1</v>
      </c>
      <c r="BT38" s="22" t="n">
        <f aca="false">tab_higiene[Qtde (tot)]</f>
        <v>0</v>
      </c>
      <c r="BU38" s="22" t="n">
        <f aca="false">BS38*BT38</f>
        <v>0</v>
      </c>
      <c r="BV38" s="32" t="s">
        <v>310</v>
      </c>
      <c r="BW38" s="22" t="n">
        <f aca="false">SUMIF($BR$5:$BR$142,BV38,$BU$5:$BU$142)</f>
        <v>1</v>
      </c>
    </row>
    <row r="39" customFormat="false" ht="15" hidden="false" customHeight="false" outlineLevel="0" collapsed="false">
      <c r="A39" s="35"/>
      <c r="B39" s="35"/>
      <c r="C39" s="35"/>
      <c r="D39" s="35"/>
      <c r="E39" s="35"/>
      <c r="F39" s="35"/>
      <c r="G39" s="35"/>
      <c r="I39" s="26" t="str">
        <f aca="false">alimentos[[#This Row],[Item]]</f>
        <v>Barra de Cereal (4un)</v>
      </c>
      <c r="J39" s="27" t="n">
        <f aca="false">IFERROR(alimentos[[#This Row],[kg/embalagem]],0)</f>
        <v>0.08</v>
      </c>
      <c r="K39" s="27" t="n">
        <f aca="false">IFERROR(alimentos[[#This Row],[Preço]],0)</f>
        <v>4.17</v>
      </c>
      <c r="L39" s="27" t="n">
        <f aca="false">SUMIFS(super1[Qtde],super1[Item],tab_alimentos[[#This Row],[Item]],super1[Bairro],mercado1)+SUMIFS(supercb[Qtde],supercb[Item],tab_alimentos[[#This Row],[Item]],supercb[Bairro],mercado1)</f>
        <v>0</v>
      </c>
      <c r="M39" s="27" t="n">
        <f aca="false">SUMIFS(super1[Qtde],super1[Item],tab_alimentos[[#This Row],[Item]],super1[Bairro],mercado2)+SUMIFS(supercb[Qtde],supercb[Item],tab_alimentos[[#This Row],[Item]],supercb[Bairro],mercado2)</f>
        <v>0</v>
      </c>
      <c r="N39" s="27" t="n">
        <f aca="false">SUMIFS(super1[Qtde],super1[Item],tab_alimentos[[#This Row],[Item]],super1[Bairro],mercado3)+SUMIFS(supercb[Qtde],supercb[Item],tab_alimentos[[#This Row],[Item]],supercb[Bairro],mercado3)</f>
        <v>0</v>
      </c>
      <c r="O39" s="27" t="n">
        <f aca="false">SUMIFS(super1[Qtde],super1[Item],tab_alimentos[[#This Row],[Item]],super1[Bairro],mercado4)+SUMIFS(supercb[Qtde],supercb[Item],tab_alimentos[[#This Row],[Item]],supercb[Bairro],mercado4)</f>
        <v>2</v>
      </c>
      <c r="P39" s="27" t="n">
        <f aca="false">SUMIFS(super1[Qtde],super1[Item],tab_alimentos[[#This Row],[Item]],super1[Bairro],mercado5)+SUMIFS(supercb[Qtde],supercb[Item],tab_alimentos[[#This Row],[Item]],supercb[Bairro],mercado5)</f>
        <v>0</v>
      </c>
      <c r="Q39" s="27" t="n">
        <f aca="false">SUMIFS(super1[Qtde],super1[Item],tab_alimentos[[#This Row],[Item]],super1[Bairro],mercado6)+SUMIFS(supercb[Qtde],supercb[Item],tab_alimentos[[#This Row],[Item]],supercb[Bairro],mercado6)</f>
        <v>0</v>
      </c>
      <c r="R39" s="27" t="n">
        <f aca="false">SUMIFS(super1[Qtde],super1[Item],tab_alimentos[[#This Row],[Item]],super1[Bairro],mercado7)+SUMIFS(supercb[Qtde],supercb[Item],tab_alimentos[[#This Row],[Item]],supercb[Bairro],mercado7)</f>
        <v>0</v>
      </c>
      <c r="S39" s="27" t="n">
        <f aca="false">SUMIFS(super1[Qtde],super1[Item],tab_alimentos[[#This Row],[Item]],super1[Bairro],mercado8)+SUMIFS(supercb[Qtde],supercb[Item],tab_alimentos[[#This Row],[Item]],supercb[Bairro],mercado8)</f>
        <v>0</v>
      </c>
      <c r="T39" s="27" t="n">
        <f aca="false">SUMIFS(super1[Qtde],super1[Item],tab_alimentos[[#This Row],[Item]],super1[Bairro],mercado9)+SUMIFS(supercb[Qtde],supercb[Item],tab_alimentos[[#This Row],[Item]],supercb[Bairro],mercado9)</f>
        <v>0</v>
      </c>
      <c r="U39" s="27" t="n">
        <f aca="false">SUMIFS(super1[Qtde],super1[Item],tab_alimentos[[#This Row],[Item]],super1[Bairro],mercado10)+SUMIFS(supercb[Qtde],supercb[Item],tab_alimentos[[#This Row],[Item]],supercb[Bairro],mercado10)</f>
        <v>0</v>
      </c>
      <c r="V39" s="27" t="n">
        <f aca="false">SUMIFS(super1[Qtde],super1[Item],tab_alimentos[[#This Row],[Item]],super1[Bairro],mercado11)+SUMIFS(supercb[Qtde],supercb[Item],tab_alimentos[[#This Row],[Item]],supercb[Bairro],mercado11)</f>
        <v>0</v>
      </c>
      <c r="W39" s="27" t="n">
        <f aca="false">SUMIFS(super1[Qtde],super1[Item],tab_alimentos[[#This Row],[Item]],super1[Bairro],mercado12)+SUMIFS(supercb[Qtde],supercb[Item],tab_alimentos[[#This Row],[Item]],supercb[Bairro],mercado12)</f>
        <v>0</v>
      </c>
      <c r="X39" s="27" t="n">
        <f aca="false">SUMIFS(super1[Qtde],super1[Item],tab_alimentos[[#This Row],[Item]],super1[Bairro],mercado13)+SUMIFS(supercb[Qtde],supercb[Item],tab_alimentos[[#This Row],[Item]],supercb[Bairro],mercado13)</f>
        <v>0</v>
      </c>
      <c r="Y39" s="27" t="n">
        <f aca="false">SUMIFS(super1[Qtde],super1[Item],tab_alimentos[[#This Row],[Item]],super1[Bairro],mercado14)+SUMIFS(supercb[Qtde],supercb[Item],tab_alimentos[[#This Row],[Item]],supercb[Bairro],mercado14)</f>
        <v>0</v>
      </c>
      <c r="Z39" s="27" t="n">
        <f aca="false">SUMIFS(super1[Qtde],super1[Item],tab_alimentos[[#This Row],[Item]],super1[Bairro],mercado15)+SUMIFS(supercb[Qtde],supercb[Item],tab_alimentos[[#This Row],[Item]],supercb[Bairro],mercado15)</f>
        <v>0</v>
      </c>
      <c r="AA39" s="27" t="n">
        <f aca="false">SUMIFS(super1[Qtde],super1[Item],tab_alimentos[[#This Row],[Item]],super1[Bairro],mercado16)+SUMIFS(supercb[Qtde],supercb[Item],tab_alimentos[[#This Row],[Item]],supercb[Bairro],mercado16)</f>
        <v>0</v>
      </c>
      <c r="AB39" s="27" t="n">
        <f aca="false">SUMIFS(super1[Qtde],super1[Item],tab_alimentos[[#This Row],[Item]],super1[Bairro],mercado17)+SUMIFS(supercb[Qtde],supercb[Item],tab_alimentos[[#This Row],[Item]],supercb[Bairro],mercado17)</f>
        <v>0</v>
      </c>
      <c r="AC39" s="27" t="n">
        <f aca="false">SUMIFS(super1[Qtde],super1[Item],tab_alimentos[[#This Row],[Item]],super1[Bairro],mercado18)+SUMIFS(supercb[Qtde],supercb[Item],tab_alimentos[[#This Row],[Item]],supercb[Bairro],mercado18)</f>
        <v>0</v>
      </c>
      <c r="AD39" s="27" t="n">
        <f aca="false">SUMIFS(super1[Qtde],super1[Item],tab_alimentos[[#This Row],[Item]],super1[Bairro],extras)+SUMIFS(supercb[Qtde],supercb[Item],tab_alimentos[[#This Row],[Item]],supercb[Bairro],extras)</f>
        <v>0</v>
      </c>
      <c r="AE39" s="27" t="n">
        <f aca="false">SUM(L39:AC39)</f>
        <v>2</v>
      </c>
      <c r="AF39" s="27" t="n">
        <f aca="false">IFERROR(AE39*K39,0)</f>
        <v>8.34</v>
      </c>
      <c r="AG39" s="28" t="n">
        <f aca="false">IFERROR(J39*AE39,0)</f>
        <v>0.16</v>
      </c>
      <c r="AH39" s="26" t="str">
        <f aca="false">higiene[[#This Row],[Item]]</f>
        <v>C</v>
      </c>
      <c r="AI39" s="27" t="n">
        <f aca="false">IFERROR(higiene[[#This Row],[Kg equivalente]],0)</f>
        <v>0</v>
      </c>
      <c r="AJ39" s="27" t="n">
        <f aca="false">IFERROR(higiene[[#This Row],[Preço por produto]],0)</f>
        <v>0</v>
      </c>
      <c r="AK39" s="27" t="n">
        <f aca="false">SUMIFS(super1[Qtde],super1[Item],tab_higiene[[#This Row],[Item]],super1[Bairro],mercado1)+SUMIFS(supercb[Qtde],supercb[Item],tab_higiene[[#This Row],[Item]],supercb[Bairro],mercado1)</f>
        <v>0</v>
      </c>
      <c r="AL39" s="27" t="n">
        <f aca="false">SUMIFS(super1[Qtde],super1[Item],tab_higiene[[#This Row],[Item]],super1[Bairro],mercado2)+SUMIFS(supercb[Qtde],supercb[Item],tab_higiene[[#This Row],[Item]],supercb[Bairro],mercado2)</f>
        <v>0</v>
      </c>
      <c r="AM39" s="27" t="n">
        <f aca="false">SUMIFS(super1[Qtde],super1[Item],tab_higiene[[#This Row],[Item]],super1[Bairro],mercado3)+SUMIFS(supercb[Qtde],supercb[Item],tab_higiene[[#This Row],[Item]],supercb[Bairro],mercado3)</f>
        <v>0</v>
      </c>
      <c r="AN39" s="27" t="n">
        <f aca="false">SUMIFS(super1[Qtde],super1[Item],tab_higiene[[#This Row],[Item]],super1[Bairro],mercado4)+SUMIFS(supercb[Qtde],supercb[Item],tab_higiene[[#This Row],[Item]],supercb[Bairro],mercado4)</f>
        <v>0</v>
      </c>
      <c r="AO39" s="27" t="n">
        <f aca="false">SUMIFS(super1[Qtde],super1[Item],tab_higiene[[#This Row],[Item]],super1[Bairro],mercado5)+SUMIFS(supercb[Qtde],supercb[Item],tab_higiene[[#This Row],[Item]],supercb[Bairro],mercado5)</f>
        <v>0</v>
      </c>
      <c r="AP39" s="27" t="n">
        <f aca="false">SUMIFS(super1[Qtde],super1[Item],tab_higiene[[#This Row],[Item]],super1[Bairro],mercado6)+SUMIFS(supercb[Qtde],supercb[Item],tab_higiene[[#This Row],[Item]],supercb[Bairro],mercado6)</f>
        <v>0</v>
      </c>
      <c r="AQ39" s="27" t="n">
        <f aca="false">SUMIFS(super1[Qtde],super1[Item],tab_higiene[[#This Row],[Item]],super1[Bairro],mercado7)+SUMIFS(supercb[Qtde],supercb[Item],tab_higiene[[#This Row],[Item]],supercb[Bairro],mercado7)</f>
        <v>0</v>
      </c>
      <c r="AR39" s="27" t="n">
        <f aca="false">SUMIFS(super1[Qtde],super1[Item],tab_higiene[[#This Row],[Item]],super1[Bairro],mercado8)+SUMIFS(supercb[Qtde],supercb[Item],tab_higiene[[#This Row],[Item]],supercb[Bairro],mercado8)</f>
        <v>0</v>
      </c>
      <c r="AS39" s="27" t="n">
        <f aca="false">SUMIFS(super1[Qtde],super1[Item],tab_higiene[[#This Row],[Item]],super1[Bairro],mercado9)+SUMIFS(supercb[Qtde],supercb[Item],tab_higiene[[#This Row],[Item]],supercb[Bairro],mercado9)</f>
        <v>0</v>
      </c>
      <c r="AT39" s="27" t="n">
        <f aca="false">SUMIFS(super1[Qtde],super1[Item],tab_higiene[[#This Row],[Item]],super1[Bairro],mercado10)+SUMIFS(supercb[Qtde],supercb[Item],tab_higiene[[#This Row],[Item]],supercb[Bairro],mercado10)</f>
        <v>0</v>
      </c>
      <c r="AU39" s="27" t="n">
        <f aca="false">SUMIFS(super1[Qtde],super1[Item],tab_higiene[[#This Row],[Item]],super1[Bairro],mercado11)+SUMIFS(supercb[Qtde],supercb[Item],tab_higiene[[#This Row],[Item]],supercb[Bairro],mercado11)</f>
        <v>0</v>
      </c>
      <c r="AV39" s="27" t="n">
        <f aca="false">SUMIFS(super1[Qtde],super1[Item],tab_higiene[[#This Row],[Item]],super1[Bairro],mercado12)+SUMIFS(supercb[Qtde],supercb[Item],tab_higiene[[#This Row],[Item]],supercb[Bairro],mercado12)</f>
        <v>0</v>
      </c>
      <c r="AW39" s="27" t="n">
        <f aca="false">SUMIFS(super1[Qtde],super1[Item],tab_higiene[[#This Row],[Item]],super1[Bairro],mercado13)+SUMIFS(supercb[Qtde],supercb[Item],tab_higiene[[#This Row],[Item]],supercb[Bairro],mercado13)</f>
        <v>0</v>
      </c>
      <c r="AX39" s="27" t="n">
        <f aca="false">SUMIFS(super1[Qtde],super1[Item],tab_higiene[[#This Row],[Item]],super1[Bairro],mercado14)+SUMIFS(supercb[Qtde],supercb[Item],tab_higiene[[#This Row],[Item]],supercb[Bairro],mercado14)</f>
        <v>0</v>
      </c>
      <c r="AY39" s="27" t="n">
        <f aca="false">SUMIFS(super1[Qtde],super1[Item],tab_higiene[[#This Row],[Item]],super1[Bairro],mercado15)+SUMIFS(supercb[Qtde],supercb[Item],tab_higiene[[#This Row],[Item]],supercb[Bairro],mercado15)</f>
        <v>0</v>
      </c>
      <c r="AZ39" s="27" t="n">
        <f aca="false">SUMIFS(super1[Qtde],super1[Item],tab_higiene[[#This Row],[Item]],super1[Bairro],mercado16)+SUMIFS(supercb[Qtde],supercb[Item],tab_higiene[[#This Row],[Item]],supercb[Bairro],mercado16)</f>
        <v>0</v>
      </c>
      <c r="BA39" s="27" t="n">
        <f aca="false">SUMIFS(super1[Qtde],super1[Item],tab_higiene[[#This Row],[Item]],super1[Bairro],mercado17)+SUMIFS(supercb[Qtde],supercb[Item],tab_higiene[[#This Row],[Item]],supercb[Bairro],mercado17)</f>
        <v>0</v>
      </c>
      <c r="BB39" s="27" t="n">
        <f aca="false">SUMIFS(super1[Qtde],super1[Item],tab_higiene[[#This Row],[Item]],super1[Bairro],mercado18)+SUMIFS(supercb[Qtde],supercb[Item],tab_higiene[[#This Row],[Item]],supercb[Bairro],mercado18)</f>
        <v>0</v>
      </c>
      <c r="BC39" s="27" t="n">
        <f aca="false">SUMIFS(super1[Qtde],super1[Item],tab_higiene[[#This Row],[Item]],super1[Bairro],extras)+SUMIFS(supercb[Qtde],supercb[Item],tab_higiene[[#This Row],[Item]],supercb[Bairro],extras)</f>
        <v>0</v>
      </c>
      <c r="BD39" s="27" t="n">
        <f aca="false">SUM(AK39:BB39)</f>
        <v>0</v>
      </c>
      <c r="BE39" s="27" t="n">
        <f aca="false">IFERROR(BD39*AJ39,0)</f>
        <v>0</v>
      </c>
      <c r="BF39" s="28" t="n">
        <f aca="false">IFERROR(AI39*BD39,0)</f>
        <v>0</v>
      </c>
      <c r="BI39" s="22" t="str">
        <f aca="false">tab_alimentos[[#This Row],[Item]]</f>
        <v>Barra de Cereal (4un)</v>
      </c>
      <c r="BJ39" s="22" t="n">
        <f aca="false">IFERROR(FIND(" (",BI39),0)</f>
        <v>16</v>
      </c>
      <c r="BK39" s="22" t="str">
        <f aca="false">IF(BJ39=0,BI39,LEFT(BI39,BJ39-1))</f>
        <v>Barra de Cereal</v>
      </c>
      <c r="BL39" s="22" t="n">
        <f aca="false">tab_alimentos[[#This Row],[kg]]</f>
        <v>0.16</v>
      </c>
      <c r="BM39" s="32" t="s">
        <v>311</v>
      </c>
      <c r="BN39" s="22" t="n">
        <f aca="false">SUMIF($BJ$5:$BJ$158,BM39,$BK$5:$BK$158)</f>
        <v>0</v>
      </c>
      <c r="BP39" s="22" t="str">
        <f aca="false">tab_higiene[[#This Row],[Item]]</f>
        <v>C</v>
      </c>
      <c r="BQ39" s="22" t="n">
        <f aca="false">IFERROR(FIND(" (",BP39),0)</f>
        <v>0</v>
      </c>
      <c r="BR39" s="22" t="str">
        <f aca="false">IF(BQ39=0,BP39,LEFT(BP39,BQ39-1))</f>
        <v>C</v>
      </c>
      <c r="BS39" s="22" t="n">
        <f aca="false">higiene[[#This Row],[Quantidade]]</f>
        <v>0</v>
      </c>
      <c r="BT39" s="22" t="n">
        <f aca="false">tab_higiene[Qtde (tot)]</f>
        <v>0</v>
      </c>
      <c r="BU39" s="22" t="n">
        <f aca="false">BS39*BT39</f>
        <v>0</v>
      </c>
      <c r="BV39" s="32" t="s">
        <v>312</v>
      </c>
      <c r="BW39" s="22" t="n">
        <f aca="false">SUMIF($BR$5:$BR$142,BV39,$BU$5:$BU$142)</f>
        <v>9</v>
      </c>
    </row>
    <row r="40" customFormat="false" ht="15" hidden="false" customHeight="false" outlineLevel="0" collapsed="false">
      <c r="A40" s="31" t="s">
        <v>313</v>
      </c>
      <c r="B40" s="31"/>
      <c r="C40" s="31"/>
      <c r="D40" s="31"/>
      <c r="E40" s="31"/>
      <c r="F40" s="31"/>
      <c r="G40" s="31"/>
      <c r="I40" s="26" t="str">
        <f aca="false">alimentos[[#This Row],[Item]]</f>
        <v>Batata Palha (120g)</v>
      </c>
      <c r="J40" s="27" t="n">
        <f aca="false">IFERROR(alimentos[[#This Row],[kg/embalagem]],0)</f>
        <v>0.12</v>
      </c>
      <c r="K40" s="27" t="n">
        <f aca="false">IFERROR(alimentos[[#This Row],[Preço]],0)</f>
        <v>4.57166666666667</v>
      </c>
      <c r="L40" s="27" t="n">
        <f aca="false">SUMIFS(super1[Qtde],super1[Item],tab_alimentos[[#This Row],[Item]],super1[Bairro],mercado1)+SUMIFS(supercb[Qtde],supercb[Item],tab_alimentos[[#This Row],[Item]],supercb[Bairro],mercado1)</f>
        <v>0</v>
      </c>
      <c r="M40" s="27" t="n">
        <f aca="false">SUMIFS(super1[Qtde],super1[Item],tab_alimentos[[#This Row],[Item]],super1[Bairro],mercado2)+SUMIFS(supercb[Qtde],supercb[Item],tab_alimentos[[#This Row],[Item]],supercb[Bairro],mercado2)</f>
        <v>0</v>
      </c>
      <c r="N40" s="27" t="n">
        <f aca="false">SUMIFS(super1[Qtde],super1[Item],tab_alimentos[[#This Row],[Item]],super1[Bairro],mercado3)+SUMIFS(supercb[Qtde],supercb[Item],tab_alimentos[[#This Row],[Item]],supercb[Bairro],mercado3)</f>
        <v>0</v>
      </c>
      <c r="O40" s="27" t="n">
        <f aca="false">SUMIFS(super1[Qtde],super1[Item],tab_alimentos[[#This Row],[Item]],super1[Bairro],mercado4)+SUMIFS(supercb[Qtde],supercb[Item],tab_alimentos[[#This Row],[Item]],supercb[Bairro],mercado4)</f>
        <v>0</v>
      </c>
      <c r="P40" s="27" t="n">
        <f aca="false">SUMIFS(super1[Qtde],super1[Item],tab_alimentos[[#This Row],[Item]],super1[Bairro],mercado5)+SUMIFS(supercb[Qtde],supercb[Item],tab_alimentos[[#This Row],[Item]],supercb[Bairro],mercado5)</f>
        <v>0</v>
      </c>
      <c r="Q40" s="27" t="n">
        <f aca="false">SUMIFS(super1[Qtde],super1[Item],tab_alimentos[[#This Row],[Item]],super1[Bairro],mercado6)+SUMIFS(supercb[Qtde],supercb[Item],tab_alimentos[[#This Row],[Item]],supercb[Bairro],mercado6)</f>
        <v>0</v>
      </c>
      <c r="R40" s="27" t="n">
        <f aca="false">SUMIFS(super1[Qtde],super1[Item],tab_alimentos[[#This Row],[Item]],super1[Bairro],mercado7)+SUMIFS(supercb[Qtde],supercb[Item],tab_alimentos[[#This Row],[Item]],supercb[Bairro],mercado7)</f>
        <v>0</v>
      </c>
      <c r="S40" s="27" t="n">
        <f aca="false">SUMIFS(super1[Qtde],super1[Item],tab_alimentos[[#This Row],[Item]],super1[Bairro],mercado8)+SUMIFS(supercb[Qtde],supercb[Item],tab_alimentos[[#This Row],[Item]],supercb[Bairro],mercado8)</f>
        <v>0</v>
      </c>
      <c r="T40" s="27" t="n">
        <f aca="false">SUMIFS(super1[Qtde],super1[Item],tab_alimentos[[#This Row],[Item]],super1[Bairro],mercado9)+SUMIFS(supercb[Qtde],supercb[Item],tab_alimentos[[#This Row],[Item]],supercb[Bairro],mercado9)</f>
        <v>0</v>
      </c>
      <c r="U40" s="27" t="n">
        <f aca="false">SUMIFS(super1[Qtde],super1[Item],tab_alimentos[[#This Row],[Item]],super1[Bairro],mercado10)+SUMIFS(supercb[Qtde],supercb[Item],tab_alimentos[[#This Row],[Item]],supercb[Bairro],mercado10)</f>
        <v>0</v>
      </c>
      <c r="V40" s="27" t="n">
        <f aca="false">SUMIFS(super1[Qtde],super1[Item],tab_alimentos[[#This Row],[Item]],super1[Bairro],mercado11)+SUMIFS(supercb[Qtde],supercb[Item],tab_alimentos[[#This Row],[Item]],supercb[Bairro],mercado11)</f>
        <v>0</v>
      </c>
      <c r="W40" s="27" t="n">
        <f aca="false">SUMIFS(super1[Qtde],super1[Item],tab_alimentos[[#This Row],[Item]],super1[Bairro],mercado12)+SUMIFS(supercb[Qtde],supercb[Item],tab_alimentos[[#This Row],[Item]],supercb[Bairro],mercado12)</f>
        <v>0</v>
      </c>
      <c r="X40" s="27" t="n">
        <f aca="false">SUMIFS(super1[Qtde],super1[Item],tab_alimentos[[#This Row],[Item]],super1[Bairro],mercado13)+SUMIFS(supercb[Qtde],supercb[Item],tab_alimentos[[#This Row],[Item]],supercb[Bairro],mercado13)</f>
        <v>0</v>
      </c>
      <c r="Y40" s="27" t="n">
        <f aca="false">SUMIFS(super1[Qtde],super1[Item],tab_alimentos[[#This Row],[Item]],super1[Bairro],mercado14)+SUMIFS(supercb[Qtde],supercb[Item],tab_alimentos[[#This Row],[Item]],supercb[Bairro],mercado14)</f>
        <v>0</v>
      </c>
      <c r="Z40" s="27" t="n">
        <f aca="false">SUMIFS(super1[Qtde],super1[Item],tab_alimentos[[#This Row],[Item]],super1[Bairro],mercado15)+SUMIFS(supercb[Qtde],supercb[Item],tab_alimentos[[#This Row],[Item]],supercb[Bairro],mercado15)</f>
        <v>0</v>
      </c>
      <c r="AA40" s="27" t="n">
        <f aca="false">SUMIFS(super1[Qtde],super1[Item],tab_alimentos[[#This Row],[Item]],super1[Bairro],mercado16)+SUMIFS(supercb[Qtde],supercb[Item],tab_alimentos[[#This Row],[Item]],supercb[Bairro],mercado16)</f>
        <v>0</v>
      </c>
      <c r="AB40" s="27" t="n">
        <f aca="false">SUMIFS(super1[Qtde],super1[Item],tab_alimentos[[#This Row],[Item]],super1[Bairro],mercado17)+SUMIFS(supercb[Qtde],supercb[Item],tab_alimentos[[#This Row],[Item]],supercb[Bairro],mercado17)</f>
        <v>0</v>
      </c>
      <c r="AC40" s="27" t="n">
        <f aca="false">SUMIFS(super1[Qtde],super1[Item],tab_alimentos[[#This Row],[Item]],super1[Bairro],mercado18)+SUMIFS(supercb[Qtde],supercb[Item],tab_alimentos[[#This Row],[Item]],supercb[Bairro],mercado18)</f>
        <v>0</v>
      </c>
      <c r="AD40" s="27" t="n">
        <f aca="false">SUMIFS(super1[Qtde],super1[Item],tab_alimentos[[#This Row],[Item]],super1[Bairro],extras)+SUMIFS(supercb[Qtde],supercb[Item],tab_alimentos[[#This Row],[Item]],supercb[Bairro],extras)</f>
        <v>0</v>
      </c>
      <c r="AE40" s="27" t="n">
        <f aca="false">SUM(L40:AC40)</f>
        <v>0</v>
      </c>
      <c r="AF40" s="27" t="n">
        <f aca="false">IFERROR(AE40*K40,0)</f>
        <v>0</v>
      </c>
      <c r="AG40" s="28" t="n">
        <f aca="false">IFERROR(J40*AE40,0)</f>
        <v>0</v>
      </c>
      <c r="AH40" s="26" t="str">
        <f aca="false">higiene[[#This Row],[Item]]</f>
        <v>Cloro ativo (500ml)</v>
      </c>
      <c r="AI40" s="27" t="n">
        <f aca="false">IFERROR(higiene[[#This Row],[Kg equivalente]],0)</f>
        <v>2.72409725764455</v>
      </c>
      <c r="AJ40" s="27" t="n">
        <f aca="false">IFERROR(higiene[[#This Row],[Preço por produto]],0)</f>
        <v>9.02333333333333</v>
      </c>
      <c r="AK40" s="27" t="n">
        <f aca="false">SUMIFS(super1[Qtde],super1[Item],tab_higiene[[#This Row],[Item]],super1[Bairro],mercado1)+SUMIFS(supercb[Qtde],supercb[Item],tab_higiene[[#This Row],[Item]],supercb[Bairro],mercado1)</f>
        <v>0</v>
      </c>
      <c r="AL40" s="27" t="n">
        <f aca="false">SUMIFS(super1[Qtde],super1[Item],tab_higiene[[#This Row],[Item]],super1[Bairro],mercado2)+SUMIFS(supercb[Qtde],supercb[Item],tab_higiene[[#This Row],[Item]],supercb[Bairro],mercado2)</f>
        <v>0</v>
      </c>
      <c r="AM40" s="27" t="n">
        <f aca="false">SUMIFS(super1[Qtde],super1[Item],tab_higiene[[#This Row],[Item]],super1[Bairro],mercado3)+SUMIFS(supercb[Qtde],supercb[Item],tab_higiene[[#This Row],[Item]],supercb[Bairro],mercado3)</f>
        <v>0</v>
      </c>
      <c r="AN40" s="27" t="n">
        <f aca="false">SUMIFS(super1[Qtde],super1[Item],tab_higiene[[#This Row],[Item]],super1[Bairro],mercado4)+SUMIFS(supercb[Qtde],supercb[Item],tab_higiene[[#This Row],[Item]],supercb[Bairro],mercado4)</f>
        <v>0</v>
      </c>
      <c r="AO40" s="27" t="n">
        <f aca="false">SUMIFS(super1[Qtde],super1[Item],tab_higiene[[#This Row],[Item]],super1[Bairro],mercado5)+SUMIFS(supercb[Qtde],supercb[Item],tab_higiene[[#This Row],[Item]],supercb[Bairro],mercado5)</f>
        <v>0</v>
      </c>
      <c r="AP40" s="27" t="n">
        <f aca="false">SUMIFS(super1[Qtde],super1[Item],tab_higiene[[#This Row],[Item]],super1[Bairro],mercado6)+SUMIFS(supercb[Qtde],supercb[Item],tab_higiene[[#This Row],[Item]],supercb[Bairro],mercado6)</f>
        <v>0</v>
      </c>
      <c r="AQ40" s="27" t="n">
        <f aca="false">SUMIFS(super1[Qtde],super1[Item],tab_higiene[[#This Row],[Item]],super1[Bairro],mercado7)+SUMIFS(supercb[Qtde],supercb[Item],tab_higiene[[#This Row],[Item]],supercb[Bairro],mercado7)</f>
        <v>0</v>
      </c>
      <c r="AR40" s="27" t="n">
        <f aca="false">SUMIFS(super1[Qtde],super1[Item],tab_higiene[[#This Row],[Item]],super1[Bairro],mercado8)+SUMIFS(supercb[Qtde],supercb[Item],tab_higiene[[#This Row],[Item]],supercb[Bairro],mercado8)</f>
        <v>0</v>
      </c>
      <c r="AS40" s="27" t="n">
        <f aca="false">SUMIFS(super1[Qtde],super1[Item],tab_higiene[[#This Row],[Item]],super1[Bairro],mercado9)+SUMIFS(supercb[Qtde],supercb[Item],tab_higiene[[#This Row],[Item]],supercb[Bairro],mercado9)</f>
        <v>0</v>
      </c>
      <c r="AT40" s="27" t="n">
        <f aca="false">SUMIFS(super1[Qtde],super1[Item],tab_higiene[[#This Row],[Item]],super1[Bairro],mercado10)+SUMIFS(supercb[Qtde],supercb[Item],tab_higiene[[#This Row],[Item]],supercb[Bairro],mercado10)</f>
        <v>0</v>
      </c>
      <c r="AU40" s="27" t="n">
        <f aca="false">SUMIFS(super1[Qtde],super1[Item],tab_higiene[[#This Row],[Item]],super1[Bairro],mercado11)+SUMIFS(supercb[Qtde],supercb[Item],tab_higiene[[#This Row],[Item]],supercb[Bairro],mercado11)</f>
        <v>0</v>
      </c>
      <c r="AV40" s="27" t="n">
        <f aca="false">SUMIFS(super1[Qtde],super1[Item],tab_higiene[[#This Row],[Item]],super1[Bairro],mercado12)+SUMIFS(supercb[Qtde],supercb[Item],tab_higiene[[#This Row],[Item]],supercb[Bairro],mercado12)</f>
        <v>0</v>
      </c>
      <c r="AW40" s="27" t="n">
        <f aca="false">SUMIFS(super1[Qtde],super1[Item],tab_higiene[[#This Row],[Item]],super1[Bairro],mercado13)+SUMIFS(supercb[Qtde],supercb[Item],tab_higiene[[#This Row],[Item]],supercb[Bairro],mercado13)</f>
        <v>0</v>
      </c>
      <c r="AX40" s="27" t="n">
        <f aca="false">SUMIFS(super1[Qtde],super1[Item],tab_higiene[[#This Row],[Item]],super1[Bairro],mercado14)+SUMIFS(supercb[Qtde],supercb[Item],tab_higiene[[#This Row],[Item]],supercb[Bairro],mercado14)</f>
        <v>0</v>
      </c>
      <c r="AY40" s="27" t="n">
        <f aca="false">SUMIFS(super1[Qtde],super1[Item],tab_higiene[[#This Row],[Item]],super1[Bairro],mercado15)+SUMIFS(supercb[Qtde],supercb[Item],tab_higiene[[#This Row],[Item]],supercb[Bairro],mercado15)</f>
        <v>0</v>
      </c>
      <c r="AZ40" s="27" t="n">
        <f aca="false">SUMIFS(super1[Qtde],super1[Item],tab_higiene[[#This Row],[Item]],super1[Bairro],mercado16)+SUMIFS(supercb[Qtde],supercb[Item],tab_higiene[[#This Row],[Item]],supercb[Bairro],mercado16)</f>
        <v>0</v>
      </c>
      <c r="BA40" s="27" t="n">
        <f aca="false">SUMIFS(super1[Qtde],super1[Item],tab_higiene[[#This Row],[Item]],super1[Bairro],mercado17)+SUMIFS(supercb[Qtde],supercb[Item],tab_higiene[[#This Row],[Item]],supercb[Bairro],mercado17)</f>
        <v>0</v>
      </c>
      <c r="BB40" s="27" t="n">
        <f aca="false">SUMIFS(super1[Qtde],super1[Item],tab_higiene[[#This Row],[Item]],super1[Bairro],mercado18)+SUMIFS(supercb[Qtde],supercb[Item],tab_higiene[[#This Row],[Item]],supercb[Bairro],mercado18)</f>
        <v>0</v>
      </c>
      <c r="BC40" s="27" t="n">
        <f aca="false">SUMIFS(super1[Qtde],super1[Item],tab_higiene[[#This Row],[Item]],super1[Bairro],extras)+SUMIFS(supercb[Qtde],supercb[Item],tab_higiene[[#This Row],[Item]],supercb[Bairro],extras)</f>
        <v>0</v>
      </c>
      <c r="BD40" s="27" t="n">
        <f aca="false">SUM(AK40:BB40)</f>
        <v>0</v>
      </c>
      <c r="BE40" s="27" t="n">
        <f aca="false">IFERROR(BD40*AJ40,0)</f>
        <v>0</v>
      </c>
      <c r="BF40" s="28" t="n">
        <f aca="false">IFERROR(AI40*BD40,0)</f>
        <v>0</v>
      </c>
      <c r="BI40" s="22" t="str">
        <f aca="false">tab_alimentos[[#This Row],[Item]]</f>
        <v>Batata Palha (120g)</v>
      </c>
      <c r="BJ40" s="22" t="n">
        <f aca="false">IFERROR(FIND(" (",BI40),0)</f>
        <v>13</v>
      </c>
      <c r="BK40" s="22" t="str">
        <f aca="false">IF(BJ40=0,BI40,LEFT(BI40,BJ40-1))</f>
        <v>Batata Palha</v>
      </c>
      <c r="BL40" s="22" t="n">
        <f aca="false">tab_alimentos[[#This Row],[kg]]</f>
        <v>0</v>
      </c>
      <c r="BM40" s="32" t="s">
        <v>314</v>
      </c>
      <c r="BN40" s="22" t="n">
        <f aca="false">SUMIF($BJ$5:$BJ$158,BM40,$BK$5:$BK$158)</f>
        <v>0</v>
      </c>
      <c r="BP40" s="22" t="str">
        <f aca="false">tab_higiene[[#This Row],[Item]]</f>
        <v>Cloro ativo (500ml)</v>
      </c>
      <c r="BQ40" s="22" t="n">
        <f aca="false">IFERROR(FIND(" (",BP40),0)</f>
        <v>12</v>
      </c>
      <c r="BR40" s="22" t="str">
        <f aca="false">IF(BQ40=0,BP40,LEFT(BP40,BQ40-1))</f>
        <v>Cloro ativo</v>
      </c>
      <c r="BS40" s="22" t="n">
        <f aca="false">higiene[[#This Row],[Quantidade]]</f>
        <v>0.3</v>
      </c>
      <c r="BT40" s="22" t="n">
        <f aca="false">tab_higiene[Qtde (tot)]</f>
        <v>0</v>
      </c>
      <c r="BU40" s="22" t="n">
        <f aca="false">BS40*BT40</f>
        <v>0</v>
      </c>
      <c r="BV40" s="32" t="s">
        <v>315</v>
      </c>
      <c r="BW40" s="22" t="n">
        <f aca="false">SUMIF($BR$5:$BR$142,BV40,$BU$5:$BU$142)</f>
        <v>0</v>
      </c>
    </row>
    <row r="41" customFormat="false" ht="14.9" hidden="false" customHeight="false" outlineLevel="0" collapsed="false">
      <c r="A41" s="36" t="s">
        <v>316</v>
      </c>
      <c r="B41" s="36"/>
      <c r="C41" s="36"/>
      <c r="D41" s="36"/>
      <c r="E41" s="36"/>
      <c r="F41" s="36"/>
      <c r="G41" s="36"/>
      <c r="I41" s="26" t="str">
        <f aca="false">alimentos[[#This Row],[Item]]</f>
        <v>Bebida Láctea Chocolate (180mL)</v>
      </c>
      <c r="J41" s="27" t="n">
        <f aca="false">IFERROR(alimentos[[#This Row],[kg/embalagem]],0)</f>
        <v>0.18</v>
      </c>
      <c r="K41" s="27" t="n">
        <f aca="false">IFERROR(alimentos[[#This Row],[Preço]],0)</f>
        <v>1.062</v>
      </c>
      <c r="L41" s="27" t="n">
        <f aca="false">SUMIFS(super1[Qtde],super1[Item],tab_alimentos[[#This Row],[Item]],super1[Bairro],mercado1)+SUMIFS(supercb[Qtde],supercb[Item],tab_alimentos[[#This Row],[Item]],supercb[Bairro],mercado1)</f>
        <v>0</v>
      </c>
      <c r="M41" s="27" t="n">
        <f aca="false">SUMIFS(super1[Qtde],super1[Item],tab_alimentos[[#This Row],[Item]],super1[Bairro],mercado2)+SUMIFS(supercb[Qtde],supercb[Item],tab_alimentos[[#This Row],[Item]],supercb[Bairro],mercado2)</f>
        <v>0</v>
      </c>
      <c r="N41" s="27" t="n">
        <f aca="false">SUMIFS(super1[Qtde],super1[Item],tab_alimentos[[#This Row],[Item]],super1[Bairro],mercado3)+SUMIFS(supercb[Qtde],supercb[Item],tab_alimentos[[#This Row],[Item]],supercb[Bairro],mercado3)</f>
        <v>0</v>
      </c>
      <c r="O41" s="27" t="n">
        <f aca="false">SUMIFS(super1[Qtde],super1[Item],tab_alimentos[[#This Row],[Item]],super1[Bairro],mercado4)+SUMIFS(supercb[Qtde],supercb[Item],tab_alimentos[[#This Row],[Item]],supercb[Bairro],mercado4)</f>
        <v>0</v>
      </c>
      <c r="P41" s="27" t="n">
        <f aca="false">SUMIFS(super1[Qtde],super1[Item],tab_alimentos[[#This Row],[Item]],super1[Bairro],mercado5)+SUMIFS(supercb[Qtde],supercb[Item],tab_alimentos[[#This Row],[Item]],supercb[Bairro],mercado5)</f>
        <v>0</v>
      </c>
      <c r="Q41" s="27" t="n">
        <f aca="false">SUMIFS(super1[Qtde],super1[Item],tab_alimentos[[#This Row],[Item]],super1[Bairro],mercado6)+SUMIFS(supercb[Qtde],supercb[Item],tab_alimentos[[#This Row],[Item]],supercb[Bairro],mercado6)</f>
        <v>0</v>
      </c>
      <c r="R41" s="27" t="n">
        <f aca="false">SUMIFS(super1[Qtde],super1[Item],tab_alimentos[[#This Row],[Item]],super1[Bairro],mercado7)+SUMIFS(supercb[Qtde],supercb[Item],tab_alimentos[[#This Row],[Item]],supercb[Bairro],mercado7)</f>
        <v>0</v>
      </c>
      <c r="S41" s="27" t="n">
        <f aca="false">SUMIFS(super1[Qtde],super1[Item],tab_alimentos[[#This Row],[Item]],super1[Bairro],mercado8)+SUMIFS(supercb[Qtde],supercb[Item],tab_alimentos[[#This Row],[Item]],supercb[Bairro],mercado8)</f>
        <v>0</v>
      </c>
      <c r="T41" s="27" t="n">
        <f aca="false">SUMIFS(super1[Qtde],super1[Item],tab_alimentos[[#This Row],[Item]],super1[Bairro],mercado9)+SUMIFS(supercb[Qtde],supercb[Item],tab_alimentos[[#This Row],[Item]],supercb[Bairro],mercado9)</f>
        <v>0</v>
      </c>
      <c r="U41" s="27" t="n">
        <f aca="false">SUMIFS(super1[Qtde],super1[Item],tab_alimentos[[#This Row],[Item]],super1[Bairro],mercado10)+SUMIFS(supercb[Qtde],supercb[Item],tab_alimentos[[#This Row],[Item]],supercb[Bairro],mercado10)</f>
        <v>0</v>
      </c>
      <c r="V41" s="27" t="n">
        <f aca="false">SUMIFS(super1[Qtde],super1[Item],tab_alimentos[[#This Row],[Item]],super1[Bairro],mercado11)+SUMIFS(supercb[Qtde],supercb[Item],tab_alimentos[[#This Row],[Item]],supercb[Bairro],mercado11)</f>
        <v>3</v>
      </c>
      <c r="W41" s="27" t="n">
        <f aca="false">SUMIFS(super1[Qtde],super1[Item],tab_alimentos[[#This Row],[Item]],super1[Bairro],mercado12)+SUMIFS(supercb[Qtde],supercb[Item],tab_alimentos[[#This Row],[Item]],supercb[Bairro],mercado12)</f>
        <v>0</v>
      </c>
      <c r="X41" s="27" t="n">
        <f aca="false">SUMIFS(super1[Qtde],super1[Item],tab_alimentos[[#This Row],[Item]],super1[Bairro],mercado13)+SUMIFS(supercb[Qtde],supercb[Item],tab_alimentos[[#This Row],[Item]],supercb[Bairro],mercado13)</f>
        <v>0</v>
      </c>
      <c r="Y41" s="27" t="n">
        <f aca="false">SUMIFS(super1[Qtde],super1[Item],tab_alimentos[[#This Row],[Item]],super1[Bairro],mercado14)+SUMIFS(supercb[Qtde],supercb[Item],tab_alimentos[[#This Row],[Item]],supercb[Bairro],mercado14)</f>
        <v>0</v>
      </c>
      <c r="Z41" s="27" t="n">
        <f aca="false">SUMIFS(super1[Qtde],super1[Item],tab_alimentos[[#This Row],[Item]],super1[Bairro],mercado15)+SUMIFS(supercb[Qtde],supercb[Item],tab_alimentos[[#This Row],[Item]],supercb[Bairro],mercado15)</f>
        <v>0</v>
      </c>
      <c r="AA41" s="27" t="n">
        <f aca="false">SUMIFS(super1[Qtde],super1[Item],tab_alimentos[[#This Row],[Item]],super1[Bairro],mercado16)+SUMIFS(supercb[Qtde],supercb[Item],tab_alimentos[[#This Row],[Item]],supercb[Bairro],mercado16)</f>
        <v>0</v>
      </c>
      <c r="AB41" s="27" t="n">
        <f aca="false">SUMIFS(super1[Qtde],super1[Item],tab_alimentos[[#This Row],[Item]],super1[Bairro],mercado17)+SUMIFS(supercb[Qtde],supercb[Item],tab_alimentos[[#This Row],[Item]],supercb[Bairro],mercado17)</f>
        <v>0</v>
      </c>
      <c r="AC41" s="27" t="n">
        <f aca="false">SUMIFS(super1[Qtde],super1[Item],tab_alimentos[[#This Row],[Item]],super1[Bairro],mercado18)+SUMIFS(supercb[Qtde],supercb[Item],tab_alimentos[[#This Row],[Item]],supercb[Bairro],mercado18)</f>
        <v>0</v>
      </c>
      <c r="AD41" s="27" t="n">
        <f aca="false">SUMIFS(super1[Qtde],super1[Item],tab_alimentos[[#This Row],[Item]],super1[Bairro],extras)+SUMIFS(supercb[Qtde],supercb[Item],tab_alimentos[[#This Row],[Item]],supercb[Bairro],extras)</f>
        <v>0</v>
      </c>
      <c r="AE41" s="27" t="n">
        <f aca="false">SUM(L41:AC41)</f>
        <v>3</v>
      </c>
      <c r="AF41" s="27" t="n">
        <f aca="false">IFERROR(AE41*K41,0)</f>
        <v>3.186</v>
      </c>
      <c r="AG41" s="28" t="n">
        <f aca="false">IFERROR(J41*AE41,0)</f>
        <v>0.54</v>
      </c>
      <c r="AH41" s="26" t="str">
        <f aca="false">higiene[[#This Row],[Item]]</f>
        <v>Cloro ativo (5L)</v>
      </c>
      <c r="AI41" s="27" t="n">
        <f aca="false">IFERROR(higiene[[#This Row],[Kg equivalente]],0)</f>
        <v>8.00021174668422</v>
      </c>
      <c r="AJ41" s="27" t="n">
        <f aca="false">IFERROR(higiene[[#This Row],[Preço por produto]],0)</f>
        <v>26.5</v>
      </c>
      <c r="AK41" s="27" t="n">
        <f aca="false">SUMIFS(super1[Qtde],super1[Item],tab_higiene[[#This Row],[Item]],super1[Bairro],mercado1)+SUMIFS(supercb[Qtde],supercb[Item],tab_higiene[[#This Row],[Item]],supercb[Bairro],mercado1)</f>
        <v>0</v>
      </c>
      <c r="AL41" s="27" t="n">
        <f aca="false">SUMIFS(super1[Qtde],super1[Item],tab_higiene[[#This Row],[Item]],super1[Bairro],mercado2)+SUMIFS(supercb[Qtde],supercb[Item],tab_higiene[[#This Row],[Item]],supercb[Bairro],mercado2)</f>
        <v>0</v>
      </c>
      <c r="AM41" s="27" t="n">
        <f aca="false">SUMIFS(super1[Qtde],super1[Item],tab_higiene[[#This Row],[Item]],super1[Bairro],mercado3)+SUMIFS(supercb[Qtde],supercb[Item],tab_higiene[[#This Row],[Item]],supercb[Bairro],mercado3)</f>
        <v>0</v>
      </c>
      <c r="AN41" s="27" t="n">
        <f aca="false">SUMIFS(super1[Qtde],super1[Item],tab_higiene[[#This Row],[Item]],super1[Bairro],mercado4)+SUMIFS(supercb[Qtde],supercb[Item],tab_higiene[[#This Row],[Item]],supercb[Bairro],mercado4)</f>
        <v>0</v>
      </c>
      <c r="AO41" s="27" t="n">
        <f aca="false">SUMIFS(super1[Qtde],super1[Item],tab_higiene[[#This Row],[Item]],super1[Bairro],mercado5)+SUMIFS(supercb[Qtde],supercb[Item],tab_higiene[[#This Row],[Item]],supercb[Bairro],mercado5)</f>
        <v>0</v>
      </c>
      <c r="AP41" s="27" t="n">
        <f aca="false">SUMIFS(super1[Qtde],super1[Item],tab_higiene[[#This Row],[Item]],super1[Bairro],mercado6)+SUMIFS(supercb[Qtde],supercb[Item],tab_higiene[[#This Row],[Item]],supercb[Bairro],mercado6)</f>
        <v>0</v>
      </c>
      <c r="AQ41" s="27" t="n">
        <f aca="false">SUMIFS(super1[Qtde],super1[Item],tab_higiene[[#This Row],[Item]],super1[Bairro],mercado7)+SUMIFS(supercb[Qtde],supercb[Item],tab_higiene[[#This Row],[Item]],supercb[Bairro],mercado7)</f>
        <v>0</v>
      </c>
      <c r="AR41" s="27" t="n">
        <f aca="false">SUMIFS(super1[Qtde],super1[Item],tab_higiene[[#This Row],[Item]],super1[Bairro],mercado8)+SUMIFS(supercb[Qtde],supercb[Item],tab_higiene[[#This Row],[Item]],supercb[Bairro],mercado8)</f>
        <v>0</v>
      </c>
      <c r="AS41" s="27" t="n">
        <f aca="false">SUMIFS(super1[Qtde],super1[Item],tab_higiene[[#This Row],[Item]],super1[Bairro],mercado9)+SUMIFS(supercb[Qtde],supercb[Item],tab_higiene[[#This Row],[Item]],supercb[Bairro],mercado9)</f>
        <v>0</v>
      </c>
      <c r="AT41" s="27" t="n">
        <f aca="false">SUMIFS(super1[Qtde],super1[Item],tab_higiene[[#This Row],[Item]],super1[Bairro],mercado10)+SUMIFS(supercb[Qtde],supercb[Item],tab_higiene[[#This Row],[Item]],supercb[Bairro],mercado10)</f>
        <v>0</v>
      </c>
      <c r="AU41" s="27" t="n">
        <f aca="false">SUMIFS(super1[Qtde],super1[Item],tab_higiene[[#This Row],[Item]],super1[Bairro],mercado11)+SUMIFS(supercb[Qtde],supercb[Item],tab_higiene[[#This Row],[Item]],supercb[Bairro],mercado11)</f>
        <v>0</v>
      </c>
      <c r="AV41" s="27" t="n">
        <f aca="false">SUMIFS(super1[Qtde],super1[Item],tab_higiene[[#This Row],[Item]],super1[Bairro],mercado12)+SUMIFS(supercb[Qtde],supercb[Item],tab_higiene[[#This Row],[Item]],supercb[Bairro],mercado12)</f>
        <v>0</v>
      </c>
      <c r="AW41" s="27" t="n">
        <f aca="false">SUMIFS(super1[Qtde],super1[Item],tab_higiene[[#This Row],[Item]],super1[Bairro],mercado13)+SUMIFS(supercb[Qtde],supercb[Item],tab_higiene[[#This Row],[Item]],supercb[Bairro],mercado13)</f>
        <v>0</v>
      </c>
      <c r="AX41" s="27" t="n">
        <f aca="false">SUMIFS(super1[Qtde],super1[Item],tab_higiene[[#This Row],[Item]],super1[Bairro],mercado14)+SUMIFS(supercb[Qtde],supercb[Item],tab_higiene[[#This Row],[Item]],supercb[Bairro],mercado14)</f>
        <v>0</v>
      </c>
      <c r="AY41" s="27" t="n">
        <f aca="false">SUMIFS(super1[Qtde],super1[Item],tab_higiene[[#This Row],[Item]],super1[Bairro],mercado15)+SUMIFS(supercb[Qtde],supercb[Item],tab_higiene[[#This Row],[Item]],supercb[Bairro],mercado15)</f>
        <v>0</v>
      </c>
      <c r="AZ41" s="27" t="n">
        <f aca="false">SUMIFS(super1[Qtde],super1[Item],tab_higiene[[#This Row],[Item]],super1[Bairro],mercado16)+SUMIFS(supercb[Qtde],supercb[Item],tab_higiene[[#This Row],[Item]],supercb[Bairro],mercado16)</f>
        <v>0</v>
      </c>
      <c r="BA41" s="27" t="n">
        <f aca="false">SUMIFS(super1[Qtde],super1[Item],tab_higiene[[#This Row],[Item]],super1[Bairro],mercado17)+SUMIFS(supercb[Qtde],supercb[Item],tab_higiene[[#This Row],[Item]],supercb[Bairro],mercado17)</f>
        <v>0</v>
      </c>
      <c r="BB41" s="27" t="n">
        <f aca="false">SUMIFS(super1[Qtde],super1[Item],tab_higiene[[#This Row],[Item]],super1[Bairro],mercado18)+SUMIFS(supercb[Qtde],supercb[Item],tab_higiene[[#This Row],[Item]],supercb[Bairro],mercado18)</f>
        <v>0</v>
      </c>
      <c r="BC41" s="27" t="n">
        <f aca="false">SUMIFS(super1[Qtde],super1[Item],tab_higiene[[#This Row],[Item]],super1[Bairro],extras)+SUMIFS(supercb[Qtde],supercb[Item],tab_higiene[[#This Row],[Item]],supercb[Bairro],extras)</f>
        <v>0</v>
      </c>
      <c r="BD41" s="27" t="n">
        <f aca="false">SUM(AK41:BB41)</f>
        <v>0</v>
      </c>
      <c r="BE41" s="27" t="n">
        <f aca="false">IFERROR(BD41*AJ41,0)</f>
        <v>0</v>
      </c>
      <c r="BF41" s="28" t="n">
        <f aca="false">IFERROR(AI41*BD41,0)</f>
        <v>0</v>
      </c>
      <c r="BI41" s="22" t="str">
        <f aca="false">tab_alimentos[[#This Row],[Item]]</f>
        <v>Bebida Láctea Chocolate (180mL)</v>
      </c>
      <c r="BJ41" s="22" t="n">
        <f aca="false">IFERROR(FIND(" (",BI41),0)</f>
        <v>24</v>
      </c>
      <c r="BK41" s="22" t="str">
        <f aca="false">IF(BJ41=0,BI41,LEFT(BI41,BJ41-1))</f>
        <v>Bebida Láctea Chocolate</v>
      </c>
      <c r="BL41" s="22" t="n">
        <f aca="false">tab_alimentos[[#This Row],[kg]]</f>
        <v>0.54</v>
      </c>
      <c r="BM41" s="32" t="s">
        <v>317</v>
      </c>
      <c r="BN41" s="22" t="n">
        <f aca="false">SUMIF($BJ$5:$BJ$158,BM41,$BK$5:$BK$158)</f>
        <v>0</v>
      </c>
      <c r="BP41" s="22" t="str">
        <f aca="false">tab_higiene[[#This Row],[Item]]</f>
        <v>Cloro ativo (5L)</v>
      </c>
      <c r="BQ41" s="22" t="n">
        <f aca="false">IFERROR(FIND(" (",BP41),0)</f>
        <v>12</v>
      </c>
      <c r="BR41" s="22" t="str">
        <f aca="false">IF(BQ41=0,BP41,LEFT(BP41,BQ41-1))</f>
        <v>Cloro ativo</v>
      </c>
      <c r="BS41" s="22" t="n">
        <f aca="false">higiene[[#This Row],[Quantidade]]</f>
        <v>5</v>
      </c>
      <c r="BT41" s="22" t="n">
        <f aca="false">tab_higiene[Qtde (tot)]</f>
        <v>0</v>
      </c>
      <c r="BU41" s="22" t="n">
        <f aca="false">BS41*BT41</f>
        <v>0</v>
      </c>
      <c r="BV41" s="32" t="s">
        <v>318</v>
      </c>
      <c r="BW41" s="22" t="n">
        <f aca="false">SUMIF($BR$5:$BR$142,BV41,$BU$5:$BU$142)</f>
        <v>9</v>
      </c>
    </row>
    <row r="42" customFormat="false" ht="15" hidden="false" customHeight="false" outlineLevel="0" collapsed="false">
      <c r="A42" s="36"/>
      <c r="B42" s="36"/>
      <c r="C42" s="36"/>
      <c r="D42" s="36"/>
      <c r="E42" s="36"/>
      <c r="F42" s="36"/>
      <c r="G42" s="36"/>
      <c r="I42" s="26" t="str">
        <f aca="false">alimentos[[#This Row],[Item]]</f>
        <v>bebida láctea chocolate (1l)</v>
      </c>
      <c r="J42" s="27" t="n">
        <f aca="false">IFERROR(alimentos[[#This Row],[kg/embalagem]],0)</f>
        <v>1</v>
      </c>
      <c r="K42" s="27" t="n">
        <f aca="false">IFERROR(alimentos[[#This Row],[Preço]],0)</f>
        <v>5.48</v>
      </c>
      <c r="L42" s="27" t="n">
        <f aca="false">SUMIFS(super1[Qtde],super1[Item],tab_alimentos[[#This Row],[Item]],super1[Bairro],mercado1)+SUMIFS(supercb[Qtde],supercb[Item],tab_alimentos[[#This Row],[Item]],supercb[Bairro],mercado1)</f>
        <v>0</v>
      </c>
      <c r="M42" s="27" t="n">
        <f aca="false">SUMIFS(super1[Qtde],super1[Item],tab_alimentos[[#This Row],[Item]],super1[Bairro],mercado2)+SUMIFS(supercb[Qtde],supercb[Item],tab_alimentos[[#This Row],[Item]],supercb[Bairro],mercado2)</f>
        <v>0</v>
      </c>
      <c r="N42" s="27" t="n">
        <f aca="false">SUMIFS(super1[Qtde],super1[Item],tab_alimentos[[#This Row],[Item]],super1[Bairro],mercado3)+SUMIFS(supercb[Qtde],supercb[Item],tab_alimentos[[#This Row],[Item]],supercb[Bairro],mercado3)</f>
        <v>0</v>
      </c>
      <c r="O42" s="27" t="n">
        <f aca="false">SUMIFS(super1[Qtde],super1[Item],tab_alimentos[[#This Row],[Item]],super1[Bairro],mercado4)+SUMIFS(supercb[Qtde],supercb[Item],tab_alimentos[[#This Row],[Item]],supercb[Bairro],mercado4)</f>
        <v>0</v>
      </c>
      <c r="P42" s="27" t="n">
        <f aca="false">SUMIFS(super1[Qtde],super1[Item],tab_alimentos[[#This Row],[Item]],super1[Bairro],mercado5)+SUMIFS(supercb[Qtde],supercb[Item],tab_alimentos[[#This Row],[Item]],supercb[Bairro],mercado5)</f>
        <v>0</v>
      </c>
      <c r="Q42" s="27" t="n">
        <f aca="false">SUMIFS(super1[Qtde],super1[Item],tab_alimentos[[#This Row],[Item]],super1[Bairro],mercado6)+SUMIFS(supercb[Qtde],supercb[Item],tab_alimentos[[#This Row],[Item]],supercb[Bairro],mercado6)</f>
        <v>0</v>
      </c>
      <c r="R42" s="27" t="n">
        <f aca="false">SUMIFS(super1[Qtde],super1[Item],tab_alimentos[[#This Row],[Item]],super1[Bairro],mercado7)+SUMIFS(supercb[Qtde],supercb[Item],tab_alimentos[[#This Row],[Item]],supercb[Bairro],mercado7)</f>
        <v>0</v>
      </c>
      <c r="S42" s="27" t="n">
        <f aca="false">SUMIFS(super1[Qtde],super1[Item],tab_alimentos[[#This Row],[Item]],super1[Bairro],mercado8)+SUMIFS(supercb[Qtde],supercb[Item],tab_alimentos[[#This Row],[Item]],supercb[Bairro],mercado8)</f>
        <v>0</v>
      </c>
      <c r="T42" s="27" t="n">
        <f aca="false">SUMIFS(super1[Qtde],super1[Item],tab_alimentos[[#This Row],[Item]],super1[Bairro],mercado9)+SUMIFS(supercb[Qtde],supercb[Item],tab_alimentos[[#This Row],[Item]],supercb[Bairro],mercado9)</f>
        <v>0</v>
      </c>
      <c r="U42" s="27" t="n">
        <f aca="false">SUMIFS(super1[Qtde],super1[Item],tab_alimentos[[#This Row],[Item]],super1[Bairro],mercado10)+SUMIFS(supercb[Qtde],supercb[Item],tab_alimentos[[#This Row],[Item]],supercb[Bairro],mercado10)</f>
        <v>0</v>
      </c>
      <c r="V42" s="27" t="n">
        <f aca="false">SUMIFS(super1[Qtde],super1[Item],tab_alimentos[[#This Row],[Item]],super1[Bairro],mercado11)+SUMIFS(supercb[Qtde],supercb[Item],tab_alimentos[[#This Row],[Item]],supercb[Bairro],mercado11)</f>
        <v>0</v>
      </c>
      <c r="W42" s="27" t="n">
        <f aca="false">SUMIFS(super1[Qtde],super1[Item],tab_alimentos[[#This Row],[Item]],super1[Bairro],mercado12)+SUMIFS(supercb[Qtde],supercb[Item],tab_alimentos[[#This Row],[Item]],supercb[Bairro],mercado12)</f>
        <v>0</v>
      </c>
      <c r="X42" s="27" t="n">
        <f aca="false">SUMIFS(super1[Qtde],super1[Item],tab_alimentos[[#This Row],[Item]],super1[Bairro],mercado13)+SUMIFS(supercb[Qtde],supercb[Item],tab_alimentos[[#This Row],[Item]],supercb[Bairro],mercado13)</f>
        <v>1</v>
      </c>
      <c r="Y42" s="27" t="n">
        <f aca="false">SUMIFS(super1[Qtde],super1[Item],tab_alimentos[[#This Row],[Item]],super1[Bairro],mercado14)+SUMIFS(supercb[Qtde],supercb[Item],tab_alimentos[[#This Row],[Item]],supercb[Bairro],mercado14)</f>
        <v>0</v>
      </c>
      <c r="Z42" s="27" t="n">
        <f aca="false">SUMIFS(super1[Qtde],super1[Item],tab_alimentos[[#This Row],[Item]],super1[Bairro],mercado15)+SUMIFS(supercb[Qtde],supercb[Item],tab_alimentos[[#This Row],[Item]],supercb[Bairro],mercado15)</f>
        <v>0</v>
      </c>
      <c r="AA42" s="27" t="n">
        <f aca="false">SUMIFS(super1[Qtde],super1[Item],tab_alimentos[[#This Row],[Item]],super1[Bairro],mercado16)+SUMIFS(supercb[Qtde],supercb[Item],tab_alimentos[[#This Row],[Item]],supercb[Bairro],mercado16)</f>
        <v>0</v>
      </c>
      <c r="AB42" s="27" t="n">
        <f aca="false">SUMIFS(super1[Qtde],super1[Item],tab_alimentos[[#This Row],[Item]],super1[Bairro],mercado17)+SUMIFS(supercb[Qtde],supercb[Item],tab_alimentos[[#This Row],[Item]],supercb[Bairro],mercado17)</f>
        <v>0</v>
      </c>
      <c r="AC42" s="27" t="n">
        <f aca="false">SUMIFS(super1[Qtde],super1[Item],tab_alimentos[[#This Row],[Item]],super1[Bairro],mercado18)+SUMIFS(supercb[Qtde],supercb[Item],tab_alimentos[[#This Row],[Item]],supercb[Bairro],mercado18)</f>
        <v>0</v>
      </c>
      <c r="AD42" s="27" t="n">
        <f aca="false">SUMIFS(super1[Qtde],super1[Item],tab_alimentos[[#This Row],[Item]],super1[Bairro],extras)+SUMIFS(supercb[Qtde],supercb[Item],tab_alimentos[[#This Row],[Item]],supercb[Bairro],extras)</f>
        <v>0</v>
      </c>
      <c r="AE42" s="27" t="n">
        <f aca="false">SUM(L42:AC42)</f>
        <v>1</v>
      </c>
      <c r="AF42" s="27" t="n">
        <f aca="false">IFERROR(AE42*K42,0)</f>
        <v>5.48</v>
      </c>
      <c r="AG42" s="28" t="n">
        <f aca="false">IFERROR(J42*AE42,0)</f>
        <v>1</v>
      </c>
      <c r="AH42" s="26" t="str">
        <f aca="false">higiene[[#This Row],[Item]]</f>
        <v>Condicionador (200mL)</v>
      </c>
      <c r="AI42" s="27" t="n">
        <f aca="false">IFERROR(higiene[[#This Row],[Kg equivalente]],0)</f>
        <v>2.56308670676789</v>
      </c>
      <c r="AJ42" s="27" t="n">
        <f aca="false">IFERROR(higiene[[#This Row],[Preço por produto]],0)</f>
        <v>8.49</v>
      </c>
      <c r="AK42" s="27" t="n">
        <f aca="false">SUMIFS(super1[Qtde],super1[Item],tab_higiene[[#This Row],[Item]],super1[Bairro],mercado1)+SUMIFS(supercb[Qtde],supercb[Item],tab_higiene[[#This Row],[Item]],supercb[Bairro],mercado1)</f>
        <v>0</v>
      </c>
      <c r="AL42" s="27" t="n">
        <f aca="false">SUMIFS(super1[Qtde],super1[Item],tab_higiene[[#This Row],[Item]],super1[Bairro],mercado2)+SUMIFS(supercb[Qtde],supercb[Item],tab_higiene[[#This Row],[Item]],supercb[Bairro],mercado2)</f>
        <v>0</v>
      </c>
      <c r="AM42" s="27" t="n">
        <f aca="false">SUMIFS(super1[Qtde],super1[Item],tab_higiene[[#This Row],[Item]],super1[Bairro],mercado3)+SUMIFS(supercb[Qtde],supercb[Item],tab_higiene[[#This Row],[Item]],supercb[Bairro],mercado3)</f>
        <v>0</v>
      </c>
      <c r="AN42" s="27" t="n">
        <f aca="false">SUMIFS(super1[Qtde],super1[Item],tab_higiene[[#This Row],[Item]],super1[Bairro],mercado4)+SUMIFS(supercb[Qtde],supercb[Item],tab_higiene[[#This Row],[Item]],supercb[Bairro],mercado4)</f>
        <v>0</v>
      </c>
      <c r="AO42" s="27" t="n">
        <f aca="false">SUMIFS(super1[Qtde],super1[Item],tab_higiene[[#This Row],[Item]],super1[Bairro],mercado5)+SUMIFS(supercb[Qtde],supercb[Item],tab_higiene[[#This Row],[Item]],supercb[Bairro],mercado5)</f>
        <v>0</v>
      </c>
      <c r="AP42" s="27" t="n">
        <f aca="false">SUMIFS(super1[Qtde],super1[Item],tab_higiene[[#This Row],[Item]],super1[Bairro],mercado6)+SUMIFS(supercb[Qtde],supercb[Item],tab_higiene[[#This Row],[Item]],supercb[Bairro],mercado6)</f>
        <v>0</v>
      </c>
      <c r="AQ42" s="27" t="n">
        <f aca="false">SUMIFS(super1[Qtde],super1[Item],tab_higiene[[#This Row],[Item]],super1[Bairro],mercado7)+SUMIFS(supercb[Qtde],supercb[Item],tab_higiene[[#This Row],[Item]],supercb[Bairro],mercado7)</f>
        <v>0</v>
      </c>
      <c r="AR42" s="27" t="n">
        <f aca="false">SUMIFS(super1[Qtde],super1[Item],tab_higiene[[#This Row],[Item]],super1[Bairro],mercado8)+SUMIFS(supercb[Qtde],supercb[Item],tab_higiene[[#This Row],[Item]],supercb[Bairro],mercado8)</f>
        <v>0</v>
      </c>
      <c r="AS42" s="27" t="n">
        <f aca="false">SUMIFS(super1[Qtde],super1[Item],tab_higiene[[#This Row],[Item]],super1[Bairro],mercado9)+SUMIFS(supercb[Qtde],supercb[Item],tab_higiene[[#This Row],[Item]],supercb[Bairro],mercado9)</f>
        <v>0</v>
      </c>
      <c r="AT42" s="27" t="n">
        <f aca="false">SUMIFS(super1[Qtde],super1[Item],tab_higiene[[#This Row],[Item]],super1[Bairro],mercado10)+SUMIFS(supercb[Qtde],supercb[Item],tab_higiene[[#This Row],[Item]],supercb[Bairro],mercado10)</f>
        <v>0</v>
      </c>
      <c r="AU42" s="27" t="n">
        <f aca="false">SUMIFS(super1[Qtde],super1[Item],tab_higiene[[#This Row],[Item]],super1[Bairro],mercado11)+SUMIFS(supercb[Qtde],supercb[Item],tab_higiene[[#This Row],[Item]],supercb[Bairro],mercado11)</f>
        <v>0</v>
      </c>
      <c r="AV42" s="27" t="n">
        <f aca="false">SUMIFS(super1[Qtde],super1[Item],tab_higiene[[#This Row],[Item]],super1[Bairro],mercado12)+SUMIFS(supercb[Qtde],supercb[Item],tab_higiene[[#This Row],[Item]],supercb[Bairro],mercado12)</f>
        <v>0</v>
      </c>
      <c r="AW42" s="27" t="n">
        <f aca="false">SUMIFS(super1[Qtde],super1[Item],tab_higiene[[#This Row],[Item]],super1[Bairro],mercado13)+SUMIFS(supercb[Qtde],supercb[Item],tab_higiene[[#This Row],[Item]],supercb[Bairro],mercado13)</f>
        <v>0</v>
      </c>
      <c r="AX42" s="27" t="n">
        <f aca="false">SUMIFS(super1[Qtde],super1[Item],tab_higiene[[#This Row],[Item]],super1[Bairro],mercado14)+SUMIFS(supercb[Qtde],supercb[Item],tab_higiene[[#This Row],[Item]],supercb[Bairro],mercado14)</f>
        <v>0</v>
      </c>
      <c r="AY42" s="27" t="n">
        <f aca="false">SUMIFS(super1[Qtde],super1[Item],tab_higiene[[#This Row],[Item]],super1[Bairro],mercado15)+SUMIFS(supercb[Qtde],supercb[Item],tab_higiene[[#This Row],[Item]],supercb[Bairro],mercado15)</f>
        <v>0</v>
      </c>
      <c r="AZ42" s="27" t="n">
        <f aca="false">SUMIFS(super1[Qtde],super1[Item],tab_higiene[[#This Row],[Item]],super1[Bairro],mercado16)+SUMIFS(supercb[Qtde],supercb[Item],tab_higiene[[#This Row],[Item]],supercb[Bairro],mercado16)</f>
        <v>0</v>
      </c>
      <c r="BA42" s="27" t="n">
        <f aca="false">SUMIFS(super1[Qtde],super1[Item],tab_higiene[[#This Row],[Item]],super1[Bairro],mercado17)+SUMIFS(supercb[Qtde],supercb[Item],tab_higiene[[#This Row],[Item]],supercb[Bairro],mercado17)</f>
        <v>0</v>
      </c>
      <c r="BB42" s="27" t="n">
        <f aca="false">SUMIFS(super1[Qtde],super1[Item],tab_higiene[[#This Row],[Item]],super1[Bairro],mercado18)+SUMIFS(supercb[Qtde],supercb[Item],tab_higiene[[#This Row],[Item]],supercb[Bairro],mercado18)</f>
        <v>0</v>
      </c>
      <c r="BC42" s="27" t="n">
        <f aca="false">SUMIFS(super1[Qtde],super1[Item],tab_higiene[[#This Row],[Item]],super1[Bairro],extras)+SUMIFS(supercb[Qtde],supercb[Item],tab_higiene[[#This Row],[Item]],supercb[Bairro],extras)</f>
        <v>0</v>
      </c>
      <c r="BD42" s="27" t="n">
        <f aca="false">SUM(AK42:BB42)</f>
        <v>0</v>
      </c>
      <c r="BE42" s="27" t="n">
        <f aca="false">IFERROR(BD42*AJ42,0)</f>
        <v>0</v>
      </c>
      <c r="BF42" s="28" t="n">
        <f aca="false">IFERROR(AI42*BD42,0)</f>
        <v>0</v>
      </c>
      <c r="BI42" s="22" t="str">
        <f aca="false">tab_alimentos[[#This Row],[Item]]</f>
        <v>bebida láctea chocolate (1l)</v>
      </c>
      <c r="BJ42" s="22" t="n">
        <f aca="false">IFERROR(FIND(" (",BI42),0)</f>
        <v>24</v>
      </c>
      <c r="BK42" s="22" t="str">
        <f aca="false">IF(BJ42=0,BI42,LEFT(BI42,BJ42-1))</f>
        <v>bebida láctea chocolate</v>
      </c>
      <c r="BL42" s="22" t="n">
        <f aca="false">tab_alimentos[[#This Row],[kg]]</f>
        <v>1</v>
      </c>
      <c r="BM42" s="32" t="s">
        <v>299</v>
      </c>
      <c r="BN42" s="22" t="n">
        <f aca="false">SUMIF($BJ$5:$BJ$158,BM42,$BK$5:$BK$158)</f>
        <v>0</v>
      </c>
      <c r="BP42" s="22" t="str">
        <f aca="false">tab_higiene[[#This Row],[Item]]</f>
        <v>Condicionador (200mL)</v>
      </c>
      <c r="BQ42" s="22" t="n">
        <f aca="false">IFERROR(FIND(" (",BP42),0)</f>
        <v>14</v>
      </c>
      <c r="BR42" s="22" t="str">
        <f aca="false">IF(BQ42=0,BP42,LEFT(BP42,BQ42-1))</f>
        <v>Condicionador</v>
      </c>
      <c r="BS42" s="22" t="n">
        <f aca="false">higiene[[#This Row],[Quantidade]]</f>
        <v>0.75</v>
      </c>
      <c r="BT42" s="22" t="n">
        <f aca="false">tab_higiene[Qtde (tot)]</f>
        <v>0</v>
      </c>
      <c r="BU42" s="22" t="n">
        <f aca="false">BS42*BT42</f>
        <v>0</v>
      </c>
      <c r="BV42" s="32" t="s">
        <v>319</v>
      </c>
      <c r="BW42" s="22" t="n">
        <f aca="false">SUMIF($BR$5:$BR$142,BV42,$BU$5:$BU$142)</f>
        <v>0</v>
      </c>
    </row>
    <row r="43" customFormat="false" ht="15" hidden="false" customHeight="false" outlineLevel="0" collapsed="false">
      <c r="A43" s="31" t="s">
        <v>320</v>
      </c>
      <c r="B43" s="31"/>
      <c r="C43" s="31"/>
      <c r="D43" s="31"/>
      <c r="E43" s="31"/>
      <c r="F43" s="31"/>
      <c r="G43" s="31"/>
      <c r="I43" s="26" t="str">
        <f aca="false">alimentos[[#This Row],[Item]]</f>
        <v>Biscoito de Polvinho</v>
      </c>
      <c r="J43" s="27" t="n">
        <f aca="false">IFERROR(alimentos[[#This Row],[kg/embalagem]],0)</f>
        <v>0.3</v>
      </c>
      <c r="K43" s="27" t="n">
        <f aca="false">IFERROR(alimentos[[#This Row],[Preço]],0)</f>
        <v>3.70666666666667</v>
      </c>
      <c r="L43" s="27" t="n">
        <f aca="false">SUMIFS(super1[Qtde],super1[Item],tab_alimentos[[#This Row],[Item]],super1[Bairro],mercado1)+SUMIFS(supercb[Qtde],supercb[Item],tab_alimentos[[#This Row],[Item]],supercb[Bairro],mercado1)</f>
        <v>0</v>
      </c>
      <c r="M43" s="27" t="n">
        <f aca="false">SUMIFS(super1[Qtde],super1[Item],tab_alimentos[[#This Row],[Item]],super1[Bairro],mercado2)+SUMIFS(supercb[Qtde],supercb[Item],tab_alimentos[[#This Row],[Item]],supercb[Bairro],mercado2)</f>
        <v>0</v>
      </c>
      <c r="N43" s="27" t="n">
        <f aca="false">SUMIFS(super1[Qtde],super1[Item],tab_alimentos[[#This Row],[Item]],super1[Bairro],mercado3)+SUMIFS(supercb[Qtde],supercb[Item],tab_alimentos[[#This Row],[Item]],supercb[Bairro],mercado3)</f>
        <v>0</v>
      </c>
      <c r="O43" s="27" t="n">
        <f aca="false">SUMIFS(super1[Qtde],super1[Item],tab_alimentos[[#This Row],[Item]],super1[Bairro],mercado4)+SUMIFS(supercb[Qtde],supercb[Item],tab_alimentos[[#This Row],[Item]],supercb[Bairro],mercado4)</f>
        <v>0</v>
      </c>
      <c r="P43" s="27" t="n">
        <f aca="false">SUMIFS(super1[Qtde],super1[Item],tab_alimentos[[#This Row],[Item]],super1[Bairro],mercado5)+SUMIFS(supercb[Qtde],supercb[Item],tab_alimentos[[#This Row],[Item]],supercb[Bairro],mercado5)</f>
        <v>0</v>
      </c>
      <c r="Q43" s="27" t="n">
        <f aca="false">SUMIFS(super1[Qtde],super1[Item],tab_alimentos[[#This Row],[Item]],super1[Bairro],mercado6)+SUMIFS(supercb[Qtde],supercb[Item],tab_alimentos[[#This Row],[Item]],supercb[Bairro],mercado6)</f>
        <v>0</v>
      </c>
      <c r="R43" s="27" t="n">
        <f aca="false">SUMIFS(super1[Qtde],super1[Item],tab_alimentos[[#This Row],[Item]],super1[Bairro],mercado7)+SUMIFS(supercb[Qtde],supercb[Item],tab_alimentos[[#This Row],[Item]],supercb[Bairro],mercado7)</f>
        <v>0</v>
      </c>
      <c r="S43" s="27" t="n">
        <f aca="false">SUMIFS(super1[Qtde],super1[Item],tab_alimentos[[#This Row],[Item]],super1[Bairro],mercado8)+SUMIFS(supercb[Qtde],supercb[Item],tab_alimentos[[#This Row],[Item]],supercb[Bairro],mercado8)</f>
        <v>0</v>
      </c>
      <c r="T43" s="27" t="n">
        <f aca="false">SUMIFS(super1[Qtde],super1[Item],tab_alimentos[[#This Row],[Item]],super1[Bairro],mercado9)+SUMIFS(supercb[Qtde],supercb[Item],tab_alimentos[[#This Row],[Item]],supercb[Bairro],mercado9)</f>
        <v>0</v>
      </c>
      <c r="U43" s="27" t="n">
        <f aca="false">SUMIFS(super1[Qtde],super1[Item],tab_alimentos[[#This Row],[Item]],super1[Bairro],mercado10)+SUMIFS(supercb[Qtde],supercb[Item],tab_alimentos[[#This Row],[Item]],supercb[Bairro],mercado10)</f>
        <v>0</v>
      </c>
      <c r="V43" s="27" t="n">
        <f aca="false">SUMIFS(super1[Qtde],super1[Item],tab_alimentos[[#This Row],[Item]],super1[Bairro],mercado11)+SUMIFS(supercb[Qtde],supercb[Item],tab_alimentos[[#This Row],[Item]],supercb[Bairro],mercado11)</f>
        <v>0</v>
      </c>
      <c r="W43" s="27" t="n">
        <f aca="false">SUMIFS(super1[Qtde],super1[Item],tab_alimentos[[#This Row],[Item]],super1[Bairro],mercado12)+SUMIFS(supercb[Qtde],supercb[Item],tab_alimentos[[#This Row],[Item]],supercb[Bairro],mercado12)</f>
        <v>0</v>
      </c>
      <c r="X43" s="27" t="n">
        <f aca="false">SUMIFS(super1[Qtde],super1[Item],tab_alimentos[[#This Row],[Item]],super1[Bairro],mercado13)+SUMIFS(supercb[Qtde],supercb[Item],tab_alimentos[[#This Row],[Item]],supercb[Bairro],mercado13)</f>
        <v>0</v>
      </c>
      <c r="Y43" s="27" t="n">
        <f aca="false">SUMIFS(super1[Qtde],super1[Item],tab_alimentos[[#This Row],[Item]],super1[Bairro],mercado14)+SUMIFS(supercb[Qtde],supercb[Item],tab_alimentos[[#This Row],[Item]],supercb[Bairro],mercado14)</f>
        <v>0</v>
      </c>
      <c r="Z43" s="27" t="n">
        <f aca="false">SUMIFS(super1[Qtde],super1[Item],tab_alimentos[[#This Row],[Item]],super1[Bairro],mercado15)+SUMIFS(supercb[Qtde],supercb[Item],tab_alimentos[[#This Row],[Item]],supercb[Bairro],mercado15)</f>
        <v>0</v>
      </c>
      <c r="AA43" s="27" t="n">
        <f aca="false">SUMIFS(super1[Qtde],super1[Item],tab_alimentos[[#This Row],[Item]],super1[Bairro],mercado16)+SUMIFS(supercb[Qtde],supercb[Item],tab_alimentos[[#This Row],[Item]],supercb[Bairro],mercado16)</f>
        <v>0</v>
      </c>
      <c r="AB43" s="27" t="n">
        <f aca="false">SUMIFS(super1[Qtde],super1[Item],tab_alimentos[[#This Row],[Item]],super1[Bairro],mercado17)+SUMIFS(supercb[Qtde],supercb[Item],tab_alimentos[[#This Row],[Item]],supercb[Bairro],mercado17)</f>
        <v>0</v>
      </c>
      <c r="AC43" s="27" t="n">
        <f aca="false">SUMIFS(super1[Qtde],super1[Item],tab_alimentos[[#This Row],[Item]],super1[Bairro],mercado18)+SUMIFS(supercb[Qtde],supercb[Item],tab_alimentos[[#This Row],[Item]],supercb[Bairro],mercado18)</f>
        <v>0</v>
      </c>
      <c r="AD43" s="27" t="n">
        <f aca="false">SUMIFS(super1[Qtde],super1[Item],tab_alimentos[[#This Row],[Item]],super1[Bairro],extras)+SUMIFS(supercb[Qtde],supercb[Item],tab_alimentos[[#This Row],[Item]],supercb[Bairro],extras)</f>
        <v>0</v>
      </c>
      <c r="AE43" s="27" t="n">
        <f aca="false">SUM(L43:AC43)</f>
        <v>0</v>
      </c>
      <c r="AF43" s="27" t="n">
        <f aca="false">IFERROR(AE43*K43,0)</f>
        <v>0</v>
      </c>
      <c r="AG43" s="28" t="n">
        <f aca="false">IFERROR(J43*AE43,0)</f>
        <v>0</v>
      </c>
      <c r="AH43" s="26" t="str">
        <f aca="false">higiene[[#This Row],[Item]]</f>
        <v>Condicionador (325 mL)</v>
      </c>
      <c r="AI43" s="27" t="n">
        <f aca="false">IFERROR(higiene[[#This Row],[Kg equivalente]],0)</f>
        <v>2.17062348900602</v>
      </c>
      <c r="AJ43" s="27" t="n">
        <f aca="false">IFERROR(higiene[[#This Row],[Preço por produto]],0)</f>
        <v>7.19</v>
      </c>
      <c r="AK43" s="27" t="n">
        <f aca="false">SUMIFS(super1[Qtde],super1[Item],tab_higiene[[#This Row],[Item]],super1[Bairro],mercado1)+SUMIFS(supercb[Qtde],supercb[Item],tab_higiene[[#This Row],[Item]],supercb[Bairro],mercado1)</f>
        <v>0</v>
      </c>
      <c r="AL43" s="27" t="n">
        <f aca="false">SUMIFS(super1[Qtde],super1[Item],tab_higiene[[#This Row],[Item]],super1[Bairro],mercado2)+SUMIFS(supercb[Qtde],supercb[Item],tab_higiene[[#This Row],[Item]],supercb[Bairro],mercado2)</f>
        <v>0</v>
      </c>
      <c r="AM43" s="27" t="n">
        <f aca="false">SUMIFS(super1[Qtde],super1[Item],tab_higiene[[#This Row],[Item]],super1[Bairro],mercado3)+SUMIFS(supercb[Qtde],supercb[Item],tab_higiene[[#This Row],[Item]],supercb[Bairro],mercado3)</f>
        <v>0</v>
      </c>
      <c r="AN43" s="27" t="n">
        <f aca="false">SUMIFS(super1[Qtde],super1[Item],tab_higiene[[#This Row],[Item]],super1[Bairro],mercado4)+SUMIFS(supercb[Qtde],supercb[Item],tab_higiene[[#This Row],[Item]],supercb[Bairro],mercado4)</f>
        <v>0</v>
      </c>
      <c r="AO43" s="27" t="n">
        <f aca="false">SUMIFS(super1[Qtde],super1[Item],tab_higiene[[#This Row],[Item]],super1[Bairro],mercado5)+SUMIFS(supercb[Qtde],supercb[Item],tab_higiene[[#This Row],[Item]],supercb[Bairro],mercado5)</f>
        <v>0</v>
      </c>
      <c r="AP43" s="27" t="n">
        <f aca="false">SUMIFS(super1[Qtde],super1[Item],tab_higiene[[#This Row],[Item]],super1[Bairro],mercado6)+SUMIFS(supercb[Qtde],supercb[Item],tab_higiene[[#This Row],[Item]],supercb[Bairro],mercado6)</f>
        <v>0</v>
      </c>
      <c r="AQ43" s="27" t="n">
        <f aca="false">SUMIFS(super1[Qtde],super1[Item],tab_higiene[[#This Row],[Item]],super1[Bairro],mercado7)+SUMIFS(supercb[Qtde],supercb[Item],tab_higiene[[#This Row],[Item]],supercb[Bairro],mercado7)</f>
        <v>0</v>
      </c>
      <c r="AR43" s="27" t="n">
        <f aca="false">SUMIFS(super1[Qtde],super1[Item],tab_higiene[[#This Row],[Item]],super1[Bairro],mercado8)+SUMIFS(supercb[Qtde],supercb[Item],tab_higiene[[#This Row],[Item]],supercb[Bairro],mercado8)</f>
        <v>0</v>
      </c>
      <c r="AS43" s="27" t="n">
        <f aca="false">SUMIFS(super1[Qtde],super1[Item],tab_higiene[[#This Row],[Item]],super1[Bairro],mercado9)+SUMIFS(supercb[Qtde],supercb[Item],tab_higiene[[#This Row],[Item]],supercb[Bairro],mercado9)</f>
        <v>0</v>
      </c>
      <c r="AT43" s="27" t="n">
        <f aca="false">SUMIFS(super1[Qtde],super1[Item],tab_higiene[[#This Row],[Item]],super1[Bairro],mercado10)+SUMIFS(supercb[Qtde],supercb[Item],tab_higiene[[#This Row],[Item]],supercb[Bairro],mercado10)</f>
        <v>0</v>
      </c>
      <c r="AU43" s="27" t="n">
        <f aca="false">SUMIFS(super1[Qtde],super1[Item],tab_higiene[[#This Row],[Item]],super1[Bairro],mercado11)+SUMIFS(supercb[Qtde],supercb[Item],tab_higiene[[#This Row],[Item]],supercb[Bairro],mercado11)</f>
        <v>0</v>
      </c>
      <c r="AV43" s="27" t="n">
        <f aca="false">SUMIFS(super1[Qtde],super1[Item],tab_higiene[[#This Row],[Item]],super1[Bairro],mercado12)+SUMIFS(supercb[Qtde],supercb[Item],tab_higiene[[#This Row],[Item]],supercb[Bairro],mercado12)</f>
        <v>0</v>
      </c>
      <c r="AW43" s="27" t="n">
        <f aca="false">SUMIFS(super1[Qtde],super1[Item],tab_higiene[[#This Row],[Item]],super1[Bairro],mercado13)+SUMIFS(supercb[Qtde],supercb[Item],tab_higiene[[#This Row],[Item]],supercb[Bairro],mercado13)</f>
        <v>0</v>
      </c>
      <c r="AX43" s="27" t="n">
        <f aca="false">SUMIFS(super1[Qtde],super1[Item],tab_higiene[[#This Row],[Item]],super1[Bairro],mercado14)+SUMIFS(supercb[Qtde],supercb[Item],tab_higiene[[#This Row],[Item]],supercb[Bairro],mercado14)</f>
        <v>0</v>
      </c>
      <c r="AY43" s="27" t="n">
        <f aca="false">SUMIFS(super1[Qtde],super1[Item],tab_higiene[[#This Row],[Item]],super1[Bairro],mercado15)+SUMIFS(supercb[Qtde],supercb[Item],tab_higiene[[#This Row],[Item]],supercb[Bairro],mercado15)</f>
        <v>0</v>
      </c>
      <c r="AZ43" s="27" t="n">
        <f aca="false">SUMIFS(super1[Qtde],super1[Item],tab_higiene[[#This Row],[Item]],super1[Bairro],mercado16)+SUMIFS(supercb[Qtde],supercb[Item],tab_higiene[[#This Row],[Item]],supercb[Bairro],mercado16)</f>
        <v>0</v>
      </c>
      <c r="BA43" s="27" t="n">
        <f aca="false">SUMIFS(super1[Qtde],super1[Item],tab_higiene[[#This Row],[Item]],super1[Bairro],mercado17)+SUMIFS(supercb[Qtde],supercb[Item],tab_higiene[[#This Row],[Item]],supercb[Bairro],mercado17)</f>
        <v>0</v>
      </c>
      <c r="BB43" s="27" t="n">
        <f aca="false">SUMIFS(super1[Qtde],super1[Item],tab_higiene[[#This Row],[Item]],super1[Bairro],mercado18)+SUMIFS(supercb[Qtde],supercb[Item],tab_higiene[[#This Row],[Item]],supercb[Bairro],mercado18)</f>
        <v>0</v>
      </c>
      <c r="BC43" s="27" t="n">
        <f aca="false">SUMIFS(super1[Qtde],super1[Item],tab_higiene[[#This Row],[Item]],super1[Bairro],extras)+SUMIFS(supercb[Qtde],supercb[Item],tab_higiene[[#This Row],[Item]],supercb[Bairro],extras)</f>
        <v>0</v>
      </c>
      <c r="BD43" s="27" t="n">
        <f aca="false">SUM(AK43:BB43)</f>
        <v>0</v>
      </c>
      <c r="BE43" s="27" t="n">
        <f aca="false">IFERROR(BD43*AJ43,0)</f>
        <v>0</v>
      </c>
      <c r="BF43" s="28" t="n">
        <f aca="false">IFERROR(AI43*BD43,0)</f>
        <v>0</v>
      </c>
      <c r="BI43" s="22" t="str">
        <f aca="false">tab_alimentos[[#This Row],[Item]]</f>
        <v>Biscoito de Polvinho</v>
      </c>
      <c r="BJ43" s="22" t="n">
        <f aca="false">IFERROR(FIND(" (",BI43),0)</f>
        <v>0</v>
      </c>
      <c r="BK43" s="22" t="str">
        <f aca="false">IF(BJ43=0,BI43,LEFT(BI43,BJ43-1))</f>
        <v>Biscoito de Polvinho</v>
      </c>
      <c r="BL43" s="22" t="n">
        <f aca="false">tab_alimentos[[#This Row],[kg]]</f>
        <v>0</v>
      </c>
      <c r="BM43" s="32" t="s">
        <v>302</v>
      </c>
      <c r="BN43" s="22" t="n">
        <f aca="false">SUMIF($BJ$5:$BJ$158,BM43,$BK$5:$BK$158)</f>
        <v>0</v>
      </c>
      <c r="BP43" s="22" t="str">
        <f aca="false">tab_higiene[[#This Row],[Item]]</f>
        <v>Condicionador (325 mL)</v>
      </c>
      <c r="BQ43" s="22" t="n">
        <f aca="false">IFERROR(FIND(" (",BP43),0)</f>
        <v>14</v>
      </c>
      <c r="BR43" s="22" t="str">
        <f aca="false">IF(BQ43=0,BP43,LEFT(BP43,BQ43-1))</f>
        <v>Condicionador</v>
      </c>
      <c r="BS43" s="22" t="n">
        <f aca="false">higiene[[#This Row],[Quantidade]]</f>
        <v>0.5</v>
      </c>
      <c r="BT43" s="22" t="n">
        <f aca="false">tab_higiene[Qtde (tot)]</f>
        <v>0</v>
      </c>
      <c r="BU43" s="22" t="n">
        <f aca="false">BS43*BT43</f>
        <v>0</v>
      </c>
      <c r="BV43" s="32" t="s">
        <v>321</v>
      </c>
      <c r="BW43" s="22" t="n">
        <f aca="false">SUMIF($BR$5:$BR$142,BV43,$BU$5:$BU$142)</f>
        <v>0</v>
      </c>
    </row>
    <row r="44" customFormat="false" ht="15" hidden="false" customHeight="false" outlineLevel="0" collapsed="false">
      <c r="A44" s="35" t="n">
        <f aca="false">A32+A35</f>
        <v>6862.35209563913</v>
      </c>
      <c r="B44" s="35"/>
      <c r="C44" s="35"/>
      <c r="D44" s="35"/>
      <c r="E44" s="35"/>
      <c r="F44" s="35"/>
      <c r="G44" s="35"/>
      <c r="I44" s="26" t="str">
        <f aca="false">alimentos[[#This Row],[Item]]</f>
        <v>Bisnaguinha (300g)</v>
      </c>
      <c r="J44" s="27" t="n">
        <f aca="false">IFERROR(alimentos[[#This Row],[kg/embalagem]],0)</f>
        <v>0.3</v>
      </c>
      <c r="K44" s="27" t="n">
        <f aca="false">IFERROR(alimentos[[#This Row],[Preço]],0)</f>
        <v>4</v>
      </c>
      <c r="L44" s="27" t="n">
        <f aca="false">SUMIFS(super1[Qtde],super1[Item],tab_alimentos[[#This Row],[Item]],super1[Bairro],mercado1)+SUMIFS(supercb[Qtde],supercb[Item],tab_alimentos[[#This Row],[Item]],supercb[Bairro],mercado1)</f>
        <v>0</v>
      </c>
      <c r="M44" s="27" t="n">
        <f aca="false">SUMIFS(super1[Qtde],super1[Item],tab_alimentos[[#This Row],[Item]],super1[Bairro],mercado2)+SUMIFS(supercb[Qtde],supercb[Item],tab_alimentos[[#This Row],[Item]],supercb[Bairro],mercado2)</f>
        <v>0</v>
      </c>
      <c r="N44" s="27" t="n">
        <f aca="false">SUMIFS(super1[Qtde],super1[Item],tab_alimentos[[#This Row],[Item]],super1[Bairro],mercado3)+SUMIFS(supercb[Qtde],supercb[Item],tab_alimentos[[#This Row],[Item]],supercb[Bairro],mercado3)</f>
        <v>0</v>
      </c>
      <c r="O44" s="27" t="n">
        <f aca="false">SUMIFS(super1[Qtde],super1[Item],tab_alimentos[[#This Row],[Item]],super1[Bairro],mercado4)+SUMIFS(supercb[Qtde],supercb[Item],tab_alimentos[[#This Row],[Item]],supercb[Bairro],mercado4)</f>
        <v>0</v>
      </c>
      <c r="P44" s="27" t="n">
        <f aca="false">SUMIFS(super1[Qtde],super1[Item],tab_alimentos[[#This Row],[Item]],super1[Bairro],mercado5)+SUMIFS(supercb[Qtde],supercb[Item],tab_alimentos[[#This Row],[Item]],supercb[Bairro],mercado5)</f>
        <v>2</v>
      </c>
      <c r="Q44" s="27" t="n">
        <f aca="false">SUMIFS(super1[Qtde],super1[Item],tab_alimentos[[#This Row],[Item]],super1[Bairro],mercado6)+SUMIFS(supercb[Qtde],supercb[Item],tab_alimentos[[#This Row],[Item]],supercb[Bairro],mercado6)</f>
        <v>0</v>
      </c>
      <c r="R44" s="27" t="n">
        <f aca="false">SUMIFS(super1[Qtde],super1[Item],tab_alimentos[[#This Row],[Item]],super1[Bairro],mercado7)+SUMIFS(supercb[Qtde],supercb[Item],tab_alimentos[[#This Row],[Item]],supercb[Bairro],mercado7)</f>
        <v>0</v>
      </c>
      <c r="S44" s="27" t="n">
        <f aca="false">SUMIFS(super1[Qtde],super1[Item],tab_alimentos[[#This Row],[Item]],super1[Bairro],mercado8)+SUMIFS(supercb[Qtde],supercb[Item],tab_alimentos[[#This Row],[Item]],supercb[Bairro],mercado8)</f>
        <v>0</v>
      </c>
      <c r="T44" s="27" t="n">
        <f aca="false">SUMIFS(super1[Qtde],super1[Item],tab_alimentos[[#This Row],[Item]],super1[Bairro],mercado9)+SUMIFS(supercb[Qtde],supercb[Item],tab_alimentos[[#This Row],[Item]],supercb[Bairro],mercado9)</f>
        <v>0</v>
      </c>
      <c r="U44" s="27" t="n">
        <f aca="false">SUMIFS(super1[Qtde],super1[Item],tab_alimentos[[#This Row],[Item]],super1[Bairro],mercado10)+SUMIFS(supercb[Qtde],supercb[Item],tab_alimentos[[#This Row],[Item]],supercb[Bairro],mercado10)</f>
        <v>0</v>
      </c>
      <c r="V44" s="27" t="n">
        <f aca="false">SUMIFS(super1[Qtde],super1[Item],tab_alimentos[[#This Row],[Item]],super1[Bairro],mercado11)+SUMIFS(supercb[Qtde],supercb[Item],tab_alimentos[[#This Row],[Item]],supercb[Bairro],mercado11)</f>
        <v>0</v>
      </c>
      <c r="W44" s="27" t="n">
        <f aca="false">SUMIFS(super1[Qtde],super1[Item],tab_alimentos[[#This Row],[Item]],super1[Bairro],mercado12)+SUMIFS(supercb[Qtde],supercb[Item],tab_alimentos[[#This Row],[Item]],supercb[Bairro],mercado12)</f>
        <v>0</v>
      </c>
      <c r="X44" s="27" t="n">
        <f aca="false">SUMIFS(super1[Qtde],super1[Item],tab_alimentos[[#This Row],[Item]],super1[Bairro],mercado13)+SUMIFS(supercb[Qtde],supercb[Item],tab_alimentos[[#This Row],[Item]],supercb[Bairro],mercado13)</f>
        <v>0</v>
      </c>
      <c r="Y44" s="27" t="n">
        <f aca="false">SUMIFS(super1[Qtde],super1[Item],tab_alimentos[[#This Row],[Item]],super1[Bairro],mercado14)+SUMIFS(supercb[Qtde],supercb[Item],tab_alimentos[[#This Row],[Item]],supercb[Bairro],mercado14)</f>
        <v>0</v>
      </c>
      <c r="Z44" s="27" t="n">
        <f aca="false">SUMIFS(super1[Qtde],super1[Item],tab_alimentos[[#This Row],[Item]],super1[Bairro],mercado15)+SUMIFS(supercb[Qtde],supercb[Item],tab_alimentos[[#This Row],[Item]],supercb[Bairro],mercado15)</f>
        <v>0</v>
      </c>
      <c r="AA44" s="27" t="n">
        <f aca="false">SUMIFS(super1[Qtde],super1[Item],tab_alimentos[[#This Row],[Item]],super1[Bairro],mercado16)+SUMIFS(supercb[Qtde],supercb[Item],tab_alimentos[[#This Row],[Item]],supercb[Bairro],mercado16)</f>
        <v>0</v>
      </c>
      <c r="AB44" s="27" t="n">
        <f aca="false">SUMIFS(super1[Qtde],super1[Item],tab_alimentos[[#This Row],[Item]],super1[Bairro],mercado17)+SUMIFS(supercb[Qtde],supercb[Item],tab_alimentos[[#This Row],[Item]],supercb[Bairro],mercado17)</f>
        <v>0</v>
      </c>
      <c r="AC44" s="27" t="n">
        <f aca="false">SUMIFS(super1[Qtde],super1[Item],tab_alimentos[[#This Row],[Item]],super1[Bairro],mercado18)+SUMIFS(supercb[Qtde],supercb[Item],tab_alimentos[[#This Row],[Item]],supercb[Bairro],mercado18)</f>
        <v>0</v>
      </c>
      <c r="AD44" s="27" t="n">
        <f aca="false">SUMIFS(super1[Qtde],super1[Item],tab_alimentos[[#This Row],[Item]],super1[Bairro],extras)+SUMIFS(supercb[Qtde],supercb[Item],tab_alimentos[[#This Row],[Item]],supercb[Bairro],extras)</f>
        <v>0</v>
      </c>
      <c r="AE44" s="27" t="n">
        <f aca="false">SUM(L44:AC44)</f>
        <v>2</v>
      </c>
      <c r="AF44" s="27" t="n">
        <f aca="false">IFERROR(AE44*K44,0)</f>
        <v>8</v>
      </c>
      <c r="AG44" s="28" t="n">
        <f aca="false">IFERROR(J44*AE44,0)</f>
        <v>0.6</v>
      </c>
      <c r="AH44" s="26" t="str">
        <f aca="false">higiene[[#This Row],[Item]]</f>
        <v>Condicionador (350 mL)</v>
      </c>
      <c r="AI44" s="27" t="n">
        <f aca="false">IFERROR(higiene[[#This Row],[Kg equivalente]],0)</f>
        <v>2.11024453242727</v>
      </c>
      <c r="AJ44" s="27" t="n">
        <f aca="false">IFERROR(higiene[[#This Row],[Preço por produto]],0)</f>
        <v>6.99</v>
      </c>
      <c r="AK44" s="27" t="n">
        <f aca="false">SUMIFS(super1[Qtde],super1[Item],tab_higiene[[#This Row],[Item]],super1[Bairro],mercado1)+SUMIFS(supercb[Qtde],supercb[Item],tab_higiene[[#This Row],[Item]],supercb[Bairro],mercado1)</f>
        <v>0</v>
      </c>
      <c r="AL44" s="27" t="n">
        <f aca="false">SUMIFS(super1[Qtde],super1[Item],tab_higiene[[#This Row],[Item]],super1[Bairro],mercado2)+SUMIFS(supercb[Qtde],supercb[Item],tab_higiene[[#This Row],[Item]],supercb[Bairro],mercado2)</f>
        <v>0</v>
      </c>
      <c r="AM44" s="27" t="n">
        <f aca="false">SUMIFS(super1[Qtde],super1[Item],tab_higiene[[#This Row],[Item]],super1[Bairro],mercado3)+SUMIFS(supercb[Qtde],supercb[Item],tab_higiene[[#This Row],[Item]],supercb[Bairro],mercado3)</f>
        <v>0</v>
      </c>
      <c r="AN44" s="27" t="n">
        <f aca="false">SUMIFS(super1[Qtde],super1[Item],tab_higiene[[#This Row],[Item]],super1[Bairro],mercado4)+SUMIFS(supercb[Qtde],supercb[Item],tab_higiene[[#This Row],[Item]],supercb[Bairro],mercado4)</f>
        <v>0</v>
      </c>
      <c r="AO44" s="27" t="n">
        <f aca="false">SUMIFS(super1[Qtde],super1[Item],tab_higiene[[#This Row],[Item]],super1[Bairro],mercado5)+SUMIFS(supercb[Qtde],supercb[Item],tab_higiene[[#This Row],[Item]],supercb[Bairro],mercado5)</f>
        <v>0</v>
      </c>
      <c r="AP44" s="27" t="n">
        <f aca="false">SUMIFS(super1[Qtde],super1[Item],tab_higiene[[#This Row],[Item]],super1[Bairro],mercado6)+SUMIFS(supercb[Qtde],supercb[Item],tab_higiene[[#This Row],[Item]],supercb[Bairro],mercado6)</f>
        <v>0</v>
      </c>
      <c r="AQ44" s="27" t="n">
        <f aca="false">SUMIFS(super1[Qtde],super1[Item],tab_higiene[[#This Row],[Item]],super1[Bairro],mercado7)+SUMIFS(supercb[Qtde],supercb[Item],tab_higiene[[#This Row],[Item]],supercb[Bairro],mercado7)</f>
        <v>0</v>
      </c>
      <c r="AR44" s="27" t="n">
        <f aca="false">SUMIFS(super1[Qtde],super1[Item],tab_higiene[[#This Row],[Item]],super1[Bairro],mercado8)+SUMIFS(supercb[Qtde],supercb[Item],tab_higiene[[#This Row],[Item]],supercb[Bairro],mercado8)</f>
        <v>0</v>
      </c>
      <c r="AS44" s="27" t="n">
        <f aca="false">SUMIFS(super1[Qtde],super1[Item],tab_higiene[[#This Row],[Item]],super1[Bairro],mercado9)+SUMIFS(supercb[Qtde],supercb[Item],tab_higiene[[#This Row],[Item]],supercb[Bairro],mercado9)</f>
        <v>0</v>
      </c>
      <c r="AT44" s="27" t="n">
        <f aca="false">SUMIFS(super1[Qtde],super1[Item],tab_higiene[[#This Row],[Item]],super1[Bairro],mercado10)+SUMIFS(supercb[Qtde],supercb[Item],tab_higiene[[#This Row],[Item]],supercb[Bairro],mercado10)</f>
        <v>0</v>
      </c>
      <c r="AU44" s="27" t="n">
        <f aca="false">SUMIFS(super1[Qtde],super1[Item],tab_higiene[[#This Row],[Item]],super1[Bairro],mercado11)+SUMIFS(supercb[Qtde],supercb[Item],tab_higiene[[#This Row],[Item]],supercb[Bairro],mercado11)</f>
        <v>0</v>
      </c>
      <c r="AV44" s="27" t="n">
        <f aca="false">SUMIFS(super1[Qtde],super1[Item],tab_higiene[[#This Row],[Item]],super1[Bairro],mercado12)+SUMIFS(supercb[Qtde],supercb[Item],tab_higiene[[#This Row],[Item]],supercb[Bairro],mercado12)</f>
        <v>0</v>
      </c>
      <c r="AW44" s="27" t="n">
        <f aca="false">SUMIFS(super1[Qtde],super1[Item],tab_higiene[[#This Row],[Item]],super1[Bairro],mercado13)+SUMIFS(supercb[Qtde],supercb[Item],tab_higiene[[#This Row],[Item]],supercb[Bairro],mercado13)</f>
        <v>0</v>
      </c>
      <c r="AX44" s="27" t="n">
        <f aca="false">SUMIFS(super1[Qtde],super1[Item],tab_higiene[[#This Row],[Item]],super1[Bairro],mercado14)+SUMIFS(supercb[Qtde],supercb[Item],tab_higiene[[#This Row],[Item]],supercb[Bairro],mercado14)</f>
        <v>0</v>
      </c>
      <c r="AY44" s="27" t="n">
        <f aca="false">SUMIFS(super1[Qtde],super1[Item],tab_higiene[[#This Row],[Item]],super1[Bairro],mercado15)+SUMIFS(supercb[Qtde],supercb[Item],tab_higiene[[#This Row],[Item]],supercb[Bairro],mercado15)</f>
        <v>0</v>
      </c>
      <c r="AZ44" s="27" t="n">
        <f aca="false">SUMIFS(super1[Qtde],super1[Item],tab_higiene[[#This Row],[Item]],super1[Bairro],mercado16)+SUMIFS(supercb[Qtde],supercb[Item],tab_higiene[[#This Row],[Item]],supercb[Bairro],mercado16)</f>
        <v>0</v>
      </c>
      <c r="BA44" s="27" t="n">
        <f aca="false">SUMIFS(super1[Qtde],super1[Item],tab_higiene[[#This Row],[Item]],super1[Bairro],mercado17)+SUMIFS(supercb[Qtde],supercb[Item],tab_higiene[[#This Row],[Item]],supercb[Bairro],mercado17)</f>
        <v>0</v>
      </c>
      <c r="BB44" s="27" t="n">
        <f aca="false">SUMIFS(super1[Qtde],super1[Item],tab_higiene[[#This Row],[Item]],super1[Bairro],mercado18)+SUMIFS(supercb[Qtde],supercb[Item],tab_higiene[[#This Row],[Item]],supercb[Bairro],mercado18)</f>
        <v>0</v>
      </c>
      <c r="BC44" s="27" t="n">
        <f aca="false">SUMIFS(super1[Qtde],super1[Item],tab_higiene[[#This Row],[Item]],super1[Bairro],extras)+SUMIFS(supercb[Qtde],supercb[Item],tab_higiene[[#This Row],[Item]],supercb[Bairro],extras)</f>
        <v>0</v>
      </c>
      <c r="BD44" s="27" t="n">
        <f aca="false">SUM(AK44:BB44)</f>
        <v>0</v>
      </c>
      <c r="BE44" s="27" t="n">
        <f aca="false">IFERROR(BD44*AJ44,0)</f>
        <v>0</v>
      </c>
      <c r="BF44" s="28" t="n">
        <f aca="false">IFERROR(AI44*BD44,0)</f>
        <v>0</v>
      </c>
      <c r="BI44" s="22" t="str">
        <f aca="false">tab_alimentos[[#This Row],[Item]]</f>
        <v>Bisnaguinha (300g)</v>
      </c>
      <c r="BJ44" s="22" t="n">
        <f aca="false">IFERROR(FIND(" (",BI44),0)</f>
        <v>12</v>
      </c>
      <c r="BK44" s="22" t="str">
        <f aca="false">IF(BJ44=0,BI44,LEFT(BI44,BJ44-1))</f>
        <v>Bisnaguinha</v>
      </c>
      <c r="BL44" s="22" t="n">
        <f aca="false">tab_alimentos[[#This Row],[kg]]</f>
        <v>0.6</v>
      </c>
      <c r="BM44" s="32" t="s">
        <v>304</v>
      </c>
      <c r="BN44" s="22" t="n">
        <f aca="false">SUMIF($BJ$5:$BJ$158,BM44,$BK$5:$BK$158)</f>
        <v>0</v>
      </c>
      <c r="BP44" s="22" t="str">
        <f aca="false">tab_higiene[[#This Row],[Item]]</f>
        <v>Condicionador (350 mL)</v>
      </c>
      <c r="BQ44" s="22" t="n">
        <f aca="false">IFERROR(FIND(" (",BP44),0)</f>
        <v>14</v>
      </c>
      <c r="BR44" s="22" t="str">
        <f aca="false">IF(BQ44=0,BP44,LEFT(BP44,BQ44-1))</f>
        <v>Condicionador</v>
      </c>
      <c r="BS44" s="22" t="n">
        <f aca="false">higiene[[#This Row],[Quantidade]]</f>
        <v>1</v>
      </c>
      <c r="BT44" s="22" t="n">
        <f aca="false">tab_higiene[Qtde (tot)]</f>
        <v>0</v>
      </c>
      <c r="BU44" s="22" t="n">
        <f aca="false">BS44*BT44</f>
        <v>0</v>
      </c>
      <c r="BV44" s="32" t="s">
        <v>322</v>
      </c>
      <c r="BW44" s="22" t="n">
        <f aca="false">SUMIF($BR$5:$BR$142,BV44,$BU$5:$BU$142)</f>
        <v>0</v>
      </c>
    </row>
    <row r="45" customFormat="false" ht="15" hidden="false" customHeight="false" outlineLevel="0" collapsed="false">
      <c r="A45" s="35"/>
      <c r="B45" s="35"/>
      <c r="C45" s="35"/>
      <c r="D45" s="35"/>
      <c r="E45" s="35"/>
      <c r="F45" s="35"/>
      <c r="G45" s="35"/>
      <c r="I45" s="26" t="str">
        <f aca="false">alimentos[[#This Row],[Item]]</f>
        <v>Bolacha (090g)</v>
      </c>
      <c r="J45" s="27" t="n">
        <f aca="false">IFERROR(alimentos[[#This Row],[kg/embalagem]],0)</f>
        <v>0.09</v>
      </c>
      <c r="K45" s="27" t="n">
        <f aca="false">IFERROR(alimentos[[#This Row],[Preço]],0)</f>
        <v>1.81</v>
      </c>
      <c r="L45" s="27" t="n">
        <f aca="false">SUMIFS(super1[Qtde],super1[Item],tab_alimentos[[#This Row],[Item]],super1[Bairro],mercado1)+SUMIFS(supercb[Qtde],supercb[Item],tab_alimentos[[#This Row],[Item]],supercb[Bairro],mercado1)</f>
        <v>0</v>
      </c>
      <c r="M45" s="27" t="n">
        <f aca="false">SUMIFS(super1[Qtde],super1[Item],tab_alimentos[[#This Row],[Item]],super1[Bairro],mercado2)+SUMIFS(supercb[Qtde],supercb[Item],tab_alimentos[[#This Row],[Item]],supercb[Bairro],mercado2)</f>
        <v>0</v>
      </c>
      <c r="N45" s="27" t="n">
        <f aca="false">SUMIFS(super1[Qtde],super1[Item],tab_alimentos[[#This Row],[Item]],super1[Bairro],mercado3)+SUMIFS(supercb[Qtde],supercb[Item],tab_alimentos[[#This Row],[Item]],supercb[Bairro],mercado3)</f>
        <v>0</v>
      </c>
      <c r="O45" s="27" t="n">
        <f aca="false">SUMIFS(super1[Qtde],super1[Item],tab_alimentos[[#This Row],[Item]],super1[Bairro],mercado4)+SUMIFS(supercb[Qtde],supercb[Item],tab_alimentos[[#This Row],[Item]],supercb[Bairro],mercado4)</f>
        <v>0</v>
      </c>
      <c r="P45" s="27" t="n">
        <f aca="false">SUMIFS(super1[Qtde],super1[Item],tab_alimentos[[#This Row],[Item]],super1[Bairro],mercado5)+SUMIFS(supercb[Qtde],supercb[Item],tab_alimentos[[#This Row],[Item]],supercb[Bairro],mercado5)</f>
        <v>0</v>
      </c>
      <c r="Q45" s="27" t="n">
        <f aca="false">SUMIFS(super1[Qtde],super1[Item],tab_alimentos[[#This Row],[Item]],super1[Bairro],mercado6)+SUMIFS(supercb[Qtde],supercb[Item],tab_alimentos[[#This Row],[Item]],supercb[Bairro],mercado6)</f>
        <v>2</v>
      </c>
      <c r="R45" s="27" t="n">
        <f aca="false">SUMIFS(super1[Qtde],super1[Item],tab_alimentos[[#This Row],[Item]],super1[Bairro],mercado7)+SUMIFS(supercb[Qtde],supercb[Item],tab_alimentos[[#This Row],[Item]],supercb[Bairro],mercado7)</f>
        <v>1</v>
      </c>
      <c r="S45" s="27" t="n">
        <f aca="false">SUMIFS(super1[Qtde],super1[Item],tab_alimentos[[#This Row],[Item]],super1[Bairro],mercado8)+SUMIFS(supercb[Qtde],supercb[Item],tab_alimentos[[#This Row],[Item]],supercb[Bairro],mercado8)</f>
        <v>1</v>
      </c>
      <c r="T45" s="27" t="n">
        <f aca="false">SUMIFS(super1[Qtde],super1[Item],tab_alimentos[[#This Row],[Item]],super1[Bairro],mercado9)+SUMIFS(supercb[Qtde],supercb[Item],tab_alimentos[[#This Row],[Item]],supercb[Bairro],mercado9)</f>
        <v>0</v>
      </c>
      <c r="U45" s="27" t="n">
        <f aca="false">SUMIFS(super1[Qtde],super1[Item],tab_alimentos[[#This Row],[Item]],super1[Bairro],mercado10)+SUMIFS(supercb[Qtde],supercb[Item],tab_alimentos[[#This Row],[Item]],supercb[Bairro],mercado10)</f>
        <v>0</v>
      </c>
      <c r="V45" s="27" t="n">
        <f aca="false">SUMIFS(super1[Qtde],super1[Item],tab_alimentos[[#This Row],[Item]],super1[Bairro],mercado11)+SUMIFS(supercb[Qtde],supercb[Item],tab_alimentos[[#This Row],[Item]],supercb[Bairro],mercado11)</f>
        <v>0</v>
      </c>
      <c r="W45" s="27" t="n">
        <f aca="false">SUMIFS(super1[Qtde],super1[Item],tab_alimentos[[#This Row],[Item]],super1[Bairro],mercado12)+SUMIFS(supercb[Qtde],supercb[Item],tab_alimentos[[#This Row],[Item]],supercb[Bairro],mercado12)</f>
        <v>0</v>
      </c>
      <c r="X45" s="27" t="n">
        <f aca="false">SUMIFS(super1[Qtde],super1[Item],tab_alimentos[[#This Row],[Item]],super1[Bairro],mercado13)+SUMIFS(supercb[Qtde],supercb[Item],tab_alimentos[[#This Row],[Item]],supercb[Bairro],mercado13)</f>
        <v>0</v>
      </c>
      <c r="Y45" s="27" t="n">
        <f aca="false">SUMIFS(super1[Qtde],super1[Item],tab_alimentos[[#This Row],[Item]],super1[Bairro],mercado14)+SUMIFS(supercb[Qtde],supercb[Item],tab_alimentos[[#This Row],[Item]],supercb[Bairro],mercado14)</f>
        <v>0</v>
      </c>
      <c r="Z45" s="27" t="n">
        <f aca="false">SUMIFS(super1[Qtde],super1[Item],tab_alimentos[[#This Row],[Item]],super1[Bairro],mercado15)+SUMIFS(supercb[Qtde],supercb[Item],tab_alimentos[[#This Row],[Item]],supercb[Bairro],mercado15)</f>
        <v>0</v>
      </c>
      <c r="AA45" s="27" t="n">
        <f aca="false">SUMIFS(super1[Qtde],super1[Item],tab_alimentos[[#This Row],[Item]],super1[Bairro],mercado16)+SUMIFS(supercb[Qtde],supercb[Item],tab_alimentos[[#This Row],[Item]],supercb[Bairro],mercado16)</f>
        <v>0</v>
      </c>
      <c r="AB45" s="27" t="n">
        <f aca="false">SUMIFS(super1[Qtde],super1[Item],tab_alimentos[[#This Row],[Item]],super1[Bairro],mercado17)+SUMIFS(supercb[Qtde],supercb[Item],tab_alimentos[[#This Row],[Item]],supercb[Bairro],mercado17)</f>
        <v>0</v>
      </c>
      <c r="AC45" s="27" t="n">
        <f aca="false">SUMIFS(super1[Qtde],super1[Item],tab_alimentos[[#This Row],[Item]],super1[Bairro],mercado18)+SUMIFS(supercb[Qtde],supercb[Item],tab_alimentos[[#This Row],[Item]],supercb[Bairro],mercado18)</f>
        <v>0</v>
      </c>
      <c r="AD45" s="27" t="n">
        <f aca="false">SUMIFS(super1[Qtde],super1[Item],tab_alimentos[[#This Row],[Item]],super1[Bairro],extras)+SUMIFS(supercb[Qtde],supercb[Item],tab_alimentos[[#This Row],[Item]],supercb[Bairro],extras)</f>
        <v>0</v>
      </c>
      <c r="AE45" s="27" t="n">
        <f aca="false">SUM(L45:AC45)</f>
        <v>4</v>
      </c>
      <c r="AF45" s="27" t="n">
        <f aca="false">IFERROR(AE45*K45,0)</f>
        <v>7.24</v>
      </c>
      <c r="AG45" s="28" t="n">
        <f aca="false">IFERROR(J45*AE45,0)</f>
        <v>0.36</v>
      </c>
      <c r="AH45" s="26" t="str">
        <f aca="false">higiene[[#This Row],[Item]]</f>
        <v>Condicionador (400mL)</v>
      </c>
      <c r="AI45" s="27" t="n">
        <f aca="false">IFERROR(higiene[[#This Row],[Kg equivalente]],0)</f>
        <v>5.31032923110096</v>
      </c>
      <c r="AJ45" s="27" t="n">
        <f aca="false">IFERROR(higiene[[#This Row],[Preço por produto]],0)</f>
        <v>17.59</v>
      </c>
      <c r="AK45" s="27" t="n">
        <f aca="false">SUMIFS(super1[Qtde],super1[Item],tab_higiene[[#This Row],[Item]],super1[Bairro],mercado1)+SUMIFS(supercb[Qtde],supercb[Item],tab_higiene[[#This Row],[Item]],supercb[Bairro],mercado1)</f>
        <v>0</v>
      </c>
      <c r="AL45" s="27" t="n">
        <f aca="false">SUMIFS(super1[Qtde],super1[Item],tab_higiene[[#This Row],[Item]],super1[Bairro],mercado2)+SUMIFS(supercb[Qtde],supercb[Item],tab_higiene[[#This Row],[Item]],supercb[Bairro],mercado2)</f>
        <v>0</v>
      </c>
      <c r="AM45" s="27" t="n">
        <f aca="false">SUMIFS(super1[Qtde],super1[Item],tab_higiene[[#This Row],[Item]],super1[Bairro],mercado3)+SUMIFS(supercb[Qtde],supercb[Item],tab_higiene[[#This Row],[Item]],supercb[Bairro],mercado3)</f>
        <v>0</v>
      </c>
      <c r="AN45" s="27" t="n">
        <f aca="false">SUMIFS(super1[Qtde],super1[Item],tab_higiene[[#This Row],[Item]],super1[Bairro],mercado4)+SUMIFS(supercb[Qtde],supercb[Item],tab_higiene[[#This Row],[Item]],supercb[Bairro],mercado4)</f>
        <v>0</v>
      </c>
      <c r="AO45" s="27" t="n">
        <f aca="false">SUMIFS(super1[Qtde],super1[Item],tab_higiene[[#This Row],[Item]],super1[Bairro],mercado5)+SUMIFS(supercb[Qtde],supercb[Item],tab_higiene[[#This Row],[Item]],supercb[Bairro],mercado5)</f>
        <v>0</v>
      </c>
      <c r="AP45" s="27" t="n">
        <f aca="false">SUMIFS(super1[Qtde],super1[Item],tab_higiene[[#This Row],[Item]],super1[Bairro],mercado6)+SUMIFS(supercb[Qtde],supercb[Item],tab_higiene[[#This Row],[Item]],supercb[Bairro],mercado6)</f>
        <v>0</v>
      </c>
      <c r="AQ45" s="27" t="n">
        <f aca="false">SUMIFS(super1[Qtde],super1[Item],tab_higiene[[#This Row],[Item]],super1[Bairro],mercado7)+SUMIFS(supercb[Qtde],supercb[Item],tab_higiene[[#This Row],[Item]],supercb[Bairro],mercado7)</f>
        <v>0</v>
      </c>
      <c r="AR45" s="27" t="n">
        <f aca="false">SUMIFS(super1[Qtde],super1[Item],tab_higiene[[#This Row],[Item]],super1[Bairro],mercado8)+SUMIFS(supercb[Qtde],supercb[Item],tab_higiene[[#This Row],[Item]],supercb[Bairro],mercado8)</f>
        <v>0</v>
      </c>
      <c r="AS45" s="27" t="n">
        <f aca="false">SUMIFS(super1[Qtde],super1[Item],tab_higiene[[#This Row],[Item]],super1[Bairro],mercado9)+SUMIFS(supercb[Qtde],supercb[Item],tab_higiene[[#This Row],[Item]],supercb[Bairro],mercado9)</f>
        <v>0</v>
      </c>
      <c r="AT45" s="27" t="n">
        <f aca="false">SUMIFS(super1[Qtde],super1[Item],tab_higiene[[#This Row],[Item]],super1[Bairro],mercado10)+SUMIFS(supercb[Qtde],supercb[Item],tab_higiene[[#This Row],[Item]],supercb[Bairro],mercado10)</f>
        <v>0</v>
      </c>
      <c r="AU45" s="27" t="n">
        <f aca="false">SUMIFS(super1[Qtde],super1[Item],tab_higiene[[#This Row],[Item]],super1[Bairro],mercado11)+SUMIFS(supercb[Qtde],supercb[Item],tab_higiene[[#This Row],[Item]],supercb[Bairro],mercado11)</f>
        <v>0</v>
      </c>
      <c r="AV45" s="27" t="n">
        <f aca="false">SUMIFS(super1[Qtde],super1[Item],tab_higiene[[#This Row],[Item]],super1[Bairro],mercado12)+SUMIFS(supercb[Qtde],supercb[Item],tab_higiene[[#This Row],[Item]],supercb[Bairro],mercado12)</f>
        <v>0</v>
      </c>
      <c r="AW45" s="27" t="n">
        <f aca="false">SUMIFS(super1[Qtde],super1[Item],tab_higiene[[#This Row],[Item]],super1[Bairro],mercado13)+SUMIFS(supercb[Qtde],supercb[Item],tab_higiene[[#This Row],[Item]],supercb[Bairro],mercado13)</f>
        <v>0</v>
      </c>
      <c r="AX45" s="27" t="n">
        <f aca="false">SUMIFS(super1[Qtde],super1[Item],tab_higiene[[#This Row],[Item]],super1[Bairro],mercado14)+SUMIFS(supercb[Qtde],supercb[Item],tab_higiene[[#This Row],[Item]],supercb[Bairro],mercado14)</f>
        <v>0</v>
      </c>
      <c r="AY45" s="27" t="n">
        <f aca="false">SUMIFS(super1[Qtde],super1[Item],tab_higiene[[#This Row],[Item]],super1[Bairro],mercado15)+SUMIFS(supercb[Qtde],supercb[Item],tab_higiene[[#This Row],[Item]],supercb[Bairro],mercado15)</f>
        <v>0</v>
      </c>
      <c r="AZ45" s="27" t="n">
        <f aca="false">SUMIFS(super1[Qtde],super1[Item],tab_higiene[[#This Row],[Item]],super1[Bairro],mercado16)+SUMIFS(supercb[Qtde],supercb[Item],tab_higiene[[#This Row],[Item]],supercb[Bairro],mercado16)</f>
        <v>0</v>
      </c>
      <c r="BA45" s="27" t="n">
        <f aca="false">SUMIFS(super1[Qtde],super1[Item],tab_higiene[[#This Row],[Item]],super1[Bairro],mercado17)+SUMIFS(supercb[Qtde],supercb[Item],tab_higiene[[#This Row],[Item]],supercb[Bairro],mercado17)</f>
        <v>0</v>
      </c>
      <c r="BB45" s="27" t="n">
        <f aca="false">SUMIFS(super1[Qtde],super1[Item],tab_higiene[[#This Row],[Item]],super1[Bairro],mercado18)+SUMIFS(supercb[Qtde],supercb[Item],tab_higiene[[#This Row],[Item]],supercb[Bairro],mercado18)</f>
        <v>0</v>
      </c>
      <c r="BC45" s="27" t="n">
        <f aca="false">SUMIFS(super1[Qtde],super1[Item],tab_higiene[[#This Row],[Item]],super1[Bairro],extras)+SUMIFS(supercb[Qtde],supercb[Item],tab_higiene[[#This Row],[Item]],supercb[Bairro],extras)</f>
        <v>0</v>
      </c>
      <c r="BD45" s="27" t="n">
        <f aca="false">SUM(AK45:BB45)</f>
        <v>0</v>
      </c>
      <c r="BE45" s="27" t="n">
        <f aca="false">IFERROR(BD45*AJ45,0)</f>
        <v>0</v>
      </c>
      <c r="BF45" s="28" t="n">
        <f aca="false">IFERROR(AI45*BD45,0)</f>
        <v>0</v>
      </c>
      <c r="BI45" s="22" t="str">
        <f aca="false">tab_alimentos[[#This Row],[Item]]</f>
        <v>Bolacha (090g)</v>
      </c>
      <c r="BJ45" s="22" t="n">
        <f aca="false">IFERROR(FIND(" (",BI45),0)</f>
        <v>8</v>
      </c>
      <c r="BK45" s="22" t="str">
        <f aca="false">IF(BJ45=0,BI45,LEFT(BI45,BJ45-1))</f>
        <v>Bolacha</v>
      </c>
      <c r="BL45" s="22" t="n">
        <f aca="false">tab_alimentos[[#This Row],[kg]]</f>
        <v>0.36</v>
      </c>
      <c r="BM45" s="32" t="s">
        <v>306</v>
      </c>
      <c r="BN45" s="22" t="n">
        <f aca="false">SUMIF($BJ$5:$BJ$158,BM45,$BK$5:$BK$158)</f>
        <v>0</v>
      </c>
      <c r="BP45" s="22" t="str">
        <f aca="false">tab_higiene[[#This Row],[Item]]</f>
        <v>Condicionador (400mL)</v>
      </c>
      <c r="BQ45" s="22" t="n">
        <f aca="false">IFERROR(FIND(" (",BP45),0)</f>
        <v>14</v>
      </c>
      <c r="BR45" s="22" t="str">
        <f aca="false">IF(BQ45=0,BP45,LEFT(BP45,BQ45-1))</f>
        <v>Condicionador</v>
      </c>
      <c r="BS45" s="22" t="n">
        <f aca="false">higiene[[#This Row],[Quantidade]]</f>
        <v>1</v>
      </c>
      <c r="BT45" s="22" t="n">
        <f aca="false">tab_higiene[Qtde (tot)]</f>
        <v>0</v>
      </c>
      <c r="BU45" s="22" t="n">
        <f aca="false">BS45*BT45</f>
        <v>0</v>
      </c>
      <c r="BV45" s="32" t="s">
        <v>323</v>
      </c>
      <c r="BW45" s="22" t="n">
        <f aca="false">SUMIF($BR$5:$BR$142,BV45,$BU$5:$BU$142)</f>
        <v>0</v>
      </c>
    </row>
    <row r="46" customFormat="false" ht="15" hidden="false" customHeight="false" outlineLevel="0" collapsed="false">
      <c r="I46" s="26" t="str">
        <f aca="false">alimentos[[#This Row],[Item]]</f>
        <v>Bolacha (100g)</v>
      </c>
      <c r="J46" s="27" t="n">
        <f aca="false">IFERROR(alimentos[[#This Row],[kg/embalagem]],0)</f>
        <v>0.1</v>
      </c>
      <c r="K46" s="27" t="n">
        <f aca="false">IFERROR(alimentos[[#This Row],[Preço]],0)</f>
        <v>1.71</v>
      </c>
      <c r="L46" s="27" t="n">
        <f aca="false">SUMIFS(super1[Qtde],super1[Item],tab_alimentos[[#This Row],[Item]],super1[Bairro],mercado1)+SUMIFS(supercb[Qtde],supercb[Item],tab_alimentos[[#This Row],[Item]],supercb[Bairro],mercado1)</f>
        <v>0</v>
      </c>
      <c r="M46" s="27" t="n">
        <f aca="false">SUMIFS(super1[Qtde],super1[Item],tab_alimentos[[#This Row],[Item]],super1[Bairro],mercado2)+SUMIFS(supercb[Qtde],supercb[Item],tab_alimentos[[#This Row],[Item]],supercb[Bairro],mercado2)</f>
        <v>0</v>
      </c>
      <c r="N46" s="27" t="n">
        <f aca="false">SUMIFS(super1[Qtde],super1[Item],tab_alimentos[[#This Row],[Item]],super1[Bairro],mercado3)+SUMIFS(supercb[Qtde],supercb[Item],tab_alimentos[[#This Row],[Item]],supercb[Bairro],mercado3)</f>
        <v>0</v>
      </c>
      <c r="O46" s="27" t="n">
        <f aca="false">SUMIFS(super1[Qtde],super1[Item],tab_alimentos[[#This Row],[Item]],super1[Bairro],mercado4)+SUMIFS(supercb[Qtde],supercb[Item],tab_alimentos[[#This Row],[Item]],supercb[Bairro],mercado4)</f>
        <v>0</v>
      </c>
      <c r="P46" s="27" t="n">
        <f aca="false">SUMIFS(super1[Qtde],super1[Item],tab_alimentos[[#This Row],[Item]],super1[Bairro],mercado5)+SUMIFS(supercb[Qtde],supercb[Item],tab_alimentos[[#This Row],[Item]],supercb[Bairro],mercado5)</f>
        <v>0</v>
      </c>
      <c r="Q46" s="27" t="n">
        <f aca="false">SUMIFS(super1[Qtde],super1[Item],tab_alimentos[[#This Row],[Item]],super1[Bairro],mercado6)+SUMIFS(supercb[Qtde],supercb[Item],tab_alimentos[[#This Row],[Item]],supercb[Bairro],mercado6)</f>
        <v>0</v>
      </c>
      <c r="R46" s="27" t="n">
        <f aca="false">SUMIFS(super1[Qtde],super1[Item],tab_alimentos[[#This Row],[Item]],super1[Bairro],mercado7)+SUMIFS(supercb[Qtde],supercb[Item],tab_alimentos[[#This Row],[Item]],supercb[Bairro],mercado7)</f>
        <v>0</v>
      </c>
      <c r="S46" s="27" t="n">
        <f aca="false">SUMIFS(super1[Qtde],super1[Item],tab_alimentos[[#This Row],[Item]],super1[Bairro],mercado8)+SUMIFS(supercb[Qtde],supercb[Item],tab_alimentos[[#This Row],[Item]],supercb[Bairro],mercado8)</f>
        <v>0</v>
      </c>
      <c r="T46" s="27" t="n">
        <f aca="false">SUMIFS(super1[Qtde],super1[Item],tab_alimentos[[#This Row],[Item]],super1[Bairro],mercado9)+SUMIFS(supercb[Qtde],supercb[Item],tab_alimentos[[#This Row],[Item]],supercb[Bairro],mercado9)</f>
        <v>0</v>
      </c>
      <c r="U46" s="27" t="n">
        <f aca="false">SUMIFS(super1[Qtde],super1[Item],tab_alimentos[[#This Row],[Item]],super1[Bairro],mercado10)+SUMIFS(supercb[Qtde],supercb[Item],tab_alimentos[[#This Row],[Item]],supercb[Bairro],mercado10)</f>
        <v>0</v>
      </c>
      <c r="V46" s="27" t="n">
        <f aca="false">SUMIFS(super1[Qtde],super1[Item],tab_alimentos[[#This Row],[Item]],super1[Bairro],mercado11)+SUMIFS(supercb[Qtde],supercb[Item],tab_alimentos[[#This Row],[Item]],supercb[Bairro],mercado11)</f>
        <v>0</v>
      </c>
      <c r="W46" s="27" t="n">
        <f aca="false">SUMIFS(super1[Qtde],super1[Item],tab_alimentos[[#This Row],[Item]],super1[Bairro],mercado12)+SUMIFS(supercb[Qtde],supercb[Item],tab_alimentos[[#This Row],[Item]],supercb[Bairro],mercado12)</f>
        <v>0</v>
      </c>
      <c r="X46" s="27" t="n">
        <f aca="false">SUMIFS(super1[Qtde],super1[Item],tab_alimentos[[#This Row],[Item]],super1[Bairro],mercado13)+SUMIFS(supercb[Qtde],supercb[Item],tab_alimentos[[#This Row],[Item]],supercb[Bairro],mercado13)</f>
        <v>0</v>
      </c>
      <c r="Y46" s="27" t="n">
        <f aca="false">SUMIFS(super1[Qtde],super1[Item],tab_alimentos[[#This Row],[Item]],super1[Bairro],mercado14)+SUMIFS(supercb[Qtde],supercb[Item],tab_alimentos[[#This Row],[Item]],supercb[Bairro],mercado14)</f>
        <v>0</v>
      </c>
      <c r="Z46" s="27" t="n">
        <f aca="false">SUMIFS(super1[Qtde],super1[Item],tab_alimentos[[#This Row],[Item]],super1[Bairro],mercado15)+SUMIFS(supercb[Qtde],supercb[Item],tab_alimentos[[#This Row],[Item]],supercb[Bairro],mercado15)</f>
        <v>0</v>
      </c>
      <c r="AA46" s="27" t="n">
        <f aca="false">SUMIFS(super1[Qtde],super1[Item],tab_alimentos[[#This Row],[Item]],super1[Bairro],mercado16)+SUMIFS(supercb[Qtde],supercb[Item],tab_alimentos[[#This Row],[Item]],supercb[Bairro],mercado16)</f>
        <v>0</v>
      </c>
      <c r="AB46" s="27" t="n">
        <f aca="false">SUMIFS(super1[Qtde],super1[Item],tab_alimentos[[#This Row],[Item]],super1[Bairro],mercado17)+SUMIFS(supercb[Qtde],supercb[Item],tab_alimentos[[#This Row],[Item]],supercb[Bairro],mercado17)</f>
        <v>0</v>
      </c>
      <c r="AC46" s="27" t="n">
        <f aca="false">SUMIFS(super1[Qtde],super1[Item],tab_alimentos[[#This Row],[Item]],super1[Bairro],mercado18)+SUMIFS(supercb[Qtde],supercb[Item],tab_alimentos[[#This Row],[Item]],supercb[Bairro],mercado18)</f>
        <v>0</v>
      </c>
      <c r="AD46" s="27" t="n">
        <f aca="false">SUMIFS(super1[Qtde],super1[Item],tab_alimentos[[#This Row],[Item]],super1[Bairro],extras)+SUMIFS(supercb[Qtde],supercb[Item],tab_alimentos[[#This Row],[Item]],supercb[Bairro],extras)</f>
        <v>0</v>
      </c>
      <c r="AE46" s="27" t="n">
        <f aca="false">SUM(L46:AC46)</f>
        <v>0</v>
      </c>
      <c r="AF46" s="27" t="n">
        <f aca="false">IFERROR(AE46*K46,0)</f>
        <v>0</v>
      </c>
      <c r="AG46" s="28" t="n">
        <f aca="false">IFERROR(J46*AE46,0)</f>
        <v>0</v>
      </c>
      <c r="AH46" s="26" t="str">
        <f aca="false">higiene[[#This Row],[Item]]</f>
        <v>Cotonete</v>
      </c>
      <c r="AI46" s="27" t="n">
        <f aca="false">IFERROR(higiene[[#This Row],[Kg equivalente]],0)</f>
        <v>0.854362235589296</v>
      </c>
      <c r="AJ46" s="27" t="n">
        <f aca="false">IFERROR(higiene[[#This Row],[Preço por produto]],0)</f>
        <v>2.83</v>
      </c>
      <c r="AK46" s="27" t="n">
        <f aca="false">SUMIFS(super1[Qtde],super1[Item],tab_higiene[[#This Row],[Item]],super1[Bairro],mercado1)+SUMIFS(supercb[Qtde],supercb[Item],tab_higiene[[#This Row],[Item]],supercb[Bairro],mercado1)</f>
        <v>0</v>
      </c>
      <c r="AL46" s="27" t="n">
        <f aca="false">SUMIFS(super1[Qtde],super1[Item],tab_higiene[[#This Row],[Item]],super1[Bairro],mercado2)+SUMIFS(supercb[Qtde],supercb[Item],tab_higiene[[#This Row],[Item]],supercb[Bairro],mercado2)</f>
        <v>1</v>
      </c>
      <c r="AM46" s="27" t="n">
        <f aca="false">SUMIFS(super1[Qtde],super1[Item],tab_higiene[[#This Row],[Item]],super1[Bairro],mercado3)+SUMIFS(supercb[Qtde],supercb[Item],tab_higiene[[#This Row],[Item]],supercb[Bairro],mercado3)</f>
        <v>0</v>
      </c>
      <c r="AN46" s="27" t="n">
        <f aca="false">SUMIFS(super1[Qtde],super1[Item],tab_higiene[[#This Row],[Item]],super1[Bairro],mercado4)+SUMIFS(supercb[Qtde],supercb[Item],tab_higiene[[#This Row],[Item]],supercb[Bairro],mercado4)</f>
        <v>0</v>
      </c>
      <c r="AO46" s="27" t="n">
        <f aca="false">SUMIFS(super1[Qtde],super1[Item],tab_higiene[[#This Row],[Item]],super1[Bairro],mercado5)+SUMIFS(supercb[Qtde],supercb[Item],tab_higiene[[#This Row],[Item]],supercb[Bairro],mercado5)</f>
        <v>0</v>
      </c>
      <c r="AP46" s="27" t="n">
        <f aca="false">SUMIFS(super1[Qtde],super1[Item],tab_higiene[[#This Row],[Item]],super1[Bairro],mercado6)+SUMIFS(supercb[Qtde],supercb[Item],tab_higiene[[#This Row],[Item]],supercb[Bairro],mercado6)</f>
        <v>0</v>
      </c>
      <c r="AQ46" s="27" t="n">
        <f aca="false">SUMIFS(super1[Qtde],super1[Item],tab_higiene[[#This Row],[Item]],super1[Bairro],mercado7)+SUMIFS(supercb[Qtde],supercb[Item],tab_higiene[[#This Row],[Item]],supercb[Bairro],mercado7)</f>
        <v>0</v>
      </c>
      <c r="AR46" s="27" t="n">
        <f aca="false">SUMIFS(super1[Qtde],super1[Item],tab_higiene[[#This Row],[Item]],super1[Bairro],mercado8)+SUMIFS(supercb[Qtde],supercb[Item],tab_higiene[[#This Row],[Item]],supercb[Bairro],mercado8)</f>
        <v>0</v>
      </c>
      <c r="AS46" s="27" t="n">
        <f aca="false">SUMIFS(super1[Qtde],super1[Item],tab_higiene[[#This Row],[Item]],super1[Bairro],mercado9)+SUMIFS(supercb[Qtde],supercb[Item],tab_higiene[[#This Row],[Item]],supercb[Bairro],mercado9)</f>
        <v>0</v>
      </c>
      <c r="AT46" s="27" t="n">
        <f aca="false">SUMIFS(super1[Qtde],super1[Item],tab_higiene[[#This Row],[Item]],super1[Bairro],mercado10)+SUMIFS(supercb[Qtde],supercb[Item],tab_higiene[[#This Row],[Item]],supercb[Bairro],mercado10)</f>
        <v>6</v>
      </c>
      <c r="AU46" s="27" t="n">
        <f aca="false">SUMIFS(super1[Qtde],super1[Item],tab_higiene[[#This Row],[Item]],super1[Bairro],mercado11)+SUMIFS(supercb[Qtde],supercb[Item],tab_higiene[[#This Row],[Item]],supercb[Bairro],mercado11)</f>
        <v>0</v>
      </c>
      <c r="AV46" s="27" t="n">
        <f aca="false">SUMIFS(super1[Qtde],super1[Item],tab_higiene[[#This Row],[Item]],super1[Bairro],mercado12)+SUMIFS(supercb[Qtde],supercb[Item],tab_higiene[[#This Row],[Item]],supercb[Bairro],mercado12)</f>
        <v>0</v>
      </c>
      <c r="AW46" s="27" t="n">
        <f aca="false">SUMIFS(super1[Qtde],super1[Item],tab_higiene[[#This Row],[Item]],super1[Bairro],mercado13)+SUMIFS(supercb[Qtde],supercb[Item],tab_higiene[[#This Row],[Item]],supercb[Bairro],mercado13)</f>
        <v>0</v>
      </c>
      <c r="AX46" s="27" t="n">
        <f aca="false">SUMIFS(super1[Qtde],super1[Item],tab_higiene[[#This Row],[Item]],super1[Bairro],mercado14)+SUMIFS(supercb[Qtde],supercb[Item],tab_higiene[[#This Row],[Item]],supercb[Bairro],mercado14)</f>
        <v>0</v>
      </c>
      <c r="AY46" s="27" t="n">
        <f aca="false">SUMIFS(super1[Qtde],super1[Item],tab_higiene[[#This Row],[Item]],super1[Bairro],mercado15)+SUMIFS(supercb[Qtde],supercb[Item],tab_higiene[[#This Row],[Item]],supercb[Bairro],mercado15)</f>
        <v>0</v>
      </c>
      <c r="AZ46" s="27" t="n">
        <f aca="false">SUMIFS(super1[Qtde],super1[Item],tab_higiene[[#This Row],[Item]],super1[Bairro],mercado16)+SUMIFS(supercb[Qtde],supercb[Item],tab_higiene[[#This Row],[Item]],supercb[Bairro],mercado16)</f>
        <v>0</v>
      </c>
      <c r="BA46" s="27" t="n">
        <f aca="false">SUMIFS(super1[Qtde],super1[Item],tab_higiene[[#This Row],[Item]],super1[Bairro],mercado17)+SUMIFS(supercb[Qtde],supercb[Item],tab_higiene[[#This Row],[Item]],supercb[Bairro],mercado17)</f>
        <v>0</v>
      </c>
      <c r="BB46" s="27" t="n">
        <f aca="false">SUMIFS(super1[Qtde],super1[Item],tab_higiene[[#This Row],[Item]],super1[Bairro],mercado18)+SUMIFS(supercb[Qtde],supercb[Item],tab_higiene[[#This Row],[Item]],supercb[Bairro],mercado18)</f>
        <v>0</v>
      </c>
      <c r="BC46" s="27" t="n">
        <f aca="false">SUMIFS(super1[Qtde],super1[Item],tab_higiene[[#This Row],[Item]],super1[Bairro],extras)+SUMIFS(supercb[Qtde],supercb[Item],tab_higiene[[#This Row],[Item]],supercb[Bairro],extras)</f>
        <v>0</v>
      </c>
      <c r="BD46" s="27" t="n">
        <f aca="false">SUM(AK46:BB46)</f>
        <v>7</v>
      </c>
      <c r="BE46" s="27" t="n">
        <f aca="false">IFERROR(BD46*AJ46,0)</f>
        <v>19.81</v>
      </c>
      <c r="BF46" s="28" t="n">
        <f aca="false">IFERROR(AI46*BD46,0)</f>
        <v>5.98053564912507</v>
      </c>
      <c r="BI46" s="22" t="str">
        <f aca="false">tab_alimentos[[#This Row],[Item]]</f>
        <v>Bolacha (100g)</v>
      </c>
      <c r="BJ46" s="22" t="n">
        <f aca="false">IFERROR(FIND(" (",BI46),0)</f>
        <v>8</v>
      </c>
      <c r="BK46" s="22" t="str">
        <f aca="false">IF(BJ46=0,BI46,LEFT(BI46,BJ46-1))</f>
        <v>Bolacha</v>
      </c>
      <c r="BL46" s="22" t="n">
        <f aca="false">tab_alimentos[[#This Row],[kg]]</f>
        <v>0</v>
      </c>
      <c r="BM46" s="32" t="s">
        <v>324</v>
      </c>
      <c r="BN46" s="22" t="n">
        <f aca="false">SUMIF($BJ$5:$BJ$158,BM46,$BK$5:$BK$158)</f>
        <v>0</v>
      </c>
      <c r="BP46" s="22" t="str">
        <f aca="false">tab_higiene[[#This Row],[Item]]</f>
        <v>Cotonete</v>
      </c>
      <c r="BQ46" s="22" t="n">
        <f aca="false">IFERROR(FIND(" (",BP46),0)</f>
        <v>0</v>
      </c>
      <c r="BR46" s="22" t="str">
        <f aca="false">IF(BQ46=0,BP46,LEFT(BP46,BQ46-1))</f>
        <v>Cotonete</v>
      </c>
      <c r="BS46" s="22" t="n">
        <f aca="false">higiene[[#This Row],[Quantidade]]</f>
        <v>1</v>
      </c>
      <c r="BT46" s="22" t="n">
        <f aca="false">tab_higiene[Qtde (tot)]</f>
        <v>7</v>
      </c>
      <c r="BU46" s="22" t="n">
        <f aca="false">BS46*BT46</f>
        <v>7</v>
      </c>
      <c r="BV46" s="32" t="s">
        <v>325</v>
      </c>
      <c r="BW46" s="22" t="n">
        <f aca="false">SUMIF($BR$5:$BR$142,BV46,$BU$5:$BU$142)</f>
        <v>0</v>
      </c>
    </row>
    <row r="47" customFormat="false" ht="15" hidden="false" customHeight="false" outlineLevel="0" collapsed="false">
      <c r="I47" s="26" t="str">
        <f aca="false">alimentos[[#This Row],[Item]]</f>
        <v>Bolacha (110g)</v>
      </c>
      <c r="J47" s="27" t="n">
        <f aca="false">IFERROR(alimentos[[#This Row],[kg/embalagem]],0)</f>
        <v>0.11</v>
      </c>
      <c r="K47" s="27" t="n">
        <f aca="false">IFERROR(alimentos[[#This Row],[Preço]],0)</f>
        <v>2.10333333333333</v>
      </c>
      <c r="L47" s="27" t="n">
        <f aca="false">SUMIFS(super1[Qtde],super1[Item],tab_alimentos[[#This Row],[Item]],super1[Bairro],mercado1)+SUMIFS(supercb[Qtde],supercb[Item],tab_alimentos[[#This Row],[Item]],supercb[Bairro],mercado1)</f>
        <v>1</v>
      </c>
      <c r="M47" s="27" t="n">
        <f aca="false">SUMIFS(super1[Qtde],super1[Item],tab_alimentos[[#This Row],[Item]],super1[Bairro],mercado2)+SUMIFS(supercb[Qtde],supercb[Item],tab_alimentos[[#This Row],[Item]],supercb[Bairro],mercado2)</f>
        <v>0</v>
      </c>
      <c r="N47" s="27" t="n">
        <f aca="false">SUMIFS(super1[Qtde],super1[Item],tab_alimentos[[#This Row],[Item]],super1[Bairro],mercado3)+SUMIFS(supercb[Qtde],supercb[Item],tab_alimentos[[#This Row],[Item]],supercb[Bairro],mercado3)</f>
        <v>0</v>
      </c>
      <c r="O47" s="27" t="n">
        <f aca="false">SUMIFS(super1[Qtde],super1[Item],tab_alimentos[[#This Row],[Item]],super1[Bairro],mercado4)+SUMIFS(supercb[Qtde],supercb[Item],tab_alimentos[[#This Row],[Item]],supercb[Bairro],mercado4)</f>
        <v>10</v>
      </c>
      <c r="P47" s="27" t="n">
        <f aca="false">SUMIFS(super1[Qtde],super1[Item],tab_alimentos[[#This Row],[Item]],super1[Bairro],mercado5)+SUMIFS(supercb[Qtde],supercb[Item],tab_alimentos[[#This Row],[Item]],supercb[Bairro],mercado5)</f>
        <v>0</v>
      </c>
      <c r="Q47" s="27" t="n">
        <f aca="false">SUMIFS(super1[Qtde],super1[Item],tab_alimentos[[#This Row],[Item]],super1[Bairro],mercado6)+SUMIFS(supercb[Qtde],supercb[Item],tab_alimentos[[#This Row],[Item]],supercb[Bairro],mercado6)</f>
        <v>0</v>
      </c>
      <c r="R47" s="27" t="n">
        <f aca="false">SUMIFS(super1[Qtde],super1[Item],tab_alimentos[[#This Row],[Item]],super1[Bairro],mercado7)+SUMIFS(supercb[Qtde],supercb[Item],tab_alimentos[[#This Row],[Item]],supercb[Bairro],mercado7)</f>
        <v>0</v>
      </c>
      <c r="S47" s="27" t="n">
        <f aca="false">SUMIFS(super1[Qtde],super1[Item],tab_alimentos[[#This Row],[Item]],super1[Bairro],mercado8)+SUMIFS(supercb[Qtde],supercb[Item],tab_alimentos[[#This Row],[Item]],supercb[Bairro],mercado8)</f>
        <v>6</v>
      </c>
      <c r="T47" s="27" t="n">
        <f aca="false">SUMIFS(super1[Qtde],super1[Item],tab_alimentos[[#This Row],[Item]],super1[Bairro],mercado9)+SUMIFS(supercb[Qtde],supercb[Item],tab_alimentos[[#This Row],[Item]],supercb[Bairro],mercado9)</f>
        <v>0</v>
      </c>
      <c r="U47" s="27" t="n">
        <f aca="false">SUMIFS(super1[Qtde],super1[Item],tab_alimentos[[#This Row],[Item]],super1[Bairro],mercado10)+SUMIFS(supercb[Qtde],supercb[Item],tab_alimentos[[#This Row],[Item]],supercb[Bairro],mercado10)</f>
        <v>0</v>
      </c>
      <c r="V47" s="27" t="n">
        <f aca="false">SUMIFS(super1[Qtde],super1[Item],tab_alimentos[[#This Row],[Item]],super1[Bairro],mercado11)+SUMIFS(supercb[Qtde],supercb[Item],tab_alimentos[[#This Row],[Item]],supercb[Bairro],mercado11)</f>
        <v>0</v>
      </c>
      <c r="W47" s="27" t="n">
        <f aca="false">SUMIFS(super1[Qtde],super1[Item],tab_alimentos[[#This Row],[Item]],super1[Bairro],mercado12)+SUMIFS(supercb[Qtde],supercb[Item],tab_alimentos[[#This Row],[Item]],supercb[Bairro],mercado12)</f>
        <v>0</v>
      </c>
      <c r="X47" s="27" t="n">
        <f aca="false">SUMIFS(super1[Qtde],super1[Item],tab_alimentos[[#This Row],[Item]],super1[Bairro],mercado13)+SUMIFS(supercb[Qtde],supercb[Item],tab_alimentos[[#This Row],[Item]],supercb[Bairro],mercado13)</f>
        <v>4</v>
      </c>
      <c r="Y47" s="27" t="n">
        <f aca="false">SUMIFS(super1[Qtde],super1[Item],tab_alimentos[[#This Row],[Item]],super1[Bairro],mercado14)+SUMIFS(supercb[Qtde],supercb[Item],tab_alimentos[[#This Row],[Item]],supercb[Bairro],mercado14)</f>
        <v>0</v>
      </c>
      <c r="Z47" s="27" t="n">
        <f aca="false">SUMIFS(super1[Qtde],super1[Item],tab_alimentos[[#This Row],[Item]],super1[Bairro],mercado15)+SUMIFS(supercb[Qtde],supercb[Item],tab_alimentos[[#This Row],[Item]],supercb[Bairro],mercado15)</f>
        <v>0</v>
      </c>
      <c r="AA47" s="27" t="n">
        <f aca="false">SUMIFS(super1[Qtde],super1[Item],tab_alimentos[[#This Row],[Item]],super1[Bairro],mercado16)+SUMIFS(supercb[Qtde],supercb[Item],tab_alimentos[[#This Row],[Item]],supercb[Bairro],mercado16)</f>
        <v>0</v>
      </c>
      <c r="AB47" s="27" t="n">
        <f aca="false">SUMIFS(super1[Qtde],super1[Item],tab_alimentos[[#This Row],[Item]],super1[Bairro],mercado17)+SUMIFS(supercb[Qtde],supercb[Item],tab_alimentos[[#This Row],[Item]],supercb[Bairro],mercado17)</f>
        <v>0</v>
      </c>
      <c r="AC47" s="27" t="n">
        <f aca="false">SUMIFS(super1[Qtde],super1[Item],tab_alimentos[[#This Row],[Item]],super1[Bairro],mercado18)+SUMIFS(supercb[Qtde],supercb[Item],tab_alimentos[[#This Row],[Item]],supercb[Bairro],mercado18)</f>
        <v>0</v>
      </c>
      <c r="AD47" s="27" t="n">
        <f aca="false">SUMIFS(super1[Qtde],super1[Item],tab_alimentos[[#This Row],[Item]],super1[Bairro],extras)+SUMIFS(supercb[Qtde],supercb[Item],tab_alimentos[[#This Row],[Item]],supercb[Bairro],extras)</f>
        <v>0</v>
      </c>
      <c r="AE47" s="27" t="n">
        <f aca="false">SUM(L47:AC47)</f>
        <v>21</v>
      </c>
      <c r="AF47" s="27" t="n">
        <f aca="false">IFERROR(AE47*K47,0)</f>
        <v>44.17</v>
      </c>
      <c r="AG47" s="28" t="n">
        <f aca="false">IFERROR(J47*AE47,0)</f>
        <v>2.31</v>
      </c>
      <c r="AH47" s="26" t="str">
        <f aca="false">higiene[[#This Row],[Item]]</f>
        <v>Creme de barbear</v>
      </c>
      <c r="AI47" s="27" t="n">
        <f aca="false">IFERROR(higiene[[#This Row],[Kg equivalente]],0)</f>
        <v>2.24368202646631</v>
      </c>
      <c r="AJ47" s="27" t="n">
        <f aca="false">IFERROR(higiene[[#This Row],[Preço por produto]],0)</f>
        <v>7.432</v>
      </c>
      <c r="AK47" s="27" t="n">
        <f aca="false">SUMIFS(super1[Qtde],super1[Item],tab_higiene[[#This Row],[Item]],super1[Bairro],mercado1)+SUMIFS(supercb[Qtde],supercb[Item],tab_higiene[[#This Row],[Item]],supercb[Bairro],mercado1)</f>
        <v>0</v>
      </c>
      <c r="AL47" s="27" t="n">
        <f aca="false">SUMIFS(super1[Qtde],super1[Item],tab_higiene[[#This Row],[Item]],super1[Bairro],mercado2)+SUMIFS(supercb[Qtde],supercb[Item],tab_higiene[[#This Row],[Item]],supercb[Bairro],mercado2)</f>
        <v>0</v>
      </c>
      <c r="AM47" s="27" t="n">
        <f aca="false">SUMIFS(super1[Qtde],super1[Item],tab_higiene[[#This Row],[Item]],super1[Bairro],mercado3)+SUMIFS(supercb[Qtde],supercb[Item],tab_higiene[[#This Row],[Item]],supercb[Bairro],mercado3)</f>
        <v>0</v>
      </c>
      <c r="AN47" s="27" t="n">
        <f aca="false">SUMIFS(super1[Qtde],super1[Item],tab_higiene[[#This Row],[Item]],super1[Bairro],mercado4)+SUMIFS(supercb[Qtde],supercb[Item],tab_higiene[[#This Row],[Item]],supercb[Bairro],mercado4)</f>
        <v>0</v>
      </c>
      <c r="AO47" s="27" t="n">
        <f aca="false">SUMIFS(super1[Qtde],super1[Item],tab_higiene[[#This Row],[Item]],super1[Bairro],mercado5)+SUMIFS(supercb[Qtde],supercb[Item],tab_higiene[[#This Row],[Item]],supercb[Bairro],mercado5)</f>
        <v>0</v>
      </c>
      <c r="AP47" s="27" t="n">
        <f aca="false">SUMIFS(super1[Qtde],super1[Item],tab_higiene[[#This Row],[Item]],super1[Bairro],mercado6)+SUMIFS(supercb[Qtde],supercb[Item],tab_higiene[[#This Row],[Item]],supercb[Bairro],mercado6)</f>
        <v>0</v>
      </c>
      <c r="AQ47" s="27" t="n">
        <f aca="false">SUMIFS(super1[Qtde],super1[Item],tab_higiene[[#This Row],[Item]],super1[Bairro],mercado7)+SUMIFS(supercb[Qtde],supercb[Item],tab_higiene[[#This Row],[Item]],supercb[Bairro],mercado7)</f>
        <v>0</v>
      </c>
      <c r="AR47" s="27" t="n">
        <f aca="false">SUMIFS(super1[Qtde],super1[Item],tab_higiene[[#This Row],[Item]],super1[Bairro],mercado8)+SUMIFS(supercb[Qtde],supercb[Item],tab_higiene[[#This Row],[Item]],supercb[Bairro],mercado8)</f>
        <v>0</v>
      </c>
      <c r="AS47" s="27" t="n">
        <f aca="false">SUMIFS(super1[Qtde],super1[Item],tab_higiene[[#This Row],[Item]],super1[Bairro],mercado9)+SUMIFS(supercb[Qtde],supercb[Item],tab_higiene[[#This Row],[Item]],supercb[Bairro],mercado9)</f>
        <v>0</v>
      </c>
      <c r="AT47" s="27" t="n">
        <f aca="false">SUMIFS(super1[Qtde],super1[Item],tab_higiene[[#This Row],[Item]],super1[Bairro],mercado10)+SUMIFS(supercb[Qtde],supercb[Item],tab_higiene[[#This Row],[Item]],supercb[Bairro],mercado10)</f>
        <v>0</v>
      </c>
      <c r="AU47" s="27" t="n">
        <f aca="false">SUMIFS(super1[Qtde],super1[Item],tab_higiene[[#This Row],[Item]],super1[Bairro],mercado11)+SUMIFS(supercb[Qtde],supercb[Item],tab_higiene[[#This Row],[Item]],supercb[Bairro],mercado11)</f>
        <v>0</v>
      </c>
      <c r="AV47" s="27" t="n">
        <f aca="false">SUMIFS(super1[Qtde],super1[Item],tab_higiene[[#This Row],[Item]],super1[Bairro],mercado12)+SUMIFS(supercb[Qtde],supercb[Item],tab_higiene[[#This Row],[Item]],supercb[Bairro],mercado12)</f>
        <v>0</v>
      </c>
      <c r="AW47" s="27" t="n">
        <f aca="false">SUMIFS(super1[Qtde],super1[Item],tab_higiene[[#This Row],[Item]],super1[Bairro],mercado13)+SUMIFS(supercb[Qtde],supercb[Item],tab_higiene[[#This Row],[Item]],supercb[Bairro],mercado13)</f>
        <v>0</v>
      </c>
      <c r="AX47" s="27" t="n">
        <f aca="false">SUMIFS(super1[Qtde],super1[Item],tab_higiene[[#This Row],[Item]],super1[Bairro],mercado14)+SUMIFS(supercb[Qtde],supercb[Item],tab_higiene[[#This Row],[Item]],supercb[Bairro],mercado14)</f>
        <v>0</v>
      </c>
      <c r="AY47" s="27" t="n">
        <f aca="false">SUMIFS(super1[Qtde],super1[Item],tab_higiene[[#This Row],[Item]],super1[Bairro],mercado15)+SUMIFS(supercb[Qtde],supercb[Item],tab_higiene[[#This Row],[Item]],supercb[Bairro],mercado15)</f>
        <v>0</v>
      </c>
      <c r="AZ47" s="27" t="n">
        <f aca="false">SUMIFS(super1[Qtde],super1[Item],tab_higiene[[#This Row],[Item]],super1[Bairro],mercado16)+SUMIFS(supercb[Qtde],supercb[Item],tab_higiene[[#This Row],[Item]],supercb[Bairro],mercado16)</f>
        <v>0</v>
      </c>
      <c r="BA47" s="27" t="n">
        <f aca="false">SUMIFS(super1[Qtde],super1[Item],tab_higiene[[#This Row],[Item]],super1[Bairro],mercado17)+SUMIFS(supercb[Qtde],supercb[Item],tab_higiene[[#This Row],[Item]],supercb[Bairro],mercado17)</f>
        <v>0</v>
      </c>
      <c r="BB47" s="27" t="n">
        <f aca="false">SUMIFS(super1[Qtde],super1[Item],tab_higiene[[#This Row],[Item]],super1[Bairro],mercado18)+SUMIFS(supercb[Qtde],supercb[Item],tab_higiene[[#This Row],[Item]],supercb[Bairro],mercado18)</f>
        <v>0</v>
      </c>
      <c r="BC47" s="27" t="n">
        <f aca="false">SUMIFS(super1[Qtde],super1[Item],tab_higiene[[#This Row],[Item]],super1[Bairro],extras)+SUMIFS(supercb[Qtde],supercb[Item],tab_higiene[[#This Row],[Item]],supercb[Bairro],extras)</f>
        <v>0</v>
      </c>
      <c r="BD47" s="27" t="n">
        <f aca="false">SUM(AK47:BB47)</f>
        <v>0</v>
      </c>
      <c r="BE47" s="27" t="n">
        <f aca="false">IFERROR(BD47*AJ47,0)</f>
        <v>0</v>
      </c>
      <c r="BF47" s="28" t="n">
        <f aca="false">IFERROR(AI47*BD47,0)</f>
        <v>0</v>
      </c>
      <c r="BI47" s="22" t="str">
        <f aca="false">tab_alimentos[[#This Row],[Item]]</f>
        <v>Bolacha (110g)</v>
      </c>
      <c r="BJ47" s="22" t="n">
        <f aca="false">IFERROR(FIND(" (",BI47),0)</f>
        <v>8</v>
      </c>
      <c r="BK47" s="22" t="str">
        <f aca="false">IF(BJ47=0,BI47,LEFT(BI47,BJ47-1))</f>
        <v>Bolacha</v>
      </c>
      <c r="BL47" s="22" t="n">
        <f aca="false">tab_alimentos[[#This Row],[kg]]</f>
        <v>2.31</v>
      </c>
      <c r="BM47" s="32" t="s">
        <v>85</v>
      </c>
      <c r="BN47" s="22" t="n">
        <f aca="false">SUMIF($BJ$5:$BJ$158,BM47,$BK$5:$BK$158)</f>
        <v>0</v>
      </c>
      <c r="BP47" s="22" t="str">
        <f aca="false">tab_higiene[[#This Row],[Item]]</f>
        <v>Creme de barbear</v>
      </c>
      <c r="BQ47" s="22" t="n">
        <f aca="false">IFERROR(FIND(" (",BP47),0)</f>
        <v>0</v>
      </c>
      <c r="BR47" s="22" t="str">
        <f aca="false">IF(BQ47=0,BP47,LEFT(BP47,BQ47-1))</f>
        <v>Creme de barbear</v>
      </c>
      <c r="BS47" s="22" t="n">
        <f aca="false">higiene[[#This Row],[Quantidade]]</f>
        <v>6</v>
      </c>
      <c r="BT47" s="22" t="n">
        <f aca="false">tab_higiene[Qtde (tot)]</f>
        <v>0</v>
      </c>
      <c r="BU47" s="22" t="n">
        <f aca="false">BS47*BT47</f>
        <v>0</v>
      </c>
      <c r="BV47" s="32" t="s">
        <v>326</v>
      </c>
      <c r="BW47" s="22" t="n">
        <f aca="false">SUMIF($BR$5:$BR$142,BV47,$BU$5:$BU$142)</f>
        <v>0</v>
      </c>
    </row>
    <row r="48" customFormat="false" ht="15" hidden="false" customHeight="false" outlineLevel="0" collapsed="false">
      <c r="I48" s="26" t="str">
        <f aca="false">alimentos[[#This Row],[Item]]</f>
        <v>Bolacha (115g)</v>
      </c>
      <c r="J48" s="27" t="n">
        <f aca="false">IFERROR(alimentos[[#This Row],[kg/embalagem]],0)</f>
        <v>0.115</v>
      </c>
      <c r="K48" s="27" t="n">
        <f aca="false">IFERROR(alimentos[[#This Row],[Preço]],0)</f>
        <v>1.93</v>
      </c>
      <c r="L48" s="27" t="n">
        <f aca="false">SUMIFS(super1[Qtde],super1[Item],tab_alimentos[[#This Row],[Item]],super1[Bairro],mercado1)+SUMIFS(supercb[Qtde],supercb[Item],tab_alimentos[[#This Row],[Item]],supercb[Bairro],mercado1)</f>
        <v>0</v>
      </c>
      <c r="M48" s="27" t="n">
        <f aca="false">SUMIFS(super1[Qtde],super1[Item],tab_alimentos[[#This Row],[Item]],super1[Bairro],mercado2)+SUMIFS(supercb[Qtde],supercb[Item],tab_alimentos[[#This Row],[Item]],supercb[Bairro],mercado2)</f>
        <v>0</v>
      </c>
      <c r="N48" s="27" t="n">
        <f aca="false">SUMIFS(super1[Qtde],super1[Item],tab_alimentos[[#This Row],[Item]],super1[Bairro],mercado3)+SUMIFS(supercb[Qtde],supercb[Item],tab_alimentos[[#This Row],[Item]],supercb[Bairro],mercado3)</f>
        <v>0</v>
      </c>
      <c r="O48" s="27" t="n">
        <f aca="false">SUMIFS(super1[Qtde],super1[Item],tab_alimentos[[#This Row],[Item]],super1[Bairro],mercado4)+SUMIFS(supercb[Qtde],supercb[Item],tab_alimentos[[#This Row],[Item]],supercb[Bairro],mercado4)</f>
        <v>0</v>
      </c>
      <c r="P48" s="27" t="n">
        <f aca="false">SUMIFS(super1[Qtde],super1[Item],tab_alimentos[[#This Row],[Item]],super1[Bairro],mercado5)+SUMIFS(supercb[Qtde],supercb[Item],tab_alimentos[[#This Row],[Item]],supercb[Bairro],mercado5)</f>
        <v>0</v>
      </c>
      <c r="Q48" s="27" t="n">
        <f aca="false">SUMIFS(super1[Qtde],super1[Item],tab_alimentos[[#This Row],[Item]],super1[Bairro],mercado6)+SUMIFS(supercb[Qtde],supercb[Item],tab_alimentos[[#This Row],[Item]],supercb[Bairro],mercado6)</f>
        <v>0</v>
      </c>
      <c r="R48" s="27" t="n">
        <f aca="false">SUMIFS(super1[Qtde],super1[Item],tab_alimentos[[#This Row],[Item]],super1[Bairro],mercado7)+SUMIFS(supercb[Qtde],supercb[Item],tab_alimentos[[#This Row],[Item]],supercb[Bairro],mercado7)</f>
        <v>0</v>
      </c>
      <c r="S48" s="27" t="n">
        <f aca="false">SUMIFS(super1[Qtde],super1[Item],tab_alimentos[[#This Row],[Item]],super1[Bairro],mercado8)+SUMIFS(supercb[Qtde],supercb[Item],tab_alimentos[[#This Row],[Item]],supercb[Bairro],mercado8)</f>
        <v>0</v>
      </c>
      <c r="T48" s="27" t="n">
        <f aca="false">SUMIFS(super1[Qtde],super1[Item],tab_alimentos[[#This Row],[Item]],super1[Bairro],mercado9)+SUMIFS(supercb[Qtde],supercb[Item],tab_alimentos[[#This Row],[Item]],supercb[Bairro],mercado9)</f>
        <v>0</v>
      </c>
      <c r="U48" s="27" t="n">
        <f aca="false">SUMIFS(super1[Qtde],super1[Item],tab_alimentos[[#This Row],[Item]],super1[Bairro],mercado10)+SUMIFS(supercb[Qtde],supercb[Item],tab_alimentos[[#This Row],[Item]],supercb[Bairro],mercado10)</f>
        <v>0</v>
      </c>
      <c r="V48" s="27" t="n">
        <f aca="false">SUMIFS(super1[Qtde],super1[Item],tab_alimentos[[#This Row],[Item]],super1[Bairro],mercado11)+SUMIFS(supercb[Qtde],supercb[Item],tab_alimentos[[#This Row],[Item]],supercb[Bairro],mercado11)</f>
        <v>0</v>
      </c>
      <c r="W48" s="27" t="n">
        <f aca="false">SUMIFS(super1[Qtde],super1[Item],tab_alimentos[[#This Row],[Item]],super1[Bairro],mercado12)+SUMIFS(supercb[Qtde],supercb[Item],tab_alimentos[[#This Row],[Item]],supercb[Bairro],mercado12)</f>
        <v>0</v>
      </c>
      <c r="X48" s="27" t="n">
        <f aca="false">SUMIFS(super1[Qtde],super1[Item],tab_alimentos[[#This Row],[Item]],super1[Bairro],mercado13)+SUMIFS(supercb[Qtde],supercb[Item],tab_alimentos[[#This Row],[Item]],supercb[Bairro],mercado13)</f>
        <v>0</v>
      </c>
      <c r="Y48" s="27" t="n">
        <f aca="false">SUMIFS(super1[Qtde],super1[Item],tab_alimentos[[#This Row],[Item]],super1[Bairro],mercado14)+SUMIFS(supercb[Qtde],supercb[Item],tab_alimentos[[#This Row],[Item]],supercb[Bairro],mercado14)</f>
        <v>0</v>
      </c>
      <c r="Z48" s="27" t="n">
        <f aca="false">SUMIFS(super1[Qtde],super1[Item],tab_alimentos[[#This Row],[Item]],super1[Bairro],mercado15)+SUMIFS(supercb[Qtde],supercb[Item],tab_alimentos[[#This Row],[Item]],supercb[Bairro],mercado15)</f>
        <v>0</v>
      </c>
      <c r="AA48" s="27" t="n">
        <f aca="false">SUMIFS(super1[Qtde],super1[Item],tab_alimentos[[#This Row],[Item]],super1[Bairro],mercado16)+SUMIFS(supercb[Qtde],supercb[Item],tab_alimentos[[#This Row],[Item]],supercb[Bairro],mercado16)</f>
        <v>0</v>
      </c>
      <c r="AB48" s="27" t="n">
        <f aca="false">SUMIFS(super1[Qtde],super1[Item],tab_alimentos[[#This Row],[Item]],super1[Bairro],mercado17)+SUMIFS(supercb[Qtde],supercb[Item],tab_alimentos[[#This Row],[Item]],supercb[Bairro],mercado17)</f>
        <v>0</v>
      </c>
      <c r="AC48" s="27" t="n">
        <f aca="false">SUMIFS(super1[Qtde],super1[Item],tab_alimentos[[#This Row],[Item]],super1[Bairro],mercado18)+SUMIFS(supercb[Qtde],supercb[Item],tab_alimentos[[#This Row],[Item]],supercb[Bairro],mercado18)</f>
        <v>0</v>
      </c>
      <c r="AD48" s="27" t="n">
        <f aca="false">SUMIFS(super1[Qtde],super1[Item],tab_alimentos[[#This Row],[Item]],super1[Bairro],extras)+SUMIFS(supercb[Qtde],supercb[Item],tab_alimentos[[#This Row],[Item]],supercb[Bairro],extras)</f>
        <v>0</v>
      </c>
      <c r="AE48" s="27" t="n">
        <f aca="false">SUM(L48:AC48)</f>
        <v>0</v>
      </c>
      <c r="AF48" s="27" t="n">
        <f aca="false">IFERROR(AE48*K48,0)</f>
        <v>0</v>
      </c>
      <c r="AG48" s="28" t="n">
        <f aca="false">IFERROR(J48*AE48,0)</f>
        <v>0</v>
      </c>
      <c r="AH48" s="26" t="str">
        <f aca="false">higiene[[#This Row],[Item]]</f>
        <v>D</v>
      </c>
      <c r="AI48" s="27" t="n">
        <f aca="false">IFERROR(higiene[[#This Row],[Kg equivalente]],0)</f>
        <v>0</v>
      </c>
      <c r="AJ48" s="27" t="n">
        <f aca="false">IFERROR(higiene[[#This Row],[Preço por produto]],0)</f>
        <v>0</v>
      </c>
      <c r="AK48" s="27" t="n">
        <f aca="false">SUMIFS(super1[Qtde],super1[Item],tab_higiene[[#This Row],[Item]],super1[Bairro],mercado1)+SUMIFS(supercb[Qtde],supercb[Item],tab_higiene[[#This Row],[Item]],supercb[Bairro],mercado1)</f>
        <v>0</v>
      </c>
      <c r="AL48" s="27" t="n">
        <f aca="false">SUMIFS(super1[Qtde],super1[Item],tab_higiene[[#This Row],[Item]],super1[Bairro],mercado2)+SUMIFS(supercb[Qtde],supercb[Item],tab_higiene[[#This Row],[Item]],supercb[Bairro],mercado2)</f>
        <v>0</v>
      </c>
      <c r="AM48" s="27" t="n">
        <f aca="false">SUMIFS(super1[Qtde],super1[Item],tab_higiene[[#This Row],[Item]],super1[Bairro],mercado3)+SUMIFS(supercb[Qtde],supercb[Item],tab_higiene[[#This Row],[Item]],supercb[Bairro],mercado3)</f>
        <v>0</v>
      </c>
      <c r="AN48" s="27" t="n">
        <f aca="false">SUMIFS(super1[Qtde],super1[Item],tab_higiene[[#This Row],[Item]],super1[Bairro],mercado4)+SUMIFS(supercb[Qtde],supercb[Item],tab_higiene[[#This Row],[Item]],supercb[Bairro],mercado4)</f>
        <v>0</v>
      </c>
      <c r="AO48" s="27" t="n">
        <f aca="false">SUMIFS(super1[Qtde],super1[Item],tab_higiene[[#This Row],[Item]],super1[Bairro],mercado5)+SUMIFS(supercb[Qtde],supercb[Item],tab_higiene[[#This Row],[Item]],supercb[Bairro],mercado5)</f>
        <v>0</v>
      </c>
      <c r="AP48" s="27" t="n">
        <f aca="false">SUMIFS(super1[Qtde],super1[Item],tab_higiene[[#This Row],[Item]],super1[Bairro],mercado6)+SUMIFS(supercb[Qtde],supercb[Item],tab_higiene[[#This Row],[Item]],supercb[Bairro],mercado6)</f>
        <v>0</v>
      </c>
      <c r="AQ48" s="27" t="n">
        <f aca="false">SUMIFS(super1[Qtde],super1[Item],tab_higiene[[#This Row],[Item]],super1[Bairro],mercado7)+SUMIFS(supercb[Qtde],supercb[Item],tab_higiene[[#This Row],[Item]],supercb[Bairro],mercado7)</f>
        <v>0</v>
      </c>
      <c r="AR48" s="27" t="n">
        <f aca="false">SUMIFS(super1[Qtde],super1[Item],tab_higiene[[#This Row],[Item]],super1[Bairro],mercado8)+SUMIFS(supercb[Qtde],supercb[Item],tab_higiene[[#This Row],[Item]],supercb[Bairro],mercado8)</f>
        <v>0</v>
      </c>
      <c r="AS48" s="27" t="n">
        <f aca="false">SUMIFS(super1[Qtde],super1[Item],tab_higiene[[#This Row],[Item]],super1[Bairro],mercado9)+SUMIFS(supercb[Qtde],supercb[Item],tab_higiene[[#This Row],[Item]],supercb[Bairro],mercado9)</f>
        <v>0</v>
      </c>
      <c r="AT48" s="27" t="n">
        <f aca="false">SUMIFS(super1[Qtde],super1[Item],tab_higiene[[#This Row],[Item]],super1[Bairro],mercado10)+SUMIFS(supercb[Qtde],supercb[Item],tab_higiene[[#This Row],[Item]],supercb[Bairro],mercado10)</f>
        <v>0</v>
      </c>
      <c r="AU48" s="27" t="n">
        <f aca="false">SUMIFS(super1[Qtde],super1[Item],tab_higiene[[#This Row],[Item]],super1[Bairro],mercado11)+SUMIFS(supercb[Qtde],supercb[Item],tab_higiene[[#This Row],[Item]],supercb[Bairro],mercado11)</f>
        <v>0</v>
      </c>
      <c r="AV48" s="27" t="n">
        <f aca="false">SUMIFS(super1[Qtde],super1[Item],tab_higiene[[#This Row],[Item]],super1[Bairro],mercado12)+SUMIFS(supercb[Qtde],supercb[Item],tab_higiene[[#This Row],[Item]],supercb[Bairro],mercado12)</f>
        <v>0</v>
      </c>
      <c r="AW48" s="27" t="n">
        <f aca="false">SUMIFS(super1[Qtde],super1[Item],tab_higiene[[#This Row],[Item]],super1[Bairro],mercado13)+SUMIFS(supercb[Qtde],supercb[Item],tab_higiene[[#This Row],[Item]],supercb[Bairro],mercado13)</f>
        <v>0</v>
      </c>
      <c r="AX48" s="27" t="n">
        <f aca="false">SUMIFS(super1[Qtde],super1[Item],tab_higiene[[#This Row],[Item]],super1[Bairro],mercado14)+SUMIFS(supercb[Qtde],supercb[Item],tab_higiene[[#This Row],[Item]],supercb[Bairro],mercado14)</f>
        <v>0</v>
      </c>
      <c r="AY48" s="27" t="n">
        <f aca="false">SUMIFS(super1[Qtde],super1[Item],tab_higiene[[#This Row],[Item]],super1[Bairro],mercado15)+SUMIFS(supercb[Qtde],supercb[Item],tab_higiene[[#This Row],[Item]],supercb[Bairro],mercado15)</f>
        <v>0</v>
      </c>
      <c r="AZ48" s="27" t="n">
        <f aca="false">SUMIFS(super1[Qtde],super1[Item],tab_higiene[[#This Row],[Item]],super1[Bairro],mercado16)+SUMIFS(supercb[Qtde],supercb[Item],tab_higiene[[#This Row],[Item]],supercb[Bairro],mercado16)</f>
        <v>0</v>
      </c>
      <c r="BA48" s="27" t="n">
        <f aca="false">SUMIFS(super1[Qtde],super1[Item],tab_higiene[[#This Row],[Item]],super1[Bairro],mercado17)+SUMIFS(supercb[Qtde],supercb[Item],tab_higiene[[#This Row],[Item]],supercb[Bairro],mercado17)</f>
        <v>0</v>
      </c>
      <c r="BB48" s="27" t="n">
        <f aca="false">SUMIFS(super1[Qtde],super1[Item],tab_higiene[[#This Row],[Item]],super1[Bairro],mercado18)+SUMIFS(supercb[Qtde],supercb[Item],tab_higiene[[#This Row],[Item]],supercb[Bairro],mercado18)</f>
        <v>0</v>
      </c>
      <c r="BC48" s="27" t="n">
        <f aca="false">SUMIFS(super1[Qtde],super1[Item],tab_higiene[[#This Row],[Item]],super1[Bairro],extras)+SUMIFS(supercb[Qtde],supercb[Item],tab_higiene[[#This Row],[Item]],supercb[Bairro],extras)</f>
        <v>0</v>
      </c>
      <c r="BD48" s="27" t="n">
        <f aca="false">SUM(AK48:BB48)</f>
        <v>0</v>
      </c>
      <c r="BE48" s="27" t="n">
        <f aca="false">IFERROR(BD48*AJ48,0)</f>
        <v>0</v>
      </c>
      <c r="BF48" s="28" t="n">
        <f aca="false">IFERROR(AI48*BD48,0)</f>
        <v>0</v>
      </c>
      <c r="BI48" s="22" t="str">
        <f aca="false">tab_alimentos[[#This Row],[Item]]</f>
        <v>Bolacha (115g)</v>
      </c>
      <c r="BJ48" s="22" t="n">
        <f aca="false">IFERROR(FIND(" (",BI48),0)</f>
        <v>8</v>
      </c>
      <c r="BK48" s="22" t="str">
        <f aca="false">IF(BJ48=0,BI48,LEFT(BI48,BJ48-1))</f>
        <v>Bolacha</v>
      </c>
      <c r="BL48" s="22" t="n">
        <f aca="false">tab_alimentos[[#This Row],[kg]]</f>
        <v>0</v>
      </c>
      <c r="BM48" s="32" t="s">
        <v>327</v>
      </c>
      <c r="BN48" s="22" t="n">
        <f aca="false">SUMIF($BJ$5:$BJ$158,BM48,$BK$5:$BK$158)</f>
        <v>0</v>
      </c>
      <c r="BP48" s="22" t="str">
        <f aca="false">tab_higiene[[#This Row],[Item]]</f>
        <v>D</v>
      </c>
      <c r="BQ48" s="22" t="n">
        <f aca="false">IFERROR(FIND(" (",BP48),0)</f>
        <v>0</v>
      </c>
      <c r="BR48" s="22" t="str">
        <f aca="false">IF(BQ48=0,BP48,LEFT(BP48,BQ48-1))</f>
        <v>D</v>
      </c>
      <c r="BS48" s="22" t="n">
        <f aca="false">higiene[[#This Row],[Quantidade]]</f>
        <v>0</v>
      </c>
      <c r="BT48" s="22" t="n">
        <f aca="false">tab_higiene[Qtde (tot)]</f>
        <v>0</v>
      </c>
      <c r="BU48" s="22" t="n">
        <f aca="false">BS48*BT48</f>
        <v>0</v>
      </c>
      <c r="BV48" s="32" t="s">
        <v>328</v>
      </c>
      <c r="BW48" s="22" t="n">
        <f aca="false">SUMIF($BR$5:$BR$142,BV48,$BU$5:$BU$142)</f>
        <v>0</v>
      </c>
    </row>
    <row r="49" customFormat="false" ht="15" hidden="false" customHeight="false" outlineLevel="0" collapsed="false">
      <c r="I49" s="26" t="str">
        <f aca="false">alimentos[[#This Row],[Item]]</f>
        <v>Bolacha (120g)</v>
      </c>
      <c r="J49" s="27" t="n">
        <f aca="false">IFERROR(alimentos[[#This Row],[kg/embalagem]],0)</f>
        <v>0.12</v>
      </c>
      <c r="K49" s="27" t="n">
        <f aca="false">IFERROR(alimentos[[#This Row],[Preço]],0)</f>
        <v>1.946</v>
      </c>
      <c r="L49" s="27" t="n">
        <f aca="false">SUMIFS(super1[Qtde],super1[Item],tab_alimentos[[#This Row],[Item]],super1[Bairro],mercado1)+SUMIFS(supercb[Qtde],supercb[Item],tab_alimentos[[#This Row],[Item]],supercb[Bairro],mercado1)</f>
        <v>1</v>
      </c>
      <c r="M49" s="27" t="n">
        <f aca="false">SUMIFS(super1[Qtde],super1[Item],tab_alimentos[[#This Row],[Item]],super1[Bairro],mercado2)+SUMIFS(supercb[Qtde],supercb[Item],tab_alimentos[[#This Row],[Item]],supercb[Bairro],mercado2)</f>
        <v>0</v>
      </c>
      <c r="N49" s="27" t="n">
        <f aca="false">SUMIFS(super1[Qtde],super1[Item],tab_alimentos[[#This Row],[Item]],super1[Bairro],mercado3)+SUMIFS(supercb[Qtde],supercb[Item],tab_alimentos[[#This Row],[Item]],supercb[Bairro],mercado3)</f>
        <v>0</v>
      </c>
      <c r="O49" s="27" t="n">
        <f aca="false">SUMIFS(super1[Qtde],super1[Item],tab_alimentos[[#This Row],[Item]],super1[Bairro],mercado4)+SUMIFS(supercb[Qtde],supercb[Item],tab_alimentos[[#This Row],[Item]],supercb[Bairro],mercado4)</f>
        <v>1</v>
      </c>
      <c r="P49" s="27" t="n">
        <f aca="false">SUMIFS(super1[Qtde],super1[Item],tab_alimentos[[#This Row],[Item]],super1[Bairro],mercado5)+SUMIFS(supercb[Qtde],supercb[Item],tab_alimentos[[#This Row],[Item]],supercb[Bairro],mercado5)</f>
        <v>0</v>
      </c>
      <c r="Q49" s="27" t="n">
        <f aca="false">SUMIFS(super1[Qtde],super1[Item],tab_alimentos[[#This Row],[Item]],super1[Bairro],mercado6)+SUMIFS(supercb[Qtde],supercb[Item],tab_alimentos[[#This Row],[Item]],supercb[Bairro],mercado6)</f>
        <v>0</v>
      </c>
      <c r="R49" s="27" t="n">
        <f aca="false">SUMIFS(super1[Qtde],super1[Item],tab_alimentos[[#This Row],[Item]],super1[Bairro],mercado7)+SUMIFS(supercb[Qtde],supercb[Item],tab_alimentos[[#This Row],[Item]],supercb[Bairro],mercado7)</f>
        <v>2</v>
      </c>
      <c r="S49" s="27" t="n">
        <f aca="false">SUMIFS(super1[Qtde],super1[Item],tab_alimentos[[#This Row],[Item]],super1[Bairro],mercado8)+SUMIFS(supercb[Qtde],supercb[Item],tab_alimentos[[#This Row],[Item]],supercb[Bairro],mercado8)</f>
        <v>0</v>
      </c>
      <c r="T49" s="27" t="n">
        <f aca="false">SUMIFS(super1[Qtde],super1[Item],tab_alimentos[[#This Row],[Item]],super1[Bairro],mercado9)+SUMIFS(supercb[Qtde],supercb[Item],tab_alimentos[[#This Row],[Item]],supercb[Bairro],mercado9)</f>
        <v>0</v>
      </c>
      <c r="U49" s="27" t="n">
        <f aca="false">SUMIFS(super1[Qtde],super1[Item],tab_alimentos[[#This Row],[Item]],super1[Bairro],mercado10)+SUMIFS(supercb[Qtde],supercb[Item],tab_alimentos[[#This Row],[Item]],supercb[Bairro],mercado10)</f>
        <v>1</v>
      </c>
      <c r="V49" s="27" t="n">
        <f aca="false">SUMIFS(super1[Qtde],super1[Item],tab_alimentos[[#This Row],[Item]],super1[Bairro],mercado11)+SUMIFS(supercb[Qtde],supercb[Item],tab_alimentos[[#This Row],[Item]],supercb[Bairro],mercado11)</f>
        <v>0</v>
      </c>
      <c r="W49" s="27" t="n">
        <f aca="false">SUMIFS(super1[Qtde],super1[Item],tab_alimentos[[#This Row],[Item]],super1[Bairro],mercado12)+SUMIFS(supercb[Qtde],supercb[Item],tab_alimentos[[#This Row],[Item]],supercb[Bairro],mercado12)</f>
        <v>0</v>
      </c>
      <c r="X49" s="27" t="n">
        <f aca="false">SUMIFS(super1[Qtde],super1[Item],tab_alimentos[[#This Row],[Item]],super1[Bairro],mercado13)+SUMIFS(supercb[Qtde],supercb[Item],tab_alimentos[[#This Row],[Item]],supercb[Bairro],mercado13)</f>
        <v>0</v>
      </c>
      <c r="Y49" s="27" t="n">
        <f aca="false">SUMIFS(super1[Qtde],super1[Item],tab_alimentos[[#This Row],[Item]],super1[Bairro],mercado14)+SUMIFS(supercb[Qtde],supercb[Item],tab_alimentos[[#This Row],[Item]],supercb[Bairro],mercado14)</f>
        <v>0</v>
      </c>
      <c r="Z49" s="27" t="n">
        <f aca="false">SUMIFS(super1[Qtde],super1[Item],tab_alimentos[[#This Row],[Item]],super1[Bairro],mercado15)+SUMIFS(supercb[Qtde],supercb[Item],tab_alimentos[[#This Row],[Item]],supercb[Bairro],mercado15)</f>
        <v>0</v>
      </c>
      <c r="AA49" s="27" t="n">
        <f aca="false">SUMIFS(super1[Qtde],super1[Item],tab_alimentos[[#This Row],[Item]],super1[Bairro],mercado16)+SUMIFS(supercb[Qtde],supercb[Item],tab_alimentos[[#This Row],[Item]],supercb[Bairro],mercado16)</f>
        <v>0</v>
      </c>
      <c r="AB49" s="27" t="n">
        <f aca="false">SUMIFS(super1[Qtde],super1[Item],tab_alimentos[[#This Row],[Item]],super1[Bairro],mercado17)+SUMIFS(supercb[Qtde],supercb[Item],tab_alimentos[[#This Row],[Item]],supercb[Bairro],mercado17)</f>
        <v>0</v>
      </c>
      <c r="AC49" s="27" t="n">
        <f aca="false">SUMIFS(super1[Qtde],super1[Item],tab_alimentos[[#This Row],[Item]],super1[Bairro],mercado18)+SUMIFS(supercb[Qtde],supercb[Item],tab_alimentos[[#This Row],[Item]],supercb[Bairro],mercado18)</f>
        <v>0</v>
      </c>
      <c r="AD49" s="27" t="n">
        <f aca="false">SUMIFS(super1[Qtde],super1[Item],tab_alimentos[[#This Row],[Item]],super1[Bairro],extras)+SUMIFS(supercb[Qtde],supercb[Item],tab_alimentos[[#This Row],[Item]],supercb[Bairro],extras)</f>
        <v>0</v>
      </c>
      <c r="AE49" s="27" t="n">
        <f aca="false">SUM(L49:AC49)</f>
        <v>5</v>
      </c>
      <c r="AF49" s="27" t="n">
        <f aca="false">IFERROR(AE49*K49,0)</f>
        <v>9.73</v>
      </c>
      <c r="AG49" s="28" t="n">
        <f aca="false">IFERROR(J49*AE49,0)</f>
        <v>0.6</v>
      </c>
      <c r="AH49" s="26" t="str">
        <f aca="false">higiene[[#This Row],[Item]]</f>
        <v>Desengordurante (500ml)</v>
      </c>
      <c r="AI49" s="27" t="n">
        <f aca="false">IFERROR(higiene[[#This Row],[Kg equivalente]],0)</f>
        <v>1.74797079295478</v>
      </c>
      <c r="AJ49" s="27" t="n">
        <f aca="false">IFERROR(higiene[[#This Row],[Preço por produto]],0)</f>
        <v>5.79</v>
      </c>
      <c r="AK49" s="27" t="n">
        <f aca="false">SUMIFS(super1[Qtde],super1[Item],tab_higiene[[#This Row],[Item]],super1[Bairro],mercado1)+SUMIFS(supercb[Qtde],supercb[Item],tab_higiene[[#This Row],[Item]],supercb[Bairro],mercado1)</f>
        <v>0</v>
      </c>
      <c r="AL49" s="27" t="n">
        <f aca="false">SUMIFS(super1[Qtde],super1[Item],tab_higiene[[#This Row],[Item]],super1[Bairro],mercado2)+SUMIFS(supercb[Qtde],supercb[Item],tab_higiene[[#This Row],[Item]],supercb[Bairro],mercado2)</f>
        <v>0</v>
      </c>
      <c r="AM49" s="27" t="n">
        <f aca="false">SUMIFS(super1[Qtde],super1[Item],tab_higiene[[#This Row],[Item]],super1[Bairro],mercado3)+SUMIFS(supercb[Qtde],supercb[Item],tab_higiene[[#This Row],[Item]],supercb[Bairro],mercado3)</f>
        <v>0</v>
      </c>
      <c r="AN49" s="27" t="n">
        <f aca="false">SUMIFS(super1[Qtde],super1[Item],tab_higiene[[#This Row],[Item]],super1[Bairro],mercado4)+SUMIFS(supercb[Qtde],supercb[Item],tab_higiene[[#This Row],[Item]],supercb[Bairro],mercado4)</f>
        <v>0</v>
      </c>
      <c r="AO49" s="27" t="n">
        <f aca="false">SUMIFS(super1[Qtde],super1[Item],tab_higiene[[#This Row],[Item]],super1[Bairro],mercado5)+SUMIFS(supercb[Qtde],supercb[Item],tab_higiene[[#This Row],[Item]],supercb[Bairro],mercado5)</f>
        <v>1</v>
      </c>
      <c r="AP49" s="27" t="n">
        <f aca="false">SUMIFS(super1[Qtde],super1[Item],tab_higiene[[#This Row],[Item]],super1[Bairro],mercado6)+SUMIFS(supercb[Qtde],supercb[Item],tab_higiene[[#This Row],[Item]],supercb[Bairro],mercado6)</f>
        <v>0</v>
      </c>
      <c r="AQ49" s="27" t="n">
        <f aca="false">SUMIFS(super1[Qtde],super1[Item],tab_higiene[[#This Row],[Item]],super1[Bairro],mercado7)+SUMIFS(supercb[Qtde],supercb[Item],tab_higiene[[#This Row],[Item]],supercb[Bairro],mercado7)</f>
        <v>0</v>
      </c>
      <c r="AR49" s="27" t="n">
        <f aca="false">SUMIFS(super1[Qtde],super1[Item],tab_higiene[[#This Row],[Item]],super1[Bairro],mercado8)+SUMIFS(supercb[Qtde],supercb[Item],tab_higiene[[#This Row],[Item]],supercb[Bairro],mercado8)</f>
        <v>0</v>
      </c>
      <c r="AS49" s="27" t="n">
        <f aca="false">SUMIFS(super1[Qtde],super1[Item],tab_higiene[[#This Row],[Item]],super1[Bairro],mercado9)+SUMIFS(supercb[Qtde],supercb[Item],tab_higiene[[#This Row],[Item]],supercb[Bairro],mercado9)</f>
        <v>0</v>
      </c>
      <c r="AT49" s="27" t="n">
        <f aca="false">SUMIFS(super1[Qtde],super1[Item],tab_higiene[[#This Row],[Item]],super1[Bairro],mercado10)+SUMIFS(supercb[Qtde],supercb[Item],tab_higiene[[#This Row],[Item]],supercb[Bairro],mercado10)</f>
        <v>0</v>
      </c>
      <c r="AU49" s="27" t="n">
        <f aca="false">SUMIFS(super1[Qtde],super1[Item],tab_higiene[[#This Row],[Item]],super1[Bairro],mercado11)+SUMIFS(supercb[Qtde],supercb[Item],tab_higiene[[#This Row],[Item]],supercb[Bairro],mercado11)</f>
        <v>0</v>
      </c>
      <c r="AV49" s="27" t="n">
        <f aca="false">SUMIFS(super1[Qtde],super1[Item],tab_higiene[[#This Row],[Item]],super1[Bairro],mercado12)+SUMIFS(supercb[Qtde],supercb[Item],tab_higiene[[#This Row],[Item]],supercb[Bairro],mercado12)</f>
        <v>0</v>
      </c>
      <c r="AW49" s="27" t="n">
        <f aca="false">SUMIFS(super1[Qtde],super1[Item],tab_higiene[[#This Row],[Item]],super1[Bairro],mercado13)+SUMIFS(supercb[Qtde],supercb[Item],tab_higiene[[#This Row],[Item]],supercb[Bairro],mercado13)</f>
        <v>0</v>
      </c>
      <c r="AX49" s="27" t="n">
        <f aca="false">SUMIFS(super1[Qtde],super1[Item],tab_higiene[[#This Row],[Item]],super1[Bairro],mercado14)+SUMIFS(supercb[Qtde],supercb[Item],tab_higiene[[#This Row],[Item]],supercb[Bairro],mercado14)</f>
        <v>0</v>
      </c>
      <c r="AY49" s="27" t="n">
        <f aca="false">SUMIFS(super1[Qtde],super1[Item],tab_higiene[[#This Row],[Item]],super1[Bairro],mercado15)+SUMIFS(supercb[Qtde],supercb[Item],tab_higiene[[#This Row],[Item]],supercb[Bairro],mercado15)</f>
        <v>0</v>
      </c>
      <c r="AZ49" s="27" t="n">
        <f aca="false">SUMIFS(super1[Qtde],super1[Item],tab_higiene[[#This Row],[Item]],super1[Bairro],mercado16)+SUMIFS(supercb[Qtde],supercb[Item],tab_higiene[[#This Row],[Item]],supercb[Bairro],mercado16)</f>
        <v>0</v>
      </c>
      <c r="BA49" s="27" t="n">
        <f aca="false">SUMIFS(super1[Qtde],super1[Item],tab_higiene[[#This Row],[Item]],super1[Bairro],mercado17)+SUMIFS(supercb[Qtde],supercb[Item],tab_higiene[[#This Row],[Item]],supercb[Bairro],mercado17)</f>
        <v>0</v>
      </c>
      <c r="BB49" s="27" t="n">
        <f aca="false">SUMIFS(super1[Qtde],super1[Item],tab_higiene[[#This Row],[Item]],super1[Bairro],mercado18)+SUMIFS(supercb[Qtde],supercb[Item],tab_higiene[[#This Row],[Item]],supercb[Bairro],mercado18)</f>
        <v>0</v>
      </c>
      <c r="BC49" s="27" t="n">
        <f aca="false">SUMIFS(super1[Qtde],super1[Item],tab_higiene[[#This Row],[Item]],super1[Bairro],extras)+SUMIFS(supercb[Qtde],supercb[Item],tab_higiene[[#This Row],[Item]],supercb[Bairro],extras)</f>
        <v>0</v>
      </c>
      <c r="BD49" s="27" t="n">
        <f aca="false">SUM(AK49:BB49)</f>
        <v>1</v>
      </c>
      <c r="BE49" s="27" t="n">
        <f aca="false">IFERROR(BD49*AJ49,0)</f>
        <v>5.79</v>
      </c>
      <c r="BF49" s="28" t="n">
        <f aca="false">IFERROR(AI49*BD49,0)</f>
        <v>1.74797079295478</v>
      </c>
      <c r="BI49" s="22" t="str">
        <f aca="false">tab_alimentos[[#This Row],[Item]]</f>
        <v>Bolacha (120g)</v>
      </c>
      <c r="BJ49" s="22" t="n">
        <f aca="false">IFERROR(FIND(" (",BI49),0)</f>
        <v>8</v>
      </c>
      <c r="BK49" s="22" t="str">
        <f aca="false">IF(BJ49=0,BI49,LEFT(BI49,BJ49-1))</f>
        <v>Bolacha</v>
      </c>
      <c r="BL49" s="22" t="n">
        <f aca="false">tab_alimentos[[#This Row],[kg]]</f>
        <v>0.6</v>
      </c>
      <c r="BM49" s="32" t="s">
        <v>329</v>
      </c>
      <c r="BN49" s="22" t="n">
        <f aca="false">SUMIF($BJ$5:$BJ$158,BM49,$BK$5:$BK$158)</f>
        <v>0</v>
      </c>
      <c r="BP49" s="22" t="str">
        <f aca="false">tab_higiene[[#This Row],[Item]]</f>
        <v>Desengordurante (500ml)</v>
      </c>
      <c r="BQ49" s="22" t="n">
        <f aca="false">IFERROR(FIND(" (",BP49),0)</f>
        <v>16</v>
      </c>
      <c r="BR49" s="22" t="str">
        <f aca="false">IF(BQ49=0,BP49,LEFT(BP49,BQ49-1))</f>
        <v>Desengordurante</v>
      </c>
      <c r="BS49" s="22" t="n">
        <f aca="false">higiene[[#This Row],[Quantidade]]</f>
        <v>0.25</v>
      </c>
      <c r="BT49" s="22" t="n">
        <f aca="false">tab_higiene[Qtde (tot)]</f>
        <v>1</v>
      </c>
      <c r="BU49" s="22" t="n">
        <f aca="false">BS49*BT49</f>
        <v>0.25</v>
      </c>
      <c r="BV49" s="32" t="s">
        <v>330</v>
      </c>
      <c r="BW49" s="22" t="n">
        <f aca="false">SUMIF($BR$5:$BR$142,BV49,$BU$5:$BU$142)</f>
        <v>0</v>
      </c>
    </row>
    <row r="50" customFormat="false" ht="15" hidden="false" customHeight="false" outlineLevel="0" collapsed="false">
      <c r="I50" s="26" t="str">
        <f aca="false">alimentos[[#This Row],[Item]]</f>
        <v>Bolacha (130g)</v>
      </c>
      <c r="J50" s="27" t="n">
        <f aca="false">IFERROR(alimentos[[#This Row],[kg/embalagem]],0)</f>
        <v>0.13</v>
      </c>
      <c r="K50" s="27" t="n">
        <f aca="false">IFERROR(alimentos[[#This Row],[Preço]],0)</f>
        <v>1.92166666666667</v>
      </c>
      <c r="L50" s="27" t="n">
        <f aca="false">SUMIFS(super1[Qtde],super1[Item],tab_alimentos[[#This Row],[Item]],super1[Bairro],mercado1)+SUMIFS(supercb[Qtde],supercb[Item],tab_alimentos[[#This Row],[Item]],supercb[Bairro],mercado1)</f>
        <v>4</v>
      </c>
      <c r="M50" s="27" t="n">
        <f aca="false">SUMIFS(super1[Qtde],super1[Item],tab_alimentos[[#This Row],[Item]],super1[Bairro],mercado2)+SUMIFS(supercb[Qtde],supercb[Item],tab_alimentos[[#This Row],[Item]],supercb[Bairro],mercado2)</f>
        <v>3</v>
      </c>
      <c r="N50" s="27" t="n">
        <f aca="false">SUMIFS(super1[Qtde],super1[Item],tab_alimentos[[#This Row],[Item]],super1[Bairro],mercado3)+SUMIFS(supercb[Qtde],supercb[Item],tab_alimentos[[#This Row],[Item]],supercb[Bairro],mercado3)</f>
        <v>0</v>
      </c>
      <c r="O50" s="27" t="n">
        <f aca="false">SUMIFS(super1[Qtde],super1[Item],tab_alimentos[[#This Row],[Item]],super1[Bairro],mercado4)+SUMIFS(supercb[Qtde],supercb[Item],tab_alimentos[[#This Row],[Item]],supercb[Bairro],mercado4)</f>
        <v>0</v>
      </c>
      <c r="P50" s="27" t="n">
        <f aca="false">SUMIFS(super1[Qtde],super1[Item],tab_alimentos[[#This Row],[Item]],super1[Bairro],mercado5)+SUMIFS(supercb[Qtde],supercb[Item],tab_alimentos[[#This Row],[Item]],supercb[Bairro],mercado5)</f>
        <v>6</v>
      </c>
      <c r="Q50" s="27" t="n">
        <f aca="false">SUMIFS(super1[Qtde],super1[Item],tab_alimentos[[#This Row],[Item]],super1[Bairro],mercado6)+SUMIFS(supercb[Qtde],supercb[Item],tab_alimentos[[#This Row],[Item]],supercb[Bairro],mercado6)</f>
        <v>21</v>
      </c>
      <c r="R50" s="27" t="n">
        <f aca="false">SUMIFS(super1[Qtde],super1[Item],tab_alimentos[[#This Row],[Item]],super1[Bairro],mercado7)+SUMIFS(supercb[Qtde],supercb[Item],tab_alimentos[[#This Row],[Item]],supercb[Bairro],mercado7)</f>
        <v>3</v>
      </c>
      <c r="S50" s="27" t="n">
        <f aca="false">SUMIFS(super1[Qtde],super1[Item],tab_alimentos[[#This Row],[Item]],super1[Bairro],mercado8)+SUMIFS(supercb[Qtde],supercb[Item],tab_alimentos[[#This Row],[Item]],supercb[Bairro],mercado8)</f>
        <v>4</v>
      </c>
      <c r="T50" s="27" t="n">
        <f aca="false">SUMIFS(super1[Qtde],super1[Item],tab_alimentos[[#This Row],[Item]],super1[Bairro],mercado9)+SUMIFS(supercb[Qtde],supercb[Item],tab_alimentos[[#This Row],[Item]],supercb[Bairro],mercado9)</f>
        <v>42</v>
      </c>
      <c r="U50" s="27" t="n">
        <f aca="false">SUMIFS(super1[Qtde],super1[Item],tab_alimentos[[#This Row],[Item]],super1[Bairro],mercado10)+SUMIFS(supercb[Qtde],supercb[Item],tab_alimentos[[#This Row],[Item]],supercb[Bairro],mercado10)</f>
        <v>56</v>
      </c>
      <c r="V50" s="27" t="n">
        <f aca="false">SUMIFS(super1[Qtde],super1[Item],tab_alimentos[[#This Row],[Item]],super1[Bairro],mercado11)+SUMIFS(supercb[Qtde],supercb[Item],tab_alimentos[[#This Row],[Item]],supercb[Bairro],mercado11)</f>
        <v>44</v>
      </c>
      <c r="W50" s="27" t="n">
        <f aca="false">SUMIFS(super1[Qtde],super1[Item],tab_alimentos[[#This Row],[Item]],super1[Bairro],mercado12)+SUMIFS(supercb[Qtde],supercb[Item],tab_alimentos[[#This Row],[Item]],supercb[Bairro],mercado12)</f>
        <v>0</v>
      </c>
      <c r="X50" s="27" t="n">
        <f aca="false">SUMIFS(super1[Qtde],super1[Item],tab_alimentos[[#This Row],[Item]],super1[Bairro],mercado13)+SUMIFS(supercb[Qtde],supercb[Item],tab_alimentos[[#This Row],[Item]],supercb[Bairro],mercado13)</f>
        <v>3</v>
      </c>
      <c r="Y50" s="27" t="n">
        <f aca="false">SUMIFS(super1[Qtde],super1[Item],tab_alimentos[[#This Row],[Item]],super1[Bairro],mercado14)+SUMIFS(supercb[Qtde],supercb[Item],tab_alimentos[[#This Row],[Item]],supercb[Bairro],mercado14)</f>
        <v>0</v>
      </c>
      <c r="Z50" s="27" t="n">
        <f aca="false">SUMIFS(super1[Qtde],super1[Item],tab_alimentos[[#This Row],[Item]],super1[Bairro],mercado15)+SUMIFS(supercb[Qtde],supercb[Item],tab_alimentos[[#This Row],[Item]],supercb[Bairro],mercado15)</f>
        <v>0</v>
      </c>
      <c r="AA50" s="27" t="n">
        <f aca="false">SUMIFS(super1[Qtde],super1[Item],tab_alimentos[[#This Row],[Item]],super1[Bairro],mercado16)+SUMIFS(supercb[Qtde],supercb[Item],tab_alimentos[[#This Row],[Item]],supercb[Bairro],mercado16)</f>
        <v>0</v>
      </c>
      <c r="AB50" s="27" t="n">
        <f aca="false">SUMIFS(super1[Qtde],super1[Item],tab_alimentos[[#This Row],[Item]],super1[Bairro],mercado17)+SUMIFS(supercb[Qtde],supercb[Item],tab_alimentos[[#This Row],[Item]],supercb[Bairro],mercado17)</f>
        <v>0</v>
      </c>
      <c r="AC50" s="27" t="n">
        <f aca="false">SUMIFS(super1[Qtde],super1[Item],tab_alimentos[[#This Row],[Item]],super1[Bairro],mercado18)+SUMIFS(supercb[Qtde],supercb[Item],tab_alimentos[[#This Row],[Item]],supercb[Bairro],mercado18)</f>
        <v>0</v>
      </c>
      <c r="AD50" s="27" t="n">
        <f aca="false">SUMIFS(super1[Qtde],super1[Item],tab_alimentos[[#This Row],[Item]],super1[Bairro],extras)+SUMIFS(supercb[Qtde],supercb[Item],tab_alimentos[[#This Row],[Item]],supercb[Bairro],extras)</f>
        <v>0</v>
      </c>
      <c r="AE50" s="27" t="n">
        <f aca="false">SUM(L50:AC50)</f>
        <v>186</v>
      </c>
      <c r="AF50" s="27" t="n">
        <f aca="false">IFERROR(AE50*K50,0)</f>
        <v>357.43</v>
      </c>
      <c r="AG50" s="28" t="n">
        <f aca="false">IFERROR(J50*AE50,0)</f>
        <v>24.18</v>
      </c>
      <c r="AH50" s="26" t="str">
        <f aca="false">higiene[[#This Row],[Item]]</f>
        <v>Desengordurante(500ml)</v>
      </c>
      <c r="AI50" s="27" t="n">
        <f aca="false">IFERROR(higiene[[#This Row],[Kg equivalente]],0)</f>
        <v>2.26119192387414</v>
      </c>
      <c r="AJ50" s="27" t="n">
        <f aca="false">IFERROR(higiene[[#This Row],[Preço por produto]],0)</f>
        <v>7.49</v>
      </c>
      <c r="AK50" s="27" t="n">
        <f aca="false">SUMIFS(super1[Qtde],super1[Item],tab_higiene[[#This Row],[Item]],super1[Bairro],mercado1)+SUMIFS(supercb[Qtde],supercb[Item],tab_higiene[[#This Row],[Item]],supercb[Bairro],mercado1)</f>
        <v>0</v>
      </c>
      <c r="AL50" s="27" t="n">
        <f aca="false">SUMIFS(super1[Qtde],super1[Item],tab_higiene[[#This Row],[Item]],super1[Bairro],mercado2)+SUMIFS(supercb[Qtde],supercb[Item],tab_higiene[[#This Row],[Item]],supercb[Bairro],mercado2)</f>
        <v>1</v>
      </c>
      <c r="AM50" s="27" t="n">
        <f aca="false">SUMIFS(super1[Qtde],super1[Item],tab_higiene[[#This Row],[Item]],super1[Bairro],mercado3)+SUMIFS(supercb[Qtde],supercb[Item],tab_higiene[[#This Row],[Item]],supercb[Bairro],mercado3)</f>
        <v>0</v>
      </c>
      <c r="AN50" s="27" t="n">
        <f aca="false">SUMIFS(super1[Qtde],super1[Item],tab_higiene[[#This Row],[Item]],super1[Bairro],mercado4)+SUMIFS(supercb[Qtde],supercb[Item],tab_higiene[[#This Row],[Item]],supercb[Bairro],mercado4)</f>
        <v>0</v>
      </c>
      <c r="AO50" s="27" t="n">
        <f aca="false">SUMIFS(super1[Qtde],super1[Item],tab_higiene[[#This Row],[Item]],super1[Bairro],mercado5)+SUMIFS(supercb[Qtde],supercb[Item],tab_higiene[[#This Row],[Item]],supercb[Bairro],mercado5)</f>
        <v>3</v>
      </c>
      <c r="AP50" s="27" t="n">
        <f aca="false">SUMIFS(super1[Qtde],super1[Item],tab_higiene[[#This Row],[Item]],super1[Bairro],mercado6)+SUMIFS(supercb[Qtde],supercb[Item],tab_higiene[[#This Row],[Item]],supercb[Bairro],mercado6)</f>
        <v>0</v>
      </c>
      <c r="AQ50" s="27" t="n">
        <f aca="false">SUMIFS(super1[Qtde],super1[Item],tab_higiene[[#This Row],[Item]],super1[Bairro],mercado7)+SUMIFS(supercb[Qtde],supercb[Item],tab_higiene[[#This Row],[Item]],supercb[Bairro],mercado7)</f>
        <v>0</v>
      </c>
      <c r="AR50" s="27" t="n">
        <f aca="false">SUMIFS(super1[Qtde],super1[Item],tab_higiene[[#This Row],[Item]],super1[Bairro],mercado8)+SUMIFS(supercb[Qtde],supercb[Item],tab_higiene[[#This Row],[Item]],supercb[Bairro],mercado8)</f>
        <v>0</v>
      </c>
      <c r="AS50" s="27" t="n">
        <f aca="false">SUMIFS(super1[Qtde],super1[Item],tab_higiene[[#This Row],[Item]],super1[Bairro],mercado9)+SUMIFS(supercb[Qtde],supercb[Item],tab_higiene[[#This Row],[Item]],supercb[Bairro],mercado9)</f>
        <v>0</v>
      </c>
      <c r="AT50" s="27" t="n">
        <f aca="false">SUMIFS(super1[Qtde],super1[Item],tab_higiene[[#This Row],[Item]],super1[Bairro],mercado10)+SUMIFS(supercb[Qtde],supercb[Item],tab_higiene[[#This Row],[Item]],supercb[Bairro],mercado10)</f>
        <v>0</v>
      </c>
      <c r="AU50" s="27" t="n">
        <f aca="false">SUMIFS(super1[Qtde],super1[Item],tab_higiene[[#This Row],[Item]],super1[Bairro],mercado11)+SUMIFS(supercb[Qtde],supercb[Item],tab_higiene[[#This Row],[Item]],supercb[Bairro],mercado11)</f>
        <v>0</v>
      </c>
      <c r="AV50" s="27" t="n">
        <f aca="false">SUMIFS(super1[Qtde],super1[Item],tab_higiene[[#This Row],[Item]],super1[Bairro],mercado12)+SUMIFS(supercb[Qtde],supercb[Item],tab_higiene[[#This Row],[Item]],supercb[Bairro],mercado12)</f>
        <v>0</v>
      </c>
      <c r="AW50" s="27" t="n">
        <f aca="false">SUMIFS(super1[Qtde],super1[Item],tab_higiene[[#This Row],[Item]],super1[Bairro],mercado13)+SUMIFS(supercb[Qtde],supercb[Item],tab_higiene[[#This Row],[Item]],supercb[Bairro],mercado13)</f>
        <v>0</v>
      </c>
      <c r="AX50" s="27" t="n">
        <f aca="false">SUMIFS(super1[Qtde],super1[Item],tab_higiene[[#This Row],[Item]],super1[Bairro],mercado14)+SUMIFS(supercb[Qtde],supercb[Item],tab_higiene[[#This Row],[Item]],supercb[Bairro],mercado14)</f>
        <v>0</v>
      </c>
      <c r="AY50" s="27" t="n">
        <f aca="false">SUMIFS(super1[Qtde],super1[Item],tab_higiene[[#This Row],[Item]],super1[Bairro],mercado15)+SUMIFS(supercb[Qtde],supercb[Item],tab_higiene[[#This Row],[Item]],supercb[Bairro],mercado15)</f>
        <v>0</v>
      </c>
      <c r="AZ50" s="27" t="n">
        <f aca="false">SUMIFS(super1[Qtde],super1[Item],tab_higiene[[#This Row],[Item]],super1[Bairro],mercado16)+SUMIFS(supercb[Qtde],supercb[Item],tab_higiene[[#This Row],[Item]],supercb[Bairro],mercado16)</f>
        <v>0</v>
      </c>
      <c r="BA50" s="27" t="n">
        <f aca="false">SUMIFS(super1[Qtde],super1[Item],tab_higiene[[#This Row],[Item]],super1[Bairro],mercado17)+SUMIFS(supercb[Qtde],supercb[Item],tab_higiene[[#This Row],[Item]],supercb[Bairro],mercado17)</f>
        <v>0</v>
      </c>
      <c r="BB50" s="27" t="n">
        <f aca="false">SUMIFS(super1[Qtde],super1[Item],tab_higiene[[#This Row],[Item]],super1[Bairro],mercado18)+SUMIFS(supercb[Qtde],supercb[Item],tab_higiene[[#This Row],[Item]],supercb[Bairro],mercado18)</f>
        <v>0</v>
      </c>
      <c r="BC50" s="27" t="n">
        <f aca="false">SUMIFS(super1[Qtde],super1[Item],tab_higiene[[#This Row],[Item]],super1[Bairro],extras)+SUMIFS(supercb[Qtde],supercb[Item],tab_higiene[[#This Row],[Item]],supercb[Bairro],extras)</f>
        <v>0</v>
      </c>
      <c r="BD50" s="27" t="n">
        <f aca="false">SUM(AK50:BB50)</f>
        <v>4</v>
      </c>
      <c r="BE50" s="27" t="n">
        <f aca="false">IFERROR(BD50*AJ50,0)</f>
        <v>29.96</v>
      </c>
      <c r="BF50" s="28" t="n">
        <f aca="false">IFERROR(AI50*BD50,0)</f>
        <v>9.04476769549658</v>
      </c>
      <c r="BI50" s="22" t="str">
        <f aca="false">tab_alimentos[[#This Row],[Item]]</f>
        <v>Bolacha (130g)</v>
      </c>
      <c r="BJ50" s="22" t="n">
        <f aca="false">IFERROR(FIND(" (",BI50),0)</f>
        <v>8</v>
      </c>
      <c r="BK50" s="22" t="str">
        <f aca="false">IF(BJ50=0,BI50,LEFT(BI50,BJ50-1))</f>
        <v>Bolacha</v>
      </c>
      <c r="BL50" s="22" t="n">
        <f aca="false">tab_alimentos[[#This Row],[kg]]</f>
        <v>24.18</v>
      </c>
      <c r="BM50" s="32" t="s">
        <v>331</v>
      </c>
      <c r="BN50" s="22" t="n">
        <f aca="false">SUMIF($BJ$5:$BJ$158,BM50,$BK$5:$BK$158)</f>
        <v>0</v>
      </c>
      <c r="BP50" s="22" t="str">
        <f aca="false">tab_higiene[[#This Row],[Item]]</f>
        <v>Desengordurante(500ml)</v>
      </c>
      <c r="BQ50" s="22" t="n">
        <f aca="false">IFERROR(FIND(" (",BP50),0)</f>
        <v>0</v>
      </c>
      <c r="BR50" s="22" t="str">
        <f aca="false">IF(BQ50=0,BP50,LEFT(BP50,BQ50-1))</f>
        <v>Desengordurante(500ml)</v>
      </c>
      <c r="BS50" s="22" t="n">
        <f aca="false">higiene[[#This Row],[Quantidade]]</f>
        <v>0.5</v>
      </c>
      <c r="BT50" s="22" t="n">
        <f aca="false">tab_higiene[Qtde (tot)]</f>
        <v>4</v>
      </c>
      <c r="BU50" s="22" t="n">
        <f aca="false">BS50*BT50</f>
        <v>2</v>
      </c>
      <c r="BV50" s="32" t="s">
        <v>332</v>
      </c>
      <c r="BW50" s="22" t="n">
        <f aca="false">SUMIF($BR$5:$BR$142,BV50,$BU$5:$BU$142)</f>
        <v>0</v>
      </c>
    </row>
    <row r="51" customFormat="false" ht="15" hidden="false" customHeight="false" outlineLevel="0" collapsed="false">
      <c r="I51" s="26" t="str">
        <f aca="false">alimentos[[#This Row],[Item]]</f>
        <v>Bolacha (135g)</v>
      </c>
      <c r="J51" s="27" t="n">
        <f aca="false">IFERROR(alimentos[[#This Row],[kg/embalagem]],0)</f>
        <v>0.135</v>
      </c>
      <c r="K51" s="27" t="n">
        <f aca="false">IFERROR(alimentos[[#This Row],[Preço]],0)</f>
        <v>1.93</v>
      </c>
      <c r="L51" s="27" t="n">
        <f aca="false">SUMIFS(super1[Qtde],super1[Item],tab_alimentos[[#This Row],[Item]],super1[Bairro],mercado1)+SUMIFS(supercb[Qtde],supercb[Item],tab_alimentos[[#This Row],[Item]],supercb[Bairro],mercado1)</f>
        <v>0</v>
      </c>
      <c r="M51" s="27" t="n">
        <f aca="false">SUMIFS(super1[Qtde],super1[Item],tab_alimentos[[#This Row],[Item]],super1[Bairro],mercado2)+SUMIFS(supercb[Qtde],supercb[Item],tab_alimentos[[#This Row],[Item]],supercb[Bairro],mercado2)</f>
        <v>0</v>
      </c>
      <c r="N51" s="27" t="n">
        <f aca="false">SUMIFS(super1[Qtde],super1[Item],tab_alimentos[[#This Row],[Item]],super1[Bairro],mercado3)+SUMIFS(supercb[Qtde],supercb[Item],tab_alimentos[[#This Row],[Item]],supercb[Bairro],mercado3)</f>
        <v>0</v>
      </c>
      <c r="O51" s="27" t="n">
        <f aca="false">SUMIFS(super1[Qtde],super1[Item],tab_alimentos[[#This Row],[Item]],super1[Bairro],mercado4)+SUMIFS(supercb[Qtde],supercb[Item],tab_alimentos[[#This Row],[Item]],supercb[Bairro],mercado4)</f>
        <v>2</v>
      </c>
      <c r="P51" s="27" t="n">
        <f aca="false">SUMIFS(super1[Qtde],super1[Item],tab_alimentos[[#This Row],[Item]],super1[Bairro],mercado5)+SUMIFS(supercb[Qtde],supercb[Item],tab_alimentos[[#This Row],[Item]],supercb[Bairro],mercado5)</f>
        <v>0</v>
      </c>
      <c r="Q51" s="27" t="n">
        <f aca="false">SUMIFS(super1[Qtde],super1[Item],tab_alimentos[[#This Row],[Item]],super1[Bairro],mercado6)+SUMIFS(supercb[Qtde],supercb[Item],tab_alimentos[[#This Row],[Item]],supercb[Bairro],mercado6)</f>
        <v>0</v>
      </c>
      <c r="R51" s="27" t="n">
        <f aca="false">SUMIFS(super1[Qtde],super1[Item],tab_alimentos[[#This Row],[Item]],super1[Bairro],mercado7)+SUMIFS(supercb[Qtde],supercb[Item],tab_alimentos[[#This Row],[Item]],supercb[Bairro],mercado7)</f>
        <v>0</v>
      </c>
      <c r="S51" s="27" t="n">
        <f aca="false">SUMIFS(super1[Qtde],super1[Item],tab_alimentos[[#This Row],[Item]],super1[Bairro],mercado8)+SUMIFS(supercb[Qtde],supercb[Item],tab_alimentos[[#This Row],[Item]],supercb[Bairro],mercado8)</f>
        <v>4</v>
      </c>
      <c r="T51" s="27" t="n">
        <f aca="false">SUMIFS(super1[Qtde],super1[Item],tab_alimentos[[#This Row],[Item]],super1[Bairro],mercado9)+SUMIFS(supercb[Qtde],supercb[Item],tab_alimentos[[#This Row],[Item]],supercb[Bairro],mercado9)</f>
        <v>6</v>
      </c>
      <c r="U51" s="27" t="n">
        <f aca="false">SUMIFS(super1[Qtde],super1[Item],tab_alimentos[[#This Row],[Item]],super1[Bairro],mercado10)+SUMIFS(supercb[Qtde],supercb[Item],tab_alimentos[[#This Row],[Item]],supercb[Bairro],mercado10)</f>
        <v>3</v>
      </c>
      <c r="V51" s="27" t="n">
        <f aca="false">SUMIFS(super1[Qtde],super1[Item],tab_alimentos[[#This Row],[Item]],super1[Bairro],mercado11)+SUMIFS(supercb[Qtde],supercb[Item],tab_alimentos[[#This Row],[Item]],supercb[Bairro],mercado11)</f>
        <v>0</v>
      </c>
      <c r="W51" s="27" t="n">
        <f aca="false">SUMIFS(super1[Qtde],super1[Item],tab_alimentos[[#This Row],[Item]],super1[Bairro],mercado12)+SUMIFS(supercb[Qtde],supercb[Item],tab_alimentos[[#This Row],[Item]],supercb[Bairro],mercado12)</f>
        <v>0</v>
      </c>
      <c r="X51" s="27" t="n">
        <f aca="false">SUMIFS(super1[Qtde],super1[Item],tab_alimentos[[#This Row],[Item]],super1[Bairro],mercado13)+SUMIFS(supercb[Qtde],supercb[Item],tab_alimentos[[#This Row],[Item]],supercb[Bairro],mercado13)</f>
        <v>1</v>
      </c>
      <c r="Y51" s="27" t="n">
        <f aca="false">SUMIFS(super1[Qtde],super1[Item],tab_alimentos[[#This Row],[Item]],super1[Bairro],mercado14)+SUMIFS(supercb[Qtde],supercb[Item],tab_alimentos[[#This Row],[Item]],supercb[Bairro],mercado14)</f>
        <v>0</v>
      </c>
      <c r="Z51" s="27" t="n">
        <f aca="false">SUMIFS(super1[Qtde],super1[Item],tab_alimentos[[#This Row],[Item]],super1[Bairro],mercado15)+SUMIFS(supercb[Qtde],supercb[Item],tab_alimentos[[#This Row],[Item]],supercb[Bairro],mercado15)</f>
        <v>0</v>
      </c>
      <c r="AA51" s="27" t="n">
        <f aca="false">SUMIFS(super1[Qtde],super1[Item],tab_alimentos[[#This Row],[Item]],super1[Bairro],mercado16)+SUMIFS(supercb[Qtde],supercb[Item],tab_alimentos[[#This Row],[Item]],supercb[Bairro],mercado16)</f>
        <v>0</v>
      </c>
      <c r="AB51" s="27" t="n">
        <f aca="false">SUMIFS(super1[Qtde],super1[Item],tab_alimentos[[#This Row],[Item]],super1[Bairro],mercado17)+SUMIFS(supercb[Qtde],supercb[Item],tab_alimentos[[#This Row],[Item]],supercb[Bairro],mercado17)</f>
        <v>0</v>
      </c>
      <c r="AC51" s="27" t="n">
        <f aca="false">SUMIFS(super1[Qtde],super1[Item],tab_alimentos[[#This Row],[Item]],super1[Bairro],mercado18)+SUMIFS(supercb[Qtde],supercb[Item],tab_alimentos[[#This Row],[Item]],supercb[Bairro],mercado18)</f>
        <v>0</v>
      </c>
      <c r="AD51" s="27" t="n">
        <f aca="false">SUMIFS(super1[Qtde],super1[Item],tab_alimentos[[#This Row],[Item]],super1[Bairro],extras)+SUMIFS(supercb[Qtde],supercb[Item],tab_alimentos[[#This Row],[Item]],supercb[Bairro],extras)</f>
        <v>0</v>
      </c>
      <c r="AE51" s="27" t="n">
        <f aca="false">SUM(L51:AC51)</f>
        <v>16</v>
      </c>
      <c r="AF51" s="27" t="n">
        <f aca="false">IFERROR(AE51*K51,0)</f>
        <v>30.88</v>
      </c>
      <c r="AG51" s="28" t="n">
        <f aca="false">IFERROR(J51*AE51,0)</f>
        <v>2.16</v>
      </c>
      <c r="AH51" s="26" t="str">
        <f aca="false">higiene[[#This Row],[Item]]</f>
        <v>Desinfetante (1L)</v>
      </c>
      <c r="AI51" s="27" t="n">
        <f aca="false">IFERROR(higiene[[#This Row],[Kg equivalente]],0)</f>
        <v>2.23024770862754</v>
      </c>
      <c r="AJ51" s="27" t="n">
        <f aca="false">IFERROR(higiene[[#This Row],[Preço por produto]],0)</f>
        <v>7.3875</v>
      </c>
      <c r="AK51" s="27" t="n">
        <f aca="false">SUMIFS(super1[Qtde],super1[Item],tab_higiene[[#This Row],[Item]],super1[Bairro],mercado1)+SUMIFS(supercb[Qtde],supercb[Item],tab_higiene[[#This Row],[Item]],supercb[Bairro],mercado1)</f>
        <v>0</v>
      </c>
      <c r="AL51" s="27" t="n">
        <f aca="false">SUMIFS(super1[Qtde],super1[Item],tab_higiene[[#This Row],[Item]],super1[Bairro],mercado2)+SUMIFS(supercb[Qtde],supercb[Item],tab_higiene[[#This Row],[Item]],supercb[Bairro],mercado2)</f>
        <v>0</v>
      </c>
      <c r="AM51" s="27" t="n">
        <f aca="false">SUMIFS(super1[Qtde],super1[Item],tab_higiene[[#This Row],[Item]],super1[Bairro],mercado3)+SUMIFS(supercb[Qtde],supercb[Item],tab_higiene[[#This Row],[Item]],supercb[Bairro],mercado3)</f>
        <v>0</v>
      </c>
      <c r="AN51" s="27" t="n">
        <f aca="false">SUMIFS(super1[Qtde],super1[Item],tab_higiene[[#This Row],[Item]],super1[Bairro],mercado4)+SUMIFS(supercb[Qtde],supercb[Item],tab_higiene[[#This Row],[Item]],supercb[Bairro],mercado4)</f>
        <v>0</v>
      </c>
      <c r="AO51" s="27" t="n">
        <f aca="false">SUMIFS(super1[Qtde],super1[Item],tab_higiene[[#This Row],[Item]],super1[Bairro],mercado5)+SUMIFS(supercb[Qtde],supercb[Item],tab_higiene[[#This Row],[Item]],supercb[Bairro],mercado5)</f>
        <v>0</v>
      </c>
      <c r="AP51" s="27" t="n">
        <f aca="false">SUMIFS(super1[Qtde],super1[Item],tab_higiene[[#This Row],[Item]],super1[Bairro],mercado6)+SUMIFS(supercb[Qtde],supercb[Item],tab_higiene[[#This Row],[Item]],supercb[Bairro],mercado6)</f>
        <v>0</v>
      </c>
      <c r="AQ51" s="27" t="n">
        <f aca="false">SUMIFS(super1[Qtde],super1[Item],tab_higiene[[#This Row],[Item]],super1[Bairro],mercado7)+SUMIFS(supercb[Qtde],supercb[Item],tab_higiene[[#This Row],[Item]],supercb[Bairro],mercado7)</f>
        <v>1</v>
      </c>
      <c r="AR51" s="27" t="n">
        <f aca="false">SUMIFS(super1[Qtde],super1[Item],tab_higiene[[#This Row],[Item]],super1[Bairro],mercado8)+SUMIFS(supercb[Qtde],supercb[Item],tab_higiene[[#This Row],[Item]],supercb[Bairro],mercado8)</f>
        <v>0</v>
      </c>
      <c r="AS51" s="27" t="n">
        <f aca="false">SUMIFS(super1[Qtde],super1[Item],tab_higiene[[#This Row],[Item]],super1[Bairro],mercado9)+SUMIFS(supercb[Qtde],supercb[Item],tab_higiene[[#This Row],[Item]],supercb[Bairro],mercado9)</f>
        <v>0</v>
      </c>
      <c r="AT51" s="27" t="n">
        <f aca="false">SUMIFS(super1[Qtde],super1[Item],tab_higiene[[#This Row],[Item]],super1[Bairro],mercado10)+SUMIFS(supercb[Qtde],supercb[Item],tab_higiene[[#This Row],[Item]],supercb[Bairro],mercado10)</f>
        <v>1</v>
      </c>
      <c r="AU51" s="27" t="n">
        <f aca="false">SUMIFS(super1[Qtde],super1[Item],tab_higiene[[#This Row],[Item]],super1[Bairro],mercado11)+SUMIFS(supercb[Qtde],supercb[Item],tab_higiene[[#This Row],[Item]],supercb[Bairro],mercado11)</f>
        <v>1</v>
      </c>
      <c r="AV51" s="27" t="n">
        <f aca="false">SUMIFS(super1[Qtde],super1[Item],tab_higiene[[#This Row],[Item]],super1[Bairro],mercado12)+SUMIFS(supercb[Qtde],supercb[Item],tab_higiene[[#This Row],[Item]],supercb[Bairro],mercado12)</f>
        <v>0</v>
      </c>
      <c r="AW51" s="27" t="n">
        <f aca="false">SUMIFS(super1[Qtde],super1[Item],tab_higiene[[#This Row],[Item]],super1[Bairro],mercado13)+SUMIFS(supercb[Qtde],supercb[Item],tab_higiene[[#This Row],[Item]],supercb[Bairro],mercado13)</f>
        <v>0</v>
      </c>
      <c r="AX51" s="27" t="n">
        <f aca="false">SUMIFS(super1[Qtde],super1[Item],tab_higiene[[#This Row],[Item]],super1[Bairro],mercado14)+SUMIFS(supercb[Qtde],supercb[Item],tab_higiene[[#This Row],[Item]],supercb[Bairro],mercado14)</f>
        <v>0</v>
      </c>
      <c r="AY51" s="27" t="n">
        <f aca="false">SUMIFS(super1[Qtde],super1[Item],tab_higiene[[#This Row],[Item]],super1[Bairro],mercado15)+SUMIFS(supercb[Qtde],supercb[Item],tab_higiene[[#This Row],[Item]],supercb[Bairro],mercado15)</f>
        <v>0</v>
      </c>
      <c r="AZ51" s="27" t="n">
        <f aca="false">SUMIFS(super1[Qtde],super1[Item],tab_higiene[[#This Row],[Item]],super1[Bairro],mercado16)+SUMIFS(supercb[Qtde],supercb[Item],tab_higiene[[#This Row],[Item]],supercb[Bairro],mercado16)</f>
        <v>0</v>
      </c>
      <c r="BA51" s="27" t="n">
        <f aca="false">SUMIFS(super1[Qtde],super1[Item],tab_higiene[[#This Row],[Item]],super1[Bairro],mercado17)+SUMIFS(supercb[Qtde],supercb[Item],tab_higiene[[#This Row],[Item]],supercb[Bairro],mercado17)</f>
        <v>0</v>
      </c>
      <c r="BB51" s="27" t="n">
        <f aca="false">SUMIFS(super1[Qtde],super1[Item],tab_higiene[[#This Row],[Item]],super1[Bairro],mercado18)+SUMIFS(supercb[Qtde],supercb[Item],tab_higiene[[#This Row],[Item]],supercb[Bairro],mercado18)</f>
        <v>0</v>
      </c>
      <c r="BC51" s="27" t="n">
        <f aca="false">SUMIFS(super1[Qtde],super1[Item],tab_higiene[[#This Row],[Item]],super1[Bairro],extras)+SUMIFS(supercb[Qtde],supercb[Item],tab_higiene[[#This Row],[Item]],supercb[Bairro],extras)</f>
        <v>0</v>
      </c>
      <c r="BD51" s="27" t="n">
        <f aca="false">SUM(AK51:BB51)</f>
        <v>3</v>
      </c>
      <c r="BE51" s="27" t="n">
        <f aca="false">IFERROR(BD51*AJ51,0)</f>
        <v>22.1625</v>
      </c>
      <c r="BF51" s="28" t="n">
        <f aca="false">IFERROR(AI51*BD51,0)</f>
        <v>6.69074312588261</v>
      </c>
      <c r="BI51" s="22" t="str">
        <f aca="false">tab_alimentos[[#This Row],[Item]]</f>
        <v>Bolacha (135g)</v>
      </c>
      <c r="BJ51" s="22" t="n">
        <f aca="false">IFERROR(FIND(" (",BI51),0)</f>
        <v>8</v>
      </c>
      <c r="BK51" s="22" t="str">
        <f aca="false">IF(BJ51=0,BI51,LEFT(BI51,BJ51-1))</f>
        <v>Bolacha</v>
      </c>
      <c r="BL51" s="22" t="n">
        <f aca="false">tab_alimentos[[#This Row],[kg]]</f>
        <v>2.16</v>
      </c>
      <c r="BM51" s="32" t="s">
        <v>315</v>
      </c>
      <c r="BN51" s="22" t="n">
        <f aca="false">SUMIF($BJ$5:$BJ$158,BM51,$BK$5:$BK$158)</f>
        <v>0</v>
      </c>
      <c r="BP51" s="22" t="str">
        <f aca="false">tab_higiene[[#This Row],[Item]]</f>
        <v>Desinfetante (1L)</v>
      </c>
      <c r="BQ51" s="22" t="n">
        <f aca="false">IFERROR(FIND(" (",BP51),0)</f>
        <v>13</v>
      </c>
      <c r="BR51" s="22" t="str">
        <f aca="false">IF(BQ51=0,BP51,LEFT(BP51,BQ51-1))</f>
        <v>Desinfetante</v>
      </c>
      <c r="BS51" s="22" t="n">
        <f aca="false">higiene[[#This Row],[Quantidade]]</f>
        <v>1</v>
      </c>
      <c r="BT51" s="22" t="n">
        <f aca="false">tab_higiene[Qtde (tot)]</f>
        <v>3</v>
      </c>
      <c r="BU51" s="22" t="n">
        <f aca="false">BS51*BT51</f>
        <v>3</v>
      </c>
      <c r="BV51" s="32" t="s">
        <v>333</v>
      </c>
      <c r="BW51" s="22" t="n">
        <f aca="false">SUMIF($BR$5:$BR$142,BV51,$BU$5:$BU$142)</f>
        <v>0</v>
      </c>
    </row>
    <row r="52" customFormat="false" ht="15" hidden="false" customHeight="false" outlineLevel="0" collapsed="false">
      <c r="I52" s="26" t="str">
        <f aca="false">alimentos[[#This Row],[Item]]</f>
        <v>Bolacha (140g)</v>
      </c>
      <c r="J52" s="27" t="n">
        <f aca="false">IFERROR(alimentos[[#This Row],[kg/embalagem]],0)</f>
        <v>0.14</v>
      </c>
      <c r="K52" s="27" t="n">
        <f aca="false">IFERROR(alimentos[[#This Row],[Preço]],0)</f>
        <v>2.04</v>
      </c>
      <c r="L52" s="27" t="n">
        <f aca="false">SUMIFS(super1[Qtde],super1[Item],tab_alimentos[[#This Row],[Item]],super1[Bairro],mercado1)+SUMIFS(supercb[Qtde],supercb[Item],tab_alimentos[[#This Row],[Item]],supercb[Bairro],mercado1)</f>
        <v>4</v>
      </c>
      <c r="M52" s="27" t="n">
        <f aca="false">SUMIFS(super1[Qtde],super1[Item],tab_alimentos[[#This Row],[Item]],super1[Bairro],mercado2)+SUMIFS(supercb[Qtde],supercb[Item],tab_alimentos[[#This Row],[Item]],supercb[Bairro],mercado2)</f>
        <v>6</v>
      </c>
      <c r="N52" s="27" t="n">
        <f aca="false">SUMIFS(super1[Qtde],super1[Item],tab_alimentos[[#This Row],[Item]],super1[Bairro],mercado3)+SUMIFS(supercb[Qtde],supercb[Item],tab_alimentos[[#This Row],[Item]],supercb[Bairro],mercado3)</f>
        <v>0</v>
      </c>
      <c r="O52" s="27" t="n">
        <f aca="false">SUMIFS(super1[Qtde],super1[Item],tab_alimentos[[#This Row],[Item]],super1[Bairro],mercado4)+SUMIFS(supercb[Qtde],supercb[Item],tab_alimentos[[#This Row],[Item]],supercb[Bairro],mercado4)</f>
        <v>3</v>
      </c>
      <c r="P52" s="27" t="n">
        <f aca="false">SUMIFS(super1[Qtde],super1[Item],tab_alimentos[[#This Row],[Item]],super1[Bairro],mercado5)+SUMIFS(supercb[Qtde],supercb[Item],tab_alimentos[[#This Row],[Item]],supercb[Bairro],mercado5)</f>
        <v>1</v>
      </c>
      <c r="Q52" s="27" t="n">
        <f aca="false">SUMIFS(super1[Qtde],super1[Item],tab_alimentos[[#This Row],[Item]],super1[Bairro],mercado6)+SUMIFS(supercb[Qtde],supercb[Item],tab_alimentos[[#This Row],[Item]],supercb[Bairro],mercado6)</f>
        <v>10</v>
      </c>
      <c r="R52" s="27" t="n">
        <f aca="false">SUMIFS(super1[Qtde],super1[Item],tab_alimentos[[#This Row],[Item]],super1[Bairro],mercado7)+SUMIFS(supercb[Qtde],supercb[Item],tab_alimentos[[#This Row],[Item]],supercb[Bairro],mercado7)</f>
        <v>2</v>
      </c>
      <c r="S52" s="27" t="n">
        <f aca="false">SUMIFS(super1[Qtde],super1[Item],tab_alimentos[[#This Row],[Item]],super1[Bairro],mercado8)+SUMIFS(supercb[Qtde],supercb[Item],tab_alimentos[[#This Row],[Item]],supercb[Bairro],mercado8)</f>
        <v>0</v>
      </c>
      <c r="T52" s="27" t="n">
        <f aca="false">SUMIFS(super1[Qtde],super1[Item],tab_alimentos[[#This Row],[Item]],super1[Bairro],mercado9)+SUMIFS(supercb[Qtde],supercb[Item],tab_alimentos[[#This Row],[Item]],supercb[Bairro],mercado9)</f>
        <v>0</v>
      </c>
      <c r="U52" s="27" t="n">
        <f aca="false">SUMIFS(super1[Qtde],super1[Item],tab_alimentos[[#This Row],[Item]],super1[Bairro],mercado10)+SUMIFS(supercb[Qtde],supercb[Item],tab_alimentos[[#This Row],[Item]],supercb[Bairro],mercado10)</f>
        <v>5</v>
      </c>
      <c r="V52" s="27" t="n">
        <f aca="false">SUMIFS(super1[Qtde],super1[Item],tab_alimentos[[#This Row],[Item]],super1[Bairro],mercado11)+SUMIFS(supercb[Qtde],supercb[Item],tab_alimentos[[#This Row],[Item]],supercb[Bairro],mercado11)</f>
        <v>0</v>
      </c>
      <c r="W52" s="27" t="n">
        <f aca="false">SUMIFS(super1[Qtde],super1[Item],tab_alimentos[[#This Row],[Item]],super1[Bairro],mercado12)+SUMIFS(supercb[Qtde],supercb[Item],tab_alimentos[[#This Row],[Item]],supercb[Bairro],mercado12)</f>
        <v>0</v>
      </c>
      <c r="X52" s="27" t="n">
        <f aca="false">SUMIFS(super1[Qtde],super1[Item],tab_alimentos[[#This Row],[Item]],super1[Bairro],mercado13)+SUMIFS(supercb[Qtde],supercb[Item],tab_alimentos[[#This Row],[Item]],supercb[Bairro],mercado13)</f>
        <v>0</v>
      </c>
      <c r="Y52" s="27" t="n">
        <f aca="false">SUMIFS(super1[Qtde],super1[Item],tab_alimentos[[#This Row],[Item]],super1[Bairro],mercado14)+SUMIFS(supercb[Qtde],supercb[Item],tab_alimentos[[#This Row],[Item]],supercb[Bairro],mercado14)</f>
        <v>0</v>
      </c>
      <c r="Z52" s="27" t="n">
        <f aca="false">SUMIFS(super1[Qtde],super1[Item],tab_alimentos[[#This Row],[Item]],super1[Bairro],mercado15)+SUMIFS(supercb[Qtde],supercb[Item],tab_alimentos[[#This Row],[Item]],supercb[Bairro],mercado15)</f>
        <v>0</v>
      </c>
      <c r="AA52" s="27" t="n">
        <f aca="false">SUMIFS(super1[Qtde],super1[Item],tab_alimentos[[#This Row],[Item]],super1[Bairro],mercado16)+SUMIFS(supercb[Qtde],supercb[Item],tab_alimentos[[#This Row],[Item]],supercb[Bairro],mercado16)</f>
        <v>0</v>
      </c>
      <c r="AB52" s="27" t="n">
        <f aca="false">SUMIFS(super1[Qtde],super1[Item],tab_alimentos[[#This Row],[Item]],super1[Bairro],mercado17)+SUMIFS(supercb[Qtde],supercb[Item],tab_alimentos[[#This Row],[Item]],supercb[Bairro],mercado17)</f>
        <v>0</v>
      </c>
      <c r="AC52" s="27" t="n">
        <f aca="false">SUMIFS(super1[Qtde],super1[Item],tab_alimentos[[#This Row],[Item]],super1[Bairro],mercado18)+SUMIFS(supercb[Qtde],supercb[Item],tab_alimentos[[#This Row],[Item]],supercb[Bairro],mercado18)</f>
        <v>0</v>
      </c>
      <c r="AD52" s="27" t="n">
        <f aca="false">SUMIFS(super1[Qtde],super1[Item],tab_alimentos[[#This Row],[Item]],super1[Bairro],extras)+SUMIFS(supercb[Qtde],supercb[Item],tab_alimentos[[#This Row],[Item]],supercb[Bairro],extras)</f>
        <v>0</v>
      </c>
      <c r="AE52" s="27" t="n">
        <f aca="false">SUM(L52:AC52)</f>
        <v>31</v>
      </c>
      <c r="AF52" s="27" t="n">
        <f aca="false">IFERROR(AE52*K52,0)</f>
        <v>63.24</v>
      </c>
      <c r="AG52" s="28" t="n">
        <f aca="false">IFERROR(J52*AE52,0)</f>
        <v>4.34</v>
      </c>
      <c r="AH52" s="26" t="str">
        <f aca="false">higiene[[#This Row],[Item]]</f>
        <v>Desinfetante (2L)</v>
      </c>
      <c r="AI52" s="27" t="n">
        <f aca="false">IFERROR(higiene[[#This Row],[Kg equivalente]],0)</f>
        <v>1.46298211790308</v>
      </c>
      <c r="AJ52" s="27" t="n">
        <f aca="false">IFERROR(higiene[[#This Row],[Preço por produto]],0)</f>
        <v>4.846</v>
      </c>
      <c r="AK52" s="27" t="n">
        <f aca="false">SUMIFS(super1[Qtde],super1[Item],tab_higiene[[#This Row],[Item]],super1[Bairro],mercado1)+SUMIFS(supercb[Qtde],supercb[Item],tab_higiene[[#This Row],[Item]],supercb[Bairro],mercado1)</f>
        <v>1</v>
      </c>
      <c r="AL52" s="27" t="n">
        <f aca="false">SUMIFS(super1[Qtde],super1[Item],tab_higiene[[#This Row],[Item]],super1[Bairro],mercado2)+SUMIFS(supercb[Qtde],supercb[Item],tab_higiene[[#This Row],[Item]],supercb[Bairro],mercado2)</f>
        <v>0</v>
      </c>
      <c r="AM52" s="27" t="n">
        <f aca="false">SUMIFS(super1[Qtde],super1[Item],tab_higiene[[#This Row],[Item]],super1[Bairro],mercado3)+SUMIFS(supercb[Qtde],supercb[Item],tab_higiene[[#This Row],[Item]],supercb[Bairro],mercado3)</f>
        <v>1</v>
      </c>
      <c r="AN52" s="27" t="n">
        <f aca="false">SUMIFS(super1[Qtde],super1[Item],tab_higiene[[#This Row],[Item]],super1[Bairro],mercado4)+SUMIFS(supercb[Qtde],supercb[Item],tab_higiene[[#This Row],[Item]],supercb[Bairro],mercado4)</f>
        <v>1</v>
      </c>
      <c r="AO52" s="27" t="n">
        <f aca="false">SUMIFS(super1[Qtde],super1[Item],tab_higiene[[#This Row],[Item]],super1[Bairro],mercado5)+SUMIFS(supercb[Qtde],supercb[Item],tab_higiene[[#This Row],[Item]],supercb[Bairro],mercado5)</f>
        <v>2</v>
      </c>
      <c r="AP52" s="27" t="n">
        <f aca="false">SUMIFS(super1[Qtde],super1[Item],tab_higiene[[#This Row],[Item]],super1[Bairro],mercado6)+SUMIFS(supercb[Qtde],supercb[Item],tab_higiene[[#This Row],[Item]],supercb[Bairro],mercado6)</f>
        <v>4</v>
      </c>
      <c r="AQ52" s="27" t="n">
        <f aca="false">SUMIFS(super1[Qtde],super1[Item],tab_higiene[[#This Row],[Item]],super1[Bairro],mercado7)+SUMIFS(supercb[Qtde],supercb[Item],tab_higiene[[#This Row],[Item]],supercb[Bairro],mercado7)</f>
        <v>2</v>
      </c>
      <c r="AR52" s="27" t="n">
        <f aca="false">SUMIFS(super1[Qtde],super1[Item],tab_higiene[[#This Row],[Item]],super1[Bairro],mercado8)+SUMIFS(supercb[Qtde],supercb[Item],tab_higiene[[#This Row],[Item]],supercb[Bairro],mercado8)</f>
        <v>2</v>
      </c>
      <c r="AS52" s="27" t="n">
        <f aca="false">SUMIFS(super1[Qtde],super1[Item],tab_higiene[[#This Row],[Item]],super1[Bairro],mercado9)+SUMIFS(supercb[Qtde],supercb[Item],tab_higiene[[#This Row],[Item]],supercb[Bairro],mercado9)</f>
        <v>2</v>
      </c>
      <c r="AT52" s="27" t="n">
        <f aca="false">SUMIFS(super1[Qtde],super1[Item],tab_higiene[[#This Row],[Item]],super1[Bairro],mercado10)+SUMIFS(supercb[Qtde],supercb[Item],tab_higiene[[#This Row],[Item]],supercb[Bairro],mercado10)</f>
        <v>3</v>
      </c>
      <c r="AU52" s="27" t="n">
        <f aca="false">SUMIFS(super1[Qtde],super1[Item],tab_higiene[[#This Row],[Item]],super1[Bairro],mercado11)+SUMIFS(supercb[Qtde],supercb[Item],tab_higiene[[#This Row],[Item]],supercb[Bairro],mercado11)</f>
        <v>2</v>
      </c>
      <c r="AV52" s="27" t="n">
        <f aca="false">SUMIFS(super1[Qtde],super1[Item],tab_higiene[[#This Row],[Item]],super1[Bairro],mercado12)+SUMIFS(supercb[Qtde],supercb[Item],tab_higiene[[#This Row],[Item]],supercb[Bairro],mercado12)</f>
        <v>0</v>
      </c>
      <c r="AW52" s="27" t="n">
        <f aca="false">SUMIFS(super1[Qtde],super1[Item],tab_higiene[[#This Row],[Item]],super1[Bairro],mercado13)+SUMIFS(supercb[Qtde],supercb[Item],tab_higiene[[#This Row],[Item]],supercb[Bairro],mercado13)</f>
        <v>2</v>
      </c>
      <c r="AX52" s="27" t="n">
        <f aca="false">SUMIFS(super1[Qtde],super1[Item],tab_higiene[[#This Row],[Item]],super1[Bairro],mercado14)+SUMIFS(supercb[Qtde],supercb[Item],tab_higiene[[#This Row],[Item]],supercb[Bairro],mercado14)</f>
        <v>0</v>
      </c>
      <c r="AY52" s="27" t="n">
        <f aca="false">SUMIFS(super1[Qtde],super1[Item],tab_higiene[[#This Row],[Item]],super1[Bairro],mercado15)+SUMIFS(supercb[Qtde],supercb[Item],tab_higiene[[#This Row],[Item]],supercb[Bairro],mercado15)</f>
        <v>0</v>
      </c>
      <c r="AZ52" s="27" t="n">
        <f aca="false">SUMIFS(super1[Qtde],super1[Item],tab_higiene[[#This Row],[Item]],super1[Bairro],mercado16)+SUMIFS(supercb[Qtde],supercb[Item],tab_higiene[[#This Row],[Item]],supercb[Bairro],mercado16)</f>
        <v>0</v>
      </c>
      <c r="BA52" s="27" t="n">
        <f aca="false">SUMIFS(super1[Qtde],super1[Item],tab_higiene[[#This Row],[Item]],super1[Bairro],mercado17)+SUMIFS(supercb[Qtde],supercb[Item],tab_higiene[[#This Row],[Item]],supercb[Bairro],mercado17)</f>
        <v>0</v>
      </c>
      <c r="BB52" s="27" t="n">
        <f aca="false">SUMIFS(super1[Qtde],super1[Item],tab_higiene[[#This Row],[Item]],super1[Bairro],mercado18)+SUMIFS(supercb[Qtde],supercb[Item],tab_higiene[[#This Row],[Item]],supercb[Bairro],mercado18)</f>
        <v>0</v>
      </c>
      <c r="BC52" s="27" t="n">
        <f aca="false">SUMIFS(super1[Qtde],super1[Item],tab_higiene[[#This Row],[Item]],super1[Bairro],extras)+SUMIFS(supercb[Qtde],supercb[Item],tab_higiene[[#This Row],[Item]],supercb[Bairro],extras)</f>
        <v>0</v>
      </c>
      <c r="BD52" s="27" t="n">
        <f aca="false">SUM(AK52:BB52)</f>
        <v>22</v>
      </c>
      <c r="BE52" s="27" t="n">
        <f aca="false">IFERROR(BD52*AJ52,0)</f>
        <v>106.612</v>
      </c>
      <c r="BF52" s="28" t="n">
        <f aca="false">IFERROR(AI52*BD52,0)</f>
        <v>32.1856065938679</v>
      </c>
      <c r="BI52" s="22" t="str">
        <f aca="false">tab_alimentos[[#This Row],[Item]]</f>
        <v>Bolacha (140g)</v>
      </c>
      <c r="BJ52" s="22" t="n">
        <f aca="false">IFERROR(FIND(" (",BI52),0)</f>
        <v>8</v>
      </c>
      <c r="BK52" s="22" t="str">
        <f aca="false">IF(BJ52=0,BI52,LEFT(BI52,BJ52-1))</f>
        <v>Bolacha</v>
      </c>
      <c r="BL52" s="22" t="n">
        <f aca="false">tab_alimentos[[#This Row],[kg]]</f>
        <v>4.34</v>
      </c>
      <c r="BM52" s="32" t="s">
        <v>334</v>
      </c>
      <c r="BN52" s="22" t="n">
        <f aca="false">SUMIF($BJ$5:$BJ$158,BM52,$BK$5:$BK$158)</f>
        <v>0</v>
      </c>
      <c r="BP52" s="22" t="str">
        <f aca="false">tab_higiene[[#This Row],[Item]]</f>
        <v>Desinfetante (2L)</v>
      </c>
      <c r="BQ52" s="22" t="n">
        <f aca="false">IFERROR(FIND(" (",BP52),0)</f>
        <v>13</v>
      </c>
      <c r="BR52" s="22" t="str">
        <f aca="false">IF(BQ52=0,BP52,LEFT(BP52,BQ52-1))</f>
        <v>Desinfetante</v>
      </c>
      <c r="BS52" s="22" t="n">
        <f aca="false">higiene[[#This Row],[Quantidade]]</f>
        <v>2</v>
      </c>
      <c r="BT52" s="22" t="n">
        <f aca="false">tab_higiene[Qtde (tot)]</f>
        <v>22</v>
      </c>
      <c r="BU52" s="22" t="n">
        <f aca="false">BS52*BT52</f>
        <v>44</v>
      </c>
      <c r="BV52" s="32" t="s">
        <v>335</v>
      </c>
      <c r="BW52" s="22" t="n">
        <f aca="false">SUMIF($BR$5:$BR$142,BV52,$BU$5:$BU$142)</f>
        <v>0</v>
      </c>
    </row>
    <row r="53" customFormat="false" ht="15" hidden="false" customHeight="false" outlineLevel="0" collapsed="false">
      <c r="I53" s="26" t="str">
        <f aca="false">alimentos[[#This Row],[Item]]</f>
        <v>Bolacha (145g)</v>
      </c>
      <c r="J53" s="27" t="n">
        <f aca="false">IFERROR(alimentos[[#This Row],[kg/embalagem]],0)</f>
        <v>0.145</v>
      </c>
      <c r="K53" s="27" t="n">
        <f aca="false">IFERROR(alimentos[[#This Row],[Preço]],0)</f>
        <v>2.13</v>
      </c>
      <c r="L53" s="27" t="n">
        <f aca="false">SUMIFS(super1[Qtde],super1[Item],tab_alimentos[[#This Row],[Item]],super1[Bairro],mercado1)+SUMIFS(supercb[Qtde],supercb[Item],tab_alimentos[[#This Row],[Item]],supercb[Bairro],mercado1)</f>
        <v>0</v>
      </c>
      <c r="M53" s="27" t="n">
        <f aca="false">SUMIFS(super1[Qtde],super1[Item],tab_alimentos[[#This Row],[Item]],super1[Bairro],mercado2)+SUMIFS(supercb[Qtde],supercb[Item],tab_alimentos[[#This Row],[Item]],supercb[Bairro],mercado2)</f>
        <v>0</v>
      </c>
      <c r="N53" s="27" t="n">
        <f aca="false">SUMIFS(super1[Qtde],super1[Item],tab_alimentos[[#This Row],[Item]],super1[Bairro],mercado3)+SUMIFS(supercb[Qtde],supercb[Item],tab_alimentos[[#This Row],[Item]],supercb[Bairro],mercado3)</f>
        <v>1</v>
      </c>
      <c r="O53" s="27" t="n">
        <f aca="false">SUMIFS(super1[Qtde],super1[Item],tab_alimentos[[#This Row],[Item]],super1[Bairro],mercado4)+SUMIFS(supercb[Qtde],supercb[Item],tab_alimentos[[#This Row],[Item]],supercb[Bairro],mercado4)</f>
        <v>0</v>
      </c>
      <c r="P53" s="27" t="n">
        <f aca="false">SUMIFS(super1[Qtde],super1[Item],tab_alimentos[[#This Row],[Item]],super1[Bairro],mercado5)+SUMIFS(supercb[Qtde],supercb[Item],tab_alimentos[[#This Row],[Item]],supercb[Bairro],mercado5)</f>
        <v>0</v>
      </c>
      <c r="Q53" s="27" t="n">
        <f aca="false">SUMIFS(super1[Qtde],super1[Item],tab_alimentos[[#This Row],[Item]],super1[Bairro],mercado6)+SUMIFS(supercb[Qtde],supercb[Item],tab_alimentos[[#This Row],[Item]],supercb[Bairro],mercado6)</f>
        <v>0</v>
      </c>
      <c r="R53" s="27" t="n">
        <f aca="false">SUMIFS(super1[Qtde],super1[Item],tab_alimentos[[#This Row],[Item]],super1[Bairro],mercado7)+SUMIFS(supercb[Qtde],supercb[Item],tab_alimentos[[#This Row],[Item]],supercb[Bairro],mercado7)</f>
        <v>0</v>
      </c>
      <c r="S53" s="27" t="n">
        <f aca="false">SUMIFS(super1[Qtde],super1[Item],tab_alimentos[[#This Row],[Item]],super1[Bairro],mercado8)+SUMIFS(supercb[Qtde],supercb[Item],tab_alimentos[[#This Row],[Item]],supercb[Bairro],mercado8)</f>
        <v>0</v>
      </c>
      <c r="T53" s="27" t="n">
        <f aca="false">SUMIFS(super1[Qtde],super1[Item],tab_alimentos[[#This Row],[Item]],super1[Bairro],mercado9)+SUMIFS(supercb[Qtde],supercb[Item],tab_alimentos[[#This Row],[Item]],supercb[Bairro],mercado9)</f>
        <v>0</v>
      </c>
      <c r="U53" s="27" t="n">
        <f aca="false">SUMIFS(super1[Qtde],super1[Item],tab_alimentos[[#This Row],[Item]],super1[Bairro],mercado10)+SUMIFS(supercb[Qtde],supercb[Item],tab_alimentos[[#This Row],[Item]],supercb[Bairro],mercado10)</f>
        <v>0</v>
      </c>
      <c r="V53" s="27" t="n">
        <f aca="false">SUMIFS(super1[Qtde],super1[Item],tab_alimentos[[#This Row],[Item]],super1[Bairro],mercado11)+SUMIFS(supercb[Qtde],supercb[Item],tab_alimentos[[#This Row],[Item]],supercb[Bairro],mercado11)</f>
        <v>0</v>
      </c>
      <c r="W53" s="27" t="n">
        <f aca="false">SUMIFS(super1[Qtde],super1[Item],tab_alimentos[[#This Row],[Item]],super1[Bairro],mercado12)+SUMIFS(supercb[Qtde],supercb[Item],tab_alimentos[[#This Row],[Item]],supercb[Bairro],mercado12)</f>
        <v>0</v>
      </c>
      <c r="X53" s="27" t="n">
        <f aca="false">SUMIFS(super1[Qtde],super1[Item],tab_alimentos[[#This Row],[Item]],super1[Bairro],mercado13)+SUMIFS(supercb[Qtde],supercb[Item],tab_alimentos[[#This Row],[Item]],supercb[Bairro],mercado13)</f>
        <v>0</v>
      </c>
      <c r="Y53" s="27" t="n">
        <f aca="false">SUMIFS(super1[Qtde],super1[Item],tab_alimentos[[#This Row],[Item]],super1[Bairro],mercado14)+SUMIFS(supercb[Qtde],supercb[Item],tab_alimentos[[#This Row],[Item]],supercb[Bairro],mercado14)</f>
        <v>0</v>
      </c>
      <c r="Z53" s="27" t="n">
        <f aca="false">SUMIFS(super1[Qtde],super1[Item],tab_alimentos[[#This Row],[Item]],super1[Bairro],mercado15)+SUMIFS(supercb[Qtde],supercb[Item],tab_alimentos[[#This Row],[Item]],supercb[Bairro],mercado15)</f>
        <v>0</v>
      </c>
      <c r="AA53" s="27" t="n">
        <f aca="false">SUMIFS(super1[Qtde],super1[Item],tab_alimentos[[#This Row],[Item]],super1[Bairro],mercado16)+SUMIFS(supercb[Qtde],supercb[Item],tab_alimentos[[#This Row],[Item]],supercb[Bairro],mercado16)</f>
        <v>0</v>
      </c>
      <c r="AB53" s="27" t="n">
        <f aca="false">SUMIFS(super1[Qtde],super1[Item],tab_alimentos[[#This Row],[Item]],super1[Bairro],mercado17)+SUMIFS(supercb[Qtde],supercb[Item],tab_alimentos[[#This Row],[Item]],supercb[Bairro],mercado17)</f>
        <v>0</v>
      </c>
      <c r="AC53" s="27" t="n">
        <f aca="false">SUMIFS(super1[Qtde],super1[Item],tab_alimentos[[#This Row],[Item]],super1[Bairro],mercado18)+SUMIFS(supercb[Qtde],supercb[Item],tab_alimentos[[#This Row],[Item]],supercb[Bairro],mercado18)</f>
        <v>0</v>
      </c>
      <c r="AD53" s="27" t="n">
        <f aca="false">SUMIFS(super1[Qtde],super1[Item],tab_alimentos[[#This Row],[Item]],super1[Bairro],extras)+SUMIFS(supercb[Qtde],supercb[Item],tab_alimentos[[#This Row],[Item]],supercb[Bairro],extras)</f>
        <v>0</v>
      </c>
      <c r="AE53" s="27" t="n">
        <f aca="false">SUM(L53:AC53)</f>
        <v>1</v>
      </c>
      <c r="AF53" s="27" t="n">
        <f aca="false">IFERROR(AE53*K53,0)</f>
        <v>2.13</v>
      </c>
      <c r="AG53" s="28" t="n">
        <f aca="false">IFERROR(J53*AE53,0)</f>
        <v>0.145</v>
      </c>
      <c r="AH53" s="26" t="str">
        <f aca="false">higiene[[#This Row],[Item]]</f>
        <v>Desinfetante (300mL)</v>
      </c>
      <c r="AI53" s="27" t="n">
        <f aca="false">IFERROR(higiene[[#This Row],[Kg equivalente]],0)</f>
        <v>1.50343601881085</v>
      </c>
      <c r="AJ53" s="27" t="n">
        <f aca="false">IFERROR(higiene[[#This Row],[Preço por produto]],0)</f>
        <v>4.98</v>
      </c>
      <c r="AK53" s="27" t="n">
        <f aca="false">SUMIFS(super1[Qtde],super1[Item],tab_higiene[[#This Row],[Item]],super1[Bairro],mercado1)+SUMIFS(supercb[Qtde],supercb[Item],tab_higiene[[#This Row],[Item]],supercb[Bairro],mercado1)</f>
        <v>0</v>
      </c>
      <c r="AL53" s="27" t="n">
        <f aca="false">SUMIFS(super1[Qtde],super1[Item],tab_higiene[[#This Row],[Item]],super1[Bairro],mercado2)+SUMIFS(supercb[Qtde],supercb[Item],tab_higiene[[#This Row],[Item]],supercb[Bairro],mercado2)</f>
        <v>0</v>
      </c>
      <c r="AM53" s="27" t="n">
        <f aca="false">SUMIFS(super1[Qtde],super1[Item],tab_higiene[[#This Row],[Item]],super1[Bairro],mercado3)+SUMIFS(supercb[Qtde],supercb[Item],tab_higiene[[#This Row],[Item]],supercb[Bairro],mercado3)</f>
        <v>0</v>
      </c>
      <c r="AN53" s="27" t="n">
        <f aca="false">SUMIFS(super1[Qtde],super1[Item],tab_higiene[[#This Row],[Item]],super1[Bairro],mercado4)+SUMIFS(supercb[Qtde],supercb[Item],tab_higiene[[#This Row],[Item]],supercb[Bairro],mercado4)</f>
        <v>0</v>
      </c>
      <c r="AO53" s="27" t="n">
        <f aca="false">SUMIFS(super1[Qtde],super1[Item],tab_higiene[[#This Row],[Item]],super1[Bairro],mercado5)+SUMIFS(supercb[Qtde],supercb[Item],tab_higiene[[#This Row],[Item]],supercb[Bairro],mercado5)</f>
        <v>0</v>
      </c>
      <c r="AP53" s="27" t="n">
        <f aca="false">SUMIFS(super1[Qtde],super1[Item],tab_higiene[[#This Row],[Item]],super1[Bairro],mercado6)+SUMIFS(supercb[Qtde],supercb[Item],tab_higiene[[#This Row],[Item]],supercb[Bairro],mercado6)</f>
        <v>0</v>
      </c>
      <c r="AQ53" s="27" t="n">
        <f aca="false">SUMIFS(super1[Qtde],super1[Item],tab_higiene[[#This Row],[Item]],super1[Bairro],mercado7)+SUMIFS(supercb[Qtde],supercb[Item],tab_higiene[[#This Row],[Item]],supercb[Bairro],mercado7)</f>
        <v>0</v>
      </c>
      <c r="AR53" s="27" t="n">
        <f aca="false">SUMIFS(super1[Qtde],super1[Item],tab_higiene[[#This Row],[Item]],super1[Bairro],mercado8)+SUMIFS(supercb[Qtde],supercb[Item],tab_higiene[[#This Row],[Item]],supercb[Bairro],mercado8)</f>
        <v>0</v>
      </c>
      <c r="AS53" s="27" t="n">
        <f aca="false">SUMIFS(super1[Qtde],super1[Item],tab_higiene[[#This Row],[Item]],super1[Bairro],mercado9)+SUMIFS(supercb[Qtde],supercb[Item],tab_higiene[[#This Row],[Item]],supercb[Bairro],mercado9)</f>
        <v>0</v>
      </c>
      <c r="AT53" s="27" t="n">
        <f aca="false">SUMIFS(super1[Qtde],super1[Item],tab_higiene[[#This Row],[Item]],super1[Bairro],mercado10)+SUMIFS(supercb[Qtde],supercb[Item],tab_higiene[[#This Row],[Item]],supercb[Bairro],mercado10)</f>
        <v>0</v>
      </c>
      <c r="AU53" s="27" t="n">
        <f aca="false">SUMIFS(super1[Qtde],super1[Item],tab_higiene[[#This Row],[Item]],super1[Bairro],mercado11)+SUMIFS(supercb[Qtde],supercb[Item],tab_higiene[[#This Row],[Item]],supercb[Bairro],mercado11)</f>
        <v>0</v>
      </c>
      <c r="AV53" s="27" t="n">
        <f aca="false">SUMIFS(super1[Qtde],super1[Item],tab_higiene[[#This Row],[Item]],super1[Bairro],mercado12)+SUMIFS(supercb[Qtde],supercb[Item],tab_higiene[[#This Row],[Item]],supercb[Bairro],mercado12)</f>
        <v>0</v>
      </c>
      <c r="AW53" s="27" t="n">
        <f aca="false">SUMIFS(super1[Qtde],super1[Item],tab_higiene[[#This Row],[Item]],super1[Bairro],mercado13)+SUMIFS(supercb[Qtde],supercb[Item],tab_higiene[[#This Row],[Item]],supercb[Bairro],mercado13)</f>
        <v>0</v>
      </c>
      <c r="AX53" s="27" t="n">
        <f aca="false">SUMIFS(super1[Qtde],super1[Item],tab_higiene[[#This Row],[Item]],super1[Bairro],mercado14)+SUMIFS(supercb[Qtde],supercb[Item],tab_higiene[[#This Row],[Item]],supercb[Bairro],mercado14)</f>
        <v>0</v>
      </c>
      <c r="AY53" s="27" t="n">
        <f aca="false">SUMIFS(super1[Qtde],super1[Item],tab_higiene[[#This Row],[Item]],super1[Bairro],mercado15)+SUMIFS(supercb[Qtde],supercb[Item],tab_higiene[[#This Row],[Item]],supercb[Bairro],mercado15)</f>
        <v>0</v>
      </c>
      <c r="AZ53" s="27" t="n">
        <f aca="false">SUMIFS(super1[Qtde],super1[Item],tab_higiene[[#This Row],[Item]],super1[Bairro],mercado16)+SUMIFS(supercb[Qtde],supercb[Item],tab_higiene[[#This Row],[Item]],supercb[Bairro],mercado16)</f>
        <v>0</v>
      </c>
      <c r="BA53" s="27" t="n">
        <f aca="false">SUMIFS(super1[Qtde],super1[Item],tab_higiene[[#This Row],[Item]],super1[Bairro],mercado17)+SUMIFS(supercb[Qtde],supercb[Item],tab_higiene[[#This Row],[Item]],supercb[Bairro],mercado17)</f>
        <v>0</v>
      </c>
      <c r="BB53" s="27" t="n">
        <f aca="false">SUMIFS(super1[Qtde],super1[Item],tab_higiene[[#This Row],[Item]],super1[Bairro],mercado18)+SUMIFS(supercb[Qtde],supercb[Item],tab_higiene[[#This Row],[Item]],supercb[Bairro],mercado18)</f>
        <v>0</v>
      </c>
      <c r="BC53" s="27" t="n">
        <f aca="false">SUMIFS(super1[Qtde],super1[Item],tab_higiene[[#This Row],[Item]],super1[Bairro],extras)+SUMIFS(supercb[Qtde],supercb[Item],tab_higiene[[#This Row],[Item]],supercb[Bairro],extras)</f>
        <v>0</v>
      </c>
      <c r="BD53" s="27" t="n">
        <f aca="false">SUM(AK53:BB53)</f>
        <v>0</v>
      </c>
      <c r="BE53" s="27" t="n">
        <f aca="false">IFERROR(BD53*AJ53,0)</f>
        <v>0</v>
      </c>
      <c r="BF53" s="28" t="n">
        <f aca="false">IFERROR(AI53*BD53,0)</f>
        <v>0</v>
      </c>
      <c r="BI53" s="22" t="str">
        <f aca="false">tab_alimentos[[#This Row],[Item]]</f>
        <v>Bolacha (145g)</v>
      </c>
      <c r="BJ53" s="22" t="n">
        <f aca="false">IFERROR(FIND(" (",BI53),0)</f>
        <v>8</v>
      </c>
      <c r="BK53" s="22" t="str">
        <f aca="false">IF(BJ53=0,BI53,LEFT(BI53,BJ53-1))</f>
        <v>Bolacha</v>
      </c>
      <c r="BL53" s="22" t="n">
        <f aca="false">tab_alimentos[[#This Row],[kg]]</f>
        <v>0.145</v>
      </c>
      <c r="BM53" s="32" t="s">
        <v>336</v>
      </c>
      <c r="BN53" s="22" t="n">
        <f aca="false">SUMIF($BJ$5:$BJ$158,BM53,$BK$5:$BK$158)</f>
        <v>0</v>
      </c>
      <c r="BP53" s="22" t="str">
        <f aca="false">tab_higiene[[#This Row],[Item]]</f>
        <v>Desinfetante (300mL)</v>
      </c>
      <c r="BQ53" s="22" t="n">
        <f aca="false">IFERROR(FIND(" (",BP53),0)</f>
        <v>13</v>
      </c>
      <c r="BR53" s="22" t="str">
        <f aca="false">IF(BQ53=0,BP53,LEFT(BP53,BQ53-1))</f>
        <v>Desinfetante</v>
      </c>
      <c r="BS53" s="22" t="n">
        <f aca="false">higiene[[#This Row],[Quantidade]]</f>
        <v>3</v>
      </c>
      <c r="BT53" s="22" t="n">
        <f aca="false">tab_higiene[Qtde (tot)]</f>
        <v>0</v>
      </c>
      <c r="BU53" s="22" t="n">
        <f aca="false">BS53*BT53</f>
        <v>0</v>
      </c>
      <c r="BV53" s="32" t="s">
        <v>337</v>
      </c>
      <c r="BW53" s="22" t="n">
        <f aca="false">SUMIF($BR$5:$BR$142,BV53,$BU$5:$BU$142)</f>
        <v>0</v>
      </c>
    </row>
    <row r="54" customFormat="false" ht="15" hidden="false" customHeight="false" outlineLevel="0" collapsed="false">
      <c r="I54" s="26" t="str">
        <f aca="false">alimentos[[#This Row],[Item]]</f>
        <v>Bolacha (150g)</v>
      </c>
      <c r="J54" s="27" t="n">
        <f aca="false">IFERROR(alimentos[[#This Row],[kg/embalagem]],0)</f>
        <v>0.15</v>
      </c>
      <c r="K54" s="27" t="n">
        <f aca="false">IFERROR(alimentos[[#This Row],[Preço]],0)</f>
        <v>2.17</v>
      </c>
      <c r="L54" s="27" t="n">
        <f aca="false">SUMIFS(super1[Qtde],super1[Item],tab_alimentos[[#This Row],[Item]],super1[Bairro],mercado1)+SUMIFS(supercb[Qtde],supercb[Item],tab_alimentos[[#This Row],[Item]],supercb[Bairro],mercado1)</f>
        <v>0</v>
      </c>
      <c r="M54" s="27" t="n">
        <f aca="false">SUMIFS(super1[Qtde],super1[Item],tab_alimentos[[#This Row],[Item]],super1[Bairro],mercado2)+SUMIFS(supercb[Qtde],supercb[Item],tab_alimentos[[#This Row],[Item]],supercb[Bairro],mercado2)</f>
        <v>0</v>
      </c>
      <c r="N54" s="27" t="n">
        <f aca="false">SUMIFS(super1[Qtde],super1[Item],tab_alimentos[[#This Row],[Item]],super1[Bairro],mercado3)+SUMIFS(supercb[Qtde],supercb[Item],tab_alimentos[[#This Row],[Item]],supercb[Bairro],mercado3)</f>
        <v>0</v>
      </c>
      <c r="O54" s="27" t="n">
        <f aca="false">SUMIFS(super1[Qtde],super1[Item],tab_alimentos[[#This Row],[Item]],super1[Bairro],mercado4)+SUMIFS(supercb[Qtde],supercb[Item],tab_alimentos[[#This Row],[Item]],supercb[Bairro],mercado4)</f>
        <v>0</v>
      </c>
      <c r="P54" s="27" t="n">
        <f aca="false">SUMIFS(super1[Qtde],super1[Item],tab_alimentos[[#This Row],[Item]],super1[Bairro],mercado5)+SUMIFS(supercb[Qtde],supercb[Item],tab_alimentos[[#This Row],[Item]],supercb[Bairro],mercado5)</f>
        <v>0</v>
      </c>
      <c r="Q54" s="27" t="n">
        <f aca="false">SUMIFS(super1[Qtde],super1[Item],tab_alimentos[[#This Row],[Item]],super1[Bairro],mercado6)+SUMIFS(supercb[Qtde],supercb[Item],tab_alimentos[[#This Row],[Item]],supercb[Bairro],mercado6)</f>
        <v>0</v>
      </c>
      <c r="R54" s="27" t="n">
        <f aca="false">SUMIFS(super1[Qtde],super1[Item],tab_alimentos[[#This Row],[Item]],super1[Bairro],mercado7)+SUMIFS(supercb[Qtde],supercb[Item],tab_alimentos[[#This Row],[Item]],supercb[Bairro],mercado7)</f>
        <v>0</v>
      </c>
      <c r="S54" s="27" t="n">
        <f aca="false">SUMIFS(super1[Qtde],super1[Item],tab_alimentos[[#This Row],[Item]],super1[Bairro],mercado8)+SUMIFS(supercb[Qtde],supercb[Item],tab_alimentos[[#This Row],[Item]],supercb[Bairro],mercado8)</f>
        <v>0</v>
      </c>
      <c r="T54" s="27" t="n">
        <f aca="false">SUMIFS(super1[Qtde],super1[Item],tab_alimentos[[#This Row],[Item]],super1[Bairro],mercado9)+SUMIFS(supercb[Qtde],supercb[Item],tab_alimentos[[#This Row],[Item]],supercb[Bairro],mercado9)</f>
        <v>0</v>
      </c>
      <c r="U54" s="27" t="n">
        <f aca="false">SUMIFS(super1[Qtde],super1[Item],tab_alimentos[[#This Row],[Item]],super1[Bairro],mercado10)+SUMIFS(supercb[Qtde],supercb[Item],tab_alimentos[[#This Row],[Item]],supercb[Bairro],mercado10)</f>
        <v>0</v>
      </c>
      <c r="V54" s="27" t="n">
        <f aca="false">SUMIFS(super1[Qtde],super1[Item],tab_alimentos[[#This Row],[Item]],super1[Bairro],mercado11)+SUMIFS(supercb[Qtde],supercb[Item],tab_alimentos[[#This Row],[Item]],supercb[Bairro],mercado11)</f>
        <v>0</v>
      </c>
      <c r="W54" s="27" t="n">
        <f aca="false">SUMIFS(super1[Qtde],super1[Item],tab_alimentos[[#This Row],[Item]],super1[Bairro],mercado12)+SUMIFS(supercb[Qtde],supercb[Item],tab_alimentos[[#This Row],[Item]],supercb[Bairro],mercado12)</f>
        <v>0</v>
      </c>
      <c r="X54" s="27" t="n">
        <f aca="false">SUMIFS(super1[Qtde],super1[Item],tab_alimentos[[#This Row],[Item]],super1[Bairro],mercado13)+SUMIFS(supercb[Qtde],supercb[Item],tab_alimentos[[#This Row],[Item]],supercb[Bairro],mercado13)</f>
        <v>0</v>
      </c>
      <c r="Y54" s="27" t="n">
        <f aca="false">SUMIFS(super1[Qtde],super1[Item],tab_alimentos[[#This Row],[Item]],super1[Bairro],mercado14)+SUMIFS(supercb[Qtde],supercb[Item],tab_alimentos[[#This Row],[Item]],supercb[Bairro],mercado14)</f>
        <v>0</v>
      </c>
      <c r="Z54" s="27" t="n">
        <f aca="false">SUMIFS(super1[Qtde],super1[Item],tab_alimentos[[#This Row],[Item]],super1[Bairro],mercado15)+SUMIFS(supercb[Qtde],supercb[Item],tab_alimentos[[#This Row],[Item]],supercb[Bairro],mercado15)</f>
        <v>0</v>
      </c>
      <c r="AA54" s="27" t="n">
        <f aca="false">SUMIFS(super1[Qtde],super1[Item],tab_alimentos[[#This Row],[Item]],super1[Bairro],mercado16)+SUMIFS(supercb[Qtde],supercb[Item],tab_alimentos[[#This Row],[Item]],supercb[Bairro],mercado16)</f>
        <v>0</v>
      </c>
      <c r="AB54" s="27" t="n">
        <f aca="false">SUMIFS(super1[Qtde],super1[Item],tab_alimentos[[#This Row],[Item]],super1[Bairro],mercado17)+SUMIFS(supercb[Qtde],supercb[Item],tab_alimentos[[#This Row],[Item]],supercb[Bairro],mercado17)</f>
        <v>0</v>
      </c>
      <c r="AC54" s="27" t="n">
        <f aca="false">SUMIFS(super1[Qtde],super1[Item],tab_alimentos[[#This Row],[Item]],super1[Bairro],mercado18)+SUMIFS(supercb[Qtde],supercb[Item],tab_alimentos[[#This Row],[Item]],supercb[Bairro],mercado18)</f>
        <v>0</v>
      </c>
      <c r="AD54" s="27" t="n">
        <f aca="false">SUMIFS(super1[Qtde],super1[Item],tab_alimentos[[#This Row],[Item]],super1[Bairro],extras)+SUMIFS(supercb[Qtde],supercb[Item],tab_alimentos[[#This Row],[Item]],supercb[Bairro],extras)</f>
        <v>0</v>
      </c>
      <c r="AE54" s="27" t="n">
        <f aca="false">SUM(L54:AC54)</f>
        <v>0</v>
      </c>
      <c r="AF54" s="27" t="n">
        <f aca="false">IFERROR(AE54*K54,0)</f>
        <v>0</v>
      </c>
      <c r="AG54" s="28" t="n">
        <f aca="false">IFERROR(J54*AE54,0)</f>
        <v>0</v>
      </c>
      <c r="AH54" s="26" t="str">
        <f aca="false">higiene[[#This Row],[Item]]</f>
        <v>Desinfetante (5L)</v>
      </c>
      <c r="AI54" s="27" t="n">
        <f aca="false">IFERROR(higiene[[#This Row],[Kg equivalente]],0)</f>
        <v>2.93441728972719</v>
      </c>
      <c r="AJ54" s="27" t="n">
        <f aca="false">IFERROR(higiene[[#This Row],[Preço por produto]],0)</f>
        <v>9.72</v>
      </c>
      <c r="AK54" s="27" t="n">
        <f aca="false">SUMIFS(super1[Qtde],super1[Item],tab_higiene[[#This Row],[Item]],super1[Bairro],mercado1)+SUMIFS(supercb[Qtde],supercb[Item],tab_higiene[[#This Row],[Item]],supercb[Bairro],mercado1)</f>
        <v>0</v>
      </c>
      <c r="AL54" s="27" t="n">
        <f aca="false">SUMIFS(super1[Qtde],super1[Item],tab_higiene[[#This Row],[Item]],super1[Bairro],mercado2)+SUMIFS(supercb[Qtde],supercb[Item],tab_higiene[[#This Row],[Item]],supercb[Bairro],mercado2)</f>
        <v>0</v>
      </c>
      <c r="AM54" s="27" t="n">
        <f aca="false">SUMIFS(super1[Qtde],super1[Item],tab_higiene[[#This Row],[Item]],super1[Bairro],mercado3)+SUMIFS(supercb[Qtde],supercb[Item],tab_higiene[[#This Row],[Item]],supercb[Bairro],mercado3)</f>
        <v>0</v>
      </c>
      <c r="AN54" s="27" t="n">
        <f aca="false">SUMIFS(super1[Qtde],super1[Item],tab_higiene[[#This Row],[Item]],super1[Bairro],mercado4)+SUMIFS(supercb[Qtde],supercb[Item],tab_higiene[[#This Row],[Item]],supercb[Bairro],mercado4)</f>
        <v>0</v>
      </c>
      <c r="AO54" s="27" t="n">
        <f aca="false">SUMIFS(super1[Qtde],super1[Item],tab_higiene[[#This Row],[Item]],super1[Bairro],mercado5)+SUMIFS(supercb[Qtde],supercb[Item],tab_higiene[[#This Row],[Item]],supercb[Bairro],mercado5)</f>
        <v>0</v>
      </c>
      <c r="AP54" s="27" t="n">
        <f aca="false">SUMIFS(super1[Qtde],super1[Item],tab_higiene[[#This Row],[Item]],super1[Bairro],mercado6)+SUMIFS(supercb[Qtde],supercb[Item],tab_higiene[[#This Row],[Item]],supercb[Bairro],mercado6)</f>
        <v>0</v>
      </c>
      <c r="AQ54" s="27" t="n">
        <f aca="false">SUMIFS(super1[Qtde],super1[Item],tab_higiene[[#This Row],[Item]],super1[Bairro],mercado7)+SUMIFS(supercb[Qtde],supercb[Item],tab_higiene[[#This Row],[Item]],supercb[Bairro],mercado7)</f>
        <v>0</v>
      </c>
      <c r="AR54" s="27" t="n">
        <f aca="false">SUMIFS(super1[Qtde],super1[Item],tab_higiene[[#This Row],[Item]],super1[Bairro],mercado8)+SUMIFS(supercb[Qtde],supercb[Item],tab_higiene[[#This Row],[Item]],supercb[Bairro],mercado8)</f>
        <v>0</v>
      </c>
      <c r="AS54" s="27" t="n">
        <f aca="false">SUMIFS(super1[Qtde],super1[Item],tab_higiene[[#This Row],[Item]],super1[Bairro],mercado9)+SUMIFS(supercb[Qtde],supercb[Item],tab_higiene[[#This Row],[Item]],supercb[Bairro],mercado9)</f>
        <v>1</v>
      </c>
      <c r="AT54" s="27" t="n">
        <f aca="false">SUMIFS(super1[Qtde],super1[Item],tab_higiene[[#This Row],[Item]],super1[Bairro],mercado10)+SUMIFS(supercb[Qtde],supercb[Item],tab_higiene[[#This Row],[Item]],supercb[Bairro],mercado10)</f>
        <v>0</v>
      </c>
      <c r="AU54" s="27" t="n">
        <f aca="false">SUMIFS(super1[Qtde],super1[Item],tab_higiene[[#This Row],[Item]],super1[Bairro],mercado11)+SUMIFS(supercb[Qtde],supercb[Item],tab_higiene[[#This Row],[Item]],supercb[Bairro],mercado11)</f>
        <v>0</v>
      </c>
      <c r="AV54" s="27" t="n">
        <f aca="false">SUMIFS(super1[Qtde],super1[Item],tab_higiene[[#This Row],[Item]],super1[Bairro],mercado12)+SUMIFS(supercb[Qtde],supercb[Item],tab_higiene[[#This Row],[Item]],supercb[Bairro],mercado12)</f>
        <v>0</v>
      </c>
      <c r="AW54" s="27" t="n">
        <f aca="false">SUMIFS(super1[Qtde],super1[Item],tab_higiene[[#This Row],[Item]],super1[Bairro],mercado13)+SUMIFS(supercb[Qtde],supercb[Item],tab_higiene[[#This Row],[Item]],supercb[Bairro],mercado13)</f>
        <v>0</v>
      </c>
      <c r="AX54" s="27" t="n">
        <f aca="false">SUMIFS(super1[Qtde],super1[Item],tab_higiene[[#This Row],[Item]],super1[Bairro],mercado14)+SUMIFS(supercb[Qtde],supercb[Item],tab_higiene[[#This Row],[Item]],supercb[Bairro],mercado14)</f>
        <v>0</v>
      </c>
      <c r="AY54" s="27" t="n">
        <f aca="false">SUMIFS(super1[Qtde],super1[Item],tab_higiene[[#This Row],[Item]],super1[Bairro],mercado15)+SUMIFS(supercb[Qtde],supercb[Item],tab_higiene[[#This Row],[Item]],supercb[Bairro],mercado15)</f>
        <v>0</v>
      </c>
      <c r="AZ54" s="27" t="n">
        <f aca="false">SUMIFS(super1[Qtde],super1[Item],tab_higiene[[#This Row],[Item]],super1[Bairro],mercado16)+SUMIFS(supercb[Qtde],supercb[Item],tab_higiene[[#This Row],[Item]],supercb[Bairro],mercado16)</f>
        <v>0</v>
      </c>
      <c r="BA54" s="27" t="n">
        <f aca="false">SUMIFS(super1[Qtde],super1[Item],tab_higiene[[#This Row],[Item]],super1[Bairro],mercado17)+SUMIFS(supercb[Qtde],supercb[Item],tab_higiene[[#This Row],[Item]],supercb[Bairro],mercado17)</f>
        <v>0</v>
      </c>
      <c r="BB54" s="27" t="n">
        <f aca="false">SUMIFS(super1[Qtde],super1[Item],tab_higiene[[#This Row],[Item]],super1[Bairro],mercado18)+SUMIFS(supercb[Qtde],supercb[Item],tab_higiene[[#This Row],[Item]],supercb[Bairro],mercado18)</f>
        <v>0</v>
      </c>
      <c r="BC54" s="27" t="n">
        <f aca="false">SUMIFS(super1[Qtde],super1[Item],tab_higiene[[#This Row],[Item]],super1[Bairro],extras)+SUMIFS(supercb[Qtde],supercb[Item],tab_higiene[[#This Row],[Item]],supercb[Bairro],extras)</f>
        <v>0</v>
      </c>
      <c r="BD54" s="27" t="n">
        <f aca="false">SUM(AK54:BB54)</f>
        <v>1</v>
      </c>
      <c r="BE54" s="27" t="n">
        <f aca="false">IFERROR(BD54*AJ54,0)</f>
        <v>9.72</v>
      </c>
      <c r="BF54" s="28" t="n">
        <f aca="false">IFERROR(AI54*BD54,0)</f>
        <v>2.93441728972719</v>
      </c>
      <c r="BI54" s="22" t="str">
        <f aca="false">tab_alimentos[[#This Row],[Item]]</f>
        <v>Bolacha (150g)</v>
      </c>
      <c r="BJ54" s="22" t="n">
        <f aca="false">IFERROR(FIND(" (",BI54),0)</f>
        <v>8</v>
      </c>
      <c r="BK54" s="22" t="str">
        <f aca="false">IF(BJ54=0,BI54,LEFT(BI54,BJ54-1))</f>
        <v>Bolacha</v>
      </c>
      <c r="BL54" s="22" t="n">
        <f aca="false">tab_alimentos[[#This Row],[kg]]</f>
        <v>0</v>
      </c>
      <c r="BM54" s="32" t="s">
        <v>338</v>
      </c>
      <c r="BN54" s="22" t="n">
        <f aca="false">SUMIF($BJ$5:$BJ$158,BM54,$BK$5:$BK$158)</f>
        <v>0</v>
      </c>
      <c r="BP54" s="22" t="str">
        <f aca="false">tab_higiene[[#This Row],[Item]]</f>
        <v>Desinfetante (5L)</v>
      </c>
      <c r="BQ54" s="22" t="n">
        <f aca="false">IFERROR(FIND(" (",BP54),0)</f>
        <v>13</v>
      </c>
      <c r="BR54" s="22" t="str">
        <f aca="false">IF(BQ54=0,BP54,LEFT(BP54,BQ54-1))</f>
        <v>Desinfetante</v>
      </c>
      <c r="BS54" s="22" t="n">
        <f aca="false">higiene[[#This Row],[Quantidade]]</f>
        <v>1</v>
      </c>
      <c r="BT54" s="22" t="n">
        <f aca="false">tab_higiene[Qtde (tot)]</f>
        <v>1</v>
      </c>
      <c r="BU54" s="22" t="n">
        <f aca="false">BS54*BT54</f>
        <v>1</v>
      </c>
      <c r="BV54" s="32" t="s">
        <v>339</v>
      </c>
      <c r="BW54" s="22" t="n">
        <f aca="false">SUMIF($BR$5:$BR$142,BV54,$BU$5:$BU$142)</f>
        <v>0</v>
      </c>
    </row>
    <row r="55" customFormat="false" ht="15" hidden="false" customHeight="false" outlineLevel="0" collapsed="false">
      <c r="I55" s="26" t="str">
        <f aca="false">alimentos[[#This Row],[Item]]</f>
        <v>Bolacha (160g)</v>
      </c>
      <c r="J55" s="27" t="n">
        <f aca="false">IFERROR(alimentos[[#This Row],[kg/embalagem]],0)</f>
        <v>0.16</v>
      </c>
      <c r="K55" s="27" t="n">
        <f aca="false">IFERROR(alimentos[[#This Row],[Preço]],0)</f>
        <v>2.00666666666667</v>
      </c>
      <c r="L55" s="27" t="n">
        <f aca="false">SUMIFS(super1[Qtde],super1[Item],tab_alimentos[[#This Row],[Item]],super1[Bairro],mercado1)+SUMIFS(supercb[Qtde],supercb[Item],tab_alimentos[[#This Row],[Item]],supercb[Bairro],mercado1)</f>
        <v>0</v>
      </c>
      <c r="M55" s="27" t="n">
        <f aca="false">SUMIFS(super1[Qtde],super1[Item],tab_alimentos[[#This Row],[Item]],super1[Bairro],mercado2)+SUMIFS(supercb[Qtde],supercb[Item],tab_alimentos[[#This Row],[Item]],supercb[Bairro],mercado2)</f>
        <v>0</v>
      </c>
      <c r="N55" s="27" t="n">
        <f aca="false">SUMIFS(super1[Qtde],super1[Item],tab_alimentos[[#This Row],[Item]],super1[Bairro],mercado3)+SUMIFS(supercb[Qtde],supercb[Item],tab_alimentos[[#This Row],[Item]],supercb[Bairro],mercado3)</f>
        <v>0</v>
      </c>
      <c r="O55" s="27" t="n">
        <f aca="false">SUMIFS(super1[Qtde],super1[Item],tab_alimentos[[#This Row],[Item]],super1[Bairro],mercado4)+SUMIFS(supercb[Qtde],supercb[Item],tab_alimentos[[#This Row],[Item]],supercb[Bairro],mercado4)</f>
        <v>0</v>
      </c>
      <c r="P55" s="27" t="n">
        <f aca="false">SUMIFS(super1[Qtde],super1[Item],tab_alimentos[[#This Row],[Item]],super1[Bairro],mercado5)+SUMIFS(supercb[Qtde],supercb[Item],tab_alimentos[[#This Row],[Item]],supercb[Bairro],mercado5)</f>
        <v>0</v>
      </c>
      <c r="Q55" s="27" t="n">
        <f aca="false">SUMIFS(super1[Qtde],super1[Item],tab_alimentos[[#This Row],[Item]],super1[Bairro],mercado6)+SUMIFS(supercb[Qtde],supercb[Item],tab_alimentos[[#This Row],[Item]],supercb[Bairro],mercado6)</f>
        <v>6</v>
      </c>
      <c r="R55" s="27" t="n">
        <f aca="false">SUMIFS(super1[Qtde],super1[Item],tab_alimentos[[#This Row],[Item]],super1[Bairro],mercado7)+SUMIFS(supercb[Qtde],supercb[Item],tab_alimentos[[#This Row],[Item]],supercb[Bairro],mercado7)</f>
        <v>1</v>
      </c>
      <c r="S55" s="27" t="n">
        <f aca="false">SUMIFS(super1[Qtde],super1[Item],tab_alimentos[[#This Row],[Item]],super1[Bairro],mercado8)+SUMIFS(supercb[Qtde],supercb[Item],tab_alimentos[[#This Row],[Item]],supercb[Bairro],mercado8)</f>
        <v>1</v>
      </c>
      <c r="T55" s="27" t="n">
        <f aca="false">SUMIFS(super1[Qtde],super1[Item],tab_alimentos[[#This Row],[Item]],super1[Bairro],mercado9)+SUMIFS(supercb[Qtde],supercb[Item],tab_alimentos[[#This Row],[Item]],supercb[Bairro],mercado9)</f>
        <v>0</v>
      </c>
      <c r="U55" s="27" t="n">
        <f aca="false">SUMIFS(super1[Qtde],super1[Item],tab_alimentos[[#This Row],[Item]],super1[Bairro],mercado10)+SUMIFS(supercb[Qtde],supercb[Item],tab_alimentos[[#This Row],[Item]],supercb[Bairro],mercado10)</f>
        <v>0</v>
      </c>
      <c r="V55" s="27" t="n">
        <f aca="false">SUMIFS(super1[Qtde],super1[Item],tab_alimentos[[#This Row],[Item]],super1[Bairro],mercado11)+SUMIFS(supercb[Qtde],supercb[Item],tab_alimentos[[#This Row],[Item]],supercb[Bairro],mercado11)</f>
        <v>0</v>
      </c>
      <c r="W55" s="27" t="n">
        <f aca="false">SUMIFS(super1[Qtde],super1[Item],tab_alimentos[[#This Row],[Item]],super1[Bairro],mercado12)+SUMIFS(supercb[Qtde],supercb[Item],tab_alimentos[[#This Row],[Item]],supercb[Bairro],mercado12)</f>
        <v>0</v>
      </c>
      <c r="X55" s="27" t="n">
        <f aca="false">SUMIFS(super1[Qtde],super1[Item],tab_alimentos[[#This Row],[Item]],super1[Bairro],mercado13)+SUMIFS(supercb[Qtde],supercb[Item],tab_alimentos[[#This Row],[Item]],supercb[Bairro],mercado13)</f>
        <v>0</v>
      </c>
      <c r="Y55" s="27" t="n">
        <f aca="false">SUMIFS(super1[Qtde],super1[Item],tab_alimentos[[#This Row],[Item]],super1[Bairro],mercado14)+SUMIFS(supercb[Qtde],supercb[Item],tab_alimentos[[#This Row],[Item]],supercb[Bairro],mercado14)</f>
        <v>0</v>
      </c>
      <c r="Z55" s="27" t="n">
        <f aca="false">SUMIFS(super1[Qtde],super1[Item],tab_alimentos[[#This Row],[Item]],super1[Bairro],mercado15)+SUMIFS(supercb[Qtde],supercb[Item],tab_alimentos[[#This Row],[Item]],supercb[Bairro],mercado15)</f>
        <v>0</v>
      </c>
      <c r="AA55" s="27" t="n">
        <f aca="false">SUMIFS(super1[Qtde],super1[Item],tab_alimentos[[#This Row],[Item]],super1[Bairro],mercado16)+SUMIFS(supercb[Qtde],supercb[Item],tab_alimentos[[#This Row],[Item]],supercb[Bairro],mercado16)</f>
        <v>0</v>
      </c>
      <c r="AB55" s="27" t="n">
        <f aca="false">SUMIFS(super1[Qtde],super1[Item],tab_alimentos[[#This Row],[Item]],super1[Bairro],mercado17)+SUMIFS(supercb[Qtde],supercb[Item],tab_alimentos[[#This Row],[Item]],supercb[Bairro],mercado17)</f>
        <v>0</v>
      </c>
      <c r="AC55" s="27" t="n">
        <f aca="false">SUMIFS(super1[Qtde],super1[Item],tab_alimentos[[#This Row],[Item]],super1[Bairro],mercado18)+SUMIFS(supercb[Qtde],supercb[Item],tab_alimentos[[#This Row],[Item]],supercb[Bairro],mercado18)</f>
        <v>0</v>
      </c>
      <c r="AD55" s="27" t="n">
        <f aca="false">SUMIFS(super1[Qtde],super1[Item],tab_alimentos[[#This Row],[Item]],super1[Bairro],extras)+SUMIFS(supercb[Qtde],supercb[Item],tab_alimentos[[#This Row],[Item]],supercb[Bairro],extras)</f>
        <v>0</v>
      </c>
      <c r="AE55" s="27" t="n">
        <f aca="false">SUM(L55:AC55)</f>
        <v>8</v>
      </c>
      <c r="AF55" s="27" t="n">
        <f aca="false">IFERROR(AE55*K55,0)</f>
        <v>16.0533333333333</v>
      </c>
      <c r="AG55" s="28" t="n">
        <f aca="false">IFERROR(J55*AE55,0)</f>
        <v>1.28</v>
      </c>
      <c r="AH55" s="26" t="str">
        <f aca="false">higiene[[#This Row],[Item]]</f>
        <v>Desinfetante (750mL)</v>
      </c>
      <c r="AI55" s="27" t="n">
        <f aca="false">IFERROR(higiene[[#This Row],[Kg equivalente]],0)</f>
        <v>0.917005403039748</v>
      </c>
      <c r="AJ55" s="27" t="n">
        <f aca="false">IFERROR(higiene[[#This Row],[Preço por produto]],0)</f>
        <v>3.0375</v>
      </c>
      <c r="AK55" s="27" t="n">
        <f aca="false">SUMIFS(super1[Qtde],super1[Item],tab_higiene[[#This Row],[Item]],super1[Bairro],mercado1)+SUMIFS(supercb[Qtde],supercb[Item],tab_higiene[[#This Row],[Item]],supercb[Bairro],mercado1)</f>
        <v>0</v>
      </c>
      <c r="AL55" s="27" t="n">
        <f aca="false">SUMIFS(super1[Qtde],super1[Item],tab_higiene[[#This Row],[Item]],super1[Bairro],mercado2)+SUMIFS(supercb[Qtde],supercb[Item],tab_higiene[[#This Row],[Item]],supercb[Bairro],mercado2)</f>
        <v>0</v>
      </c>
      <c r="AM55" s="27" t="n">
        <f aca="false">SUMIFS(super1[Qtde],super1[Item],tab_higiene[[#This Row],[Item]],super1[Bairro],mercado3)+SUMIFS(supercb[Qtde],supercb[Item],tab_higiene[[#This Row],[Item]],supercb[Bairro],mercado3)</f>
        <v>1</v>
      </c>
      <c r="AN55" s="27" t="n">
        <f aca="false">SUMIFS(super1[Qtde],super1[Item],tab_higiene[[#This Row],[Item]],super1[Bairro],mercado4)+SUMIFS(supercb[Qtde],supercb[Item],tab_higiene[[#This Row],[Item]],supercb[Bairro],mercado4)</f>
        <v>2</v>
      </c>
      <c r="AO55" s="27" t="n">
        <f aca="false">SUMIFS(super1[Qtde],super1[Item],tab_higiene[[#This Row],[Item]],super1[Bairro],mercado5)+SUMIFS(supercb[Qtde],supercb[Item],tab_higiene[[#This Row],[Item]],supercb[Bairro],mercado5)</f>
        <v>0</v>
      </c>
      <c r="AP55" s="27" t="n">
        <f aca="false">SUMIFS(super1[Qtde],super1[Item],tab_higiene[[#This Row],[Item]],super1[Bairro],mercado6)+SUMIFS(supercb[Qtde],supercb[Item],tab_higiene[[#This Row],[Item]],supercb[Bairro],mercado6)</f>
        <v>0</v>
      </c>
      <c r="AQ55" s="27" t="n">
        <f aca="false">SUMIFS(super1[Qtde],super1[Item],tab_higiene[[#This Row],[Item]],super1[Bairro],mercado7)+SUMIFS(supercb[Qtde],supercb[Item],tab_higiene[[#This Row],[Item]],supercb[Bairro],mercado7)</f>
        <v>0</v>
      </c>
      <c r="AR55" s="27" t="n">
        <f aca="false">SUMIFS(super1[Qtde],super1[Item],tab_higiene[[#This Row],[Item]],super1[Bairro],mercado8)+SUMIFS(supercb[Qtde],supercb[Item],tab_higiene[[#This Row],[Item]],supercb[Bairro],mercado8)</f>
        <v>2</v>
      </c>
      <c r="AS55" s="27" t="n">
        <f aca="false">SUMIFS(super1[Qtde],super1[Item],tab_higiene[[#This Row],[Item]],super1[Bairro],mercado9)+SUMIFS(supercb[Qtde],supercb[Item],tab_higiene[[#This Row],[Item]],supercb[Bairro],mercado9)</f>
        <v>0</v>
      </c>
      <c r="AT55" s="27" t="n">
        <f aca="false">SUMIFS(super1[Qtde],super1[Item],tab_higiene[[#This Row],[Item]],super1[Bairro],mercado10)+SUMIFS(supercb[Qtde],supercb[Item],tab_higiene[[#This Row],[Item]],supercb[Bairro],mercado10)</f>
        <v>0</v>
      </c>
      <c r="AU55" s="27" t="n">
        <f aca="false">SUMIFS(super1[Qtde],super1[Item],tab_higiene[[#This Row],[Item]],super1[Bairro],mercado11)+SUMIFS(supercb[Qtde],supercb[Item],tab_higiene[[#This Row],[Item]],supercb[Bairro],mercado11)</f>
        <v>0</v>
      </c>
      <c r="AV55" s="27" t="n">
        <f aca="false">SUMIFS(super1[Qtde],super1[Item],tab_higiene[[#This Row],[Item]],super1[Bairro],mercado12)+SUMIFS(supercb[Qtde],supercb[Item],tab_higiene[[#This Row],[Item]],supercb[Bairro],mercado12)</f>
        <v>0</v>
      </c>
      <c r="AW55" s="27" t="n">
        <f aca="false">SUMIFS(super1[Qtde],super1[Item],tab_higiene[[#This Row],[Item]],super1[Bairro],mercado13)+SUMIFS(supercb[Qtde],supercb[Item],tab_higiene[[#This Row],[Item]],supercb[Bairro],mercado13)</f>
        <v>0</v>
      </c>
      <c r="AX55" s="27" t="n">
        <f aca="false">SUMIFS(super1[Qtde],super1[Item],tab_higiene[[#This Row],[Item]],super1[Bairro],mercado14)+SUMIFS(supercb[Qtde],supercb[Item],tab_higiene[[#This Row],[Item]],supercb[Bairro],mercado14)</f>
        <v>0</v>
      </c>
      <c r="AY55" s="27" t="n">
        <f aca="false">SUMIFS(super1[Qtde],super1[Item],tab_higiene[[#This Row],[Item]],super1[Bairro],mercado15)+SUMIFS(supercb[Qtde],supercb[Item],tab_higiene[[#This Row],[Item]],supercb[Bairro],mercado15)</f>
        <v>0</v>
      </c>
      <c r="AZ55" s="27" t="n">
        <f aca="false">SUMIFS(super1[Qtde],super1[Item],tab_higiene[[#This Row],[Item]],super1[Bairro],mercado16)+SUMIFS(supercb[Qtde],supercb[Item],tab_higiene[[#This Row],[Item]],supercb[Bairro],mercado16)</f>
        <v>0</v>
      </c>
      <c r="BA55" s="27" t="n">
        <f aca="false">SUMIFS(super1[Qtde],super1[Item],tab_higiene[[#This Row],[Item]],super1[Bairro],mercado17)+SUMIFS(supercb[Qtde],supercb[Item],tab_higiene[[#This Row],[Item]],supercb[Bairro],mercado17)</f>
        <v>0</v>
      </c>
      <c r="BB55" s="27" t="n">
        <f aca="false">SUMIFS(super1[Qtde],super1[Item],tab_higiene[[#This Row],[Item]],super1[Bairro],mercado18)+SUMIFS(supercb[Qtde],supercb[Item],tab_higiene[[#This Row],[Item]],supercb[Bairro],mercado18)</f>
        <v>0</v>
      </c>
      <c r="BC55" s="27" t="n">
        <f aca="false">SUMIFS(super1[Qtde],super1[Item],tab_higiene[[#This Row],[Item]],super1[Bairro],extras)+SUMIFS(supercb[Qtde],supercb[Item],tab_higiene[[#This Row],[Item]],supercb[Bairro],extras)</f>
        <v>0</v>
      </c>
      <c r="BD55" s="27" t="n">
        <f aca="false">SUM(AK55:BB55)</f>
        <v>5</v>
      </c>
      <c r="BE55" s="27" t="n">
        <f aca="false">IFERROR(BD55*AJ55,0)</f>
        <v>15.1875</v>
      </c>
      <c r="BF55" s="28" t="n">
        <f aca="false">IFERROR(AI55*BD55,0)</f>
        <v>4.58502701519874</v>
      </c>
      <c r="BI55" s="22" t="str">
        <f aca="false">tab_alimentos[[#This Row],[Item]]</f>
        <v>Bolacha (160g)</v>
      </c>
      <c r="BJ55" s="22" t="n">
        <f aca="false">IFERROR(FIND(" (",BI55),0)</f>
        <v>8</v>
      </c>
      <c r="BK55" s="22" t="str">
        <f aca="false">IF(BJ55=0,BI55,LEFT(BI55,BJ55-1))</f>
        <v>Bolacha</v>
      </c>
      <c r="BL55" s="22" t="n">
        <f aca="false">tab_alimentos[[#This Row],[kg]]</f>
        <v>1.28</v>
      </c>
      <c r="BM55" s="32" t="s">
        <v>340</v>
      </c>
      <c r="BN55" s="22" t="n">
        <f aca="false">SUMIF($BJ$5:$BJ$158,BM55,$BK$5:$BK$158)</f>
        <v>0</v>
      </c>
      <c r="BP55" s="22" t="str">
        <f aca="false">tab_higiene[[#This Row],[Item]]</f>
        <v>Desinfetante (750mL)</v>
      </c>
      <c r="BQ55" s="22" t="n">
        <f aca="false">IFERROR(FIND(" (",BP55),0)</f>
        <v>13</v>
      </c>
      <c r="BR55" s="22" t="str">
        <f aca="false">IF(BQ55=0,BP55,LEFT(BP55,BQ55-1))</f>
        <v>Desinfetante</v>
      </c>
      <c r="BS55" s="22" t="n">
        <f aca="false">higiene[[#This Row],[Quantidade]]</f>
        <v>3</v>
      </c>
      <c r="BT55" s="22" t="n">
        <f aca="false">tab_higiene[Qtde (tot)]</f>
        <v>5</v>
      </c>
      <c r="BU55" s="22" t="n">
        <f aca="false">BS55*BT55</f>
        <v>15</v>
      </c>
      <c r="BV55" s="32" t="s">
        <v>341</v>
      </c>
      <c r="BW55" s="22" t="n">
        <f aca="false">SUMIF($BR$5:$BR$142,BV55,$BU$5:$BU$142)</f>
        <v>0</v>
      </c>
    </row>
    <row r="56" customFormat="false" ht="15" hidden="false" customHeight="false" outlineLevel="0" collapsed="false">
      <c r="I56" s="26" t="str">
        <f aca="false">alimentos[[#This Row],[Item]]</f>
        <v>Bolacha (170g)</v>
      </c>
      <c r="J56" s="27" t="n">
        <f aca="false">IFERROR(alimentos[[#This Row],[kg/embalagem]],0)</f>
        <v>0.17</v>
      </c>
      <c r="K56" s="27" t="n">
        <f aca="false">IFERROR(alimentos[[#This Row],[Preço]],0)</f>
        <v>2.11</v>
      </c>
      <c r="L56" s="27" t="n">
        <f aca="false">SUMIFS(super1[Qtde],super1[Item],tab_alimentos[[#This Row],[Item]],super1[Bairro],mercado1)+SUMIFS(supercb[Qtde],supercb[Item],tab_alimentos[[#This Row],[Item]],supercb[Bairro],mercado1)</f>
        <v>0</v>
      </c>
      <c r="M56" s="27" t="n">
        <f aca="false">SUMIFS(super1[Qtde],super1[Item],tab_alimentos[[#This Row],[Item]],super1[Bairro],mercado2)+SUMIFS(supercb[Qtde],supercb[Item],tab_alimentos[[#This Row],[Item]],supercb[Bairro],mercado2)</f>
        <v>0</v>
      </c>
      <c r="N56" s="27" t="n">
        <f aca="false">SUMIFS(super1[Qtde],super1[Item],tab_alimentos[[#This Row],[Item]],super1[Bairro],mercado3)+SUMIFS(supercb[Qtde],supercb[Item],tab_alimentos[[#This Row],[Item]],supercb[Bairro],mercado3)</f>
        <v>0</v>
      </c>
      <c r="O56" s="27" t="n">
        <f aca="false">SUMIFS(super1[Qtde],super1[Item],tab_alimentos[[#This Row],[Item]],super1[Bairro],mercado4)+SUMIFS(supercb[Qtde],supercb[Item],tab_alimentos[[#This Row],[Item]],supercb[Bairro],mercado4)</f>
        <v>1</v>
      </c>
      <c r="P56" s="27" t="n">
        <f aca="false">SUMIFS(super1[Qtde],super1[Item],tab_alimentos[[#This Row],[Item]],super1[Bairro],mercado5)+SUMIFS(supercb[Qtde],supercb[Item],tab_alimentos[[#This Row],[Item]],supercb[Bairro],mercado5)</f>
        <v>0</v>
      </c>
      <c r="Q56" s="27" t="n">
        <f aca="false">SUMIFS(super1[Qtde],super1[Item],tab_alimentos[[#This Row],[Item]],super1[Bairro],mercado6)+SUMIFS(supercb[Qtde],supercb[Item],tab_alimentos[[#This Row],[Item]],supercb[Bairro],mercado6)</f>
        <v>0</v>
      </c>
      <c r="R56" s="27" t="n">
        <f aca="false">SUMIFS(super1[Qtde],super1[Item],tab_alimentos[[#This Row],[Item]],super1[Bairro],mercado7)+SUMIFS(supercb[Qtde],supercb[Item],tab_alimentos[[#This Row],[Item]],supercb[Bairro],mercado7)</f>
        <v>0</v>
      </c>
      <c r="S56" s="27" t="n">
        <f aca="false">SUMIFS(super1[Qtde],super1[Item],tab_alimentos[[#This Row],[Item]],super1[Bairro],mercado8)+SUMIFS(supercb[Qtde],supercb[Item],tab_alimentos[[#This Row],[Item]],supercb[Bairro],mercado8)</f>
        <v>0</v>
      </c>
      <c r="T56" s="27" t="n">
        <f aca="false">SUMIFS(super1[Qtde],super1[Item],tab_alimentos[[#This Row],[Item]],super1[Bairro],mercado9)+SUMIFS(supercb[Qtde],supercb[Item],tab_alimentos[[#This Row],[Item]],supercb[Bairro],mercado9)</f>
        <v>0</v>
      </c>
      <c r="U56" s="27" t="n">
        <f aca="false">SUMIFS(super1[Qtde],super1[Item],tab_alimentos[[#This Row],[Item]],super1[Bairro],mercado10)+SUMIFS(supercb[Qtde],supercb[Item],tab_alimentos[[#This Row],[Item]],supercb[Bairro],mercado10)</f>
        <v>0</v>
      </c>
      <c r="V56" s="27" t="n">
        <f aca="false">SUMIFS(super1[Qtde],super1[Item],tab_alimentos[[#This Row],[Item]],super1[Bairro],mercado11)+SUMIFS(supercb[Qtde],supercb[Item],tab_alimentos[[#This Row],[Item]],supercb[Bairro],mercado11)</f>
        <v>0</v>
      </c>
      <c r="W56" s="27" t="n">
        <f aca="false">SUMIFS(super1[Qtde],super1[Item],tab_alimentos[[#This Row],[Item]],super1[Bairro],mercado12)+SUMIFS(supercb[Qtde],supercb[Item],tab_alimentos[[#This Row],[Item]],supercb[Bairro],mercado12)</f>
        <v>0</v>
      </c>
      <c r="X56" s="27" t="n">
        <f aca="false">SUMIFS(super1[Qtde],super1[Item],tab_alimentos[[#This Row],[Item]],super1[Bairro],mercado13)+SUMIFS(supercb[Qtde],supercb[Item],tab_alimentos[[#This Row],[Item]],supercb[Bairro],mercado13)</f>
        <v>0</v>
      </c>
      <c r="Y56" s="27" t="n">
        <f aca="false">SUMIFS(super1[Qtde],super1[Item],tab_alimentos[[#This Row],[Item]],super1[Bairro],mercado14)+SUMIFS(supercb[Qtde],supercb[Item],tab_alimentos[[#This Row],[Item]],supercb[Bairro],mercado14)</f>
        <v>0</v>
      </c>
      <c r="Z56" s="27" t="n">
        <f aca="false">SUMIFS(super1[Qtde],super1[Item],tab_alimentos[[#This Row],[Item]],super1[Bairro],mercado15)+SUMIFS(supercb[Qtde],supercb[Item],tab_alimentos[[#This Row],[Item]],supercb[Bairro],mercado15)</f>
        <v>0</v>
      </c>
      <c r="AA56" s="27" t="n">
        <f aca="false">SUMIFS(super1[Qtde],super1[Item],tab_alimentos[[#This Row],[Item]],super1[Bairro],mercado16)+SUMIFS(supercb[Qtde],supercb[Item],tab_alimentos[[#This Row],[Item]],supercb[Bairro],mercado16)</f>
        <v>0</v>
      </c>
      <c r="AB56" s="27" t="n">
        <f aca="false">SUMIFS(super1[Qtde],super1[Item],tab_alimentos[[#This Row],[Item]],super1[Bairro],mercado17)+SUMIFS(supercb[Qtde],supercb[Item],tab_alimentos[[#This Row],[Item]],supercb[Bairro],mercado17)</f>
        <v>0</v>
      </c>
      <c r="AC56" s="27" t="n">
        <f aca="false">SUMIFS(super1[Qtde],super1[Item],tab_alimentos[[#This Row],[Item]],super1[Bairro],mercado18)+SUMIFS(supercb[Qtde],supercb[Item],tab_alimentos[[#This Row],[Item]],supercb[Bairro],mercado18)</f>
        <v>0</v>
      </c>
      <c r="AD56" s="27" t="n">
        <f aca="false">SUMIFS(super1[Qtde],super1[Item],tab_alimentos[[#This Row],[Item]],super1[Bairro],extras)+SUMIFS(supercb[Qtde],supercb[Item],tab_alimentos[[#This Row],[Item]],supercb[Bairro],extras)</f>
        <v>0</v>
      </c>
      <c r="AE56" s="27" t="n">
        <f aca="false">SUM(L56:AC56)</f>
        <v>1</v>
      </c>
      <c r="AF56" s="27" t="n">
        <f aca="false">IFERROR(AE56*K56,0)</f>
        <v>2.11</v>
      </c>
      <c r="AG56" s="28" t="n">
        <f aca="false">IFERROR(J56*AE56,0)</f>
        <v>0.17</v>
      </c>
      <c r="AH56" s="26" t="str">
        <f aca="false">higiene[[#This Row],[Item]]</f>
        <v>Desinfetante(2L)</v>
      </c>
      <c r="AI56" s="27" t="n">
        <f aca="false">IFERROR(higiene[[#This Row],[Kg equivalente]],0)</f>
        <v>1.25286334900904</v>
      </c>
      <c r="AJ56" s="27" t="n">
        <f aca="false">IFERROR(higiene[[#This Row],[Preço por produto]],0)</f>
        <v>4.15</v>
      </c>
      <c r="AK56" s="27" t="n">
        <f aca="false">SUMIFS(super1[Qtde],super1[Item],tab_higiene[[#This Row],[Item]],super1[Bairro],mercado1)+SUMIFS(supercb[Qtde],supercb[Item],tab_higiene[[#This Row],[Item]],supercb[Bairro],mercado1)</f>
        <v>1</v>
      </c>
      <c r="AL56" s="27" t="n">
        <f aca="false">SUMIFS(super1[Qtde],super1[Item],tab_higiene[[#This Row],[Item]],super1[Bairro],mercado2)+SUMIFS(supercb[Qtde],supercb[Item],tab_higiene[[#This Row],[Item]],supercb[Bairro],mercado2)</f>
        <v>0</v>
      </c>
      <c r="AM56" s="27" t="n">
        <f aca="false">SUMIFS(super1[Qtde],super1[Item],tab_higiene[[#This Row],[Item]],super1[Bairro],mercado3)+SUMIFS(supercb[Qtde],supercb[Item],tab_higiene[[#This Row],[Item]],supercb[Bairro],mercado3)</f>
        <v>0</v>
      </c>
      <c r="AN56" s="27" t="n">
        <f aca="false">SUMIFS(super1[Qtde],super1[Item],tab_higiene[[#This Row],[Item]],super1[Bairro],mercado4)+SUMIFS(supercb[Qtde],supercb[Item],tab_higiene[[#This Row],[Item]],supercb[Bairro],mercado4)</f>
        <v>0</v>
      </c>
      <c r="AO56" s="27" t="n">
        <f aca="false">SUMIFS(super1[Qtde],super1[Item],tab_higiene[[#This Row],[Item]],super1[Bairro],mercado5)+SUMIFS(supercb[Qtde],supercb[Item],tab_higiene[[#This Row],[Item]],supercb[Bairro],mercado5)</f>
        <v>0</v>
      </c>
      <c r="AP56" s="27" t="n">
        <f aca="false">SUMIFS(super1[Qtde],super1[Item],tab_higiene[[#This Row],[Item]],super1[Bairro],mercado6)+SUMIFS(supercb[Qtde],supercb[Item],tab_higiene[[#This Row],[Item]],supercb[Bairro],mercado6)</f>
        <v>0</v>
      </c>
      <c r="AQ56" s="27" t="n">
        <f aca="false">SUMIFS(super1[Qtde],super1[Item],tab_higiene[[#This Row],[Item]],super1[Bairro],mercado7)+SUMIFS(supercb[Qtde],supercb[Item],tab_higiene[[#This Row],[Item]],supercb[Bairro],mercado7)</f>
        <v>0</v>
      </c>
      <c r="AR56" s="27" t="n">
        <f aca="false">SUMIFS(super1[Qtde],super1[Item],tab_higiene[[#This Row],[Item]],super1[Bairro],mercado8)+SUMIFS(supercb[Qtde],supercb[Item],tab_higiene[[#This Row],[Item]],supercb[Bairro],mercado8)</f>
        <v>1</v>
      </c>
      <c r="AS56" s="27" t="n">
        <f aca="false">SUMIFS(super1[Qtde],super1[Item],tab_higiene[[#This Row],[Item]],super1[Bairro],mercado9)+SUMIFS(supercb[Qtde],supercb[Item],tab_higiene[[#This Row],[Item]],supercb[Bairro],mercado9)</f>
        <v>0</v>
      </c>
      <c r="AT56" s="27" t="n">
        <f aca="false">SUMIFS(super1[Qtde],super1[Item],tab_higiene[[#This Row],[Item]],super1[Bairro],mercado10)+SUMIFS(supercb[Qtde],supercb[Item],tab_higiene[[#This Row],[Item]],supercb[Bairro],mercado10)</f>
        <v>2</v>
      </c>
      <c r="AU56" s="27" t="n">
        <f aca="false">SUMIFS(super1[Qtde],super1[Item],tab_higiene[[#This Row],[Item]],super1[Bairro],mercado11)+SUMIFS(supercb[Qtde],supercb[Item],tab_higiene[[#This Row],[Item]],supercb[Bairro],mercado11)</f>
        <v>2</v>
      </c>
      <c r="AV56" s="27" t="n">
        <f aca="false">SUMIFS(super1[Qtde],super1[Item],tab_higiene[[#This Row],[Item]],super1[Bairro],mercado12)+SUMIFS(supercb[Qtde],supercb[Item],tab_higiene[[#This Row],[Item]],supercb[Bairro],mercado12)</f>
        <v>0</v>
      </c>
      <c r="AW56" s="27" t="n">
        <f aca="false">SUMIFS(super1[Qtde],super1[Item],tab_higiene[[#This Row],[Item]],super1[Bairro],mercado13)+SUMIFS(supercb[Qtde],supercb[Item],tab_higiene[[#This Row],[Item]],supercb[Bairro],mercado13)</f>
        <v>0</v>
      </c>
      <c r="AX56" s="27" t="n">
        <f aca="false">SUMIFS(super1[Qtde],super1[Item],tab_higiene[[#This Row],[Item]],super1[Bairro],mercado14)+SUMIFS(supercb[Qtde],supercb[Item],tab_higiene[[#This Row],[Item]],supercb[Bairro],mercado14)</f>
        <v>0</v>
      </c>
      <c r="AY56" s="27" t="n">
        <f aca="false">SUMIFS(super1[Qtde],super1[Item],tab_higiene[[#This Row],[Item]],super1[Bairro],mercado15)+SUMIFS(supercb[Qtde],supercb[Item],tab_higiene[[#This Row],[Item]],supercb[Bairro],mercado15)</f>
        <v>0</v>
      </c>
      <c r="AZ56" s="27" t="n">
        <f aca="false">SUMIFS(super1[Qtde],super1[Item],tab_higiene[[#This Row],[Item]],super1[Bairro],mercado16)+SUMIFS(supercb[Qtde],supercb[Item],tab_higiene[[#This Row],[Item]],supercb[Bairro],mercado16)</f>
        <v>0</v>
      </c>
      <c r="BA56" s="27" t="n">
        <f aca="false">SUMIFS(super1[Qtde],super1[Item],tab_higiene[[#This Row],[Item]],super1[Bairro],mercado17)+SUMIFS(supercb[Qtde],supercb[Item],tab_higiene[[#This Row],[Item]],supercb[Bairro],mercado17)</f>
        <v>0</v>
      </c>
      <c r="BB56" s="27" t="n">
        <f aca="false">SUMIFS(super1[Qtde],super1[Item],tab_higiene[[#This Row],[Item]],super1[Bairro],mercado18)+SUMIFS(supercb[Qtde],supercb[Item],tab_higiene[[#This Row],[Item]],supercb[Bairro],mercado18)</f>
        <v>0</v>
      </c>
      <c r="BC56" s="27" t="n">
        <f aca="false">SUMIFS(super1[Qtde],super1[Item],tab_higiene[[#This Row],[Item]],super1[Bairro],extras)+SUMIFS(supercb[Qtde],supercb[Item],tab_higiene[[#This Row],[Item]],supercb[Bairro],extras)</f>
        <v>0</v>
      </c>
      <c r="BD56" s="27" t="n">
        <f aca="false">SUM(AK56:BB56)</f>
        <v>6</v>
      </c>
      <c r="BE56" s="27" t="n">
        <f aca="false">IFERROR(BD56*AJ56,0)</f>
        <v>24.9</v>
      </c>
      <c r="BF56" s="28" t="n">
        <f aca="false">IFERROR(AI56*BD56,0)</f>
        <v>7.51718009405423</v>
      </c>
      <c r="BI56" s="22" t="str">
        <f aca="false">tab_alimentos[[#This Row],[Item]]</f>
        <v>Bolacha (170g)</v>
      </c>
      <c r="BJ56" s="22" t="n">
        <f aca="false">IFERROR(FIND(" (",BI56),0)</f>
        <v>8</v>
      </c>
      <c r="BK56" s="22" t="str">
        <f aca="false">IF(BJ56=0,BI56,LEFT(BI56,BJ56-1))</f>
        <v>Bolacha</v>
      </c>
      <c r="BL56" s="22" t="n">
        <f aca="false">tab_alimentos[[#This Row],[kg]]</f>
        <v>0.17</v>
      </c>
      <c r="BM56" s="32" t="s">
        <v>198</v>
      </c>
      <c r="BN56" s="22" t="n">
        <f aca="false">SUMIF($BJ$5:$BJ$158,BM56,$BK$5:$BK$158)</f>
        <v>0</v>
      </c>
      <c r="BP56" s="22" t="str">
        <f aca="false">tab_higiene[[#This Row],[Item]]</f>
        <v>Desinfetante(2L)</v>
      </c>
      <c r="BQ56" s="22" t="n">
        <f aca="false">IFERROR(FIND(" (",BP56),0)</f>
        <v>0</v>
      </c>
      <c r="BR56" s="22" t="str">
        <f aca="false">IF(BQ56=0,BP56,LEFT(BP56,BQ56-1))</f>
        <v>Desinfetante(2L)</v>
      </c>
      <c r="BS56" s="22" t="n">
        <f aca="false">higiene[[#This Row],[Quantidade]]</f>
        <v>4</v>
      </c>
      <c r="BT56" s="22" t="n">
        <f aca="false">tab_higiene[Qtde (tot)]</f>
        <v>6</v>
      </c>
      <c r="BU56" s="22" t="n">
        <f aca="false">BS56*BT56</f>
        <v>24</v>
      </c>
      <c r="BV56" s="32" t="s">
        <v>342</v>
      </c>
      <c r="BW56" s="22" t="n">
        <f aca="false">SUMIF($BR$5:$BR$142,BV56,$BU$5:$BU$142)</f>
        <v>0</v>
      </c>
    </row>
    <row r="57" customFormat="false" ht="15" hidden="false" customHeight="false" outlineLevel="0" collapsed="false">
      <c r="I57" s="26" t="str">
        <f aca="false">alimentos[[#This Row],[Item]]</f>
        <v>Bolacha (200g)</v>
      </c>
      <c r="J57" s="27" t="n">
        <f aca="false">IFERROR(alimentos[[#This Row],[kg/embalagem]],0)</f>
        <v>0.2</v>
      </c>
      <c r="K57" s="27" t="n">
        <f aca="false">IFERROR(alimentos[[#This Row],[Preço]],0)</f>
        <v>2.56666666666667</v>
      </c>
      <c r="L57" s="27" t="n">
        <f aca="false">SUMIFS(super1[Qtde],super1[Item],tab_alimentos[[#This Row],[Item]],super1[Bairro],mercado1)+SUMIFS(supercb[Qtde],supercb[Item],tab_alimentos[[#This Row],[Item]],supercb[Bairro],mercado1)</f>
        <v>5</v>
      </c>
      <c r="M57" s="27" t="n">
        <f aca="false">SUMIFS(super1[Qtde],super1[Item],tab_alimentos[[#This Row],[Item]],super1[Bairro],mercado2)+SUMIFS(supercb[Qtde],supercb[Item],tab_alimentos[[#This Row],[Item]],supercb[Bairro],mercado2)</f>
        <v>4</v>
      </c>
      <c r="N57" s="27" t="n">
        <f aca="false">SUMIFS(super1[Qtde],super1[Item],tab_alimentos[[#This Row],[Item]],super1[Bairro],mercado3)+SUMIFS(supercb[Qtde],supercb[Item],tab_alimentos[[#This Row],[Item]],supercb[Bairro],mercado3)</f>
        <v>2</v>
      </c>
      <c r="O57" s="27" t="n">
        <f aca="false">SUMIFS(super1[Qtde],super1[Item],tab_alimentos[[#This Row],[Item]],super1[Bairro],mercado4)+SUMIFS(supercb[Qtde],supercb[Item],tab_alimentos[[#This Row],[Item]],supercb[Bairro],mercado4)</f>
        <v>7</v>
      </c>
      <c r="P57" s="27" t="n">
        <f aca="false">SUMIFS(super1[Qtde],super1[Item],tab_alimentos[[#This Row],[Item]],super1[Bairro],mercado5)+SUMIFS(supercb[Qtde],supercb[Item],tab_alimentos[[#This Row],[Item]],supercb[Bairro],mercado5)</f>
        <v>7</v>
      </c>
      <c r="Q57" s="27" t="n">
        <f aca="false">SUMIFS(super1[Qtde],super1[Item],tab_alimentos[[#This Row],[Item]],super1[Bairro],mercado6)+SUMIFS(supercb[Qtde],supercb[Item],tab_alimentos[[#This Row],[Item]],supercb[Bairro],mercado6)</f>
        <v>10</v>
      </c>
      <c r="R57" s="27" t="n">
        <f aca="false">SUMIFS(super1[Qtde],super1[Item],tab_alimentos[[#This Row],[Item]],super1[Bairro],mercado7)+SUMIFS(supercb[Qtde],supercb[Item],tab_alimentos[[#This Row],[Item]],supercb[Bairro],mercado7)</f>
        <v>4</v>
      </c>
      <c r="S57" s="27" t="n">
        <f aca="false">SUMIFS(super1[Qtde],super1[Item],tab_alimentos[[#This Row],[Item]],super1[Bairro],mercado8)+SUMIFS(supercb[Qtde],supercb[Item],tab_alimentos[[#This Row],[Item]],supercb[Bairro],mercado8)</f>
        <v>2</v>
      </c>
      <c r="T57" s="27" t="n">
        <f aca="false">SUMIFS(super1[Qtde],super1[Item],tab_alimentos[[#This Row],[Item]],super1[Bairro],mercado9)+SUMIFS(supercb[Qtde],supercb[Item],tab_alimentos[[#This Row],[Item]],supercb[Bairro],mercado9)</f>
        <v>1</v>
      </c>
      <c r="U57" s="27" t="n">
        <f aca="false">SUMIFS(super1[Qtde],super1[Item],tab_alimentos[[#This Row],[Item]],super1[Bairro],mercado10)+SUMIFS(supercb[Qtde],supercb[Item],tab_alimentos[[#This Row],[Item]],supercb[Bairro],mercado10)</f>
        <v>5</v>
      </c>
      <c r="V57" s="27" t="n">
        <f aca="false">SUMIFS(super1[Qtde],super1[Item],tab_alimentos[[#This Row],[Item]],super1[Bairro],mercado11)+SUMIFS(supercb[Qtde],supercb[Item],tab_alimentos[[#This Row],[Item]],supercb[Bairro],mercado11)</f>
        <v>0</v>
      </c>
      <c r="W57" s="27" t="n">
        <f aca="false">SUMIFS(super1[Qtde],super1[Item],tab_alimentos[[#This Row],[Item]],super1[Bairro],mercado12)+SUMIFS(supercb[Qtde],supercb[Item],tab_alimentos[[#This Row],[Item]],supercb[Bairro],mercado12)</f>
        <v>0</v>
      </c>
      <c r="X57" s="27" t="n">
        <f aca="false">SUMIFS(super1[Qtde],super1[Item],tab_alimentos[[#This Row],[Item]],super1[Bairro],mercado13)+SUMIFS(supercb[Qtde],supercb[Item],tab_alimentos[[#This Row],[Item]],supercb[Bairro],mercado13)</f>
        <v>1</v>
      </c>
      <c r="Y57" s="27" t="n">
        <f aca="false">SUMIFS(super1[Qtde],super1[Item],tab_alimentos[[#This Row],[Item]],super1[Bairro],mercado14)+SUMIFS(supercb[Qtde],supercb[Item],tab_alimentos[[#This Row],[Item]],supercb[Bairro],mercado14)</f>
        <v>0</v>
      </c>
      <c r="Z57" s="27" t="n">
        <f aca="false">SUMIFS(super1[Qtde],super1[Item],tab_alimentos[[#This Row],[Item]],super1[Bairro],mercado15)+SUMIFS(supercb[Qtde],supercb[Item],tab_alimentos[[#This Row],[Item]],supercb[Bairro],mercado15)</f>
        <v>0</v>
      </c>
      <c r="AA57" s="27" t="n">
        <f aca="false">SUMIFS(super1[Qtde],super1[Item],tab_alimentos[[#This Row],[Item]],super1[Bairro],mercado16)+SUMIFS(supercb[Qtde],supercb[Item],tab_alimentos[[#This Row],[Item]],supercb[Bairro],mercado16)</f>
        <v>0</v>
      </c>
      <c r="AB57" s="27" t="n">
        <f aca="false">SUMIFS(super1[Qtde],super1[Item],tab_alimentos[[#This Row],[Item]],super1[Bairro],mercado17)+SUMIFS(supercb[Qtde],supercb[Item],tab_alimentos[[#This Row],[Item]],supercb[Bairro],mercado17)</f>
        <v>0</v>
      </c>
      <c r="AC57" s="27" t="n">
        <f aca="false">SUMIFS(super1[Qtde],super1[Item],tab_alimentos[[#This Row],[Item]],super1[Bairro],mercado18)+SUMIFS(supercb[Qtde],supercb[Item],tab_alimentos[[#This Row],[Item]],supercb[Bairro],mercado18)</f>
        <v>0</v>
      </c>
      <c r="AD57" s="27" t="n">
        <f aca="false">SUMIFS(super1[Qtde],super1[Item],tab_alimentos[[#This Row],[Item]],super1[Bairro],extras)+SUMIFS(supercb[Qtde],supercb[Item],tab_alimentos[[#This Row],[Item]],supercb[Bairro],extras)</f>
        <v>0</v>
      </c>
      <c r="AE57" s="27" t="n">
        <f aca="false">SUM(L57:AC57)</f>
        <v>48</v>
      </c>
      <c r="AF57" s="27" t="n">
        <f aca="false">IFERROR(AE57*K57,0)</f>
        <v>123.2</v>
      </c>
      <c r="AG57" s="28" t="n">
        <f aca="false">IFERROR(J57*AE57,0)</f>
        <v>9.6</v>
      </c>
      <c r="AH57" s="26" t="str">
        <f aca="false">higiene[[#This Row],[Item]]</f>
        <v>Desinfetante(500mL)</v>
      </c>
      <c r="AI57" s="27" t="n">
        <f aca="false">IFERROR(higiene[[#This Row],[Kg equivalente]],0)</f>
        <v>0.806059070326297</v>
      </c>
      <c r="AJ57" s="27" t="n">
        <f aca="false">IFERROR(higiene[[#This Row],[Preço por produto]],0)</f>
        <v>2.67</v>
      </c>
      <c r="AK57" s="27" t="n">
        <f aca="false">SUMIFS(super1[Qtde],super1[Item],tab_higiene[[#This Row],[Item]],super1[Bairro],mercado1)+SUMIFS(supercb[Qtde],supercb[Item],tab_higiene[[#This Row],[Item]],supercb[Bairro],mercado1)</f>
        <v>0</v>
      </c>
      <c r="AL57" s="27" t="n">
        <f aca="false">SUMIFS(super1[Qtde],super1[Item],tab_higiene[[#This Row],[Item]],super1[Bairro],mercado2)+SUMIFS(supercb[Qtde],supercb[Item],tab_higiene[[#This Row],[Item]],supercb[Bairro],mercado2)</f>
        <v>0</v>
      </c>
      <c r="AM57" s="27" t="n">
        <f aca="false">SUMIFS(super1[Qtde],super1[Item],tab_higiene[[#This Row],[Item]],super1[Bairro],mercado3)+SUMIFS(supercb[Qtde],supercb[Item],tab_higiene[[#This Row],[Item]],supercb[Bairro],mercado3)</f>
        <v>1</v>
      </c>
      <c r="AN57" s="27" t="n">
        <f aca="false">SUMIFS(super1[Qtde],super1[Item],tab_higiene[[#This Row],[Item]],super1[Bairro],mercado4)+SUMIFS(supercb[Qtde],supercb[Item],tab_higiene[[#This Row],[Item]],supercb[Bairro],mercado4)</f>
        <v>4</v>
      </c>
      <c r="AO57" s="27" t="n">
        <f aca="false">SUMIFS(super1[Qtde],super1[Item],tab_higiene[[#This Row],[Item]],super1[Bairro],mercado5)+SUMIFS(supercb[Qtde],supercb[Item],tab_higiene[[#This Row],[Item]],supercb[Bairro],mercado5)</f>
        <v>2</v>
      </c>
      <c r="AP57" s="27" t="n">
        <f aca="false">SUMIFS(super1[Qtde],super1[Item],tab_higiene[[#This Row],[Item]],super1[Bairro],mercado6)+SUMIFS(supercb[Qtde],supercb[Item],tab_higiene[[#This Row],[Item]],supercb[Bairro],mercado6)</f>
        <v>0</v>
      </c>
      <c r="AQ57" s="27" t="n">
        <f aca="false">SUMIFS(super1[Qtde],super1[Item],tab_higiene[[#This Row],[Item]],super1[Bairro],mercado7)+SUMIFS(supercb[Qtde],supercb[Item],tab_higiene[[#This Row],[Item]],supercb[Bairro],mercado7)</f>
        <v>1</v>
      </c>
      <c r="AR57" s="27" t="n">
        <f aca="false">SUMIFS(super1[Qtde],super1[Item],tab_higiene[[#This Row],[Item]],super1[Bairro],mercado8)+SUMIFS(supercb[Qtde],supercb[Item],tab_higiene[[#This Row],[Item]],supercb[Bairro],mercado8)</f>
        <v>0</v>
      </c>
      <c r="AS57" s="27" t="n">
        <f aca="false">SUMIFS(super1[Qtde],super1[Item],tab_higiene[[#This Row],[Item]],super1[Bairro],mercado9)+SUMIFS(supercb[Qtde],supercb[Item],tab_higiene[[#This Row],[Item]],supercb[Bairro],mercado9)</f>
        <v>6</v>
      </c>
      <c r="AT57" s="27" t="n">
        <f aca="false">SUMIFS(super1[Qtde],super1[Item],tab_higiene[[#This Row],[Item]],super1[Bairro],mercado10)+SUMIFS(supercb[Qtde],supercb[Item],tab_higiene[[#This Row],[Item]],supercb[Bairro],mercado10)</f>
        <v>0</v>
      </c>
      <c r="AU57" s="27" t="n">
        <f aca="false">SUMIFS(super1[Qtde],super1[Item],tab_higiene[[#This Row],[Item]],super1[Bairro],mercado11)+SUMIFS(supercb[Qtde],supercb[Item],tab_higiene[[#This Row],[Item]],supercb[Bairro],mercado11)</f>
        <v>1</v>
      </c>
      <c r="AV57" s="27" t="n">
        <f aca="false">SUMIFS(super1[Qtde],super1[Item],tab_higiene[[#This Row],[Item]],super1[Bairro],mercado12)+SUMIFS(supercb[Qtde],supercb[Item],tab_higiene[[#This Row],[Item]],supercb[Bairro],mercado12)</f>
        <v>0</v>
      </c>
      <c r="AW57" s="27" t="n">
        <f aca="false">SUMIFS(super1[Qtde],super1[Item],tab_higiene[[#This Row],[Item]],super1[Bairro],mercado13)+SUMIFS(supercb[Qtde],supercb[Item],tab_higiene[[#This Row],[Item]],supercb[Bairro],mercado13)</f>
        <v>2</v>
      </c>
      <c r="AX57" s="27" t="n">
        <f aca="false">SUMIFS(super1[Qtde],super1[Item],tab_higiene[[#This Row],[Item]],super1[Bairro],mercado14)+SUMIFS(supercb[Qtde],supercb[Item],tab_higiene[[#This Row],[Item]],supercb[Bairro],mercado14)</f>
        <v>0</v>
      </c>
      <c r="AY57" s="27" t="n">
        <f aca="false">SUMIFS(super1[Qtde],super1[Item],tab_higiene[[#This Row],[Item]],super1[Bairro],mercado15)+SUMIFS(supercb[Qtde],supercb[Item],tab_higiene[[#This Row],[Item]],supercb[Bairro],mercado15)</f>
        <v>0</v>
      </c>
      <c r="AZ57" s="27" t="n">
        <f aca="false">SUMIFS(super1[Qtde],super1[Item],tab_higiene[[#This Row],[Item]],super1[Bairro],mercado16)+SUMIFS(supercb[Qtde],supercb[Item],tab_higiene[[#This Row],[Item]],supercb[Bairro],mercado16)</f>
        <v>0</v>
      </c>
      <c r="BA57" s="27" t="n">
        <f aca="false">SUMIFS(super1[Qtde],super1[Item],tab_higiene[[#This Row],[Item]],super1[Bairro],mercado17)+SUMIFS(supercb[Qtde],supercb[Item],tab_higiene[[#This Row],[Item]],supercb[Bairro],mercado17)</f>
        <v>0</v>
      </c>
      <c r="BB57" s="27" t="n">
        <f aca="false">SUMIFS(super1[Qtde],super1[Item],tab_higiene[[#This Row],[Item]],super1[Bairro],mercado18)+SUMIFS(supercb[Qtde],supercb[Item],tab_higiene[[#This Row],[Item]],supercb[Bairro],mercado18)</f>
        <v>0</v>
      </c>
      <c r="BC57" s="27" t="n">
        <f aca="false">SUMIFS(super1[Qtde],super1[Item],tab_higiene[[#This Row],[Item]],super1[Bairro],extras)+SUMIFS(supercb[Qtde],supercb[Item],tab_higiene[[#This Row],[Item]],supercb[Bairro],extras)</f>
        <v>0</v>
      </c>
      <c r="BD57" s="27" t="n">
        <f aca="false">SUM(AK57:BB57)</f>
        <v>17</v>
      </c>
      <c r="BE57" s="27" t="n">
        <f aca="false">IFERROR(BD57*AJ57,0)</f>
        <v>45.39</v>
      </c>
      <c r="BF57" s="28" t="n">
        <f aca="false">IFERROR(AI57*BD57,0)</f>
        <v>13.7030041955471</v>
      </c>
      <c r="BI57" s="22" t="str">
        <f aca="false">tab_alimentos[[#This Row],[Item]]</f>
        <v>Bolacha (200g)</v>
      </c>
      <c r="BJ57" s="22" t="n">
        <f aca="false">IFERROR(FIND(" (",BI57),0)</f>
        <v>8</v>
      </c>
      <c r="BK57" s="22" t="str">
        <f aca="false">IF(BJ57=0,BI57,LEFT(BI57,BJ57-1))</f>
        <v>Bolacha</v>
      </c>
      <c r="BL57" s="22" t="n">
        <f aca="false">tab_alimentos[[#This Row],[kg]]</f>
        <v>9.6</v>
      </c>
      <c r="BM57" s="32" t="s">
        <v>343</v>
      </c>
      <c r="BN57" s="22" t="n">
        <f aca="false">SUMIF($BJ$5:$BJ$158,BM57,$BK$5:$BK$158)</f>
        <v>0</v>
      </c>
      <c r="BP57" s="22" t="str">
        <f aca="false">tab_higiene[[#This Row],[Item]]</f>
        <v>Desinfetante(500mL)</v>
      </c>
      <c r="BQ57" s="22" t="n">
        <f aca="false">IFERROR(FIND(" (",BP57),0)</f>
        <v>0</v>
      </c>
      <c r="BR57" s="22" t="str">
        <f aca="false">IF(BQ57=0,BP57,LEFT(BP57,BQ57-1))</f>
        <v>Desinfetante(500mL)</v>
      </c>
      <c r="BS57" s="22" t="n">
        <f aca="false">higiene[[#This Row],[Quantidade]]</f>
        <v>1</v>
      </c>
      <c r="BT57" s="22" t="n">
        <f aca="false">tab_higiene[Qtde (tot)]</f>
        <v>17</v>
      </c>
      <c r="BU57" s="22" t="n">
        <f aca="false">BS57*BT57</f>
        <v>17</v>
      </c>
      <c r="BV57" s="32" t="s">
        <v>344</v>
      </c>
      <c r="BW57" s="22" t="n">
        <f aca="false">SUMIF($BR$5:$BR$142,BV57,$BU$5:$BU$142)</f>
        <v>0</v>
      </c>
    </row>
    <row r="58" customFormat="false" ht="15" hidden="false" customHeight="false" outlineLevel="0" collapsed="false">
      <c r="I58" s="26" t="str">
        <f aca="false">alimentos[[#This Row],[Item]]</f>
        <v>Bolacha (250g)</v>
      </c>
      <c r="J58" s="27" t="n">
        <f aca="false">IFERROR(alimentos[[#This Row],[kg/embalagem]],0)</f>
        <v>0.25</v>
      </c>
      <c r="K58" s="27" t="n">
        <f aca="false">IFERROR(alimentos[[#This Row],[Preço]],0)</f>
        <v>7.59</v>
      </c>
      <c r="L58" s="27" t="n">
        <f aca="false">SUMIFS(super1[Qtde],super1[Item],tab_alimentos[[#This Row],[Item]],super1[Bairro],mercado1)+SUMIFS(supercb[Qtde],supercb[Item],tab_alimentos[[#This Row],[Item]],supercb[Bairro],mercado1)</f>
        <v>0</v>
      </c>
      <c r="M58" s="27" t="n">
        <f aca="false">SUMIFS(super1[Qtde],super1[Item],tab_alimentos[[#This Row],[Item]],super1[Bairro],mercado2)+SUMIFS(supercb[Qtde],supercb[Item],tab_alimentos[[#This Row],[Item]],supercb[Bairro],mercado2)</f>
        <v>0</v>
      </c>
      <c r="N58" s="27" t="n">
        <f aca="false">SUMIFS(super1[Qtde],super1[Item],tab_alimentos[[#This Row],[Item]],super1[Bairro],mercado3)+SUMIFS(supercb[Qtde],supercb[Item],tab_alimentos[[#This Row],[Item]],supercb[Bairro],mercado3)</f>
        <v>0</v>
      </c>
      <c r="O58" s="27" t="n">
        <f aca="false">SUMIFS(super1[Qtde],super1[Item],tab_alimentos[[#This Row],[Item]],super1[Bairro],mercado4)+SUMIFS(supercb[Qtde],supercb[Item],tab_alimentos[[#This Row],[Item]],supercb[Bairro],mercado4)</f>
        <v>0</v>
      </c>
      <c r="P58" s="27" t="n">
        <f aca="false">SUMIFS(super1[Qtde],super1[Item],tab_alimentos[[#This Row],[Item]],super1[Bairro],mercado5)+SUMIFS(supercb[Qtde],supercb[Item],tab_alimentos[[#This Row],[Item]],supercb[Bairro],mercado5)</f>
        <v>0</v>
      </c>
      <c r="Q58" s="27" t="n">
        <f aca="false">SUMIFS(super1[Qtde],super1[Item],tab_alimentos[[#This Row],[Item]],super1[Bairro],mercado6)+SUMIFS(supercb[Qtde],supercb[Item],tab_alimentos[[#This Row],[Item]],supercb[Bairro],mercado6)</f>
        <v>0</v>
      </c>
      <c r="R58" s="27" t="n">
        <f aca="false">SUMIFS(super1[Qtde],super1[Item],tab_alimentos[[#This Row],[Item]],super1[Bairro],mercado7)+SUMIFS(supercb[Qtde],supercb[Item],tab_alimentos[[#This Row],[Item]],supercb[Bairro],mercado7)</f>
        <v>0</v>
      </c>
      <c r="S58" s="27" t="n">
        <f aca="false">SUMIFS(super1[Qtde],super1[Item],tab_alimentos[[#This Row],[Item]],super1[Bairro],mercado8)+SUMIFS(supercb[Qtde],supercb[Item],tab_alimentos[[#This Row],[Item]],supercb[Bairro],mercado8)</f>
        <v>0</v>
      </c>
      <c r="T58" s="27" t="n">
        <f aca="false">SUMIFS(super1[Qtde],super1[Item],tab_alimentos[[#This Row],[Item]],super1[Bairro],mercado9)+SUMIFS(supercb[Qtde],supercb[Item],tab_alimentos[[#This Row],[Item]],supercb[Bairro],mercado9)</f>
        <v>0</v>
      </c>
      <c r="U58" s="27" t="n">
        <f aca="false">SUMIFS(super1[Qtde],super1[Item],tab_alimentos[[#This Row],[Item]],super1[Bairro],mercado10)+SUMIFS(supercb[Qtde],supercb[Item],tab_alimentos[[#This Row],[Item]],supercb[Bairro],mercado10)</f>
        <v>0</v>
      </c>
      <c r="V58" s="27" t="n">
        <f aca="false">SUMIFS(super1[Qtde],super1[Item],tab_alimentos[[#This Row],[Item]],super1[Bairro],mercado11)+SUMIFS(supercb[Qtde],supercb[Item],tab_alimentos[[#This Row],[Item]],supercb[Bairro],mercado11)</f>
        <v>0</v>
      </c>
      <c r="W58" s="27" t="n">
        <f aca="false">SUMIFS(super1[Qtde],super1[Item],tab_alimentos[[#This Row],[Item]],super1[Bairro],mercado12)+SUMIFS(supercb[Qtde],supercb[Item],tab_alimentos[[#This Row],[Item]],supercb[Bairro],mercado12)</f>
        <v>0</v>
      </c>
      <c r="X58" s="27" t="n">
        <f aca="false">SUMIFS(super1[Qtde],super1[Item],tab_alimentos[[#This Row],[Item]],super1[Bairro],mercado13)+SUMIFS(supercb[Qtde],supercb[Item],tab_alimentos[[#This Row],[Item]],supercb[Bairro],mercado13)</f>
        <v>0</v>
      </c>
      <c r="Y58" s="27" t="n">
        <f aca="false">SUMIFS(super1[Qtde],super1[Item],tab_alimentos[[#This Row],[Item]],super1[Bairro],mercado14)+SUMIFS(supercb[Qtde],supercb[Item],tab_alimentos[[#This Row],[Item]],supercb[Bairro],mercado14)</f>
        <v>0</v>
      </c>
      <c r="Z58" s="27" t="n">
        <f aca="false">SUMIFS(super1[Qtde],super1[Item],tab_alimentos[[#This Row],[Item]],super1[Bairro],mercado15)+SUMIFS(supercb[Qtde],supercb[Item],tab_alimentos[[#This Row],[Item]],supercb[Bairro],mercado15)</f>
        <v>0</v>
      </c>
      <c r="AA58" s="27" t="n">
        <f aca="false">SUMIFS(super1[Qtde],super1[Item],tab_alimentos[[#This Row],[Item]],super1[Bairro],mercado16)+SUMIFS(supercb[Qtde],supercb[Item],tab_alimentos[[#This Row],[Item]],supercb[Bairro],mercado16)</f>
        <v>0</v>
      </c>
      <c r="AB58" s="27" t="n">
        <f aca="false">SUMIFS(super1[Qtde],super1[Item],tab_alimentos[[#This Row],[Item]],super1[Bairro],mercado17)+SUMIFS(supercb[Qtde],supercb[Item],tab_alimentos[[#This Row],[Item]],supercb[Bairro],mercado17)</f>
        <v>0</v>
      </c>
      <c r="AC58" s="27" t="n">
        <f aca="false">SUMIFS(super1[Qtde],super1[Item],tab_alimentos[[#This Row],[Item]],super1[Bairro],mercado18)+SUMIFS(supercb[Qtde],supercb[Item],tab_alimentos[[#This Row],[Item]],supercb[Bairro],mercado18)</f>
        <v>0</v>
      </c>
      <c r="AD58" s="27" t="n">
        <f aca="false">SUMIFS(super1[Qtde],super1[Item],tab_alimentos[[#This Row],[Item]],super1[Bairro],extras)+SUMIFS(supercb[Qtde],supercb[Item],tab_alimentos[[#This Row],[Item]],supercb[Bairro],extras)</f>
        <v>0</v>
      </c>
      <c r="AE58" s="27" t="n">
        <f aca="false">SUM(L58:AC58)</f>
        <v>0</v>
      </c>
      <c r="AF58" s="27" t="n">
        <f aca="false">IFERROR(AE58*K58,0)</f>
        <v>0</v>
      </c>
      <c r="AG58" s="28" t="n">
        <f aca="false">IFERROR(J58*AE58,0)</f>
        <v>0</v>
      </c>
      <c r="AH58" s="26" t="str">
        <f aca="false">higiene[[#This Row],[Item]]</f>
        <v>Desodorante</v>
      </c>
      <c r="AI58" s="27" t="n">
        <f aca="false">IFERROR(higiene[[#This Row],[Kg equivalente]],0)</f>
        <v>1.90314471136216</v>
      </c>
      <c r="AJ58" s="27" t="n">
        <f aca="false">IFERROR(higiene[[#This Row],[Preço por produto]],0)</f>
        <v>6.304</v>
      </c>
      <c r="AK58" s="27" t="n">
        <f aca="false">SUMIFS(super1[Qtde],super1[Item],tab_higiene[[#This Row],[Item]],super1[Bairro],mercado1)+SUMIFS(supercb[Qtde],supercb[Item],tab_higiene[[#This Row],[Item]],supercb[Bairro],mercado1)</f>
        <v>0</v>
      </c>
      <c r="AL58" s="27" t="n">
        <f aca="false">SUMIFS(super1[Qtde],super1[Item],tab_higiene[[#This Row],[Item]],super1[Bairro],mercado2)+SUMIFS(supercb[Qtde],supercb[Item],tab_higiene[[#This Row],[Item]],supercb[Bairro],mercado2)</f>
        <v>0</v>
      </c>
      <c r="AM58" s="27" t="n">
        <f aca="false">SUMIFS(super1[Qtde],super1[Item],tab_higiene[[#This Row],[Item]],super1[Bairro],mercado3)+SUMIFS(supercb[Qtde],supercb[Item],tab_higiene[[#This Row],[Item]],supercb[Bairro],mercado3)</f>
        <v>0</v>
      </c>
      <c r="AN58" s="27" t="n">
        <f aca="false">SUMIFS(super1[Qtde],super1[Item],tab_higiene[[#This Row],[Item]],super1[Bairro],mercado4)+SUMIFS(supercb[Qtde],supercb[Item],tab_higiene[[#This Row],[Item]],supercb[Bairro],mercado4)</f>
        <v>0</v>
      </c>
      <c r="AO58" s="27" t="n">
        <f aca="false">SUMIFS(super1[Qtde],super1[Item],tab_higiene[[#This Row],[Item]],super1[Bairro],mercado5)+SUMIFS(supercb[Qtde],supercb[Item],tab_higiene[[#This Row],[Item]],supercb[Bairro],mercado5)</f>
        <v>0</v>
      </c>
      <c r="AP58" s="27" t="n">
        <f aca="false">SUMIFS(super1[Qtde],super1[Item],tab_higiene[[#This Row],[Item]],super1[Bairro],mercado6)+SUMIFS(supercb[Qtde],supercb[Item],tab_higiene[[#This Row],[Item]],supercb[Bairro],mercado6)</f>
        <v>0</v>
      </c>
      <c r="AQ58" s="27" t="n">
        <f aca="false">SUMIFS(super1[Qtde],super1[Item],tab_higiene[[#This Row],[Item]],super1[Bairro],mercado7)+SUMIFS(supercb[Qtde],supercb[Item],tab_higiene[[#This Row],[Item]],supercb[Bairro],mercado7)</f>
        <v>0</v>
      </c>
      <c r="AR58" s="27" t="n">
        <f aca="false">SUMIFS(super1[Qtde],super1[Item],tab_higiene[[#This Row],[Item]],super1[Bairro],mercado8)+SUMIFS(supercb[Qtde],supercb[Item],tab_higiene[[#This Row],[Item]],supercb[Bairro],mercado8)</f>
        <v>1</v>
      </c>
      <c r="AS58" s="27" t="n">
        <f aca="false">SUMIFS(super1[Qtde],super1[Item],tab_higiene[[#This Row],[Item]],super1[Bairro],mercado9)+SUMIFS(supercb[Qtde],supercb[Item],tab_higiene[[#This Row],[Item]],supercb[Bairro],mercado9)</f>
        <v>0</v>
      </c>
      <c r="AT58" s="27" t="n">
        <f aca="false">SUMIFS(super1[Qtde],super1[Item],tab_higiene[[#This Row],[Item]],super1[Bairro],mercado10)+SUMIFS(supercb[Qtde],supercb[Item],tab_higiene[[#This Row],[Item]],supercb[Bairro],mercado10)</f>
        <v>0</v>
      </c>
      <c r="AU58" s="27" t="n">
        <f aca="false">SUMIFS(super1[Qtde],super1[Item],tab_higiene[[#This Row],[Item]],super1[Bairro],mercado11)+SUMIFS(supercb[Qtde],supercb[Item],tab_higiene[[#This Row],[Item]],supercb[Bairro],mercado11)</f>
        <v>3</v>
      </c>
      <c r="AV58" s="27" t="n">
        <f aca="false">SUMIFS(super1[Qtde],super1[Item],tab_higiene[[#This Row],[Item]],super1[Bairro],mercado12)+SUMIFS(supercb[Qtde],supercb[Item],tab_higiene[[#This Row],[Item]],supercb[Bairro],mercado12)</f>
        <v>0</v>
      </c>
      <c r="AW58" s="27" t="n">
        <f aca="false">SUMIFS(super1[Qtde],super1[Item],tab_higiene[[#This Row],[Item]],super1[Bairro],mercado13)+SUMIFS(supercb[Qtde],supercb[Item],tab_higiene[[#This Row],[Item]],supercb[Bairro],mercado13)</f>
        <v>0</v>
      </c>
      <c r="AX58" s="27" t="n">
        <f aca="false">SUMIFS(super1[Qtde],super1[Item],tab_higiene[[#This Row],[Item]],super1[Bairro],mercado14)+SUMIFS(supercb[Qtde],supercb[Item],tab_higiene[[#This Row],[Item]],supercb[Bairro],mercado14)</f>
        <v>0</v>
      </c>
      <c r="AY58" s="27" t="n">
        <f aca="false">SUMIFS(super1[Qtde],super1[Item],tab_higiene[[#This Row],[Item]],super1[Bairro],mercado15)+SUMIFS(supercb[Qtde],supercb[Item],tab_higiene[[#This Row],[Item]],supercb[Bairro],mercado15)</f>
        <v>0</v>
      </c>
      <c r="AZ58" s="27" t="n">
        <f aca="false">SUMIFS(super1[Qtde],super1[Item],tab_higiene[[#This Row],[Item]],super1[Bairro],mercado16)+SUMIFS(supercb[Qtde],supercb[Item],tab_higiene[[#This Row],[Item]],supercb[Bairro],mercado16)</f>
        <v>0</v>
      </c>
      <c r="BA58" s="27" t="n">
        <f aca="false">SUMIFS(super1[Qtde],super1[Item],tab_higiene[[#This Row],[Item]],super1[Bairro],mercado17)+SUMIFS(supercb[Qtde],supercb[Item],tab_higiene[[#This Row],[Item]],supercb[Bairro],mercado17)</f>
        <v>0</v>
      </c>
      <c r="BB58" s="27" t="n">
        <f aca="false">SUMIFS(super1[Qtde],super1[Item],tab_higiene[[#This Row],[Item]],super1[Bairro],mercado18)+SUMIFS(supercb[Qtde],supercb[Item],tab_higiene[[#This Row],[Item]],supercb[Bairro],mercado18)</f>
        <v>0</v>
      </c>
      <c r="BC58" s="27" t="n">
        <f aca="false">SUMIFS(super1[Qtde],super1[Item],tab_higiene[[#This Row],[Item]],super1[Bairro],extras)+SUMIFS(supercb[Qtde],supercb[Item],tab_higiene[[#This Row],[Item]],supercb[Bairro],extras)</f>
        <v>0</v>
      </c>
      <c r="BD58" s="27" t="n">
        <f aca="false">SUM(AK58:BB58)</f>
        <v>4</v>
      </c>
      <c r="BE58" s="27" t="n">
        <f aca="false">IFERROR(BD58*AJ58,0)</f>
        <v>25.216</v>
      </c>
      <c r="BF58" s="28" t="n">
        <f aca="false">IFERROR(AI58*BD58,0)</f>
        <v>7.61257884544866</v>
      </c>
      <c r="BI58" s="22" t="str">
        <f aca="false">tab_alimentos[[#This Row],[Item]]</f>
        <v>Bolacha (250g)</v>
      </c>
      <c r="BJ58" s="22" t="n">
        <f aca="false">IFERROR(FIND(" (",BI58),0)</f>
        <v>8</v>
      </c>
      <c r="BK58" s="22" t="str">
        <f aca="false">IF(BJ58=0,BI58,LEFT(BI58,BJ58-1))</f>
        <v>Bolacha</v>
      </c>
      <c r="BL58" s="22" t="n">
        <f aca="false">tab_alimentos[[#This Row],[kg]]</f>
        <v>0</v>
      </c>
      <c r="BM58" s="32" t="s">
        <v>40</v>
      </c>
      <c r="BN58" s="22" t="n">
        <f aca="false">SUMIF($BJ$5:$BJ$158,BM58,$BK$5:$BK$158)</f>
        <v>0</v>
      </c>
      <c r="BP58" s="22" t="str">
        <f aca="false">tab_higiene[[#This Row],[Item]]</f>
        <v>Desodorante</v>
      </c>
      <c r="BQ58" s="22" t="n">
        <f aca="false">IFERROR(FIND(" (",BP58),0)</f>
        <v>0</v>
      </c>
      <c r="BR58" s="22" t="str">
        <f aca="false">IF(BQ58=0,BP58,LEFT(BP58,BQ58-1))</f>
        <v>Desodorante</v>
      </c>
      <c r="BS58" s="22" t="n">
        <f aca="false">higiene[[#This Row],[Quantidade]]</f>
        <v>0</v>
      </c>
      <c r="BT58" s="22" t="n">
        <f aca="false">tab_higiene[Qtde (tot)]</f>
        <v>4</v>
      </c>
      <c r="BU58" s="22" t="n">
        <f aca="false">BS58*BT58</f>
        <v>0</v>
      </c>
      <c r="BV58" s="32" t="s">
        <v>345</v>
      </c>
      <c r="BW58" s="22" t="n">
        <f aca="false">SUMIF($BR$5:$BR$142,BV58,$BU$5:$BU$142)</f>
        <v>0</v>
      </c>
    </row>
    <row r="59" customFormat="false" ht="15" hidden="false" customHeight="false" outlineLevel="0" collapsed="false">
      <c r="I59" s="26" t="str">
        <f aca="false">alimentos[[#This Row],[Item]]</f>
        <v>Bolacha (300g)</v>
      </c>
      <c r="J59" s="27" t="n">
        <f aca="false">IFERROR(alimentos[[#This Row],[kg/embalagem]],0)</f>
        <v>0.3</v>
      </c>
      <c r="K59" s="27" t="n">
        <f aca="false">IFERROR(alimentos[[#This Row],[Preço]],0)</f>
        <v>3.29</v>
      </c>
      <c r="L59" s="27" t="n">
        <f aca="false">SUMIFS(super1[Qtde],super1[Item],tab_alimentos[[#This Row],[Item]],super1[Bairro],mercado1)+SUMIFS(supercb[Qtde],supercb[Item],tab_alimentos[[#This Row],[Item]],supercb[Bairro],mercado1)</f>
        <v>3</v>
      </c>
      <c r="M59" s="27" t="n">
        <f aca="false">SUMIFS(super1[Qtde],super1[Item],tab_alimentos[[#This Row],[Item]],super1[Bairro],mercado2)+SUMIFS(supercb[Qtde],supercb[Item],tab_alimentos[[#This Row],[Item]],supercb[Bairro],mercado2)</f>
        <v>3</v>
      </c>
      <c r="N59" s="27" t="n">
        <f aca="false">SUMIFS(super1[Qtde],super1[Item],tab_alimentos[[#This Row],[Item]],super1[Bairro],mercado3)+SUMIFS(supercb[Qtde],supercb[Item],tab_alimentos[[#This Row],[Item]],supercb[Bairro],mercado3)</f>
        <v>0</v>
      </c>
      <c r="O59" s="27" t="n">
        <f aca="false">SUMIFS(super1[Qtde],super1[Item],tab_alimentos[[#This Row],[Item]],super1[Bairro],mercado4)+SUMIFS(supercb[Qtde],supercb[Item],tab_alimentos[[#This Row],[Item]],supercb[Bairro],mercado4)</f>
        <v>0</v>
      </c>
      <c r="P59" s="27" t="n">
        <f aca="false">SUMIFS(super1[Qtde],super1[Item],tab_alimentos[[#This Row],[Item]],super1[Bairro],mercado5)+SUMIFS(supercb[Qtde],supercb[Item],tab_alimentos[[#This Row],[Item]],supercb[Bairro],mercado5)</f>
        <v>4</v>
      </c>
      <c r="Q59" s="27" t="n">
        <f aca="false">SUMIFS(super1[Qtde],super1[Item],tab_alimentos[[#This Row],[Item]],super1[Bairro],mercado6)+SUMIFS(supercb[Qtde],supercb[Item],tab_alimentos[[#This Row],[Item]],supercb[Bairro],mercado6)</f>
        <v>9</v>
      </c>
      <c r="R59" s="27" t="n">
        <f aca="false">SUMIFS(super1[Qtde],super1[Item],tab_alimentos[[#This Row],[Item]],super1[Bairro],mercado7)+SUMIFS(supercb[Qtde],supercb[Item],tab_alimentos[[#This Row],[Item]],supercb[Bairro],mercado7)</f>
        <v>1</v>
      </c>
      <c r="S59" s="27" t="n">
        <f aca="false">SUMIFS(super1[Qtde],super1[Item],tab_alimentos[[#This Row],[Item]],super1[Bairro],mercado8)+SUMIFS(supercb[Qtde],supercb[Item],tab_alimentos[[#This Row],[Item]],supercb[Bairro],mercado8)</f>
        <v>4</v>
      </c>
      <c r="T59" s="27" t="n">
        <f aca="false">SUMIFS(super1[Qtde],super1[Item],tab_alimentos[[#This Row],[Item]],super1[Bairro],mercado9)+SUMIFS(supercb[Qtde],supercb[Item],tab_alimentos[[#This Row],[Item]],supercb[Bairro],mercado9)</f>
        <v>0</v>
      </c>
      <c r="U59" s="27" t="n">
        <f aca="false">SUMIFS(super1[Qtde],super1[Item],tab_alimentos[[#This Row],[Item]],super1[Bairro],mercado10)+SUMIFS(supercb[Qtde],supercb[Item],tab_alimentos[[#This Row],[Item]],supercb[Bairro],mercado10)</f>
        <v>1</v>
      </c>
      <c r="V59" s="27" t="n">
        <f aca="false">SUMIFS(super1[Qtde],super1[Item],tab_alimentos[[#This Row],[Item]],super1[Bairro],mercado11)+SUMIFS(supercb[Qtde],supercb[Item],tab_alimentos[[#This Row],[Item]],supercb[Bairro],mercado11)</f>
        <v>0</v>
      </c>
      <c r="W59" s="27" t="n">
        <f aca="false">SUMIFS(super1[Qtde],super1[Item],tab_alimentos[[#This Row],[Item]],super1[Bairro],mercado12)+SUMIFS(supercb[Qtde],supercb[Item],tab_alimentos[[#This Row],[Item]],supercb[Bairro],mercado12)</f>
        <v>0</v>
      </c>
      <c r="X59" s="27" t="n">
        <f aca="false">SUMIFS(super1[Qtde],super1[Item],tab_alimentos[[#This Row],[Item]],super1[Bairro],mercado13)+SUMIFS(supercb[Qtde],supercb[Item],tab_alimentos[[#This Row],[Item]],supercb[Bairro],mercado13)</f>
        <v>0</v>
      </c>
      <c r="Y59" s="27" t="n">
        <f aca="false">SUMIFS(super1[Qtde],super1[Item],tab_alimentos[[#This Row],[Item]],super1[Bairro],mercado14)+SUMIFS(supercb[Qtde],supercb[Item],tab_alimentos[[#This Row],[Item]],supercb[Bairro],mercado14)</f>
        <v>0</v>
      </c>
      <c r="Z59" s="27" t="n">
        <f aca="false">SUMIFS(super1[Qtde],super1[Item],tab_alimentos[[#This Row],[Item]],super1[Bairro],mercado15)+SUMIFS(supercb[Qtde],supercb[Item],tab_alimentos[[#This Row],[Item]],supercb[Bairro],mercado15)</f>
        <v>0</v>
      </c>
      <c r="AA59" s="27" t="n">
        <f aca="false">SUMIFS(super1[Qtde],super1[Item],tab_alimentos[[#This Row],[Item]],super1[Bairro],mercado16)+SUMIFS(supercb[Qtde],supercb[Item],tab_alimentos[[#This Row],[Item]],supercb[Bairro],mercado16)</f>
        <v>0</v>
      </c>
      <c r="AB59" s="27" t="n">
        <f aca="false">SUMIFS(super1[Qtde],super1[Item],tab_alimentos[[#This Row],[Item]],super1[Bairro],mercado17)+SUMIFS(supercb[Qtde],supercb[Item],tab_alimentos[[#This Row],[Item]],supercb[Bairro],mercado17)</f>
        <v>0</v>
      </c>
      <c r="AC59" s="27" t="n">
        <f aca="false">SUMIFS(super1[Qtde],super1[Item],tab_alimentos[[#This Row],[Item]],super1[Bairro],mercado18)+SUMIFS(supercb[Qtde],supercb[Item],tab_alimentos[[#This Row],[Item]],supercb[Bairro],mercado18)</f>
        <v>0</v>
      </c>
      <c r="AD59" s="27" t="n">
        <f aca="false">SUMIFS(super1[Qtde],super1[Item],tab_alimentos[[#This Row],[Item]],super1[Bairro],extras)+SUMIFS(supercb[Qtde],supercb[Item],tab_alimentos[[#This Row],[Item]],supercb[Bairro],extras)</f>
        <v>0</v>
      </c>
      <c r="AE59" s="27" t="n">
        <f aca="false">SUM(L59:AC59)</f>
        <v>25</v>
      </c>
      <c r="AF59" s="27" t="n">
        <f aca="false">IFERROR(AE59*K59,0)</f>
        <v>82.25</v>
      </c>
      <c r="AG59" s="28" t="n">
        <f aca="false">IFERROR(J59*AE59,0)</f>
        <v>7.5</v>
      </c>
      <c r="AH59" s="26" t="str">
        <f aca="false">higiene[[#This Row],[Item]]</f>
        <v>Desodorante creme</v>
      </c>
      <c r="AI59" s="27" t="n">
        <f aca="false">IFERROR(higiene[[#This Row],[Kg equivalente]],0)</f>
        <v>1.20456018374604</v>
      </c>
      <c r="AJ59" s="27" t="n">
        <f aca="false">IFERROR(higiene[[#This Row],[Preço por produto]],0)</f>
        <v>3.99</v>
      </c>
      <c r="AK59" s="27" t="n">
        <f aca="false">SUMIFS(super1[Qtde],super1[Item],tab_higiene[[#This Row],[Item]],super1[Bairro],mercado1)+SUMIFS(supercb[Qtde],supercb[Item],tab_higiene[[#This Row],[Item]],supercb[Bairro],mercado1)</f>
        <v>0</v>
      </c>
      <c r="AL59" s="27" t="n">
        <f aca="false">SUMIFS(super1[Qtde],super1[Item],tab_higiene[[#This Row],[Item]],super1[Bairro],mercado2)+SUMIFS(supercb[Qtde],supercb[Item],tab_higiene[[#This Row],[Item]],supercb[Bairro],mercado2)</f>
        <v>0</v>
      </c>
      <c r="AM59" s="27" t="n">
        <f aca="false">SUMIFS(super1[Qtde],super1[Item],tab_higiene[[#This Row],[Item]],super1[Bairro],mercado3)+SUMIFS(supercb[Qtde],supercb[Item],tab_higiene[[#This Row],[Item]],supercb[Bairro],mercado3)</f>
        <v>0</v>
      </c>
      <c r="AN59" s="27" t="n">
        <f aca="false">SUMIFS(super1[Qtde],super1[Item],tab_higiene[[#This Row],[Item]],super1[Bairro],mercado4)+SUMIFS(supercb[Qtde],supercb[Item],tab_higiene[[#This Row],[Item]],supercb[Bairro],mercado4)</f>
        <v>0</v>
      </c>
      <c r="AO59" s="27" t="n">
        <f aca="false">SUMIFS(super1[Qtde],super1[Item],tab_higiene[[#This Row],[Item]],super1[Bairro],mercado5)+SUMIFS(supercb[Qtde],supercb[Item],tab_higiene[[#This Row],[Item]],supercb[Bairro],mercado5)</f>
        <v>0</v>
      </c>
      <c r="AP59" s="27" t="n">
        <f aca="false">SUMIFS(super1[Qtde],super1[Item],tab_higiene[[#This Row],[Item]],super1[Bairro],mercado6)+SUMIFS(supercb[Qtde],supercb[Item],tab_higiene[[#This Row],[Item]],supercb[Bairro],mercado6)</f>
        <v>0</v>
      </c>
      <c r="AQ59" s="27" t="n">
        <f aca="false">SUMIFS(super1[Qtde],super1[Item],tab_higiene[[#This Row],[Item]],super1[Bairro],mercado7)+SUMIFS(supercb[Qtde],supercb[Item],tab_higiene[[#This Row],[Item]],supercb[Bairro],mercado7)</f>
        <v>0</v>
      </c>
      <c r="AR59" s="27" t="n">
        <f aca="false">SUMIFS(super1[Qtde],super1[Item],tab_higiene[[#This Row],[Item]],super1[Bairro],mercado8)+SUMIFS(supercb[Qtde],supercb[Item],tab_higiene[[#This Row],[Item]],supercb[Bairro],mercado8)</f>
        <v>0</v>
      </c>
      <c r="AS59" s="27" t="n">
        <f aca="false">SUMIFS(super1[Qtde],super1[Item],tab_higiene[[#This Row],[Item]],super1[Bairro],mercado9)+SUMIFS(supercb[Qtde],supercb[Item],tab_higiene[[#This Row],[Item]],supercb[Bairro],mercado9)</f>
        <v>0</v>
      </c>
      <c r="AT59" s="27" t="n">
        <f aca="false">SUMIFS(super1[Qtde],super1[Item],tab_higiene[[#This Row],[Item]],super1[Bairro],mercado10)+SUMIFS(supercb[Qtde],supercb[Item],tab_higiene[[#This Row],[Item]],supercb[Bairro],mercado10)</f>
        <v>0</v>
      </c>
      <c r="AU59" s="27" t="n">
        <f aca="false">SUMIFS(super1[Qtde],super1[Item],tab_higiene[[#This Row],[Item]],super1[Bairro],mercado11)+SUMIFS(supercb[Qtde],supercb[Item],tab_higiene[[#This Row],[Item]],supercb[Bairro],mercado11)</f>
        <v>0</v>
      </c>
      <c r="AV59" s="27" t="n">
        <f aca="false">SUMIFS(super1[Qtde],super1[Item],tab_higiene[[#This Row],[Item]],super1[Bairro],mercado12)+SUMIFS(supercb[Qtde],supercb[Item],tab_higiene[[#This Row],[Item]],supercb[Bairro],mercado12)</f>
        <v>0</v>
      </c>
      <c r="AW59" s="27" t="n">
        <f aca="false">SUMIFS(super1[Qtde],super1[Item],tab_higiene[[#This Row],[Item]],super1[Bairro],mercado13)+SUMIFS(supercb[Qtde],supercb[Item],tab_higiene[[#This Row],[Item]],supercb[Bairro],mercado13)</f>
        <v>0</v>
      </c>
      <c r="AX59" s="27" t="n">
        <f aca="false">SUMIFS(super1[Qtde],super1[Item],tab_higiene[[#This Row],[Item]],super1[Bairro],mercado14)+SUMIFS(supercb[Qtde],supercb[Item],tab_higiene[[#This Row],[Item]],supercb[Bairro],mercado14)</f>
        <v>0</v>
      </c>
      <c r="AY59" s="27" t="n">
        <f aca="false">SUMIFS(super1[Qtde],super1[Item],tab_higiene[[#This Row],[Item]],super1[Bairro],mercado15)+SUMIFS(supercb[Qtde],supercb[Item],tab_higiene[[#This Row],[Item]],supercb[Bairro],mercado15)</f>
        <v>0</v>
      </c>
      <c r="AZ59" s="27" t="n">
        <f aca="false">SUMIFS(super1[Qtde],super1[Item],tab_higiene[[#This Row],[Item]],super1[Bairro],mercado16)+SUMIFS(supercb[Qtde],supercb[Item],tab_higiene[[#This Row],[Item]],supercb[Bairro],mercado16)</f>
        <v>0</v>
      </c>
      <c r="BA59" s="27" t="n">
        <f aca="false">SUMIFS(super1[Qtde],super1[Item],tab_higiene[[#This Row],[Item]],super1[Bairro],mercado17)+SUMIFS(supercb[Qtde],supercb[Item],tab_higiene[[#This Row],[Item]],supercb[Bairro],mercado17)</f>
        <v>0</v>
      </c>
      <c r="BB59" s="27" t="n">
        <f aca="false">SUMIFS(super1[Qtde],super1[Item],tab_higiene[[#This Row],[Item]],super1[Bairro],mercado18)+SUMIFS(supercb[Qtde],supercb[Item],tab_higiene[[#This Row],[Item]],supercb[Bairro],mercado18)</f>
        <v>0</v>
      </c>
      <c r="BC59" s="27" t="n">
        <f aca="false">SUMIFS(super1[Qtde],super1[Item],tab_higiene[[#This Row],[Item]],super1[Bairro],extras)+SUMIFS(supercb[Qtde],supercb[Item],tab_higiene[[#This Row],[Item]],supercb[Bairro],extras)</f>
        <v>0</v>
      </c>
      <c r="BD59" s="27" t="n">
        <f aca="false">SUM(AK59:BB59)</f>
        <v>0</v>
      </c>
      <c r="BE59" s="27" t="n">
        <f aca="false">IFERROR(BD59*AJ59,0)</f>
        <v>0</v>
      </c>
      <c r="BF59" s="28" t="n">
        <f aca="false">IFERROR(AI59*BD59,0)</f>
        <v>0</v>
      </c>
      <c r="BI59" s="22" t="str">
        <f aca="false">tab_alimentos[[#This Row],[Item]]</f>
        <v>Bolacha (300g)</v>
      </c>
      <c r="BJ59" s="22" t="n">
        <f aca="false">IFERROR(FIND(" (",BI59),0)</f>
        <v>8</v>
      </c>
      <c r="BK59" s="22" t="str">
        <f aca="false">IF(BJ59=0,BI59,LEFT(BI59,BJ59-1))</f>
        <v>Bolacha</v>
      </c>
      <c r="BL59" s="22" t="n">
        <f aca="false">tab_alimentos[[#This Row],[kg]]</f>
        <v>7.5</v>
      </c>
      <c r="BM59" s="32" t="s">
        <v>108</v>
      </c>
      <c r="BN59" s="22" t="n">
        <f aca="false">SUMIF($BJ$5:$BJ$158,BM59,$BK$5:$BK$158)</f>
        <v>0</v>
      </c>
      <c r="BP59" s="22" t="str">
        <f aca="false">tab_higiene[[#This Row],[Item]]</f>
        <v>Desodorante creme</v>
      </c>
      <c r="BQ59" s="22" t="n">
        <f aca="false">IFERROR(FIND(" (",BP59),0)</f>
        <v>0</v>
      </c>
      <c r="BR59" s="22" t="str">
        <f aca="false">IF(BQ59=0,BP59,LEFT(BP59,BQ59-1))</f>
        <v>Desodorante creme</v>
      </c>
      <c r="BS59" s="22" t="n">
        <f aca="false">higiene[[#This Row],[Quantidade]]</f>
        <v>30</v>
      </c>
      <c r="BT59" s="22" t="n">
        <f aca="false">tab_higiene[Qtde (tot)]</f>
        <v>0</v>
      </c>
      <c r="BU59" s="22" t="n">
        <f aca="false">BS59*BT59</f>
        <v>0</v>
      </c>
      <c r="BV59" s="32" t="s">
        <v>346</v>
      </c>
      <c r="BW59" s="22" t="n">
        <f aca="false">SUMIF($BR$5:$BR$142,BV59,$BU$5:$BU$142)</f>
        <v>0</v>
      </c>
    </row>
    <row r="60" customFormat="false" ht="15" hidden="false" customHeight="false" outlineLevel="0" collapsed="false">
      <c r="I60" s="26" t="str">
        <f aca="false">alimentos[[#This Row],[Item]]</f>
        <v>Bolacha (315g)</v>
      </c>
      <c r="J60" s="27" t="n">
        <f aca="false">IFERROR(alimentos[[#This Row],[kg/embalagem]],0)</f>
        <v>0.315</v>
      </c>
      <c r="K60" s="27" t="n">
        <f aca="false">IFERROR(alimentos[[#This Row],[Preço]],0)</f>
        <v>7.69</v>
      </c>
      <c r="L60" s="27" t="n">
        <f aca="false">SUMIFS(super1[Qtde],super1[Item],tab_alimentos[[#This Row],[Item]],super1[Bairro],mercado1)+SUMIFS(supercb[Qtde],supercb[Item],tab_alimentos[[#This Row],[Item]],supercb[Bairro],mercado1)</f>
        <v>0</v>
      </c>
      <c r="M60" s="27" t="n">
        <f aca="false">SUMIFS(super1[Qtde],super1[Item],tab_alimentos[[#This Row],[Item]],super1[Bairro],mercado2)+SUMIFS(supercb[Qtde],supercb[Item],tab_alimentos[[#This Row],[Item]],supercb[Bairro],mercado2)</f>
        <v>0</v>
      </c>
      <c r="N60" s="27" t="n">
        <f aca="false">SUMIFS(super1[Qtde],super1[Item],tab_alimentos[[#This Row],[Item]],super1[Bairro],mercado3)+SUMIFS(supercb[Qtde],supercb[Item],tab_alimentos[[#This Row],[Item]],supercb[Bairro],mercado3)</f>
        <v>0</v>
      </c>
      <c r="O60" s="27" t="n">
        <f aca="false">SUMIFS(super1[Qtde],super1[Item],tab_alimentos[[#This Row],[Item]],super1[Bairro],mercado4)+SUMIFS(supercb[Qtde],supercb[Item],tab_alimentos[[#This Row],[Item]],supercb[Bairro],mercado4)</f>
        <v>0</v>
      </c>
      <c r="P60" s="27" t="n">
        <f aca="false">SUMIFS(super1[Qtde],super1[Item],tab_alimentos[[#This Row],[Item]],super1[Bairro],mercado5)+SUMIFS(supercb[Qtde],supercb[Item],tab_alimentos[[#This Row],[Item]],supercb[Bairro],mercado5)</f>
        <v>0</v>
      </c>
      <c r="Q60" s="27" t="n">
        <f aca="false">SUMIFS(super1[Qtde],super1[Item],tab_alimentos[[#This Row],[Item]],super1[Bairro],mercado6)+SUMIFS(supercb[Qtde],supercb[Item],tab_alimentos[[#This Row],[Item]],supercb[Bairro],mercado6)</f>
        <v>0</v>
      </c>
      <c r="R60" s="27" t="n">
        <f aca="false">SUMIFS(super1[Qtde],super1[Item],tab_alimentos[[#This Row],[Item]],super1[Bairro],mercado7)+SUMIFS(supercb[Qtde],supercb[Item],tab_alimentos[[#This Row],[Item]],supercb[Bairro],mercado7)</f>
        <v>0</v>
      </c>
      <c r="S60" s="27" t="n">
        <f aca="false">SUMIFS(super1[Qtde],super1[Item],tab_alimentos[[#This Row],[Item]],super1[Bairro],mercado8)+SUMIFS(supercb[Qtde],supercb[Item],tab_alimentos[[#This Row],[Item]],supercb[Bairro],mercado8)</f>
        <v>0</v>
      </c>
      <c r="T60" s="27" t="n">
        <f aca="false">SUMIFS(super1[Qtde],super1[Item],tab_alimentos[[#This Row],[Item]],super1[Bairro],mercado9)+SUMIFS(supercb[Qtde],supercb[Item],tab_alimentos[[#This Row],[Item]],supercb[Bairro],mercado9)</f>
        <v>0</v>
      </c>
      <c r="U60" s="27" t="n">
        <f aca="false">SUMIFS(super1[Qtde],super1[Item],tab_alimentos[[#This Row],[Item]],super1[Bairro],mercado10)+SUMIFS(supercb[Qtde],supercb[Item],tab_alimentos[[#This Row],[Item]],supercb[Bairro],mercado10)</f>
        <v>0</v>
      </c>
      <c r="V60" s="27" t="n">
        <f aca="false">SUMIFS(super1[Qtde],super1[Item],tab_alimentos[[#This Row],[Item]],super1[Bairro],mercado11)+SUMIFS(supercb[Qtde],supercb[Item],tab_alimentos[[#This Row],[Item]],supercb[Bairro],mercado11)</f>
        <v>0</v>
      </c>
      <c r="W60" s="27" t="n">
        <f aca="false">SUMIFS(super1[Qtde],super1[Item],tab_alimentos[[#This Row],[Item]],super1[Bairro],mercado12)+SUMIFS(supercb[Qtde],supercb[Item],tab_alimentos[[#This Row],[Item]],supercb[Bairro],mercado12)</f>
        <v>0</v>
      </c>
      <c r="X60" s="27" t="n">
        <f aca="false">SUMIFS(super1[Qtde],super1[Item],tab_alimentos[[#This Row],[Item]],super1[Bairro],mercado13)+SUMIFS(supercb[Qtde],supercb[Item],tab_alimentos[[#This Row],[Item]],supercb[Bairro],mercado13)</f>
        <v>0</v>
      </c>
      <c r="Y60" s="27" t="n">
        <f aca="false">SUMIFS(super1[Qtde],super1[Item],tab_alimentos[[#This Row],[Item]],super1[Bairro],mercado14)+SUMIFS(supercb[Qtde],supercb[Item],tab_alimentos[[#This Row],[Item]],supercb[Bairro],mercado14)</f>
        <v>0</v>
      </c>
      <c r="Z60" s="27" t="n">
        <f aca="false">SUMIFS(super1[Qtde],super1[Item],tab_alimentos[[#This Row],[Item]],super1[Bairro],mercado15)+SUMIFS(supercb[Qtde],supercb[Item],tab_alimentos[[#This Row],[Item]],supercb[Bairro],mercado15)</f>
        <v>0</v>
      </c>
      <c r="AA60" s="27" t="n">
        <f aca="false">SUMIFS(super1[Qtde],super1[Item],tab_alimentos[[#This Row],[Item]],super1[Bairro],mercado16)+SUMIFS(supercb[Qtde],supercb[Item],tab_alimentos[[#This Row],[Item]],supercb[Bairro],mercado16)</f>
        <v>0</v>
      </c>
      <c r="AB60" s="27" t="n">
        <f aca="false">SUMIFS(super1[Qtde],super1[Item],tab_alimentos[[#This Row],[Item]],super1[Bairro],mercado17)+SUMIFS(supercb[Qtde],supercb[Item],tab_alimentos[[#This Row],[Item]],supercb[Bairro],mercado17)</f>
        <v>0</v>
      </c>
      <c r="AC60" s="27" t="n">
        <f aca="false">SUMIFS(super1[Qtde],super1[Item],tab_alimentos[[#This Row],[Item]],super1[Bairro],mercado18)+SUMIFS(supercb[Qtde],supercb[Item],tab_alimentos[[#This Row],[Item]],supercb[Bairro],mercado18)</f>
        <v>0</v>
      </c>
      <c r="AD60" s="27" t="n">
        <f aca="false">SUMIFS(super1[Qtde],super1[Item],tab_alimentos[[#This Row],[Item]],super1[Bairro],extras)+SUMIFS(supercb[Qtde],supercb[Item],tab_alimentos[[#This Row],[Item]],supercb[Bairro],extras)</f>
        <v>0</v>
      </c>
      <c r="AE60" s="27" t="n">
        <f aca="false">SUM(L60:AC60)</f>
        <v>0</v>
      </c>
      <c r="AF60" s="27" t="n">
        <f aca="false">IFERROR(AE60*K60,0)</f>
        <v>0</v>
      </c>
      <c r="AG60" s="28" t="n">
        <f aca="false">IFERROR(J60*AE60,0)</f>
        <v>0</v>
      </c>
      <c r="AH60" s="26" t="str">
        <f aca="false">higiene[[#This Row],[Item]]</f>
        <v>Desodorante rollon</v>
      </c>
      <c r="AI60" s="27" t="n">
        <f aca="false">IFERROR(higiene[[#This Row],[Kg equivalente]],0)</f>
        <v>1.77816027124415</v>
      </c>
      <c r="AJ60" s="27" t="n">
        <f aca="false">IFERROR(higiene[[#This Row],[Preço por produto]],0)</f>
        <v>5.89</v>
      </c>
      <c r="AK60" s="27" t="n">
        <f aca="false">SUMIFS(super1[Qtde],super1[Item],tab_higiene[[#This Row],[Item]],super1[Bairro],mercado1)+SUMIFS(supercb[Qtde],supercb[Item],tab_higiene[[#This Row],[Item]],supercb[Bairro],mercado1)</f>
        <v>0</v>
      </c>
      <c r="AL60" s="27" t="n">
        <f aca="false">SUMIFS(super1[Qtde],super1[Item],tab_higiene[[#This Row],[Item]],super1[Bairro],mercado2)+SUMIFS(supercb[Qtde],supercb[Item],tab_higiene[[#This Row],[Item]],supercb[Bairro],mercado2)</f>
        <v>0</v>
      </c>
      <c r="AM60" s="27" t="n">
        <f aca="false">SUMIFS(super1[Qtde],super1[Item],tab_higiene[[#This Row],[Item]],super1[Bairro],mercado3)+SUMIFS(supercb[Qtde],supercb[Item],tab_higiene[[#This Row],[Item]],supercb[Bairro],mercado3)</f>
        <v>0</v>
      </c>
      <c r="AN60" s="27" t="n">
        <f aca="false">SUMIFS(super1[Qtde],super1[Item],tab_higiene[[#This Row],[Item]],super1[Bairro],mercado4)+SUMIFS(supercb[Qtde],supercb[Item],tab_higiene[[#This Row],[Item]],supercb[Bairro],mercado4)</f>
        <v>0</v>
      </c>
      <c r="AO60" s="27" t="n">
        <f aca="false">SUMIFS(super1[Qtde],super1[Item],tab_higiene[[#This Row],[Item]],super1[Bairro],mercado5)+SUMIFS(supercb[Qtde],supercb[Item],tab_higiene[[#This Row],[Item]],supercb[Bairro],mercado5)</f>
        <v>0</v>
      </c>
      <c r="AP60" s="27" t="n">
        <f aca="false">SUMIFS(super1[Qtde],super1[Item],tab_higiene[[#This Row],[Item]],super1[Bairro],mercado6)+SUMIFS(supercb[Qtde],supercb[Item],tab_higiene[[#This Row],[Item]],supercb[Bairro],mercado6)</f>
        <v>0</v>
      </c>
      <c r="AQ60" s="27" t="n">
        <f aca="false">SUMIFS(super1[Qtde],super1[Item],tab_higiene[[#This Row],[Item]],super1[Bairro],mercado7)+SUMIFS(supercb[Qtde],supercb[Item],tab_higiene[[#This Row],[Item]],supercb[Bairro],mercado7)</f>
        <v>0</v>
      </c>
      <c r="AR60" s="27" t="n">
        <f aca="false">SUMIFS(super1[Qtde],super1[Item],tab_higiene[[#This Row],[Item]],super1[Bairro],mercado8)+SUMIFS(supercb[Qtde],supercb[Item],tab_higiene[[#This Row],[Item]],supercb[Bairro],mercado8)</f>
        <v>0</v>
      </c>
      <c r="AS60" s="27" t="n">
        <f aca="false">SUMIFS(super1[Qtde],super1[Item],tab_higiene[[#This Row],[Item]],super1[Bairro],mercado9)+SUMIFS(supercb[Qtde],supercb[Item],tab_higiene[[#This Row],[Item]],supercb[Bairro],mercado9)</f>
        <v>0</v>
      </c>
      <c r="AT60" s="27" t="n">
        <f aca="false">SUMIFS(super1[Qtde],super1[Item],tab_higiene[[#This Row],[Item]],super1[Bairro],mercado10)+SUMIFS(supercb[Qtde],supercb[Item],tab_higiene[[#This Row],[Item]],supercb[Bairro],mercado10)</f>
        <v>0</v>
      </c>
      <c r="AU60" s="27" t="n">
        <f aca="false">SUMIFS(super1[Qtde],super1[Item],tab_higiene[[#This Row],[Item]],super1[Bairro],mercado11)+SUMIFS(supercb[Qtde],supercb[Item],tab_higiene[[#This Row],[Item]],supercb[Bairro],mercado11)</f>
        <v>0</v>
      </c>
      <c r="AV60" s="27" t="n">
        <f aca="false">SUMIFS(super1[Qtde],super1[Item],tab_higiene[[#This Row],[Item]],super1[Bairro],mercado12)+SUMIFS(supercb[Qtde],supercb[Item],tab_higiene[[#This Row],[Item]],supercb[Bairro],mercado12)</f>
        <v>0</v>
      </c>
      <c r="AW60" s="27" t="n">
        <f aca="false">SUMIFS(super1[Qtde],super1[Item],tab_higiene[[#This Row],[Item]],super1[Bairro],mercado13)+SUMIFS(supercb[Qtde],supercb[Item],tab_higiene[[#This Row],[Item]],supercb[Bairro],mercado13)</f>
        <v>0</v>
      </c>
      <c r="AX60" s="27" t="n">
        <f aca="false">SUMIFS(super1[Qtde],super1[Item],tab_higiene[[#This Row],[Item]],super1[Bairro],mercado14)+SUMIFS(supercb[Qtde],supercb[Item],tab_higiene[[#This Row],[Item]],supercb[Bairro],mercado14)</f>
        <v>0</v>
      </c>
      <c r="AY60" s="27" t="n">
        <f aca="false">SUMIFS(super1[Qtde],super1[Item],tab_higiene[[#This Row],[Item]],super1[Bairro],mercado15)+SUMIFS(supercb[Qtde],supercb[Item],tab_higiene[[#This Row],[Item]],supercb[Bairro],mercado15)</f>
        <v>0</v>
      </c>
      <c r="AZ60" s="27" t="n">
        <f aca="false">SUMIFS(super1[Qtde],super1[Item],tab_higiene[[#This Row],[Item]],super1[Bairro],mercado16)+SUMIFS(supercb[Qtde],supercb[Item],tab_higiene[[#This Row],[Item]],supercb[Bairro],mercado16)</f>
        <v>0</v>
      </c>
      <c r="BA60" s="27" t="n">
        <f aca="false">SUMIFS(super1[Qtde],super1[Item],tab_higiene[[#This Row],[Item]],super1[Bairro],mercado17)+SUMIFS(supercb[Qtde],supercb[Item],tab_higiene[[#This Row],[Item]],supercb[Bairro],mercado17)</f>
        <v>0</v>
      </c>
      <c r="BB60" s="27" t="n">
        <f aca="false">SUMIFS(super1[Qtde],super1[Item],tab_higiene[[#This Row],[Item]],super1[Bairro],mercado18)+SUMIFS(supercb[Qtde],supercb[Item],tab_higiene[[#This Row],[Item]],supercb[Bairro],mercado18)</f>
        <v>0</v>
      </c>
      <c r="BC60" s="27" t="n">
        <f aca="false">SUMIFS(super1[Qtde],super1[Item],tab_higiene[[#This Row],[Item]],super1[Bairro],extras)+SUMIFS(supercb[Qtde],supercb[Item],tab_higiene[[#This Row],[Item]],supercb[Bairro],extras)</f>
        <v>0</v>
      </c>
      <c r="BD60" s="27" t="n">
        <f aca="false">SUM(AK60:BB60)</f>
        <v>0</v>
      </c>
      <c r="BE60" s="27" t="n">
        <f aca="false">IFERROR(BD60*AJ60,0)</f>
        <v>0</v>
      </c>
      <c r="BF60" s="28" t="n">
        <f aca="false">IFERROR(AI60*BD60,0)</f>
        <v>0</v>
      </c>
      <c r="BI60" s="22" t="str">
        <f aca="false">tab_alimentos[[#This Row],[Item]]</f>
        <v>Bolacha (315g)</v>
      </c>
      <c r="BJ60" s="22" t="n">
        <f aca="false">IFERROR(FIND(" (",BI60),0)</f>
        <v>8</v>
      </c>
      <c r="BK60" s="22" t="str">
        <f aca="false">IF(BJ60=0,BI60,LEFT(BI60,BJ60-1))</f>
        <v>Bolacha</v>
      </c>
      <c r="BL60" s="22" t="n">
        <f aca="false">tab_alimentos[[#This Row],[kg]]</f>
        <v>0</v>
      </c>
      <c r="BM60" s="32" t="s">
        <v>347</v>
      </c>
      <c r="BN60" s="22" t="n">
        <f aca="false">SUMIF($BJ$5:$BJ$158,BM60,$BK$5:$BK$158)</f>
        <v>0</v>
      </c>
      <c r="BP60" s="22" t="str">
        <f aca="false">tab_higiene[[#This Row],[Item]]</f>
        <v>Desodorante rollon</v>
      </c>
      <c r="BQ60" s="22" t="n">
        <f aca="false">IFERROR(FIND(" (",BP60),0)</f>
        <v>0</v>
      </c>
      <c r="BR60" s="22" t="str">
        <f aca="false">IF(BQ60=0,BP60,LEFT(BP60,BQ60-1))</f>
        <v>Desodorante rollon</v>
      </c>
      <c r="BS60" s="22" t="n">
        <f aca="false">higiene[[#This Row],[Quantidade]]</f>
        <v>0.05</v>
      </c>
      <c r="BT60" s="22" t="n">
        <f aca="false">tab_higiene[Qtde (tot)]</f>
        <v>0</v>
      </c>
      <c r="BU60" s="22" t="n">
        <f aca="false">BS60*BT60</f>
        <v>0</v>
      </c>
      <c r="BV60" s="32" t="s">
        <v>348</v>
      </c>
      <c r="BW60" s="22" t="n">
        <f aca="false">SUMIF($BR$5:$BR$142,BV60,$BU$5:$BU$142)</f>
        <v>0</v>
      </c>
    </row>
    <row r="61" customFormat="false" ht="15" hidden="false" customHeight="false" outlineLevel="0" collapsed="false">
      <c r="I61" s="26" t="str">
        <f aca="false">alimentos[[#This Row],[Item]]</f>
        <v>Bolacha (330g)</v>
      </c>
      <c r="J61" s="27" t="n">
        <f aca="false">IFERROR(alimentos[[#This Row],[kg/embalagem]],0)</f>
        <v>0.33</v>
      </c>
      <c r="K61" s="27" t="n">
        <f aca="false">IFERROR(alimentos[[#This Row],[Preço]],0)</f>
        <v>5.004</v>
      </c>
      <c r="L61" s="27" t="n">
        <f aca="false">SUMIFS(super1[Qtde],super1[Item],tab_alimentos[[#This Row],[Item]],super1[Bairro],mercado1)+SUMIFS(supercb[Qtde],supercb[Item],tab_alimentos[[#This Row],[Item]],supercb[Bairro],mercado1)</f>
        <v>0</v>
      </c>
      <c r="M61" s="27" t="n">
        <f aca="false">SUMIFS(super1[Qtde],super1[Item],tab_alimentos[[#This Row],[Item]],super1[Bairro],mercado2)+SUMIFS(supercb[Qtde],supercb[Item],tab_alimentos[[#This Row],[Item]],supercb[Bairro],mercado2)</f>
        <v>0</v>
      </c>
      <c r="N61" s="27" t="n">
        <f aca="false">SUMIFS(super1[Qtde],super1[Item],tab_alimentos[[#This Row],[Item]],super1[Bairro],mercado3)+SUMIFS(supercb[Qtde],supercb[Item],tab_alimentos[[#This Row],[Item]],supercb[Bairro],mercado3)</f>
        <v>0</v>
      </c>
      <c r="O61" s="27" t="n">
        <f aca="false">SUMIFS(super1[Qtde],super1[Item],tab_alimentos[[#This Row],[Item]],super1[Bairro],mercado4)+SUMIFS(supercb[Qtde],supercb[Item],tab_alimentos[[#This Row],[Item]],supercb[Bairro],mercado4)</f>
        <v>0</v>
      </c>
      <c r="P61" s="27" t="n">
        <f aca="false">SUMIFS(super1[Qtde],super1[Item],tab_alimentos[[#This Row],[Item]],super1[Bairro],mercado5)+SUMIFS(supercb[Qtde],supercb[Item],tab_alimentos[[#This Row],[Item]],supercb[Bairro],mercado5)</f>
        <v>0</v>
      </c>
      <c r="Q61" s="27" t="n">
        <f aca="false">SUMIFS(super1[Qtde],super1[Item],tab_alimentos[[#This Row],[Item]],super1[Bairro],mercado6)+SUMIFS(supercb[Qtde],supercb[Item],tab_alimentos[[#This Row],[Item]],supercb[Bairro],mercado6)</f>
        <v>0</v>
      </c>
      <c r="R61" s="27" t="n">
        <f aca="false">SUMIFS(super1[Qtde],super1[Item],tab_alimentos[[#This Row],[Item]],super1[Bairro],mercado7)+SUMIFS(supercb[Qtde],supercb[Item],tab_alimentos[[#This Row],[Item]],supercb[Bairro],mercado7)</f>
        <v>0</v>
      </c>
      <c r="S61" s="27" t="n">
        <f aca="false">SUMIFS(super1[Qtde],super1[Item],tab_alimentos[[#This Row],[Item]],super1[Bairro],mercado8)+SUMIFS(supercb[Qtde],supercb[Item],tab_alimentos[[#This Row],[Item]],supercb[Bairro],mercado8)</f>
        <v>0</v>
      </c>
      <c r="T61" s="27" t="n">
        <f aca="false">SUMIFS(super1[Qtde],super1[Item],tab_alimentos[[#This Row],[Item]],super1[Bairro],mercado9)+SUMIFS(supercb[Qtde],supercb[Item],tab_alimentos[[#This Row],[Item]],supercb[Bairro],mercado9)</f>
        <v>0</v>
      </c>
      <c r="U61" s="27" t="n">
        <f aca="false">SUMIFS(super1[Qtde],super1[Item],tab_alimentos[[#This Row],[Item]],super1[Bairro],mercado10)+SUMIFS(supercb[Qtde],supercb[Item],tab_alimentos[[#This Row],[Item]],supercb[Bairro],mercado10)</f>
        <v>0</v>
      </c>
      <c r="V61" s="27" t="n">
        <f aca="false">SUMIFS(super1[Qtde],super1[Item],tab_alimentos[[#This Row],[Item]],super1[Bairro],mercado11)+SUMIFS(supercb[Qtde],supercb[Item],tab_alimentos[[#This Row],[Item]],supercb[Bairro],mercado11)</f>
        <v>0</v>
      </c>
      <c r="W61" s="27" t="n">
        <f aca="false">SUMIFS(super1[Qtde],super1[Item],tab_alimentos[[#This Row],[Item]],super1[Bairro],mercado12)+SUMIFS(supercb[Qtde],supercb[Item],tab_alimentos[[#This Row],[Item]],supercb[Bairro],mercado12)</f>
        <v>0</v>
      </c>
      <c r="X61" s="27" t="n">
        <f aca="false">SUMIFS(super1[Qtde],super1[Item],tab_alimentos[[#This Row],[Item]],super1[Bairro],mercado13)+SUMIFS(supercb[Qtde],supercb[Item],tab_alimentos[[#This Row],[Item]],supercb[Bairro],mercado13)</f>
        <v>1</v>
      </c>
      <c r="Y61" s="27" t="n">
        <f aca="false">SUMIFS(super1[Qtde],super1[Item],tab_alimentos[[#This Row],[Item]],super1[Bairro],mercado14)+SUMIFS(supercb[Qtde],supercb[Item],tab_alimentos[[#This Row],[Item]],supercb[Bairro],mercado14)</f>
        <v>0</v>
      </c>
      <c r="Z61" s="27" t="n">
        <f aca="false">SUMIFS(super1[Qtde],super1[Item],tab_alimentos[[#This Row],[Item]],super1[Bairro],mercado15)+SUMIFS(supercb[Qtde],supercb[Item],tab_alimentos[[#This Row],[Item]],supercb[Bairro],mercado15)</f>
        <v>0</v>
      </c>
      <c r="AA61" s="27" t="n">
        <f aca="false">SUMIFS(super1[Qtde],super1[Item],tab_alimentos[[#This Row],[Item]],super1[Bairro],mercado16)+SUMIFS(supercb[Qtde],supercb[Item],tab_alimentos[[#This Row],[Item]],supercb[Bairro],mercado16)</f>
        <v>0</v>
      </c>
      <c r="AB61" s="27" t="n">
        <f aca="false">SUMIFS(super1[Qtde],super1[Item],tab_alimentos[[#This Row],[Item]],super1[Bairro],mercado17)+SUMIFS(supercb[Qtde],supercb[Item],tab_alimentos[[#This Row],[Item]],supercb[Bairro],mercado17)</f>
        <v>0</v>
      </c>
      <c r="AC61" s="27" t="n">
        <f aca="false">SUMIFS(super1[Qtde],super1[Item],tab_alimentos[[#This Row],[Item]],super1[Bairro],mercado18)+SUMIFS(supercb[Qtde],supercb[Item],tab_alimentos[[#This Row],[Item]],supercb[Bairro],mercado18)</f>
        <v>0</v>
      </c>
      <c r="AD61" s="27" t="n">
        <f aca="false">SUMIFS(super1[Qtde],super1[Item],tab_alimentos[[#This Row],[Item]],super1[Bairro],extras)+SUMIFS(supercb[Qtde],supercb[Item],tab_alimentos[[#This Row],[Item]],supercb[Bairro],extras)</f>
        <v>0</v>
      </c>
      <c r="AE61" s="27" t="n">
        <f aca="false">SUM(L61:AC61)</f>
        <v>1</v>
      </c>
      <c r="AF61" s="27" t="n">
        <f aca="false">IFERROR(AE61*K61,0)</f>
        <v>5.004</v>
      </c>
      <c r="AG61" s="28" t="n">
        <f aca="false">IFERROR(J61*AE61,0)</f>
        <v>0.33</v>
      </c>
      <c r="AH61" s="26" t="str">
        <f aca="false">higiene[[#This Row],[Item]]</f>
        <v>Desodorante spray</v>
      </c>
      <c r="AI61" s="27" t="n">
        <f aca="false">IFERROR(higiene[[#This Row],[Kg equivalente]],0)</f>
        <v>1.7177813146654</v>
      </c>
      <c r="AJ61" s="27" t="n">
        <f aca="false">IFERROR(higiene[[#This Row],[Preço por produto]],0)</f>
        <v>5.69</v>
      </c>
      <c r="AK61" s="27" t="n">
        <f aca="false">SUMIFS(super1[Qtde],super1[Item],tab_higiene[[#This Row],[Item]],super1[Bairro],mercado1)+SUMIFS(supercb[Qtde],supercb[Item],tab_higiene[[#This Row],[Item]],supercb[Bairro],mercado1)</f>
        <v>0</v>
      </c>
      <c r="AL61" s="27" t="n">
        <f aca="false">SUMIFS(super1[Qtde],super1[Item],tab_higiene[[#This Row],[Item]],super1[Bairro],mercado2)+SUMIFS(supercb[Qtde],supercb[Item],tab_higiene[[#This Row],[Item]],supercb[Bairro],mercado2)</f>
        <v>0</v>
      </c>
      <c r="AM61" s="27" t="n">
        <f aca="false">SUMIFS(super1[Qtde],super1[Item],tab_higiene[[#This Row],[Item]],super1[Bairro],mercado3)+SUMIFS(supercb[Qtde],supercb[Item],tab_higiene[[#This Row],[Item]],supercb[Bairro],mercado3)</f>
        <v>0</v>
      </c>
      <c r="AN61" s="27" t="n">
        <f aca="false">SUMIFS(super1[Qtde],super1[Item],tab_higiene[[#This Row],[Item]],super1[Bairro],mercado4)+SUMIFS(supercb[Qtde],supercb[Item],tab_higiene[[#This Row],[Item]],supercb[Bairro],mercado4)</f>
        <v>0</v>
      </c>
      <c r="AO61" s="27" t="n">
        <f aca="false">SUMIFS(super1[Qtde],super1[Item],tab_higiene[[#This Row],[Item]],super1[Bairro],mercado5)+SUMIFS(supercb[Qtde],supercb[Item],tab_higiene[[#This Row],[Item]],supercb[Bairro],mercado5)</f>
        <v>0</v>
      </c>
      <c r="AP61" s="27" t="n">
        <f aca="false">SUMIFS(super1[Qtde],super1[Item],tab_higiene[[#This Row],[Item]],super1[Bairro],mercado6)+SUMIFS(supercb[Qtde],supercb[Item],tab_higiene[[#This Row],[Item]],supercb[Bairro],mercado6)</f>
        <v>0</v>
      </c>
      <c r="AQ61" s="27" t="n">
        <f aca="false">SUMIFS(super1[Qtde],super1[Item],tab_higiene[[#This Row],[Item]],super1[Bairro],mercado7)+SUMIFS(supercb[Qtde],supercb[Item],tab_higiene[[#This Row],[Item]],supercb[Bairro],mercado7)</f>
        <v>0</v>
      </c>
      <c r="AR61" s="27" t="n">
        <f aca="false">SUMIFS(super1[Qtde],super1[Item],tab_higiene[[#This Row],[Item]],super1[Bairro],mercado8)+SUMIFS(supercb[Qtde],supercb[Item],tab_higiene[[#This Row],[Item]],supercb[Bairro],mercado8)</f>
        <v>0</v>
      </c>
      <c r="AS61" s="27" t="n">
        <f aca="false">SUMIFS(super1[Qtde],super1[Item],tab_higiene[[#This Row],[Item]],super1[Bairro],mercado9)+SUMIFS(supercb[Qtde],supercb[Item],tab_higiene[[#This Row],[Item]],supercb[Bairro],mercado9)</f>
        <v>0</v>
      </c>
      <c r="AT61" s="27" t="n">
        <f aca="false">SUMIFS(super1[Qtde],super1[Item],tab_higiene[[#This Row],[Item]],super1[Bairro],mercado10)+SUMIFS(supercb[Qtde],supercb[Item],tab_higiene[[#This Row],[Item]],supercb[Bairro],mercado10)</f>
        <v>0</v>
      </c>
      <c r="AU61" s="27" t="n">
        <f aca="false">SUMIFS(super1[Qtde],super1[Item],tab_higiene[[#This Row],[Item]],super1[Bairro],mercado11)+SUMIFS(supercb[Qtde],supercb[Item],tab_higiene[[#This Row],[Item]],supercb[Bairro],mercado11)</f>
        <v>0</v>
      </c>
      <c r="AV61" s="27" t="n">
        <f aca="false">SUMIFS(super1[Qtde],super1[Item],tab_higiene[[#This Row],[Item]],super1[Bairro],mercado12)+SUMIFS(supercb[Qtde],supercb[Item],tab_higiene[[#This Row],[Item]],supercb[Bairro],mercado12)</f>
        <v>0</v>
      </c>
      <c r="AW61" s="27" t="n">
        <f aca="false">SUMIFS(super1[Qtde],super1[Item],tab_higiene[[#This Row],[Item]],super1[Bairro],mercado13)+SUMIFS(supercb[Qtde],supercb[Item],tab_higiene[[#This Row],[Item]],supercb[Bairro],mercado13)</f>
        <v>0</v>
      </c>
      <c r="AX61" s="27" t="n">
        <f aca="false">SUMIFS(super1[Qtde],super1[Item],tab_higiene[[#This Row],[Item]],super1[Bairro],mercado14)+SUMIFS(supercb[Qtde],supercb[Item],tab_higiene[[#This Row],[Item]],supercb[Bairro],mercado14)</f>
        <v>0</v>
      </c>
      <c r="AY61" s="27" t="n">
        <f aca="false">SUMIFS(super1[Qtde],super1[Item],tab_higiene[[#This Row],[Item]],super1[Bairro],mercado15)+SUMIFS(supercb[Qtde],supercb[Item],tab_higiene[[#This Row],[Item]],supercb[Bairro],mercado15)</f>
        <v>0</v>
      </c>
      <c r="AZ61" s="27" t="n">
        <f aca="false">SUMIFS(super1[Qtde],super1[Item],tab_higiene[[#This Row],[Item]],super1[Bairro],mercado16)+SUMIFS(supercb[Qtde],supercb[Item],tab_higiene[[#This Row],[Item]],supercb[Bairro],mercado16)</f>
        <v>0</v>
      </c>
      <c r="BA61" s="27" t="n">
        <f aca="false">SUMIFS(super1[Qtde],super1[Item],tab_higiene[[#This Row],[Item]],super1[Bairro],mercado17)+SUMIFS(supercb[Qtde],supercb[Item],tab_higiene[[#This Row],[Item]],supercb[Bairro],mercado17)</f>
        <v>0</v>
      </c>
      <c r="BB61" s="27" t="n">
        <f aca="false">SUMIFS(super1[Qtde],super1[Item],tab_higiene[[#This Row],[Item]],super1[Bairro],mercado18)+SUMIFS(supercb[Qtde],supercb[Item],tab_higiene[[#This Row],[Item]],supercb[Bairro],mercado18)</f>
        <v>0</v>
      </c>
      <c r="BC61" s="27" t="n">
        <f aca="false">SUMIFS(super1[Qtde],super1[Item],tab_higiene[[#This Row],[Item]],super1[Bairro],extras)+SUMIFS(supercb[Qtde],supercb[Item],tab_higiene[[#This Row],[Item]],supercb[Bairro],extras)</f>
        <v>0</v>
      </c>
      <c r="BD61" s="27" t="n">
        <f aca="false">SUM(AK61:BB61)</f>
        <v>0</v>
      </c>
      <c r="BE61" s="27" t="n">
        <f aca="false">IFERROR(BD61*AJ61,0)</f>
        <v>0</v>
      </c>
      <c r="BF61" s="28" t="n">
        <f aca="false">IFERROR(AI61*BD61,0)</f>
        <v>0</v>
      </c>
      <c r="BI61" s="22" t="str">
        <f aca="false">tab_alimentos[[#This Row],[Item]]</f>
        <v>Bolacha (330g)</v>
      </c>
      <c r="BJ61" s="22" t="n">
        <f aca="false">IFERROR(FIND(" (",BI61),0)</f>
        <v>8</v>
      </c>
      <c r="BK61" s="22" t="str">
        <f aca="false">IF(BJ61=0,BI61,LEFT(BI61,BJ61-1))</f>
        <v>Bolacha</v>
      </c>
      <c r="BL61" s="22" t="n">
        <f aca="false">tab_alimentos[[#This Row],[kg]]</f>
        <v>0.33</v>
      </c>
      <c r="BM61" s="32" t="s">
        <v>189</v>
      </c>
      <c r="BN61" s="22" t="n">
        <f aca="false">SUMIF($BJ$5:$BJ$158,BM61,$BK$5:$BK$158)</f>
        <v>0</v>
      </c>
      <c r="BP61" s="22" t="str">
        <f aca="false">tab_higiene[[#This Row],[Item]]</f>
        <v>Desodorante spray</v>
      </c>
      <c r="BQ61" s="22" t="n">
        <f aca="false">IFERROR(FIND(" (",BP61),0)</f>
        <v>0</v>
      </c>
      <c r="BR61" s="22" t="str">
        <f aca="false">IF(BQ61=0,BP61,LEFT(BP61,BQ61-1))</f>
        <v>Desodorante spray</v>
      </c>
      <c r="BS61" s="22" t="n">
        <f aca="false">higiene[[#This Row],[Quantidade]]</f>
        <v>1</v>
      </c>
      <c r="BT61" s="22" t="n">
        <f aca="false">tab_higiene[Qtde (tot)]</f>
        <v>0</v>
      </c>
      <c r="BU61" s="22" t="n">
        <f aca="false">BS61*BT61</f>
        <v>0</v>
      </c>
      <c r="BV61" s="32" t="s">
        <v>349</v>
      </c>
      <c r="BW61" s="22" t="n">
        <f aca="false">SUMIF($BR$5:$BR$142,BV61,$BU$5:$BU$142)</f>
        <v>0</v>
      </c>
    </row>
    <row r="62" customFormat="false" ht="15" hidden="false" customHeight="false" outlineLevel="0" collapsed="false">
      <c r="I62" s="26" t="str">
        <f aca="false">alimentos[[#This Row],[Item]]</f>
        <v>Bolacha (360g)</v>
      </c>
      <c r="J62" s="27" t="n">
        <f aca="false">IFERROR(alimentos[[#This Row],[kg/embalagem]],0)</f>
        <v>0.36</v>
      </c>
      <c r="K62" s="27" t="n">
        <f aca="false">IFERROR(alimentos[[#This Row],[Preço]],0)</f>
        <v>3.1375</v>
      </c>
      <c r="L62" s="27" t="n">
        <f aca="false">SUMIFS(super1[Qtde],super1[Item],tab_alimentos[[#This Row],[Item]],super1[Bairro],mercado1)+SUMIFS(supercb[Qtde],supercb[Item],tab_alimentos[[#This Row],[Item]],supercb[Bairro],mercado1)</f>
        <v>5</v>
      </c>
      <c r="M62" s="27" t="n">
        <f aca="false">SUMIFS(super1[Qtde],super1[Item],tab_alimentos[[#This Row],[Item]],super1[Bairro],mercado2)+SUMIFS(supercb[Qtde],supercb[Item],tab_alimentos[[#This Row],[Item]],supercb[Bairro],mercado2)</f>
        <v>7</v>
      </c>
      <c r="N62" s="27" t="n">
        <f aca="false">SUMIFS(super1[Qtde],super1[Item],tab_alimentos[[#This Row],[Item]],super1[Bairro],mercado3)+SUMIFS(supercb[Qtde],supercb[Item],tab_alimentos[[#This Row],[Item]],supercb[Bairro],mercado3)</f>
        <v>0</v>
      </c>
      <c r="O62" s="27" t="n">
        <f aca="false">SUMIFS(super1[Qtde],super1[Item],tab_alimentos[[#This Row],[Item]],super1[Bairro],mercado4)+SUMIFS(supercb[Qtde],supercb[Item],tab_alimentos[[#This Row],[Item]],supercb[Bairro],mercado4)</f>
        <v>1</v>
      </c>
      <c r="P62" s="27" t="n">
        <f aca="false">SUMIFS(super1[Qtde],super1[Item],tab_alimentos[[#This Row],[Item]],super1[Bairro],mercado5)+SUMIFS(supercb[Qtde],supercb[Item],tab_alimentos[[#This Row],[Item]],supercb[Bairro],mercado5)</f>
        <v>0</v>
      </c>
      <c r="Q62" s="27" t="n">
        <f aca="false">SUMIFS(super1[Qtde],super1[Item],tab_alimentos[[#This Row],[Item]],super1[Bairro],mercado6)+SUMIFS(supercb[Qtde],supercb[Item],tab_alimentos[[#This Row],[Item]],supercb[Bairro],mercado6)</f>
        <v>6</v>
      </c>
      <c r="R62" s="27" t="n">
        <f aca="false">SUMIFS(super1[Qtde],super1[Item],tab_alimentos[[#This Row],[Item]],super1[Bairro],mercado7)+SUMIFS(supercb[Qtde],supercb[Item],tab_alimentos[[#This Row],[Item]],supercb[Bairro],mercado7)</f>
        <v>2</v>
      </c>
      <c r="S62" s="27" t="n">
        <f aca="false">SUMIFS(super1[Qtde],super1[Item],tab_alimentos[[#This Row],[Item]],super1[Bairro],mercado8)+SUMIFS(supercb[Qtde],supercb[Item],tab_alimentos[[#This Row],[Item]],supercb[Bairro],mercado8)</f>
        <v>3</v>
      </c>
      <c r="T62" s="27" t="n">
        <f aca="false">SUMIFS(super1[Qtde],super1[Item],tab_alimentos[[#This Row],[Item]],super1[Bairro],mercado9)+SUMIFS(supercb[Qtde],supercb[Item],tab_alimentos[[#This Row],[Item]],supercb[Bairro],mercado9)</f>
        <v>1</v>
      </c>
      <c r="U62" s="27" t="n">
        <f aca="false">SUMIFS(super1[Qtde],super1[Item],tab_alimentos[[#This Row],[Item]],super1[Bairro],mercado10)+SUMIFS(supercb[Qtde],supercb[Item],tab_alimentos[[#This Row],[Item]],supercb[Bairro],mercado10)</f>
        <v>9</v>
      </c>
      <c r="V62" s="27" t="n">
        <f aca="false">SUMIFS(super1[Qtde],super1[Item],tab_alimentos[[#This Row],[Item]],super1[Bairro],mercado11)+SUMIFS(supercb[Qtde],supercb[Item],tab_alimentos[[#This Row],[Item]],supercb[Bairro],mercado11)</f>
        <v>0</v>
      </c>
      <c r="W62" s="27" t="n">
        <f aca="false">SUMIFS(super1[Qtde],super1[Item],tab_alimentos[[#This Row],[Item]],super1[Bairro],mercado12)+SUMIFS(supercb[Qtde],supercb[Item],tab_alimentos[[#This Row],[Item]],supercb[Bairro],mercado12)</f>
        <v>0</v>
      </c>
      <c r="X62" s="27" t="n">
        <f aca="false">SUMIFS(super1[Qtde],super1[Item],tab_alimentos[[#This Row],[Item]],super1[Bairro],mercado13)+SUMIFS(supercb[Qtde],supercb[Item],tab_alimentos[[#This Row],[Item]],supercb[Bairro],mercado13)</f>
        <v>0</v>
      </c>
      <c r="Y62" s="27" t="n">
        <f aca="false">SUMIFS(super1[Qtde],super1[Item],tab_alimentos[[#This Row],[Item]],super1[Bairro],mercado14)+SUMIFS(supercb[Qtde],supercb[Item],tab_alimentos[[#This Row],[Item]],supercb[Bairro],mercado14)</f>
        <v>0</v>
      </c>
      <c r="Z62" s="27" t="n">
        <f aca="false">SUMIFS(super1[Qtde],super1[Item],tab_alimentos[[#This Row],[Item]],super1[Bairro],mercado15)+SUMIFS(supercb[Qtde],supercb[Item],tab_alimentos[[#This Row],[Item]],supercb[Bairro],mercado15)</f>
        <v>0</v>
      </c>
      <c r="AA62" s="27" t="n">
        <f aca="false">SUMIFS(super1[Qtde],super1[Item],tab_alimentos[[#This Row],[Item]],super1[Bairro],mercado16)+SUMIFS(supercb[Qtde],supercb[Item],tab_alimentos[[#This Row],[Item]],supercb[Bairro],mercado16)</f>
        <v>0</v>
      </c>
      <c r="AB62" s="27" t="n">
        <f aca="false">SUMIFS(super1[Qtde],super1[Item],tab_alimentos[[#This Row],[Item]],super1[Bairro],mercado17)+SUMIFS(supercb[Qtde],supercb[Item],tab_alimentos[[#This Row],[Item]],supercb[Bairro],mercado17)</f>
        <v>0</v>
      </c>
      <c r="AC62" s="27" t="n">
        <f aca="false">SUMIFS(super1[Qtde],super1[Item],tab_alimentos[[#This Row],[Item]],super1[Bairro],mercado18)+SUMIFS(supercb[Qtde],supercb[Item],tab_alimentos[[#This Row],[Item]],supercb[Bairro],mercado18)</f>
        <v>0</v>
      </c>
      <c r="AD62" s="27" t="n">
        <f aca="false">SUMIFS(super1[Qtde],super1[Item],tab_alimentos[[#This Row],[Item]],super1[Bairro],extras)+SUMIFS(supercb[Qtde],supercb[Item],tab_alimentos[[#This Row],[Item]],supercb[Bairro],extras)</f>
        <v>0</v>
      </c>
      <c r="AE62" s="27" t="n">
        <f aca="false">SUM(L62:AC62)</f>
        <v>34</v>
      </c>
      <c r="AF62" s="27" t="n">
        <f aca="false">IFERROR(AE62*K62,0)</f>
        <v>106.675</v>
      </c>
      <c r="AG62" s="28" t="n">
        <f aca="false">IFERROR(J62*AE62,0)</f>
        <v>12.24</v>
      </c>
      <c r="AH62" s="26" t="str">
        <f aca="false">higiene[[#This Row],[Item]]</f>
        <v>Detergente</v>
      </c>
      <c r="AI62" s="27" t="n">
        <f aca="false">IFERROR(higiene[[#This Row],[Kg equivalente]],0)</f>
        <v>0.36770784556458</v>
      </c>
      <c r="AJ62" s="27" t="n">
        <f aca="false">IFERROR(higiene[[#This Row],[Preço por produto]],0)</f>
        <v>1.218</v>
      </c>
      <c r="AK62" s="27" t="n">
        <f aca="false">SUMIFS(super1[Qtde],super1[Item],tab_higiene[[#This Row],[Item]],super1[Bairro],mercado1)+SUMIFS(supercb[Qtde],supercb[Item],tab_higiene[[#This Row],[Item]],supercb[Bairro],mercado1)</f>
        <v>10</v>
      </c>
      <c r="AL62" s="27" t="n">
        <f aca="false">SUMIFS(super1[Qtde],super1[Item],tab_higiene[[#This Row],[Item]],super1[Bairro],mercado2)+SUMIFS(supercb[Qtde],supercb[Item],tab_higiene[[#This Row],[Item]],supercb[Bairro],mercado2)</f>
        <v>28</v>
      </c>
      <c r="AM62" s="27" t="n">
        <f aca="false">SUMIFS(super1[Qtde],super1[Item],tab_higiene[[#This Row],[Item]],super1[Bairro],mercado3)+SUMIFS(supercb[Qtde],supercb[Item],tab_higiene[[#This Row],[Item]],supercb[Bairro],mercado3)</f>
        <v>12</v>
      </c>
      <c r="AN62" s="27" t="n">
        <f aca="false">SUMIFS(super1[Qtde],super1[Item],tab_higiene[[#This Row],[Item]],super1[Bairro],mercado4)+SUMIFS(supercb[Qtde],supercb[Item],tab_higiene[[#This Row],[Item]],supercb[Bairro],mercado4)</f>
        <v>30</v>
      </c>
      <c r="AO62" s="27" t="n">
        <f aca="false">SUMIFS(super1[Qtde],super1[Item],tab_higiene[[#This Row],[Item]],super1[Bairro],mercado5)+SUMIFS(supercb[Qtde],supercb[Item],tab_higiene[[#This Row],[Item]],supercb[Bairro],mercado5)</f>
        <v>33</v>
      </c>
      <c r="AP62" s="27" t="n">
        <f aca="false">SUMIFS(super1[Qtde],super1[Item],tab_higiene[[#This Row],[Item]],super1[Bairro],mercado6)+SUMIFS(supercb[Qtde],supercb[Item],tab_higiene[[#This Row],[Item]],supercb[Bairro],mercado6)</f>
        <v>31</v>
      </c>
      <c r="AQ62" s="27" t="n">
        <f aca="false">SUMIFS(super1[Qtde],super1[Item],tab_higiene[[#This Row],[Item]],super1[Bairro],mercado7)+SUMIFS(supercb[Qtde],supercb[Item],tab_higiene[[#This Row],[Item]],supercb[Bairro],mercado7)</f>
        <v>22</v>
      </c>
      <c r="AR62" s="27" t="n">
        <f aca="false">SUMIFS(super1[Qtde],super1[Item],tab_higiene[[#This Row],[Item]],super1[Bairro],mercado8)+SUMIFS(supercb[Qtde],supercb[Item],tab_higiene[[#This Row],[Item]],supercb[Bairro],mercado8)</f>
        <v>22</v>
      </c>
      <c r="AS62" s="27" t="n">
        <f aca="false">SUMIFS(super1[Qtde],super1[Item],tab_higiene[[#This Row],[Item]],super1[Bairro],mercado9)+SUMIFS(supercb[Qtde],supercb[Item],tab_higiene[[#This Row],[Item]],supercb[Bairro],mercado9)</f>
        <v>47</v>
      </c>
      <c r="AT62" s="27" t="n">
        <f aca="false">SUMIFS(super1[Qtde],super1[Item],tab_higiene[[#This Row],[Item]],super1[Bairro],mercado10)+SUMIFS(supercb[Qtde],supercb[Item],tab_higiene[[#This Row],[Item]],supercb[Bairro],mercado10)</f>
        <v>42</v>
      </c>
      <c r="AU62" s="27" t="n">
        <f aca="false">SUMIFS(super1[Qtde],super1[Item],tab_higiene[[#This Row],[Item]],super1[Bairro],mercado11)+SUMIFS(supercb[Qtde],supercb[Item],tab_higiene[[#This Row],[Item]],supercb[Bairro],mercado11)</f>
        <v>21</v>
      </c>
      <c r="AV62" s="27" t="n">
        <f aca="false">SUMIFS(super1[Qtde],super1[Item],tab_higiene[[#This Row],[Item]],super1[Bairro],mercado12)+SUMIFS(supercb[Qtde],supercb[Item],tab_higiene[[#This Row],[Item]],supercb[Bairro],mercado12)</f>
        <v>0</v>
      </c>
      <c r="AW62" s="27" t="n">
        <f aca="false">SUMIFS(super1[Qtde],super1[Item],tab_higiene[[#This Row],[Item]],super1[Bairro],mercado13)+SUMIFS(supercb[Qtde],supercb[Item],tab_higiene[[#This Row],[Item]],supercb[Bairro],mercado13)</f>
        <v>26</v>
      </c>
      <c r="AX62" s="27" t="n">
        <f aca="false">SUMIFS(super1[Qtde],super1[Item],tab_higiene[[#This Row],[Item]],super1[Bairro],mercado14)+SUMIFS(supercb[Qtde],supercb[Item],tab_higiene[[#This Row],[Item]],supercb[Bairro],mercado14)</f>
        <v>0</v>
      </c>
      <c r="AY62" s="27" t="n">
        <f aca="false">SUMIFS(super1[Qtde],super1[Item],tab_higiene[[#This Row],[Item]],super1[Bairro],mercado15)+SUMIFS(supercb[Qtde],supercb[Item],tab_higiene[[#This Row],[Item]],supercb[Bairro],mercado15)</f>
        <v>0</v>
      </c>
      <c r="AZ62" s="27" t="n">
        <f aca="false">SUMIFS(super1[Qtde],super1[Item],tab_higiene[[#This Row],[Item]],super1[Bairro],mercado16)+SUMIFS(supercb[Qtde],supercb[Item],tab_higiene[[#This Row],[Item]],supercb[Bairro],mercado16)</f>
        <v>0</v>
      </c>
      <c r="BA62" s="27" t="n">
        <f aca="false">SUMIFS(super1[Qtde],super1[Item],tab_higiene[[#This Row],[Item]],super1[Bairro],mercado17)+SUMIFS(supercb[Qtde],supercb[Item],tab_higiene[[#This Row],[Item]],supercb[Bairro],mercado17)</f>
        <v>0</v>
      </c>
      <c r="BB62" s="27" t="n">
        <f aca="false">SUMIFS(super1[Qtde],super1[Item],tab_higiene[[#This Row],[Item]],super1[Bairro],mercado18)+SUMIFS(supercb[Qtde],supercb[Item],tab_higiene[[#This Row],[Item]],supercb[Bairro],mercado18)</f>
        <v>0</v>
      </c>
      <c r="BC62" s="27" t="n">
        <f aca="false">SUMIFS(super1[Qtde],super1[Item],tab_higiene[[#This Row],[Item]],super1[Bairro],extras)+SUMIFS(supercb[Qtde],supercb[Item],tab_higiene[[#This Row],[Item]],supercb[Bairro],extras)</f>
        <v>0</v>
      </c>
      <c r="BD62" s="27" t="n">
        <f aca="false">SUM(AK62:BB62)</f>
        <v>324</v>
      </c>
      <c r="BE62" s="27" t="n">
        <f aca="false">IFERROR(BD62*AJ62,0)</f>
        <v>394.632</v>
      </c>
      <c r="BF62" s="28" t="n">
        <f aca="false">IFERROR(AI62*BD62,0)</f>
        <v>119.137341962924</v>
      </c>
      <c r="BI62" s="22" t="str">
        <f aca="false">tab_alimentos[[#This Row],[Item]]</f>
        <v>Bolacha (360g)</v>
      </c>
      <c r="BJ62" s="22" t="n">
        <f aca="false">IFERROR(FIND(" (",BI62),0)</f>
        <v>8</v>
      </c>
      <c r="BK62" s="22" t="str">
        <f aca="false">IF(BJ62=0,BI62,LEFT(BI62,BJ62-1))</f>
        <v>Bolacha</v>
      </c>
      <c r="BL62" s="22" t="n">
        <f aca="false">tab_alimentos[[#This Row],[kg]]</f>
        <v>12.24</v>
      </c>
      <c r="BM62" s="32" t="s">
        <v>350</v>
      </c>
      <c r="BN62" s="22" t="n">
        <f aca="false">SUMIF($BJ$5:$BJ$158,BM62,$BK$5:$BK$158)</f>
        <v>0</v>
      </c>
      <c r="BP62" s="22" t="str">
        <f aca="false">tab_higiene[[#This Row],[Item]]</f>
        <v>Detergente</v>
      </c>
      <c r="BQ62" s="22" t="n">
        <f aca="false">IFERROR(FIND(" (",BP62),0)</f>
        <v>0</v>
      </c>
      <c r="BR62" s="22" t="str">
        <f aca="false">IF(BQ62=0,BP62,LEFT(BP62,BQ62-1))</f>
        <v>Detergente</v>
      </c>
      <c r="BS62" s="22" t="n">
        <f aca="false">higiene[[#This Row],[Quantidade]]</f>
        <v>10</v>
      </c>
      <c r="BT62" s="22" t="n">
        <f aca="false">tab_higiene[Qtde (tot)]</f>
        <v>324</v>
      </c>
      <c r="BU62" s="22" t="n">
        <f aca="false">BS62*BT62</f>
        <v>3240</v>
      </c>
      <c r="BV62" s="32" t="s">
        <v>351</v>
      </c>
      <c r="BW62" s="22" t="n">
        <f aca="false">SUMIF($BR$5:$BR$142,BV62,$BU$5:$BU$142)</f>
        <v>0</v>
      </c>
    </row>
    <row r="63" customFormat="false" ht="15" hidden="false" customHeight="false" outlineLevel="0" collapsed="false">
      <c r="I63" s="26" t="str">
        <f aca="false">alimentos[[#This Row],[Item]]</f>
        <v>Bolacha (375g)</v>
      </c>
      <c r="J63" s="27" t="n">
        <f aca="false">IFERROR(alimentos[[#This Row],[kg/embalagem]],0)</f>
        <v>0.375</v>
      </c>
      <c r="K63" s="27" t="n">
        <f aca="false">IFERROR(alimentos[[#This Row],[Preço]],0)</f>
        <v>3.79</v>
      </c>
      <c r="L63" s="27" t="n">
        <f aca="false">SUMIFS(super1[Qtde],super1[Item],tab_alimentos[[#This Row],[Item]],super1[Bairro],mercado1)+SUMIFS(supercb[Qtde],supercb[Item],tab_alimentos[[#This Row],[Item]],supercb[Bairro],mercado1)</f>
        <v>2</v>
      </c>
      <c r="M63" s="27" t="n">
        <f aca="false">SUMIFS(super1[Qtde],super1[Item],tab_alimentos[[#This Row],[Item]],super1[Bairro],mercado2)+SUMIFS(supercb[Qtde],supercb[Item],tab_alimentos[[#This Row],[Item]],supercb[Bairro],mercado2)</f>
        <v>0</v>
      </c>
      <c r="N63" s="27" t="n">
        <f aca="false">SUMIFS(super1[Qtde],super1[Item],tab_alimentos[[#This Row],[Item]],super1[Bairro],mercado3)+SUMIFS(supercb[Qtde],supercb[Item],tab_alimentos[[#This Row],[Item]],supercb[Bairro],mercado3)</f>
        <v>0</v>
      </c>
      <c r="O63" s="27" t="n">
        <f aca="false">SUMIFS(super1[Qtde],super1[Item],tab_alimentos[[#This Row],[Item]],super1[Bairro],mercado4)+SUMIFS(supercb[Qtde],supercb[Item],tab_alimentos[[#This Row],[Item]],supercb[Bairro],mercado4)</f>
        <v>0</v>
      </c>
      <c r="P63" s="27" t="n">
        <f aca="false">SUMIFS(super1[Qtde],super1[Item],tab_alimentos[[#This Row],[Item]],super1[Bairro],mercado5)+SUMIFS(supercb[Qtde],supercb[Item],tab_alimentos[[#This Row],[Item]],supercb[Bairro],mercado5)</f>
        <v>0</v>
      </c>
      <c r="Q63" s="27" t="n">
        <f aca="false">SUMIFS(super1[Qtde],super1[Item],tab_alimentos[[#This Row],[Item]],super1[Bairro],mercado6)+SUMIFS(supercb[Qtde],supercb[Item],tab_alimentos[[#This Row],[Item]],supercb[Bairro],mercado6)</f>
        <v>0</v>
      </c>
      <c r="R63" s="27" t="n">
        <f aca="false">SUMIFS(super1[Qtde],super1[Item],tab_alimentos[[#This Row],[Item]],super1[Bairro],mercado7)+SUMIFS(supercb[Qtde],supercb[Item],tab_alimentos[[#This Row],[Item]],supercb[Bairro],mercado7)</f>
        <v>0</v>
      </c>
      <c r="S63" s="27" t="n">
        <f aca="false">SUMIFS(super1[Qtde],super1[Item],tab_alimentos[[#This Row],[Item]],super1[Bairro],mercado8)+SUMIFS(supercb[Qtde],supercb[Item],tab_alimentos[[#This Row],[Item]],supercb[Bairro],mercado8)</f>
        <v>3</v>
      </c>
      <c r="T63" s="27" t="n">
        <f aca="false">SUMIFS(super1[Qtde],super1[Item],tab_alimentos[[#This Row],[Item]],super1[Bairro],mercado9)+SUMIFS(supercb[Qtde],supercb[Item],tab_alimentos[[#This Row],[Item]],supercb[Bairro],mercado9)</f>
        <v>2</v>
      </c>
      <c r="U63" s="27" t="n">
        <f aca="false">SUMIFS(super1[Qtde],super1[Item],tab_alimentos[[#This Row],[Item]],super1[Bairro],mercado10)+SUMIFS(supercb[Qtde],supercb[Item],tab_alimentos[[#This Row],[Item]],supercb[Bairro],mercado10)</f>
        <v>16</v>
      </c>
      <c r="V63" s="27" t="n">
        <f aca="false">SUMIFS(super1[Qtde],super1[Item],tab_alimentos[[#This Row],[Item]],super1[Bairro],mercado11)+SUMIFS(supercb[Qtde],supercb[Item],tab_alimentos[[#This Row],[Item]],supercb[Bairro],mercado11)</f>
        <v>1</v>
      </c>
      <c r="W63" s="27" t="n">
        <f aca="false">SUMIFS(super1[Qtde],super1[Item],tab_alimentos[[#This Row],[Item]],super1[Bairro],mercado12)+SUMIFS(supercb[Qtde],supercb[Item],tab_alimentos[[#This Row],[Item]],supercb[Bairro],mercado12)</f>
        <v>0</v>
      </c>
      <c r="X63" s="27" t="n">
        <f aca="false">SUMIFS(super1[Qtde],super1[Item],tab_alimentos[[#This Row],[Item]],super1[Bairro],mercado13)+SUMIFS(supercb[Qtde],supercb[Item],tab_alimentos[[#This Row],[Item]],supercb[Bairro],mercado13)</f>
        <v>0</v>
      </c>
      <c r="Y63" s="27" t="n">
        <f aca="false">SUMIFS(super1[Qtde],super1[Item],tab_alimentos[[#This Row],[Item]],super1[Bairro],mercado14)+SUMIFS(supercb[Qtde],supercb[Item],tab_alimentos[[#This Row],[Item]],supercb[Bairro],mercado14)</f>
        <v>0</v>
      </c>
      <c r="Z63" s="27" t="n">
        <f aca="false">SUMIFS(super1[Qtde],super1[Item],tab_alimentos[[#This Row],[Item]],super1[Bairro],mercado15)+SUMIFS(supercb[Qtde],supercb[Item],tab_alimentos[[#This Row],[Item]],supercb[Bairro],mercado15)</f>
        <v>0</v>
      </c>
      <c r="AA63" s="27" t="n">
        <f aca="false">SUMIFS(super1[Qtde],super1[Item],tab_alimentos[[#This Row],[Item]],super1[Bairro],mercado16)+SUMIFS(supercb[Qtde],supercb[Item],tab_alimentos[[#This Row],[Item]],supercb[Bairro],mercado16)</f>
        <v>0</v>
      </c>
      <c r="AB63" s="27" t="n">
        <f aca="false">SUMIFS(super1[Qtde],super1[Item],tab_alimentos[[#This Row],[Item]],super1[Bairro],mercado17)+SUMIFS(supercb[Qtde],supercb[Item],tab_alimentos[[#This Row],[Item]],supercb[Bairro],mercado17)</f>
        <v>0</v>
      </c>
      <c r="AC63" s="27" t="n">
        <f aca="false">SUMIFS(super1[Qtde],super1[Item],tab_alimentos[[#This Row],[Item]],super1[Bairro],mercado18)+SUMIFS(supercb[Qtde],supercb[Item],tab_alimentos[[#This Row],[Item]],supercb[Bairro],mercado18)</f>
        <v>0</v>
      </c>
      <c r="AD63" s="27" t="n">
        <f aca="false">SUMIFS(super1[Qtde],super1[Item],tab_alimentos[[#This Row],[Item]],super1[Bairro],extras)+SUMIFS(supercb[Qtde],supercb[Item],tab_alimentos[[#This Row],[Item]],supercb[Bairro],extras)</f>
        <v>0</v>
      </c>
      <c r="AE63" s="27" t="n">
        <f aca="false">SUM(L63:AC63)</f>
        <v>24</v>
      </c>
      <c r="AF63" s="27" t="n">
        <f aca="false">IFERROR(AE63*K63,0)</f>
        <v>90.96</v>
      </c>
      <c r="AG63" s="28" t="n">
        <f aca="false">IFERROR(J63*AE63,0)</f>
        <v>9</v>
      </c>
      <c r="AH63" s="26" t="str">
        <f aca="false">higiene[[#This Row],[Item]]</f>
        <v>Detergente (5L)</v>
      </c>
      <c r="AI63" s="27" t="n">
        <f aca="false">IFERROR(higiene[[#This Row],[Kg equivalente]],0)</f>
        <v>3.61820897298152</v>
      </c>
      <c r="AJ63" s="27" t="n">
        <f aca="false">IFERROR(higiene[[#This Row],[Preço por produto]],0)</f>
        <v>11.985</v>
      </c>
      <c r="AK63" s="27" t="n">
        <f aca="false">SUMIFS(super1[Qtde],super1[Item],tab_higiene[[#This Row],[Item]],super1[Bairro],mercado1)+SUMIFS(supercb[Qtde],supercb[Item],tab_higiene[[#This Row],[Item]],supercb[Bairro],mercado1)</f>
        <v>0</v>
      </c>
      <c r="AL63" s="27" t="n">
        <f aca="false">SUMIFS(super1[Qtde],super1[Item],tab_higiene[[#This Row],[Item]],super1[Bairro],mercado2)+SUMIFS(supercb[Qtde],supercb[Item],tab_higiene[[#This Row],[Item]],supercb[Bairro],mercado2)</f>
        <v>0</v>
      </c>
      <c r="AM63" s="27" t="n">
        <f aca="false">SUMIFS(super1[Qtde],super1[Item],tab_higiene[[#This Row],[Item]],super1[Bairro],mercado3)+SUMIFS(supercb[Qtde],supercb[Item],tab_higiene[[#This Row],[Item]],supercb[Bairro],mercado3)</f>
        <v>0</v>
      </c>
      <c r="AN63" s="27" t="n">
        <f aca="false">SUMIFS(super1[Qtde],super1[Item],tab_higiene[[#This Row],[Item]],super1[Bairro],mercado4)+SUMIFS(supercb[Qtde],supercb[Item],tab_higiene[[#This Row],[Item]],supercb[Bairro],mercado4)</f>
        <v>0</v>
      </c>
      <c r="AO63" s="27" t="n">
        <f aca="false">SUMIFS(super1[Qtde],super1[Item],tab_higiene[[#This Row],[Item]],super1[Bairro],mercado5)+SUMIFS(supercb[Qtde],supercb[Item],tab_higiene[[#This Row],[Item]],supercb[Bairro],mercado5)</f>
        <v>0</v>
      </c>
      <c r="AP63" s="27" t="n">
        <f aca="false">SUMIFS(super1[Qtde],super1[Item],tab_higiene[[#This Row],[Item]],super1[Bairro],mercado6)+SUMIFS(supercb[Qtde],supercb[Item],tab_higiene[[#This Row],[Item]],supercb[Bairro],mercado6)</f>
        <v>0</v>
      </c>
      <c r="AQ63" s="27" t="n">
        <f aca="false">SUMIFS(super1[Qtde],super1[Item],tab_higiene[[#This Row],[Item]],super1[Bairro],mercado7)+SUMIFS(supercb[Qtde],supercb[Item],tab_higiene[[#This Row],[Item]],supercb[Bairro],mercado7)</f>
        <v>0</v>
      </c>
      <c r="AR63" s="27" t="n">
        <f aca="false">SUMIFS(super1[Qtde],super1[Item],tab_higiene[[#This Row],[Item]],super1[Bairro],mercado8)+SUMIFS(supercb[Qtde],supercb[Item],tab_higiene[[#This Row],[Item]],supercb[Bairro],mercado8)</f>
        <v>0</v>
      </c>
      <c r="AS63" s="27" t="n">
        <f aca="false">SUMIFS(super1[Qtde],super1[Item],tab_higiene[[#This Row],[Item]],super1[Bairro],mercado9)+SUMIFS(supercb[Qtde],supercb[Item],tab_higiene[[#This Row],[Item]],supercb[Bairro],mercado9)</f>
        <v>0</v>
      </c>
      <c r="AT63" s="27" t="n">
        <f aca="false">SUMIFS(super1[Qtde],super1[Item],tab_higiene[[#This Row],[Item]],super1[Bairro],mercado10)+SUMIFS(supercb[Qtde],supercb[Item],tab_higiene[[#This Row],[Item]],supercb[Bairro],mercado10)</f>
        <v>0</v>
      </c>
      <c r="AU63" s="27" t="n">
        <f aca="false">SUMIFS(super1[Qtde],super1[Item],tab_higiene[[#This Row],[Item]],super1[Bairro],mercado11)+SUMIFS(supercb[Qtde],supercb[Item],tab_higiene[[#This Row],[Item]],supercb[Bairro],mercado11)</f>
        <v>0</v>
      </c>
      <c r="AV63" s="27" t="n">
        <f aca="false">SUMIFS(super1[Qtde],super1[Item],tab_higiene[[#This Row],[Item]],super1[Bairro],mercado12)+SUMIFS(supercb[Qtde],supercb[Item],tab_higiene[[#This Row],[Item]],supercb[Bairro],mercado12)</f>
        <v>0</v>
      </c>
      <c r="AW63" s="27" t="n">
        <f aca="false">SUMIFS(super1[Qtde],super1[Item],tab_higiene[[#This Row],[Item]],super1[Bairro],mercado13)+SUMIFS(supercb[Qtde],supercb[Item],tab_higiene[[#This Row],[Item]],supercb[Bairro],mercado13)</f>
        <v>0</v>
      </c>
      <c r="AX63" s="27" t="n">
        <f aca="false">SUMIFS(super1[Qtde],super1[Item],tab_higiene[[#This Row],[Item]],super1[Bairro],mercado14)+SUMIFS(supercb[Qtde],supercb[Item],tab_higiene[[#This Row],[Item]],supercb[Bairro],mercado14)</f>
        <v>0</v>
      </c>
      <c r="AY63" s="27" t="n">
        <f aca="false">SUMIFS(super1[Qtde],super1[Item],tab_higiene[[#This Row],[Item]],super1[Bairro],mercado15)+SUMIFS(supercb[Qtde],supercb[Item],tab_higiene[[#This Row],[Item]],supercb[Bairro],mercado15)</f>
        <v>0</v>
      </c>
      <c r="AZ63" s="27" t="n">
        <f aca="false">SUMIFS(super1[Qtde],super1[Item],tab_higiene[[#This Row],[Item]],super1[Bairro],mercado16)+SUMIFS(supercb[Qtde],supercb[Item],tab_higiene[[#This Row],[Item]],supercb[Bairro],mercado16)</f>
        <v>0</v>
      </c>
      <c r="BA63" s="27" t="n">
        <f aca="false">SUMIFS(super1[Qtde],super1[Item],tab_higiene[[#This Row],[Item]],super1[Bairro],mercado17)+SUMIFS(supercb[Qtde],supercb[Item],tab_higiene[[#This Row],[Item]],supercb[Bairro],mercado17)</f>
        <v>0</v>
      </c>
      <c r="BB63" s="27" t="n">
        <f aca="false">SUMIFS(super1[Qtde],super1[Item],tab_higiene[[#This Row],[Item]],super1[Bairro],mercado18)+SUMIFS(supercb[Qtde],supercb[Item],tab_higiene[[#This Row],[Item]],supercb[Bairro],mercado18)</f>
        <v>0</v>
      </c>
      <c r="BC63" s="27" t="n">
        <f aca="false">SUMIFS(super1[Qtde],super1[Item],tab_higiene[[#This Row],[Item]],super1[Bairro],extras)+SUMIFS(supercb[Qtde],supercb[Item],tab_higiene[[#This Row],[Item]],supercb[Bairro],extras)</f>
        <v>0</v>
      </c>
      <c r="BD63" s="27" t="n">
        <f aca="false">SUM(AK63:BB63)</f>
        <v>0</v>
      </c>
      <c r="BE63" s="27" t="n">
        <f aca="false">IFERROR(BD63*AJ63,0)</f>
        <v>0</v>
      </c>
      <c r="BF63" s="28" t="n">
        <f aca="false">IFERROR(AI63*BD63,0)</f>
        <v>0</v>
      </c>
      <c r="BI63" s="22" t="str">
        <f aca="false">tab_alimentos[[#This Row],[Item]]</f>
        <v>Bolacha (375g)</v>
      </c>
      <c r="BJ63" s="22" t="n">
        <f aca="false">IFERROR(FIND(" (",BI63),0)</f>
        <v>8</v>
      </c>
      <c r="BK63" s="22" t="str">
        <f aca="false">IF(BJ63=0,BI63,LEFT(BI63,BJ63-1))</f>
        <v>Bolacha</v>
      </c>
      <c r="BL63" s="22" t="n">
        <f aca="false">tab_alimentos[[#This Row],[kg]]</f>
        <v>9</v>
      </c>
      <c r="BM63" s="32" t="s">
        <v>319</v>
      </c>
      <c r="BN63" s="22" t="n">
        <f aca="false">SUMIF($BJ$5:$BJ$158,BM63,$BK$5:$BK$158)</f>
        <v>0</v>
      </c>
      <c r="BP63" s="22" t="str">
        <f aca="false">tab_higiene[[#This Row],[Item]]</f>
        <v>Detergente (5L)</v>
      </c>
      <c r="BQ63" s="22" t="n">
        <f aca="false">IFERROR(FIND(" (",BP63),0)</f>
        <v>11</v>
      </c>
      <c r="BR63" s="22" t="str">
        <f aca="false">IF(BQ63=0,BP63,LEFT(BP63,BQ63-1))</f>
        <v>Detergente</v>
      </c>
      <c r="BS63" s="22" t="n">
        <f aca="false">higiene[[#This Row],[Quantidade]]</f>
        <v>0.2</v>
      </c>
      <c r="BT63" s="22" t="n">
        <f aca="false">tab_higiene[Qtde (tot)]</f>
        <v>0</v>
      </c>
      <c r="BU63" s="22" t="n">
        <f aca="false">BS63*BT63</f>
        <v>0</v>
      </c>
      <c r="BV63" s="32" t="s">
        <v>352</v>
      </c>
      <c r="BW63" s="22" t="n">
        <f aca="false">SUMIF($BR$5:$BR$142,BV63,$BU$5:$BU$142)</f>
        <v>0</v>
      </c>
    </row>
    <row r="64" customFormat="false" ht="15" hidden="false" customHeight="false" outlineLevel="0" collapsed="false">
      <c r="I64" s="26" t="str">
        <f aca="false">alimentos[[#This Row],[Item]]</f>
        <v>Bolacha (400g)</v>
      </c>
      <c r="J64" s="27" t="n">
        <f aca="false">IFERROR(alimentos[[#This Row],[kg/embalagem]],0)</f>
        <v>0.4</v>
      </c>
      <c r="K64" s="27" t="n">
        <f aca="false">IFERROR(alimentos[[#This Row],[Preço]],0)</f>
        <v>4.08833333333333</v>
      </c>
      <c r="L64" s="27" t="n">
        <f aca="false">SUMIFS(super1[Qtde],super1[Item],tab_alimentos[[#This Row],[Item]],super1[Bairro],mercado1)+SUMIFS(supercb[Qtde],supercb[Item],tab_alimentos[[#This Row],[Item]],supercb[Bairro],mercado1)</f>
        <v>1</v>
      </c>
      <c r="M64" s="27" t="n">
        <f aca="false">SUMIFS(super1[Qtde],super1[Item],tab_alimentos[[#This Row],[Item]],super1[Bairro],mercado2)+SUMIFS(supercb[Qtde],supercb[Item],tab_alimentos[[#This Row],[Item]],supercb[Bairro],mercado2)</f>
        <v>5</v>
      </c>
      <c r="N64" s="27" t="n">
        <f aca="false">SUMIFS(super1[Qtde],super1[Item],tab_alimentos[[#This Row],[Item]],super1[Bairro],mercado3)+SUMIFS(supercb[Qtde],supercb[Item],tab_alimentos[[#This Row],[Item]],supercb[Bairro],mercado3)</f>
        <v>0</v>
      </c>
      <c r="O64" s="27" t="n">
        <f aca="false">SUMIFS(super1[Qtde],super1[Item],tab_alimentos[[#This Row],[Item]],super1[Bairro],mercado4)+SUMIFS(supercb[Qtde],supercb[Item],tab_alimentos[[#This Row],[Item]],supercb[Bairro],mercado4)</f>
        <v>3</v>
      </c>
      <c r="P64" s="27" t="n">
        <f aca="false">SUMIFS(super1[Qtde],super1[Item],tab_alimentos[[#This Row],[Item]],super1[Bairro],mercado5)+SUMIFS(supercb[Qtde],supercb[Item],tab_alimentos[[#This Row],[Item]],supercb[Bairro],mercado5)</f>
        <v>15</v>
      </c>
      <c r="Q64" s="27" t="n">
        <f aca="false">SUMIFS(super1[Qtde],super1[Item],tab_alimentos[[#This Row],[Item]],super1[Bairro],mercado6)+SUMIFS(supercb[Qtde],supercb[Item],tab_alimentos[[#This Row],[Item]],supercb[Bairro],mercado6)</f>
        <v>13</v>
      </c>
      <c r="R64" s="27" t="n">
        <f aca="false">SUMIFS(super1[Qtde],super1[Item],tab_alimentos[[#This Row],[Item]],super1[Bairro],mercado7)+SUMIFS(supercb[Qtde],supercb[Item],tab_alimentos[[#This Row],[Item]],supercb[Bairro],mercado7)</f>
        <v>8</v>
      </c>
      <c r="S64" s="27" t="n">
        <f aca="false">SUMIFS(super1[Qtde],super1[Item],tab_alimentos[[#This Row],[Item]],super1[Bairro],mercado8)+SUMIFS(supercb[Qtde],supercb[Item],tab_alimentos[[#This Row],[Item]],supercb[Bairro],mercado8)</f>
        <v>14</v>
      </c>
      <c r="T64" s="27" t="n">
        <f aca="false">SUMIFS(super1[Qtde],super1[Item],tab_alimentos[[#This Row],[Item]],super1[Bairro],mercado9)+SUMIFS(supercb[Qtde],supercb[Item],tab_alimentos[[#This Row],[Item]],supercb[Bairro],mercado9)</f>
        <v>4</v>
      </c>
      <c r="U64" s="27" t="n">
        <f aca="false">SUMIFS(super1[Qtde],super1[Item],tab_alimentos[[#This Row],[Item]],super1[Bairro],mercado10)+SUMIFS(supercb[Qtde],supercb[Item],tab_alimentos[[#This Row],[Item]],supercb[Bairro],mercado10)</f>
        <v>12</v>
      </c>
      <c r="V64" s="27" t="n">
        <f aca="false">SUMIFS(super1[Qtde],super1[Item],tab_alimentos[[#This Row],[Item]],super1[Bairro],mercado11)+SUMIFS(supercb[Qtde],supercb[Item],tab_alimentos[[#This Row],[Item]],supercb[Bairro],mercado11)</f>
        <v>7</v>
      </c>
      <c r="W64" s="27" t="n">
        <f aca="false">SUMIFS(super1[Qtde],super1[Item],tab_alimentos[[#This Row],[Item]],super1[Bairro],mercado12)+SUMIFS(supercb[Qtde],supercb[Item],tab_alimentos[[#This Row],[Item]],supercb[Bairro],mercado12)</f>
        <v>0</v>
      </c>
      <c r="X64" s="27" t="n">
        <f aca="false">SUMIFS(super1[Qtde],super1[Item],tab_alimentos[[#This Row],[Item]],super1[Bairro],mercado13)+SUMIFS(supercb[Qtde],supercb[Item],tab_alimentos[[#This Row],[Item]],supercb[Bairro],mercado13)</f>
        <v>5</v>
      </c>
      <c r="Y64" s="27" t="n">
        <f aca="false">SUMIFS(super1[Qtde],super1[Item],tab_alimentos[[#This Row],[Item]],super1[Bairro],mercado14)+SUMIFS(supercb[Qtde],supercb[Item],tab_alimentos[[#This Row],[Item]],supercb[Bairro],mercado14)</f>
        <v>0</v>
      </c>
      <c r="Z64" s="27" t="n">
        <f aca="false">SUMIFS(super1[Qtde],super1[Item],tab_alimentos[[#This Row],[Item]],super1[Bairro],mercado15)+SUMIFS(supercb[Qtde],supercb[Item],tab_alimentos[[#This Row],[Item]],supercb[Bairro],mercado15)</f>
        <v>0</v>
      </c>
      <c r="AA64" s="27" t="n">
        <f aca="false">SUMIFS(super1[Qtde],super1[Item],tab_alimentos[[#This Row],[Item]],super1[Bairro],mercado16)+SUMIFS(supercb[Qtde],supercb[Item],tab_alimentos[[#This Row],[Item]],supercb[Bairro],mercado16)</f>
        <v>0</v>
      </c>
      <c r="AB64" s="27" t="n">
        <f aca="false">SUMIFS(super1[Qtde],super1[Item],tab_alimentos[[#This Row],[Item]],super1[Bairro],mercado17)+SUMIFS(supercb[Qtde],supercb[Item],tab_alimentos[[#This Row],[Item]],supercb[Bairro],mercado17)</f>
        <v>0</v>
      </c>
      <c r="AC64" s="27" t="n">
        <f aca="false">SUMIFS(super1[Qtde],super1[Item],tab_alimentos[[#This Row],[Item]],super1[Bairro],mercado18)+SUMIFS(supercb[Qtde],supercb[Item],tab_alimentos[[#This Row],[Item]],supercb[Bairro],mercado18)</f>
        <v>0</v>
      </c>
      <c r="AD64" s="27" t="n">
        <f aca="false">SUMIFS(super1[Qtde],super1[Item],tab_alimentos[[#This Row],[Item]],super1[Bairro],extras)+SUMIFS(supercb[Qtde],supercb[Item],tab_alimentos[[#This Row],[Item]],supercb[Bairro],extras)</f>
        <v>0</v>
      </c>
      <c r="AE64" s="27" t="n">
        <f aca="false">SUM(L64:AC64)</f>
        <v>87</v>
      </c>
      <c r="AF64" s="27" t="n">
        <f aca="false">IFERROR(AE64*K64,0)</f>
        <v>355.685</v>
      </c>
      <c r="AG64" s="28" t="n">
        <f aca="false">IFERROR(J64*AE64,0)</f>
        <v>34.8</v>
      </c>
      <c r="AH64" s="26" t="str">
        <f aca="false">higiene[[#This Row],[Item]]</f>
        <v>Detergente (6un)</v>
      </c>
      <c r="AI64" s="27" t="n">
        <f aca="false">IFERROR(higiene[[#This Row],[Kg equivalente]],0)</f>
        <v>2.41591300010719</v>
      </c>
      <c r="AJ64" s="27" t="n">
        <f aca="false">IFERROR(higiene[[#This Row],[Preço por produto]],0)</f>
        <v>8.0025</v>
      </c>
      <c r="AK64" s="27" t="n">
        <f aca="false">SUMIFS(super1[Qtde],super1[Item],tab_higiene[[#This Row],[Item]],super1[Bairro],mercado1)+SUMIFS(supercb[Qtde],supercb[Item],tab_higiene[[#This Row],[Item]],supercb[Bairro],mercado1)</f>
        <v>0</v>
      </c>
      <c r="AL64" s="27" t="n">
        <f aca="false">SUMIFS(super1[Qtde],super1[Item],tab_higiene[[#This Row],[Item]],super1[Bairro],mercado2)+SUMIFS(supercb[Qtde],supercb[Item],tab_higiene[[#This Row],[Item]],supercb[Bairro],mercado2)</f>
        <v>0</v>
      </c>
      <c r="AM64" s="27" t="n">
        <f aca="false">SUMIFS(super1[Qtde],super1[Item],tab_higiene[[#This Row],[Item]],super1[Bairro],mercado3)+SUMIFS(supercb[Qtde],supercb[Item],tab_higiene[[#This Row],[Item]],supercb[Bairro],mercado3)</f>
        <v>0</v>
      </c>
      <c r="AN64" s="27" t="n">
        <f aca="false">SUMIFS(super1[Qtde],super1[Item],tab_higiene[[#This Row],[Item]],super1[Bairro],mercado4)+SUMIFS(supercb[Qtde],supercb[Item],tab_higiene[[#This Row],[Item]],supercb[Bairro],mercado4)</f>
        <v>0</v>
      </c>
      <c r="AO64" s="27" t="n">
        <f aca="false">SUMIFS(super1[Qtde],super1[Item],tab_higiene[[#This Row],[Item]],super1[Bairro],mercado5)+SUMIFS(supercb[Qtde],supercb[Item],tab_higiene[[#This Row],[Item]],supercb[Bairro],mercado5)</f>
        <v>0</v>
      </c>
      <c r="AP64" s="27" t="n">
        <f aca="false">SUMIFS(super1[Qtde],super1[Item],tab_higiene[[#This Row],[Item]],super1[Bairro],mercado6)+SUMIFS(supercb[Qtde],supercb[Item],tab_higiene[[#This Row],[Item]],supercb[Bairro],mercado6)</f>
        <v>0</v>
      </c>
      <c r="AQ64" s="27" t="n">
        <f aca="false">SUMIFS(super1[Qtde],super1[Item],tab_higiene[[#This Row],[Item]],super1[Bairro],mercado7)+SUMIFS(supercb[Qtde],supercb[Item],tab_higiene[[#This Row],[Item]],supercb[Bairro],mercado7)</f>
        <v>0</v>
      </c>
      <c r="AR64" s="27" t="n">
        <f aca="false">SUMIFS(super1[Qtde],super1[Item],tab_higiene[[#This Row],[Item]],super1[Bairro],mercado8)+SUMIFS(supercb[Qtde],supercb[Item],tab_higiene[[#This Row],[Item]],supercb[Bairro],mercado8)</f>
        <v>0</v>
      </c>
      <c r="AS64" s="27" t="n">
        <f aca="false">SUMIFS(super1[Qtde],super1[Item],tab_higiene[[#This Row],[Item]],super1[Bairro],mercado9)+SUMIFS(supercb[Qtde],supercb[Item],tab_higiene[[#This Row],[Item]],supercb[Bairro],mercado9)</f>
        <v>0</v>
      </c>
      <c r="AT64" s="27" t="n">
        <f aca="false">SUMIFS(super1[Qtde],super1[Item],tab_higiene[[#This Row],[Item]],super1[Bairro],mercado10)+SUMIFS(supercb[Qtde],supercb[Item],tab_higiene[[#This Row],[Item]],supercb[Bairro],mercado10)</f>
        <v>0</v>
      </c>
      <c r="AU64" s="27" t="n">
        <f aca="false">SUMIFS(super1[Qtde],super1[Item],tab_higiene[[#This Row],[Item]],super1[Bairro],mercado11)+SUMIFS(supercb[Qtde],supercb[Item],tab_higiene[[#This Row],[Item]],supercb[Bairro],mercado11)</f>
        <v>0</v>
      </c>
      <c r="AV64" s="27" t="n">
        <f aca="false">SUMIFS(super1[Qtde],super1[Item],tab_higiene[[#This Row],[Item]],super1[Bairro],mercado12)+SUMIFS(supercb[Qtde],supercb[Item],tab_higiene[[#This Row],[Item]],supercb[Bairro],mercado12)</f>
        <v>0</v>
      </c>
      <c r="AW64" s="27" t="n">
        <f aca="false">SUMIFS(super1[Qtde],super1[Item],tab_higiene[[#This Row],[Item]],super1[Bairro],mercado13)+SUMIFS(supercb[Qtde],supercb[Item],tab_higiene[[#This Row],[Item]],supercb[Bairro],mercado13)</f>
        <v>0</v>
      </c>
      <c r="AX64" s="27" t="n">
        <f aca="false">SUMIFS(super1[Qtde],super1[Item],tab_higiene[[#This Row],[Item]],super1[Bairro],mercado14)+SUMIFS(supercb[Qtde],supercb[Item],tab_higiene[[#This Row],[Item]],supercb[Bairro],mercado14)</f>
        <v>0</v>
      </c>
      <c r="AY64" s="27" t="n">
        <f aca="false">SUMIFS(super1[Qtde],super1[Item],tab_higiene[[#This Row],[Item]],super1[Bairro],mercado15)+SUMIFS(supercb[Qtde],supercb[Item],tab_higiene[[#This Row],[Item]],supercb[Bairro],mercado15)</f>
        <v>0</v>
      </c>
      <c r="AZ64" s="27" t="n">
        <f aca="false">SUMIFS(super1[Qtde],super1[Item],tab_higiene[[#This Row],[Item]],super1[Bairro],mercado16)+SUMIFS(supercb[Qtde],supercb[Item],tab_higiene[[#This Row],[Item]],supercb[Bairro],mercado16)</f>
        <v>0</v>
      </c>
      <c r="BA64" s="27" t="n">
        <f aca="false">SUMIFS(super1[Qtde],super1[Item],tab_higiene[[#This Row],[Item]],super1[Bairro],mercado17)+SUMIFS(supercb[Qtde],supercb[Item],tab_higiene[[#This Row],[Item]],supercb[Bairro],mercado17)</f>
        <v>0</v>
      </c>
      <c r="BB64" s="27" t="n">
        <f aca="false">SUMIFS(super1[Qtde],super1[Item],tab_higiene[[#This Row],[Item]],super1[Bairro],mercado18)+SUMIFS(supercb[Qtde],supercb[Item],tab_higiene[[#This Row],[Item]],supercb[Bairro],mercado18)</f>
        <v>0</v>
      </c>
      <c r="BC64" s="27" t="n">
        <f aca="false">SUMIFS(super1[Qtde],super1[Item],tab_higiene[[#This Row],[Item]],super1[Bairro],extras)+SUMIFS(supercb[Qtde],supercb[Item],tab_higiene[[#This Row],[Item]],supercb[Bairro],extras)</f>
        <v>0</v>
      </c>
      <c r="BD64" s="27" t="n">
        <f aca="false">SUM(AK64:BB64)</f>
        <v>0</v>
      </c>
      <c r="BE64" s="27" t="n">
        <f aca="false">IFERROR(BD64*AJ64,0)</f>
        <v>0</v>
      </c>
      <c r="BF64" s="28" t="n">
        <f aca="false">IFERROR(AI64*BD64,0)</f>
        <v>0</v>
      </c>
      <c r="BI64" s="22" t="str">
        <f aca="false">tab_alimentos[[#This Row],[Item]]</f>
        <v>Bolacha (400g)</v>
      </c>
      <c r="BJ64" s="22" t="n">
        <f aca="false">IFERROR(FIND(" (",BI64),0)</f>
        <v>8</v>
      </c>
      <c r="BK64" s="22" t="str">
        <f aca="false">IF(BJ64=0,BI64,LEFT(BI64,BJ64-1))</f>
        <v>Bolacha</v>
      </c>
      <c r="BL64" s="22" t="n">
        <f aca="false">tab_alimentos[[#This Row],[kg]]</f>
        <v>34.8</v>
      </c>
      <c r="BM64" s="32" t="s">
        <v>321</v>
      </c>
      <c r="BN64" s="22" t="n">
        <f aca="false">SUMIF($BJ$5:$BJ$158,BM64,$BK$5:$BK$158)</f>
        <v>0</v>
      </c>
      <c r="BP64" s="22" t="str">
        <f aca="false">tab_higiene[[#This Row],[Item]]</f>
        <v>Detergente (6un)</v>
      </c>
      <c r="BQ64" s="22" t="n">
        <f aca="false">IFERROR(FIND(" (",BP64),0)</f>
        <v>11</v>
      </c>
      <c r="BR64" s="22" t="str">
        <f aca="false">IF(BQ64=0,BP64,LEFT(BP64,BQ64-1))</f>
        <v>Detergente</v>
      </c>
      <c r="BS64" s="22" t="n">
        <f aca="false">higiene[[#This Row],[Quantidade]]</f>
        <v>40</v>
      </c>
      <c r="BT64" s="22" t="n">
        <f aca="false">tab_higiene[Qtde (tot)]</f>
        <v>0</v>
      </c>
      <c r="BU64" s="22" t="n">
        <f aca="false">BS64*BT64</f>
        <v>0</v>
      </c>
      <c r="BV64" s="32" t="s">
        <v>353</v>
      </c>
      <c r="BW64" s="22" t="n">
        <f aca="false">SUMIF($BR$5:$BR$142,BV64,$BU$5:$BU$142)</f>
        <v>0</v>
      </c>
    </row>
    <row r="65" customFormat="false" ht="15" hidden="false" customHeight="false" outlineLevel="0" collapsed="false">
      <c r="I65" s="26" t="str">
        <f aca="false">alimentos[[#This Row],[Item]]</f>
        <v>Bolacha (420g)</v>
      </c>
      <c r="J65" s="27" t="n">
        <f aca="false">IFERROR(alimentos[[#This Row],[kg/embalagem]],0)</f>
        <v>0.42</v>
      </c>
      <c r="K65" s="27" t="n">
        <f aca="false">IFERROR(alimentos[[#This Row],[Preço]],0)</f>
        <v>5.29</v>
      </c>
      <c r="L65" s="27" t="n">
        <f aca="false">SUMIFS(super1[Qtde],super1[Item],tab_alimentos[[#This Row],[Item]],super1[Bairro],mercado1)+SUMIFS(supercb[Qtde],supercb[Item],tab_alimentos[[#This Row],[Item]],supercb[Bairro],mercado1)</f>
        <v>0</v>
      </c>
      <c r="M65" s="27" t="n">
        <f aca="false">SUMIFS(super1[Qtde],super1[Item],tab_alimentos[[#This Row],[Item]],super1[Bairro],mercado2)+SUMIFS(supercb[Qtde],supercb[Item],tab_alimentos[[#This Row],[Item]],supercb[Bairro],mercado2)</f>
        <v>0</v>
      </c>
      <c r="N65" s="27" t="n">
        <f aca="false">SUMIFS(super1[Qtde],super1[Item],tab_alimentos[[#This Row],[Item]],super1[Bairro],mercado3)+SUMIFS(supercb[Qtde],supercb[Item],tab_alimentos[[#This Row],[Item]],supercb[Bairro],mercado3)</f>
        <v>0</v>
      </c>
      <c r="O65" s="27" t="n">
        <f aca="false">SUMIFS(super1[Qtde],super1[Item],tab_alimentos[[#This Row],[Item]],super1[Bairro],mercado4)+SUMIFS(supercb[Qtde],supercb[Item],tab_alimentos[[#This Row],[Item]],supercb[Bairro],mercado4)</f>
        <v>0</v>
      </c>
      <c r="P65" s="27" t="n">
        <f aca="false">SUMIFS(super1[Qtde],super1[Item],tab_alimentos[[#This Row],[Item]],super1[Bairro],mercado5)+SUMIFS(supercb[Qtde],supercb[Item],tab_alimentos[[#This Row],[Item]],supercb[Bairro],mercado5)</f>
        <v>0</v>
      </c>
      <c r="Q65" s="27" t="n">
        <f aca="false">SUMIFS(super1[Qtde],super1[Item],tab_alimentos[[#This Row],[Item]],super1[Bairro],mercado6)+SUMIFS(supercb[Qtde],supercb[Item],tab_alimentos[[#This Row],[Item]],supercb[Bairro],mercado6)</f>
        <v>0</v>
      </c>
      <c r="R65" s="27" t="n">
        <f aca="false">SUMIFS(super1[Qtde],super1[Item],tab_alimentos[[#This Row],[Item]],super1[Bairro],mercado7)+SUMIFS(supercb[Qtde],supercb[Item],tab_alimentos[[#This Row],[Item]],supercb[Bairro],mercado7)</f>
        <v>0</v>
      </c>
      <c r="S65" s="27" t="n">
        <f aca="false">SUMIFS(super1[Qtde],super1[Item],tab_alimentos[[#This Row],[Item]],super1[Bairro],mercado8)+SUMIFS(supercb[Qtde],supercb[Item],tab_alimentos[[#This Row],[Item]],supercb[Bairro],mercado8)</f>
        <v>0</v>
      </c>
      <c r="T65" s="27" t="n">
        <f aca="false">SUMIFS(super1[Qtde],super1[Item],tab_alimentos[[#This Row],[Item]],super1[Bairro],mercado9)+SUMIFS(supercb[Qtde],supercb[Item],tab_alimentos[[#This Row],[Item]],supercb[Bairro],mercado9)</f>
        <v>0</v>
      </c>
      <c r="U65" s="27" t="n">
        <f aca="false">SUMIFS(super1[Qtde],super1[Item],tab_alimentos[[#This Row],[Item]],super1[Bairro],mercado10)+SUMIFS(supercb[Qtde],supercb[Item],tab_alimentos[[#This Row],[Item]],supercb[Bairro],mercado10)</f>
        <v>0</v>
      </c>
      <c r="V65" s="27" t="n">
        <f aca="false">SUMIFS(super1[Qtde],super1[Item],tab_alimentos[[#This Row],[Item]],super1[Bairro],mercado11)+SUMIFS(supercb[Qtde],supercb[Item],tab_alimentos[[#This Row],[Item]],supercb[Bairro],mercado11)</f>
        <v>0</v>
      </c>
      <c r="W65" s="27" t="n">
        <f aca="false">SUMIFS(super1[Qtde],super1[Item],tab_alimentos[[#This Row],[Item]],super1[Bairro],mercado12)+SUMIFS(supercb[Qtde],supercb[Item],tab_alimentos[[#This Row],[Item]],supercb[Bairro],mercado12)</f>
        <v>0</v>
      </c>
      <c r="X65" s="27" t="n">
        <f aca="false">SUMIFS(super1[Qtde],super1[Item],tab_alimentos[[#This Row],[Item]],super1[Bairro],mercado13)+SUMIFS(supercb[Qtde],supercb[Item],tab_alimentos[[#This Row],[Item]],supercb[Bairro],mercado13)</f>
        <v>0</v>
      </c>
      <c r="Y65" s="27" t="n">
        <f aca="false">SUMIFS(super1[Qtde],super1[Item],tab_alimentos[[#This Row],[Item]],super1[Bairro],mercado14)+SUMIFS(supercb[Qtde],supercb[Item],tab_alimentos[[#This Row],[Item]],supercb[Bairro],mercado14)</f>
        <v>0</v>
      </c>
      <c r="Z65" s="27" t="n">
        <f aca="false">SUMIFS(super1[Qtde],super1[Item],tab_alimentos[[#This Row],[Item]],super1[Bairro],mercado15)+SUMIFS(supercb[Qtde],supercb[Item],tab_alimentos[[#This Row],[Item]],supercb[Bairro],mercado15)</f>
        <v>0</v>
      </c>
      <c r="AA65" s="27" t="n">
        <f aca="false">SUMIFS(super1[Qtde],super1[Item],tab_alimentos[[#This Row],[Item]],super1[Bairro],mercado16)+SUMIFS(supercb[Qtde],supercb[Item],tab_alimentos[[#This Row],[Item]],supercb[Bairro],mercado16)</f>
        <v>0</v>
      </c>
      <c r="AB65" s="27" t="n">
        <f aca="false">SUMIFS(super1[Qtde],super1[Item],tab_alimentos[[#This Row],[Item]],super1[Bairro],mercado17)+SUMIFS(supercb[Qtde],supercb[Item],tab_alimentos[[#This Row],[Item]],supercb[Bairro],mercado17)</f>
        <v>0</v>
      </c>
      <c r="AC65" s="27" t="n">
        <f aca="false">SUMIFS(super1[Qtde],super1[Item],tab_alimentos[[#This Row],[Item]],super1[Bairro],mercado18)+SUMIFS(supercb[Qtde],supercb[Item],tab_alimentos[[#This Row],[Item]],supercb[Bairro],mercado18)</f>
        <v>0</v>
      </c>
      <c r="AD65" s="27" t="n">
        <f aca="false">SUMIFS(super1[Qtde],super1[Item],tab_alimentos[[#This Row],[Item]],super1[Bairro],extras)+SUMIFS(supercb[Qtde],supercb[Item],tab_alimentos[[#This Row],[Item]],supercb[Bairro],extras)</f>
        <v>0</v>
      </c>
      <c r="AE65" s="27" t="n">
        <f aca="false">SUM(L65:AC65)</f>
        <v>0</v>
      </c>
      <c r="AF65" s="27" t="n">
        <f aca="false">IFERROR(AE65*K65,0)</f>
        <v>0</v>
      </c>
      <c r="AG65" s="28" t="n">
        <f aca="false">IFERROR(J65*AE65,0)</f>
        <v>0</v>
      </c>
      <c r="AH65" s="26" t="str">
        <f aca="false">higiene[[#This Row],[Item]]</f>
        <v>Detergente(500ml)</v>
      </c>
      <c r="AI65" s="27" t="n">
        <f aca="false">IFERROR(higiene[[#This Row],[Kg equivalente]],0)</f>
        <v>0.347179000327806</v>
      </c>
      <c r="AJ65" s="27" t="n">
        <f aca="false">IFERROR(higiene[[#This Row],[Preço por produto]],0)</f>
        <v>1.15</v>
      </c>
      <c r="AK65" s="27" t="n">
        <f aca="false">SUMIFS(super1[Qtde],super1[Item],tab_higiene[[#This Row],[Item]],super1[Bairro],mercado1)+SUMIFS(supercb[Qtde],supercb[Item],tab_higiene[[#This Row],[Item]],supercb[Bairro],mercado1)</f>
        <v>0</v>
      </c>
      <c r="AL65" s="27" t="n">
        <f aca="false">SUMIFS(super1[Qtde],super1[Item],tab_higiene[[#This Row],[Item]],super1[Bairro],mercado2)+SUMIFS(supercb[Qtde],supercb[Item],tab_higiene[[#This Row],[Item]],supercb[Bairro],mercado2)</f>
        <v>0</v>
      </c>
      <c r="AM65" s="27" t="n">
        <f aca="false">SUMIFS(super1[Qtde],super1[Item],tab_higiene[[#This Row],[Item]],super1[Bairro],mercado3)+SUMIFS(supercb[Qtde],supercb[Item],tab_higiene[[#This Row],[Item]],supercb[Bairro],mercado3)</f>
        <v>0</v>
      </c>
      <c r="AN65" s="27" t="n">
        <f aca="false">SUMIFS(super1[Qtde],super1[Item],tab_higiene[[#This Row],[Item]],super1[Bairro],mercado4)+SUMIFS(supercb[Qtde],supercb[Item],tab_higiene[[#This Row],[Item]],supercb[Bairro],mercado4)</f>
        <v>0</v>
      </c>
      <c r="AO65" s="27" t="n">
        <f aca="false">SUMIFS(super1[Qtde],super1[Item],tab_higiene[[#This Row],[Item]],super1[Bairro],mercado5)+SUMIFS(supercb[Qtde],supercb[Item],tab_higiene[[#This Row],[Item]],supercb[Bairro],mercado5)</f>
        <v>0</v>
      </c>
      <c r="AP65" s="27" t="n">
        <f aca="false">SUMIFS(super1[Qtde],super1[Item],tab_higiene[[#This Row],[Item]],super1[Bairro],mercado6)+SUMIFS(supercb[Qtde],supercb[Item],tab_higiene[[#This Row],[Item]],supercb[Bairro],mercado6)</f>
        <v>0</v>
      </c>
      <c r="AQ65" s="27" t="n">
        <f aca="false">SUMIFS(super1[Qtde],super1[Item],tab_higiene[[#This Row],[Item]],super1[Bairro],mercado7)+SUMIFS(supercb[Qtde],supercb[Item],tab_higiene[[#This Row],[Item]],supercb[Bairro],mercado7)</f>
        <v>0</v>
      </c>
      <c r="AR65" s="27" t="n">
        <f aca="false">SUMIFS(super1[Qtde],super1[Item],tab_higiene[[#This Row],[Item]],super1[Bairro],mercado8)+SUMIFS(supercb[Qtde],supercb[Item],tab_higiene[[#This Row],[Item]],supercb[Bairro],mercado8)</f>
        <v>0</v>
      </c>
      <c r="AS65" s="27" t="n">
        <f aca="false">SUMIFS(super1[Qtde],super1[Item],tab_higiene[[#This Row],[Item]],super1[Bairro],mercado9)+SUMIFS(supercb[Qtde],supercb[Item],tab_higiene[[#This Row],[Item]],supercb[Bairro],mercado9)</f>
        <v>6</v>
      </c>
      <c r="AT65" s="27" t="n">
        <f aca="false">SUMIFS(super1[Qtde],super1[Item],tab_higiene[[#This Row],[Item]],super1[Bairro],mercado10)+SUMIFS(supercb[Qtde],supercb[Item],tab_higiene[[#This Row],[Item]],supercb[Bairro],mercado10)</f>
        <v>0</v>
      </c>
      <c r="AU65" s="27" t="n">
        <f aca="false">SUMIFS(super1[Qtde],super1[Item],tab_higiene[[#This Row],[Item]],super1[Bairro],mercado11)+SUMIFS(supercb[Qtde],supercb[Item],tab_higiene[[#This Row],[Item]],supercb[Bairro],mercado11)</f>
        <v>7</v>
      </c>
      <c r="AV65" s="27" t="n">
        <f aca="false">SUMIFS(super1[Qtde],super1[Item],tab_higiene[[#This Row],[Item]],super1[Bairro],mercado12)+SUMIFS(supercb[Qtde],supercb[Item],tab_higiene[[#This Row],[Item]],supercb[Bairro],mercado12)</f>
        <v>0</v>
      </c>
      <c r="AW65" s="27" t="n">
        <f aca="false">SUMIFS(super1[Qtde],super1[Item],tab_higiene[[#This Row],[Item]],super1[Bairro],mercado13)+SUMIFS(supercb[Qtde],supercb[Item],tab_higiene[[#This Row],[Item]],supercb[Bairro],mercado13)</f>
        <v>0</v>
      </c>
      <c r="AX65" s="27" t="n">
        <f aca="false">SUMIFS(super1[Qtde],super1[Item],tab_higiene[[#This Row],[Item]],super1[Bairro],mercado14)+SUMIFS(supercb[Qtde],supercb[Item],tab_higiene[[#This Row],[Item]],supercb[Bairro],mercado14)</f>
        <v>0</v>
      </c>
      <c r="AY65" s="27" t="n">
        <f aca="false">SUMIFS(super1[Qtde],super1[Item],tab_higiene[[#This Row],[Item]],super1[Bairro],mercado15)+SUMIFS(supercb[Qtde],supercb[Item],tab_higiene[[#This Row],[Item]],supercb[Bairro],mercado15)</f>
        <v>0</v>
      </c>
      <c r="AZ65" s="27" t="n">
        <f aca="false">SUMIFS(super1[Qtde],super1[Item],tab_higiene[[#This Row],[Item]],super1[Bairro],mercado16)+SUMIFS(supercb[Qtde],supercb[Item],tab_higiene[[#This Row],[Item]],supercb[Bairro],mercado16)</f>
        <v>0</v>
      </c>
      <c r="BA65" s="27" t="n">
        <f aca="false">SUMIFS(super1[Qtde],super1[Item],tab_higiene[[#This Row],[Item]],super1[Bairro],mercado17)+SUMIFS(supercb[Qtde],supercb[Item],tab_higiene[[#This Row],[Item]],supercb[Bairro],mercado17)</f>
        <v>0</v>
      </c>
      <c r="BB65" s="27" t="n">
        <f aca="false">SUMIFS(super1[Qtde],super1[Item],tab_higiene[[#This Row],[Item]],super1[Bairro],mercado18)+SUMIFS(supercb[Qtde],supercb[Item],tab_higiene[[#This Row],[Item]],supercb[Bairro],mercado18)</f>
        <v>0</v>
      </c>
      <c r="BC65" s="27" t="n">
        <f aca="false">SUMIFS(super1[Qtde],super1[Item],tab_higiene[[#This Row],[Item]],super1[Bairro],extras)+SUMIFS(supercb[Qtde],supercb[Item],tab_higiene[[#This Row],[Item]],supercb[Bairro],extras)</f>
        <v>0</v>
      </c>
      <c r="BD65" s="27" t="n">
        <f aca="false">SUM(AK65:BB65)</f>
        <v>13</v>
      </c>
      <c r="BE65" s="27" t="n">
        <f aca="false">IFERROR(BD65*AJ65,0)</f>
        <v>14.95</v>
      </c>
      <c r="BF65" s="28" t="n">
        <f aca="false">IFERROR(AI65*BD65,0)</f>
        <v>4.51332700426148</v>
      </c>
      <c r="BI65" s="22" t="str">
        <f aca="false">tab_alimentos[[#This Row],[Item]]</f>
        <v>Bolacha (420g)</v>
      </c>
      <c r="BJ65" s="22" t="n">
        <f aca="false">IFERROR(FIND(" (",BI65),0)</f>
        <v>8</v>
      </c>
      <c r="BK65" s="22" t="str">
        <f aca="false">IF(BJ65=0,BI65,LEFT(BI65,BJ65-1))</f>
        <v>Bolacha</v>
      </c>
      <c r="BL65" s="22" t="n">
        <f aca="false">tab_alimentos[[#This Row],[kg]]</f>
        <v>0</v>
      </c>
      <c r="BM65" s="32" t="s">
        <v>26</v>
      </c>
      <c r="BN65" s="22" t="n">
        <f aca="false">SUMIF($BJ$5:$BJ$158,BM65,$BK$5:$BK$158)</f>
        <v>0</v>
      </c>
      <c r="BP65" s="22" t="str">
        <f aca="false">tab_higiene[[#This Row],[Item]]</f>
        <v>Detergente(500ml)</v>
      </c>
      <c r="BQ65" s="22" t="n">
        <f aca="false">IFERROR(FIND(" (",BP65),0)</f>
        <v>0</v>
      </c>
      <c r="BR65" s="22" t="str">
        <f aca="false">IF(BQ65=0,BP65,LEFT(BP65,BQ65-1))</f>
        <v>Detergente(500ml)</v>
      </c>
      <c r="BS65" s="22" t="n">
        <f aca="false">higiene[[#This Row],[Quantidade]]</f>
        <v>7</v>
      </c>
      <c r="BT65" s="22" t="n">
        <f aca="false">tab_higiene[Qtde (tot)]</f>
        <v>13</v>
      </c>
      <c r="BU65" s="22" t="n">
        <f aca="false">BS65*BT65</f>
        <v>91</v>
      </c>
      <c r="BV65" s="32" t="s">
        <v>354</v>
      </c>
      <c r="BW65" s="22" t="n">
        <f aca="false">SUMIF($BR$5:$BR$142,BV65,$BU$5:$BU$142)</f>
        <v>0</v>
      </c>
    </row>
    <row r="66" customFormat="false" ht="15" hidden="false" customHeight="false" outlineLevel="0" collapsed="false">
      <c r="I66" s="26" t="str">
        <f aca="false">alimentos[[#This Row],[Item]]</f>
        <v>Bolacha (500g)</v>
      </c>
      <c r="J66" s="27" t="n">
        <f aca="false">IFERROR(alimentos[[#This Row],[kg/embalagem]],0)</f>
        <v>0.5</v>
      </c>
      <c r="K66" s="27" t="n">
        <f aca="false">IFERROR(alimentos[[#This Row],[Preço]],0)</f>
        <v>6.642</v>
      </c>
      <c r="L66" s="27" t="n">
        <f aca="false">SUMIFS(super1[Qtde],super1[Item],tab_alimentos[[#This Row],[Item]],super1[Bairro],mercado1)+SUMIFS(supercb[Qtde],supercb[Item],tab_alimentos[[#This Row],[Item]],supercb[Bairro],mercado1)</f>
        <v>0</v>
      </c>
      <c r="M66" s="27" t="n">
        <f aca="false">SUMIFS(super1[Qtde],super1[Item],tab_alimentos[[#This Row],[Item]],super1[Bairro],mercado2)+SUMIFS(supercb[Qtde],supercb[Item],tab_alimentos[[#This Row],[Item]],supercb[Bairro],mercado2)</f>
        <v>0</v>
      </c>
      <c r="N66" s="27" t="n">
        <f aca="false">SUMIFS(super1[Qtde],super1[Item],tab_alimentos[[#This Row],[Item]],super1[Bairro],mercado3)+SUMIFS(supercb[Qtde],supercb[Item],tab_alimentos[[#This Row],[Item]],supercb[Bairro],mercado3)</f>
        <v>0</v>
      </c>
      <c r="O66" s="27" t="n">
        <f aca="false">SUMIFS(super1[Qtde],super1[Item],tab_alimentos[[#This Row],[Item]],super1[Bairro],mercado4)+SUMIFS(supercb[Qtde],supercb[Item],tab_alimentos[[#This Row],[Item]],supercb[Bairro],mercado4)</f>
        <v>0</v>
      </c>
      <c r="P66" s="27" t="n">
        <f aca="false">SUMIFS(super1[Qtde],super1[Item],tab_alimentos[[#This Row],[Item]],super1[Bairro],mercado5)+SUMIFS(supercb[Qtde],supercb[Item],tab_alimentos[[#This Row],[Item]],supercb[Bairro],mercado5)</f>
        <v>0</v>
      </c>
      <c r="Q66" s="27" t="n">
        <f aca="false">SUMIFS(super1[Qtde],super1[Item],tab_alimentos[[#This Row],[Item]],super1[Bairro],mercado6)+SUMIFS(supercb[Qtde],supercb[Item],tab_alimentos[[#This Row],[Item]],supercb[Bairro],mercado6)</f>
        <v>1</v>
      </c>
      <c r="R66" s="27" t="n">
        <f aca="false">SUMIFS(super1[Qtde],super1[Item],tab_alimentos[[#This Row],[Item]],super1[Bairro],mercado7)+SUMIFS(supercb[Qtde],supercb[Item],tab_alimentos[[#This Row],[Item]],supercb[Bairro],mercado7)</f>
        <v>0</v>
      </c>
      <c r="S66" s="27" t="n">
        <f aca="false">SUMIFS(super1[Qtde],super1[Item],tab_alimentos[[#This Row],[Item]],super1[Bairro],mercado8)+SUMIFS(supercb[Qtde],supercb[Item],tab_alimentos[[#This Row],[Item]],supercb[Bairro],mercado8)</f>
        <v>1</v>
      </c>
      <c r="T66" s="27" t="n">
        <f aca="false">SUMIFS(super1[Qtde],super1[Item],tab_alimentos[[#This Row],[Item]],super1[Bairro],mercado9)+SUMIFS(supercb[Qtde],supercb[Item],tab_alimentos[[#This Row],[Item]],supercb[Bairro],mercado9)</f>
        <v>0</v>
      </c>
      <c r="U66" s="27" t="n">
        <f aca="false">SUMIFS(super1[Qtde],super1[Item],tab_alimentos[[#This Row],[Item]],super1[Bairro],mercado10)+SUMIFS(supercb[Qtde],supercb[Item],tab_alimentos[[#This Row],[Item]],supercb[Bairro],mercado10)</f>
        <v>0</v>
      </c>
      <c r="V66" s="27" t="n">
        <f aca="false">SUMIFS(super1[Qtde],super1[Item],tab_alimentos[[#This Row],[Item]],super1[Bairro],mercado11)+SUMIFS(supercb[Qtde],supercb[Item],tab_alimentos[[#This Row],[Item]],supercb[Bairro],mercado11)</f>
        <v>0</v>
      </c>
      <c r="W66" s="27" t="n">
        <f aca="false">SUMIFS(super1[Qtde],super1[Item],tab_alimentos[[#This Row],[Item]],super1[Bairro],mercado12)+SUMIFS(supercb[Qtde],supercb[Item],tab_alimentos[[#This Row],[Item]],supercb[Bairro],mercado12)</f>
        <v>0</v>
      </c>
      <c r="X66" s="27" t="n">
        <f aca="false">SUMIFS(super1[Qtde],super1[Item],tab_alimentos[[#This Row],[Item]],super1[Bairro],mercado13)+SUMIFS(supercb[Qtde],supercb[Item],tab_alimentos[[#This Row],[Item]],supercb[Bairro],mercado13)</f>
        <v>0</v>
      </c>
      <c r="Y66" s="27" t="n">
        <f aca="false">SUMIFS(super1[Qtde],super1[Item],tab_alimentos[[#This Row],[Item]],super1[Bairro],mercado14)+SUMIFS(supercb[Qtde],supercb[Item],tab_alimentos[[#This Row],[Item]],supercb[Bairro],mercado14)</f>
        <v>0</v>
      </c>
      <c r="Z66" s="27" t="n">
        <f aca="false">SUMIFS(super1[Qtde],super1[Item],tab_alimentos[[#This Row],[Item]],super1[Bairro],mercado15)+SUMIFS(supercb[Qtde],supercb[Item],tab_alimentos[[#This Row],[Item]],supercb[Bairro],mercado15)</f>
        <v>0</v>
      </c>
      <c r="AA66" s="27" t="n">
        <f aca="false">SUMIFS(super1[Qtde],super1[Item],tab_alimentos[[#This Row],[Item]],super1[Bairro],mercado16)+SUMIFS(supercb[Qtde],supercb[Item],tab_alimentos[[#This Row],[Item]],supercb[Bairro],mercado16)</f>
        <v>0</v>
      </c>
      <c r="AB66" s="27" t="n">
        <f aca="false">SUMIFS(super1[Qtde],super1[Item],tab_alimentos[[#This Row],[Item]],super1[Bairro],mercado17)+SUMIFS(supercb[Qtde],supercb[Item],tab_alimentos[[#This Row],[Item]],supercb[Bairro],mercado17)</f>
        <v>0</v>
      </c>
      <c r="AC66" s="27" t="n">
        <f aca="false">SUMIFS(super1[Qtde],super1[Item],tab_alimentos[[#This Row],[Item]],super1[Bairro],mercado18)+SUMIFS(supercb[Qtde],supercb[Item],tab_alimentos[[#This Row],[Item]],supercb[Bairro],mercado18)</f>
        <v>0</v>
      </c>
      <c r="AD66" s="27" t="n">
        <f aca="false">SUMIFS(super1[Qtde],super1[Item],tab_alimentos[[#This Row],[Item]],super1[Bairro],extras)+SUMIFS(supercb[Qtde],supercb[Item],tab_alimentos[[#This Row],[Item]],supercb[Bairro],extras)</f>
        <v>0</v>
      </c>
      <c r="AE66" s="27" t="n">
        <f aca="false">SUM(L66:AC66)</f>
        <v>2</v>
      </c>
      <c r="AF66" s="27" t="n">
        <f aca="false">IFERROR(AE66*K66,0)</f>
        <v>13.284</v>
      </c>
      <c r="AG66" s="28" t="n">
        <f aca="false">IFERROR(J66*AE66,0)</f>
        <v>1</v>
      </c>
      <c r="AH66" s="26" t="str">
        <f aca="false">higiene[[#This Row],[Item]]</f>
        <v>E</v>
      </c>
      <c r="AI66" s="27" t="n">
        <f aca="false">IFERROR(higiene[[#This Row],[Kg equivalente]],0)</f>
        <v>0</v>
      </c>
      <c r="AJ66" s="27" t="n">
        <f aca="false">IFERROR(higiene[[#This Row],[Preço por produto]],0)</f>
        <v>0</v>
      </c>
      <c r="AK66" s="27" t="n">
        <f aca="false">SUMIFS(super1[Qtde],super1[Item],tab_higiene[[#This Row],[Item]],super1[Bairro],mercado1)+SUMIFS(supercb[Qtde],supercb[Item],tab_higiene[[#This Row],[Item]],supercb[Bairro],mercado1)</f>
        <v>0</v>
      </c>
      <c r="AL66" s="27" t="n">
        <f aca="false">SUMIFS(super1[Qtde],super1[Item],tab_higiene[[#This Row],[Item]],super1[Bairro],mercado2)+SUMIFS(supercb[Qtde],supercb[Item],tab_higiene[[#This Row],[Item]],supercb[Bairro],mercado2)</f>
        <v>0</v>
      </c>
      <c r="AM66" s="27" t="n">
        <f aca="false">SUMIFS(super1[Qtde],super1[Item],tab_higiene[[#This Row],[Item]],super1[Bairro],mercado3)+SUMIFS(supercb[Qtde],supercb[Item],tab_higiene[[#This Row],[Item]],supercb[Bairro],mercado3)</f>
        <v>0</v>
      </c>
      <c r="AN66" s="27" t="n">
        <f aca="false">SUMIFS(super1[Qtde],super1[Item],tab_higiene[[#This Row],[Item]],super1[Bairro],mercado4)+SUMIFS(supercb[Qtde],supercb[Item],tab_higiene[[#This Row],[Item]],supercb[Bairro],mercado4)</f>
        <v>0</v>
      </c>
      <c r="AO66" s="27" t="n">
        <f aca="false">SUMIFS(super1[Qtde],super1[Item],tab_higiene[[#This Row],[Item]],super1[Bairro],mercado5)+SUMIFS(supercb[Qtde],supercb[Item],tab_higiene[[#This Row],[Item]],supercb[Bairro],mercado5)</f>
        <v>0</v>
      </c>
      <c r="AP66" s="27" t="n">
        <f aca="false">SUMIFS(super1[Qtde],super1[Item],tab_higiene[[#This Row],[Item]],super1[Bairro],mercado6)+SUMIFS(supercb[Qtde],supercb[Item],tab_higiene[[#This Row],[Item]],supercb[Bairro],mercado6)</f>
        <v>0</v>
      </c>
      <c r="AQ66" s="27" t="n">
        <f aca="false">SUMIFS(super1[Qtde],super1[Item],tab_higiene[[#This Row],[Item]],super1[Bairro],mercado7)+SUMIFS(supercb[Qtde],supercb[Item],tab_higiene[[#This Row],[Item]],supercb[Bairro],mercado7)</f>
        <v>0</v>
      </c>
      <c r="AR66" s="27" t="n">
        <f aca="false">SUMIFS(super1[Qtde],super1[Item],tab_higiene[[#This Row],[Item]],super1[Bairro],mercado8)+SUMIFS(supercb[Qtde],supercb[Item],tab_higiene[[#This Row],[Item]],supercb[Bairro],mercado8)</f>
        <v>0</v>
      </c>
      <c r="AS66" s="27" t="n">
        <f aca="false">SUMIFS(super1[Qtde],super1[Item],tab_higiene[[#This Row],[Item]],super1[Bairro],mercado9)+SUMIFS(supercb[Qtde],supercb[Item],tab_higiene[[#This Row],[Item]],supercb[Bairro],mercado9)</f>
        <v>0</v>
      </c>
      <c r="AT66" s="27" t="n">
        <f aca="false">SUMIFS(super1[Qtde],super1[Item],tab_higiene[[#This Row],[Item]],super1[Bairro],mercado10)+SUMIFS(supercb[Qtde],supercb[Item],tab_higiene[[#This Row],[Item]],supercb[Bairro],mercado10)</f>
        <v>0</v>
      </c>
      <c r="AU66" s="27" t="n">
        <f aca="false">SUMIFS(super1[Qtde],super1[Item],tab_higiene[[#This Row],[Item]],super1[Bairro],mercado11)+SUMIFS(supercb[Qtde],supercb[Item],tab_higiene[[#This Row],[Item]],supercb[Bairro],mercado11)</f>
        <v>0</v>
      </c>
      <c r="AV66" s="27" t="n">
        <f aca="false">SUMIFS(super1[Qtde],super1[Item],tab_higiene[[#This Row],[Item]],super1[Bairro],mercado12)+SUMIFS(supercb[Qtde],supercb[Item],tab_higiene[[#This Row],[Item]],supercb[Bairro],mercado12)</f>
        <v>0</v>
      </c>
      <c r="AW66" s="27" t="n">
        <f aca="false">SUMIFS(super1[Qtde],super1[Item],tab_higiene[[#This Row],[Item]],super1[Bairro],mercado13)+SUMIFS(supercb[Qtde],supercb[Item],tab_higiene[[#This Row],[Item]],supercb[Bairro],mercado13)</f>
        <v>0</v>
      </c>
      <c r="AX66" s="27" t="n">
        <f aca="false">SUMIFS(super1[Qtde],super1[Item],tab_higiene[[#This Row],[Item]],super1[Bairro],mercado14)+SUMIFS(supercb[Qtde],supercb[Item],tab_higiene[[#This Row],[Item]],supercb[Bairro],mercado14)</f>
        <v>0</v>
      </c>
      <c r="AY66" s="27" t="n">
        <f aca="false">SUMIFS(super1[Qtde],super1[Item],tab_higiene[[#This Row],[Item]],super1[Bairro],mercado15)+SUMIFS(supercb[Qtde],supercb[Item],tab_higiene[[#This Row],[Item]],supercb[Bairro],mercado15)</f>
        <v>0</v>
      </c>
      <c r="AZ66" s="27" t="n">
        <f aca="false">SUMIFS(super1[Qtde],super1[Item],tab_higiene[[#This Row],[Item]],super1[Bairro],mercado16)+SUMIFS(supercb[Qtde],supercb[Item],tab_higiene[[#This Row],[Item]],supercb[Bairro],mercado16)</f>
        <v>0</v>
      </c>
      <c r="BA66" s="27" t="n">
        <f aca="false">SUMIFS(super1[Qtde],super1[Item],tab_higiene[[#This Row],[Item]],super1[Bairro],mercado17)+SUMIFS(supercb[Qtde],supercb[Item],tab_higiene[[#This Row],[Item]],supercb[Bairro],mercado17)</f>
        <v>0</v>
      </c>
      <c r="BB66" s="27" t="n">
        <f aca="false">SUMIFS(super1[Qtde],super1[Item],tab_higiene[[#This Row],[Item]],super1[Bairro],mercado18)+SUMIFS(supercb[Qtde],supercb[Item],tab_higiene[[#This Row],[Item]],supercb[Bairro],mercado18)</f>
        <v>0</v>
      </c>
      <c r="BC66" s="27" t="n">
        <f aca="false">SUMIFS(super1[Qtde],super1[Item],tab_higiene[[#This Row],[Item]],super1[Bairro],extras)+SUMIFS(supercb[Qtde],supercb[Item],tab_higiene[[#This Row],[Item]],supercb[Bairro],extras)</f>
        <v>0</v>
      </c>
      <c r="BD66" s="27" t="n">
        <f aca="false">SUM(AK66:BB66)</f>
        <v>0</v>
      </c>
      <c r="BE66" s="27" t="n">
        <f aca="false">IFERROR(BD66*AJ66,0)</f>
        <v>0</v>
      </c>
      <c r="BF66" s="28" t="n">
        <f aca="false">IFERROR(AI66*BD66,0)</f>
        <v>0</v>
      </c>
      <c r="BI66" s="22" t="str">
        <f aca="false">tab_alimentos[[#This Row],[Item]]</f>
        <v>Bolacha (500g)</v>
      </c>
      <c r="BJ66" s="22" t="n">
        <f aca="false">IFERROR(FIND(" (",BI66),0)</f>
        <v>8</v>
      </c>
      <c r="BK66" s="22" t="str">
        <f aca="false">IF(BJ66=0,BI66,LEFT(BI66,BJ66-1))</f>
        <v>Bolacha</v>
      </c>
      <c r="BL66" s="22" t="n">
        <f aca="false">tab_alimentos[[#This Row],[kg]]</f>
        <v>1</v>
      </c>
      <c r="BM66" s="32" t="s">
        <v>322</v>
      </c>
      <c r="BN66" s="22" t="n">
        <f aca="false">SUMIF($BJ$5:$BJ$158,BM66,$BK$5:$BK$158)</f>
        <v>0</v>
      </c>
      <c r="BP66" s="22" t="str">
        <f aca="false">tab_higiene[[#This Row],[Item]]</f>
        <v>E</v>
      </c>
      <c r="BQ66" s="22" t="n">
        <f aca="false">IFERROR(FIND(" (",BP66),0)</f>
        <v>0</v>
      </c>
      <c r="BR66" s="22" t="str">
        <f aca="false">IF(BQ66=0,BP66,LEFT(BP66,BQ66-1))</f>
        <v>E</v>
      </c>
      <c r="BS66" s="22" t="n">
        <f aca="false">higiene[[#This Row],[Quantidade]]</f>
        <v>8</v>
      </c>
      <c r="BT66" s="22" t="n">
        <f aca="false">tab_higiene[Qtde (tot)]</f>
        <v>0</v>
      </c>
      <c r="BU66" s="22" t="n">
        <f aca="false">BS66*BT66</f>
        <v>0</v>
      </c>
      <c r="BV66" s="32" t="s">
        <v>355</v>
      </c>
      <c r="BW66" s="22" t="n">
        <f aca="false">SUMIF($BR$5:$BR$142,BV66,$BU$5:$BU$142)</f>
        <v>0</v>
      </c>
    </row>
    <row r="67" customFormat="false" ht="15" hidden="false" customHeight="false" outlineLevel="0" collapsed="false">
      <c r="I67" s="26" t="str">
        <f aca="false">alimentos[[#This Row],[Item]]</f>
        <v>bolo</v>
      </c>
      <c r="J67" s="27" t="n">
        <f aca="false">IFERROR(alimentos[[#This Row],[kg/embalagem]],0)</f>
        <v>0.4</v>
      </c>
      <c r="K67" s="27" t="n">
        <f aca="false">IFERROR(alimentos[[#This Row],[Preço]],0)</f>
        <v>6.98</v>
      </c>
      <c r="L67" s="27" t="n">
        <f aca="false">SUMIFS(super1[Qtde],super1[Item],tab_alimentos[[#This Row],[Item]],super1[Bairro],mercado1)+SUMIFS(supercb[Qtde],supercb[Item],tab_alimentos[[#This Row],[Item]],supercb[Bairro],mercado1)</f>
        <v>0</v>
      </c>
      <c r="M67" s="27" t="n">
        <f aca="false">SUMIFS(super1[Qtde],super1[Item],tab_alimentos[[#This Row],[Item]],super1[Bairro],mercado2)+SUMIFS(supercb[Qtde],supercb[Item],tab_alimentos[[#This Row],[Item]],supercb[Bairro],mercado2)</f>
        <v>0</v>
      </c>
      <c r="N67" s="27" t="n">
        <f aca="false">SUMIFS(super1[Qtde],super1[Item],tab_alimentos[[#This Row],[Item]],super1[Bairro],mercado3)+SUMIFS(supercb[Qtde],supercb[Item],tab_alimentos[[#This Row],[Item]],supercb[Bairro],mercado3)</f>
        <v>0</v>
      </c>
      <c r="O67" s="27" t="n">
        <f aca="false">SUMIFS(super1[Qtde],super1[Item],tab_alimentos[[#This Row],[Item]],super1[Bairro],mercado4)+SUMIFS(supercb[Qtde],supercb[Item],tab_alimentos[[#This Row],[Item]],supercb[Bairro],mercado4)</f>
        <v>0</v>
      </c>
      <c r="P67" s="27" t="n">
        <f aca="false">SUMIFS(super1[Qtde],super1[Item],tab_alimentos[[#This Row],[Item]],super1[Bairro],mercado5)+SUMIFS(supercb[Qtde],supercb[Item],tab_alimentos[[#This Row],[Item]],supercb[Bairro],mercado5)</f>
        <v>0</v>
      </c>
      <c r="Q67" s="27" t="n">
        <f aca="false">SUMIFS(super1[Qtde],super1[Item],tab_alimentos[[#This Row],[Item]],super1[Bairro],mercado6)+SUMIFS(supercb[Qtde],supercb[Item],tab_alimentos[[#This Row],[Item]],supercb[Bairro],mercado6)</f>
        <v>0</v>
      </c>
      <c r="R67" s="27" t="n">
        <f aca="false">SUMIFS(super1[Qtde],super1[Item],tab_alimentos[[#This Row],[Item]],super1[Bairro],mercado7)+SUMIFS(supercb[Qtde],supercb[Item],tab_alimentos[[#This Row],[Item]],supercb[Bairro],mercado7)</f>
        <v>0</v>
      </c>
      <c r="S67" s="27" t="n">
        <f aca="false">SUMIFS(super1[Qtde],super1[Item],tab_alimentos[[#This Row],[Item]],super1[Bairro],mercado8)+SUMIFS(supercb[Qtde],supercb[Item],tab_alimentos[[#This Row],[Item]],supercb[Bairro],mercado8)</f>
        <v>0</v>
      </c>
      <c r="T67" s="27" t="n">
        <f aca="false">SUMIFS(super1[Qtde],super1[Item],tab_alimentos[[#This Row],[Item]],super1[Bairro],mercado9)+SUMIFS(supercb[Qtde],supercb[Item],tab_alimentos[[#This Row],[Item]],supercb[Bairro],mercado9)</f>
        <v>0</v>
      </c>
      <c r="U67" s="27" t="n">
        <f aca="false">SUMIFS(super1[Qtde],super1[Item],tab_alimentos[[#This Row],[Item]],super1[Bairro],mercado10)+SUMIFS(supercb[Qtde],supercb[Item],tab_alimentos[[#This Row],[Item]],supercb[Bairro],mercado10)</f>
        <v>0</v>
      </c>
      <c r="V67" s="27" t="n">
        <f aca="false">SUMIFS(super1[Qtde],super1[Item],tab_alimentos[[#This Row],[Item]],super1[Bairro],mercado11)+SUMIFS(supercb[Qtde],supercb[Item],tab_alimentos[[#This Row],[Item]],supercb[Bairro],mercado11)</f>
        <v>1</v>
      </c>
      <c r="W67" s="27" t="n">
        <f aca="false">SUMIFS(super1[Qtde],super1[Item],tab_alimentos[[#This Row],[Item]],super1[Bairro],mercado12)+SUMIFS(supercb[Qtde],supercb[Item],tab_alimentos[[#This Row],[Item]],supercb[Bairro],mercado12)</f>
        <v>0</v>
      </c>
      <c r="X67" s="27" t="n">
        <f aca="false">SUMIFS(super1[Qtde],super1[Item],tab_alimentos[[#This Row],[Item]],super1[Bairro],mercado13)+SUMIFS(supercb[Qtde],supercb[Item],tab_alimentos[[#This Row],[Item]],supercb[Bairro],mercado13)</f>
        <v>0</v>
      </c>
      <c r="Y67" s="27" t="n">
        <f aca="false">SUMIFS(super1[Qtde],super1[Item],tab_alimentos[[#This Row],[Item]],super1[Bairro],mercado14)+SUMIFS(supercb[Qtde],supercb[Item],tab_alimentos[[#This Row],[Item]],supercb[Bairro],mercado14)</f>
        <v>0</v>
      </c>
      <c r="Z67" s="27" t="n">
        <f aca="false">SUMIFS(super1[Qtde],super1[Item],tab_alimentos[[#This Row],[Item]],super1[Bairro],mercado15)+SUMIFS(supercb[Qtde],supercb[Item],tab_alimentos[[#This Row],[Item]],supercb[Bairro],mercado15)</f>
        <v>0</v>
      </c>
      <c r="AA67" s="27" t="n">
        <f aca="false">SUMIFS(super1[Qtde],super1[Item],tab_alimentos[[#This Row],[Item]],super1[Bairro],mercado16)+SUMIFS(supercb[Qtde],supercb[Item],tab_alimentos[[#This Row],[Item]],supercb[Bairro],mercado16)</f>
        <v>0</v>
      </c>
      <c r="AB67" s="27" t="n">
        <f aca="false">SUMIFS(super1[Qtde],super1[Item],tab_alimentos[[#This Row],[Item]],super1[Bairro],mercado17)+SUMIFS(supercb[Qtde],supercb[Item],tab_alimentos[[#This Row],[Item]],supercb[Bairro],mercado17)</f>
        <v>0</v>
      </c>
      <c r="AC67" s="27" t="n">
        <f aca="false">SUMIFS(super1[Qtde],super1[Item],tab_alimentos[[#This Row],[Item]],super1[Bairro],mercado18)+SUMIFS(supercb[Qtde],supercb[Item],tab_alimentos[[#This Row],[Item]],supercb[Bairro],mercado18)</f>
        <v>0</v>
      </c>
      <c r="AD67" s="27" t="n">
        <f aca="false">SUMIFS(super1[Qtde],super1[Item],tab_alimentos[[#This Row],[Item]],super1[Bairro],extras)+SUMIFS(supercb[Qtde],supercb[Item],tab_alimentos[[#This Row],[Item]],supercb[Bairro],extras)</f>
        <v>0</v>
      </c>
      <c r="AE67" s="27" t="n">
        <f aca="false">SUM(L67:AC67)</f>
        <v>1</v>
      </c>
      <c r="AF67" s="27" t="n">
        <f aca="false">IFERROR(AE67*K67,0)</f>
        <v>6.98</v>
      </c>
      <c r="AG67" s="28" t="n">
        <f aca="false">IFERROR(J67*AE67,0)</f>
        <v>0.4</v>
      </c>
      <c r="AH67" s="26" t="str">
        <f aca="false">higiene[[#This Row],[Item]]</f>
        <v>Enxaguante bucal (250mL)</v>
      </c>
      <c r="AI67" s="27" t="n">
        <f aca="false">IFERROR(higiene[[#This Row],[Kg equivalente]],0)</f>
        <v>3.77569741805776</v>
      </c>
      <c r="AJ67" s="27" t="n">
        <f aca="false">IFERROR(higiene[[#This Row],[Preço por produto]],0)</f>
        <v>12.5066666666667</v>
      </c>
      <c r="AK67" s="27" t="n">
        <f aca="false">SUMIFS(super1[Qtde],super1[Item],tab_higiene[[#This Row],[Item]],super1[Bairro],mercado1)+SUMIFS(supercb[Qtde],supercb[Item],tab_higiene[[#This Row],[Item]],supercb[Bairro],mercado1)</f>
        <v>0</v>
      </c>
      <c r="AL67" s="27" t="n">
        <f aca="false">SUMIFS(super1[Qtde],super1[Item],tab_higiene[[#This Row],[Item]],super1[Bairro],mercado2)+SUMIFS(supercb[Qtde],supercb[Item],tab_higiene[[#This Row],[Item]],supercb[Bairro],mercado2)</f>
        <v>0</v>
      </c>
      <c r="AM67" s="27" t="n">
        <f aca="false">SUMIFS(super1[Qtde],super1[Item],tab_higiene[[#This Row],[Item]],super1[Bairro],mercado3)+SUMIFS(supercb[Qtde],supercb[Item],tab_higiene[[#This Row],[Item]],supercb[Bairro],mercado3)</f>
        <v>0</v>
      </c>
      <c r="AN67" s="27" t="n">
        <f aca="false">SUMIFS(super1[Qtde],super1[Item],tab_higiene[[#This Row],[Item]],super1[Bairro],mercado4)+SUMIFS(supercb[Qtde],supercb[Item],tab_higiene[[#This Row],[Item]],supercb[Bairro],mercado4)</f>
        <v>0</v>
      </c>
      <c r="AO67" s="27" t="n">
        <f aca="false">SUMIFS(super1[Qtde],super1[Item],tab_higiene[[#This Row],[Item]],super1[Bairro],mercado5)+SUMIFS(supercb[Qtde],supercb[Item],tab_higiene[[#This Row],[Item]],supercb[Bairro],mercado5)</f>
        <v>0</v>
      </c>
      <c r="AP67" s="27" t="n">
        <f aca="false">SUMIFS(super1[Qtde],super1[Item],tab_higiene[[#This Row],[Item]],super1[Bairro],mercado6)+SUMIFS(supercb[Qtde],supercb[Item],tab_higiene[[#This Row],[Item]],supercb[Bairro],mercado6)</f>
        <v>0</v>
      </c>
      <c r="AQ67" s="27" t="n">
        <f aca="false">SUMIFS(super1[Qtde],super1[Item],tab_higiene[[#This Row],[Item]],super1[Bairro],mercado7)+SUMIFS(supercb[Qtde],supercb[Item],tab_higiene[[#This Row],[Item]],supercb[Bairro],mercado7)</f>
        <v>0</v>
      </c>
      <c r="AR67" s="27" t="n">
        <f aca="false">SUMIFS(super1[Qtde],super1[Item],tab_higiene[[#This Row],[Item]],super1[Bairro],mercado8)+SUMIFS(supercb[Qtde],supercb[Item],tab_higiene[[#This Row],[Item]],supercb[Bairro],mercado8)</f>
        <v>0</v>
      </c>
      <c r="AS67" s="27" t="n">
        <f aca="false">SUMIFS(super1[Qtde],super1[Item],tab_higiene[[#This Row],[Item]],super1[Bairro],mercado9)+SUMIFS(supercb[Qtde],supercb[Item],tab_higiene[[#This Row],[Item]],supercb[Bairro],mercado9)</f>
        <v>0</v>
      </c>
      <c r="AT67" s="27" t="n">
        <f aca="false">SUMIFS(super1[Qtde],super1[Item],tab_higiene[[#This Row],[Item]],super1[Bairro],mercado10)+SUMIFS(supercb[Qtde],supercb[Item],tab_higiene[[#This Row],[Item]],supercb[Bairro],mercado10)</f>
        <v>0</v>
      </c>
      <c r="AU67" s="27" t="n">
        <f aca="false">SUMIFS(super1[Qtde],super1[Item],tab_higiene[[#This Row],[Item]],super1[Bairro],mercado11)+SUMIFS(supercb[Qtde],supercb[Item],tab_higiene[[#This Row],[Item]],supercb[Bairro],mercado11)</f>
        <v>0</v>
      </c>
      <c r="AV67" s="27" t="n">
        <f aca="false">SUMIFS(super1[Qtde],super1[Item],tab_higiene[[#This Row],[Item]],super1[Bairro],mercado12)+SUMIFS(supercb[Qtde],supercb[Item],tab_higiene[[#This Row],[Item]],supercb[Bairro],mercado12)</f>
        <v>0</v>
      </c>
      <c r="AW67" s="27" t="n">
        <f aca="false">SUMIFS(super1[Qtde],super1[Item],tab_higiene[[#This Row],[Item]],super1[Bairro],mercado13)+SUMIFS(supercb[Qtde],supercb[Item],tab_higiene[[#This Row],[Item]],supercb[Bairro],mercado13)</f>
        <v>0</v>
      </c>
      <c r="AX67" s="27" t="n">
        <f aca="false">SUMIFS(super1[Qtde],super1[Item],tab_higiene[[#This Row],[Item]],super1[Bairro],mercado14)+SUMIFS(supercb[Qtde],supercb[Item],tab_higiene[[#This Row],[Item]],supercb[Bairro],mercado14)</f>
        <v>0</v>
      </c>
      <c r="AY67" s="27" t="n">
        <f aca="false">SUMIFS(super1[Qtde],super1[Item],tab_higiene[[#This Row],[Item]],super1[Bairro],mercado15)+SUMIFS(supercb[Qtde],supercb[Item],tab_higiene[[#This Row],[Item]],supercb[Bairro],mercado15)</f>
        <v>0</v>
      </c>
      <c r="AZ67" s="27" t="n">
        <f aca="false">SUMIFS(super1[Qtde],super1[Item],tab_higiene[[#This Row],[Item]],super1[Bairro],mercado16)+SUMIFS(supercb[Qtde],supercb[Item],tab_higiene[[#This Row],[Item]],supercb[Bairro],mercado16)</f>
        <v>0</v>
      </c>
      <c r="BA67" s="27" t="n">
        <f aca="false">SUMIFS(super1[Qtde],super1[Item],tab_higiene[[#This Row],[Item]],super1[Bairro],mercado17)+SUMIFS(supercb[Qtde],supercb[Item],tab_higiene[[#This Row],[Item]],supercb[Bairro],mercado17)</f>
        <v>0</v>
      </c>
      <c r="BB67" s="27" t="n">
        <f aca="false">SUMIFS(super1[Qtde],super1[Item],tab_higiene[[#This Row],[Item]],super1[Bairro],mercado18)+SUMIFS(supercb[Qtde],supercb[Item],tab_higiene[[#This Row],[Item]],supercb[Bairro],mercado18)</f>
        <v>0</v>
      </c>
      <c r="BC67" s="27" t="n">
        <f aca="false">SUMIFS(super1[Qtde],super1[Item],tab_higiene[[#This Row],[Item]],super1[Bairro],extras)+SUMIFS(supercb[Qtde],supercb[Item],tab_higiene[[#This Row],[Item]],supercb[Bairro],extras)</f>
        <v>0</v>
      </c>
      <c r="BD67" s="27" t="n">
        <f aca="false">SUM(AK67:BB67)</f>
        <v>0</v>
      </c>
      <c r="BE67" s="27" t="n">
        <f aca="false">IFERROR(BD67*AJ67,0)</f>
        <v>0</v>
      </c>
      <c r="BF67" s="28" t="n">
        <f aca="false">IFERROR(AI67*BD67,0)</f>
        <v>0</v>
      </c>
      <c r="BI67" s="22" t="str">
        <f aca="false">tab_alimentos[[#This Row],[Item]]</f>
        <v>bolo</v>
      </c>
      <c r="BJ67" s="22" t="n">
        <f aca="false">IFERROR(FIND(" (",BI67),0)</f>
        <v>0</v>
      </c>
      <c r="BK67" s="22" t="str">
        <f aca="false">IF(BJ67=0,BI67,LEFT(BI67,BJ67-1))</f>
        <v>bolo</v>
      </c>
      <c r="BL67" s="22" t="n">
        <f aca="false">tab_alimentos[[#This Row],[kg]]</f>
        <v>0.4</v>
      </c>
      <c r="BM67" s="32" t="s">
        <v>356</v>
      </c>
      <c r="BN67" s="22" t="n">
        <f aca="false">SUMIF($BJ$5:$BJ$158,BM67,$BK$5:$BK$158)</f>
        <v>0</v>
      </c>
      <c r="BP67" s="22" t="str">
        <f aca="false">tab_higiene[[#This Row],[Item]]</f>
        <v>Enxaguante bucal (250mL)</v>
      </c>
      <c r="BQ67" s="22" t="n">
        <f aca="false">IFERROR(FIND(" (",BP67),0)</f>
        <v>17</v>
      </c>
      <c r="BR67" s="22" t="str">
        <f aca="false">IF(BQ67=0,BP67,LEFT(BP67,BQ67-1))</f>
        <v>Enxaguante bucal</v>
      </c>
      <c r="BS67" s="22" t="n">
        <f aca="false">higiene[[#This Row],[Quantidade]]</f>
        <v>9</v>
      </c>
      <c r="BT67" s="22" t="n">
        <f aca="false">tab_higiene[Qtde (tot)]</f>
        <v>0</v>
      </c>
      <c r="BU67" s="22" t="n">
        <f aca="false">BS67*BT67</f>
        <v>0</v>
      </c>
      <c r="BV67" s="32" t="s">
        <v>357</v>
      </c>
      <c r="BW67" s="22" t="n">
        <f aca="false">SUMIF($BR$5:$BR$142,BV67,$BU$5:$BU$142)</f>
        <v>0</v>
      </c>
    </row>
    <row r="68" customFormat="false" ht="15" hidden="false" customHeight="false" outlineLevel="0" collapsed="false">
      <c r="I68" s="26" t="str">
        <f aca="false">alimentos[[#This Row],[Item]]</f>
        <v>Bombom de Cereja (94g)</v>
      </c>
      <c r="J68" s="27" t="n">
        <f aca="false">IFERROR(alimentos[[#This Row],[kg/embalagem]],0)</f>
        <v>0.094</v>
      </c>
      <c r="K68" s="27" t="n">
        <f aca="false">IFERROR(alimentos[[#This Row],[Preço]],0)</f>
        <v>7.25666666666667</v>
      </c>
      <c r="L68" s="27" t="n">
        <f aca="false">SUMIFS(super1[Qtde],super1[Item],tab_alimentos[[#This Row],[Item]],super1[Bairro],mercado1)+SUMIFS(supercb[Qtde],supercb[Item],tab_alimentos[[#This Row],[Item]],supercb[Bairro],mercado1)</f>
        <v>0</v>
      </c>
      <c r="M68" s="27" t="n">
        <f aca="false">SUMIFS(super1[Qtde],super1[Item],tab_alimentos[[#This Row],[Item]],super1[Bairro],mercado2)+SUMIFS(supercb[Qtde],supercb[Item],tab_alimentos[[#This Row],[Item]],supercb[Bairro],mercado2)</f>
        <v>0</v>
      </c>
      <c r="N68" s="27" t="n">
        <f aca="false">SUMIFS(super1[Qtde],super1[Item],tab_alimentos[[#This Row],[Item]],super1[Bairro],mercado3)+SUMIFS(supercb[Qtde],supercb[Item],tab_alimentos[[#This Row],[Item]],supercb[Bairro],mercado3)</f>
        <v>0</v>
      </c>
      <c r="O68" s="27" t="n">
        <f aca="false">SUMIFS(super1[Qtde],super1[Item],tab_alimentos[[#This Row],[Item]],super1[Bairro],mercado4)+SUMIFS(supercb[Qtde],supercb[Item],tab_alimentos[[#This Row],[Item]],supercb[Bairro],mercado4)</f>
        <v>0</v>
      </c>
      <c r="P68" s="27" t="n">
        <f aca="false">SUMIFS(super1[Qtde],super1[Item],tab_alimentos[[#This Row],[Item]],super1[Bairro],mercado5)+SUMIFS(supercb[Qtde],supercb[Item],tab_alimentos[[#This Row],[Item]],supercb[Bairro],mercado5)</f>
        <v>0</v>
      </c>
      <c r="Q68" s="27" t="n">
        <f aca="false">SUMIFS(super1[Qtde],super1[Item],tab_alimentos[[#This Row],[Item]],super1[Bairro],mercado6)+SUMIFS(supercb[Qtde],supercb[Item],tab_alimentos[[#This Row],[Item]],supercb[Bairro],mercado6)</f>
        <v>0</v>
      </c>
      <c r="R68" s="27" t="n">
        <f aca="false">SUMIFS(super1[Qtde],super1[Item],tab_alimentos[[#This Row],[Item]],super1[Bairro],mercado7)+SUMIFS(supercb[Qtde],supercb[Item],tab_alimentos[[#This Row],[Item]],supercb[Bairro],mercado7)</f>
        <v>0</v>
      </c>
      <c r="S68" s="27" t="n">
        <f aca="false">SUMIFS(super1[Qtde],super1[Item],tab_alimentos[[#This Row],[Item]],super1[Bairro],mercado8)+SUMIFS(supercb[Qtde],supercb[Item],tab_alimentos[[#This Row],[Item]],supercb[Bairro],mercado8)</f>
        <v>0</v>
      </c>
      <c r="T68" s="27" t="n">
        <f aca="false">SUMIFS(super1[Qtde],super1[Item],tab_alimentos[[#This Row],[Item]],super1[Bairro],mercado9)+SUMIFS(supercb[Qtde],supercb[Item],tab_alimentos[[#This Row],[Item]],supercb[Bairro],mercado9)</f>
        <v>0</v>
      </c>
      <c r="U68" s="27" t="n">
        <f aca="false">SUMIFS(super1[Qtde],super1[Item],tab_alimentos[[#This Row],[Item]],super1[Bairro],mercado10)+SUMIFS(supercb[Qtde],supercb[Item],tab_alimentos[[#This Row],[Item]],supercb[Bairro],mercado10)</f>
        <v>0</v>
      </c>
      <c r="V68" s="27" t="n">
        <f aca="false">SUMIFS(super1[Qtde],super1[Item],tab_alimentos[[#This Row],[Item]],super1[Bairro],mercado11)+SUMIFS(supercb[Qtde],supercb[Item],tab_alimentos[[#This Row],[Item]],supercb[Bairro],mercado11)</f>
        <v>0</v>
      </c>
      <c r="W68" s="27" t="n">
        <f aca="false">SUMIFS(super1[Qtde],super1[Item],tab_alimentos[[#This Row],[Item]],super1[Bairro],mercado12)+SUMIFS(supercb[Qtde],supercb[Item],tab_alimentos[[#This Row],[Item]],supercb[Bairro],mercado12)</f>
        <v>0</v>
      </c>
      <c r="X68" s="27" t="n">
        <f aca="false">SUMIFS(super1[Qtde],super1[Item],tab_alimentos[[#This Row],[Item]],super1[Bairro],mercado13)+SUMIFS(supercb[Qtde],supercb[Item],tab_alimentos[[#This Row],[Item]],supercb[Bairro],mercado13)</f>
        <v>0</v>
      </c>
      <c r="Y68" s="27" t="n">
        <f aca="false">SUMIFS(super1[Qtde],super1[Item],tab_alimentos[[#This Row],[Item]],super1[Bairro],mercado14)+SUMIFS(supercb[Qtde],supercb[Item],tab_alimentos[[#This Row],[Item]],supercb[Bairro],mercado14)</f>
        <v>0</v>
      </c>
      <c r="Z68" s="27" t="n">
        <f aca="false">SUMIFS(super1[Qtde],super1[Item],tab_alimentos[[#This Row],[Item]],super1[Bairro],mercado15)+SUMIFS(supercb[Qtde],supercb[Item],tab_alimentos[[#This Row],[Item]],supercb[Bairro],mercado15)</f>
        <v>0</v>
      </c>
      <c r="AA68" s="27" t="n">
        <f aca="false">SUMIFS(super1[Qtde],super1[Item],tab_alimentos[[#This Row],[Item]],super1[Bairro],mercado16)+SUMIFS(supercb[Qtde],supercb[Item],tab_alimentos[[#This Row],[Item]],supercb[Bairro],mercado16)</f>
        <v>0</v>
      </c>
      <c r="AB68" s="27" t="n">
        <f aca="false">SUMIFS(super1[Qtde],super1[Item],tab_alimentos[[#This Row],[Item]],super1[Bairro],mercado17)+SUMIFS(supercb[Qtde],supercb[Item],tab_alimentos[[#This Row],[Item]],supercb[Bairro],mercado17)</f>
        <v>0</v>
      </c>
      <c r="AC68" s="27" t="n">
        <f aca="false">SUMIFS(super1[Qtde],super1[Item],tab_alimentos[[#This Row],[Item]],super1[Bairro],mercado18)+SUMIFS(supercb[Qtde],supercb[Item],tab_alimentos[[#This Row],[Item]],supercb[Bairro],mercado18)</f>
        <v>0</v>
      </c>
      <c r="AD68" s="27" t="n">
        <f aca="false">SUMIFS(super1[Qtde],super1[Item],tab_alimentos[[#This Row],[Item]],super1[Bairro],extras)+SUMIFS(supercb[Qtde],supercb[Item],tab_alimentos[[#This Row],[Item]],supercb[Bairro],extras)</f>
        <v>0</v>
      </c>
      <c r="AE68" s="27" t="n">
        <f aca="false">SUM(L68:AC68)</f>
        <v>0</v>
      </c>
      <c r="AF68" s="27" t="n">
        <f aca="false">IFERROR(AE68*K68,0)</f>
        <v>0</v>
      </c>
      <c r="AG68" s="28" t="n">
        <f aca="false">IFERROR(J68*AE68,0)</f>
        <v>0</v>
      </c>
      <c r="AH68" s="26" t="str">
        <f aca="false">higiene[[#This Row],[Item]]</f>
        <v>Enxaguante bucal (350mL)</v>
      </c>
      <c r="AI68" s="27" t="n">
        <f aca="false">IFERROR(higiene[[#This Row],[Kg equivalente]],0)</f>
        <v>4.73672914360285</v>
      </c>
      <c r="AJ68" s="27" t="n">
        <f aca="false">IFERROR(higiene[[#This Row],[Preço por produto]],0)</f>
        <v>15.69</v>
      </c>
      <c r="AK68" s="27" t="n">
        <f aca="false">SUMIFS(super1[Qtde],super1[Item],tab_higiene[[#This Row],[Item]],super1[Bairro],mercado1)+SUMIFS(supercb[Qtde],supercb[Item],tab_higiene[[#This Row],[Item]],supercb[Bairro],mercado1)</f>
        <v>0</v>
      </c>
      <c r="AL68" s="27" t="n">
        <f aca="false">SUMIFS(super1[Qtde],super1[Item],tab_higiene[[#This Row],[Item]],super1[Bairro],mercado2)+SUMIFS(supercb[Qtde],supercb[Item],tab_higiene[[#This Row],[Item]],supercb[Bairro],mercado2)</f>
        <v>0</v>
      </c>
      <c r="AM68" s="27" t="n">
        <f aca="false">SUMIFS(super1[Qtde],super1[Item],tab_higiene[[#This Row],[Item]],super1[Bairro],mercado3)+SUMIFS(supercb[Qtde],supercb[Item],tab_higiene[[#This Row],[Item]],supercb[Bairro],mercado3)</f>
        <v>0</v>
      </c>
      <c r="AN68" s="27" t="n">
        <f aca="false">SUMIFS(super1[Qtde],super1[Item],tab_higiene[[#This Row],[Item]],super1[Bairro],mercado4)+SUMIFS(supercb[Qtde],supercb[Item],tab_higiene[[#This Row],[Item]],supercb[Bairro],mercado4)</f>
        <v>0</v>
      </c>
      <c r="AO68" s="27" t="n">
        <f aca="false">SUMIFS(super1[Qtde],super1[Item],tab_higiene[[#This Row],[Item]],super1[Bairro],mercado5)+SUMIFS(supercb[Qtde],supercb[Item],tab_higiene[[#This Row],[Item]],supercb[Bairro],mercado5)</f>
        <v>0</v>
      </c>
      <c r="AP68" s="27" t="n">
        <f aca="false">SUMIFS(super1[Qtde],super1[Item],tab_higiene[[#This Row],[Item]],super1[Bairro],mercado6)+SUMIFS(supercb[Qtde],supercb[Item],tab_higiene[[#This Row],[Item]],supercb[Bairro],mercado6)</f>
        <v>0</v>
      </c>
      <c r="AQ68" s="27" t="n">
        <f aca="false">SUMIFS(super1[Qtde],super1[Item],tab_higiene[[#This Row],[Item]],super1[Bairro],mercado7)+SUMIFS(supercb[Qtde],supercb[Item],tab_higiene[[#This Row],[Item]],supercb[Bairro],mercado7)</f>
        <v>0</v>
      </c>
      <c r="AR68" s="27" t="n">
        <f aca="false">SUMIFS(super1[Qtde],super1[Item],tab_higiene[[#This Row],[Item]],super1[Bairro],mercado8)+SUMIFS(supercb[Qtde],supercb[Item],tab_higiene[[#This Row],[Item]],supercb[Bairro],mercado8)</f>
        <v>0</v>
      </c>
      <c r="AS68" s="27" t="n">
        <f aca="false">SUMIFS(super1[Qtde],super1[Item],tab_higiene[[#This Row],[Item]],super1[Bairro],mercado9)+SUMIFS(supercb[Qtde],supercb[Item],tab_higiene[[#This Row],[Item]],supercb[Bairro],mercado9)</f>
        <v>0</v>
      </c>
      <c r="AT68" s="27" t="n">
        <f aca="false">SUMIFS(super1[Qtde],super1[Item],tab_higiene[[#This Row],[Item]],super1[Bairro],mercado10)+SUMIFS(supercb[Qtde],supercb[Item],tab_higiene[[#This Row],[Item]],supercb[Bairro],mercado10)</f>
        <v>0</v>
      </c>
      <c r="AU68" s="27" t="n">
        <f aca="false">SUMIFS(super1[Qtde],super1[Item],tab_higiene[[#This Row],[Item]],super1[Bairro],mercado11)+SUMIFS(supercb[Qtde],supercb[Item],tab_higiene[[#This Row],[Item]],supercb[Bairro],mercado11)</f>
        <v>0</v>
      </c>
      <c r="AV68" s="27" t="n">
        <f aca="false">SUMIFS(super1[Qtde],super1[Item],tab_higiene[[#This Row],[Item]],super1[Bairro],mercado12)+SUMIFS(supercb[Qtde],supercb[Item],tab_higiene[[#This Row],[Item]],supercb[Bairro],mercado12)</f>
        <v>0</v>
      </c>
      <c r="AW68" s="27" t="n">
        <f aca="false">SUMIFS(super1[Qtde],super1[Item],tab_higiene[[#This Row],[Item]],super1[Bairro],mercado13)+SUMIFS(supercb[Qtde],supercb[Item],tab_higiene[[#This Row],[Item]],supercb[Bairro],mercado13)</f>
        <v>0</v>
      </c>
      <c r="AX68" s="27" t="n">
        <f aca="false">SUMIFS(super1[Qtde],super1[Item],tab_higiene[[#This Row],[Item]],super1[Bairro],mercado14)+SUMIFS(supercb[Qtde],supercb[Item],tab_higiene[[#This Row],[Item]],supercb[Bairro],mercado14)</f>
        <v>0</v>
      </c>
      <c r="AY68" s="27" t="n">
        <f aca="false">SUMIFS(super1[Qtde],super1[Item],tab_higiene[[#This Row],[Item]],super1[Bairro],mercado15)+SUMIFS(supercb[Qtde],supercb[Item],tab_higiene[[#This Row],[Item]],supercb[Bairro],mercado15)</f>
        <v>0</v>
      </c>
      <c r="AZ68" s="27" t="n">
        <f aca="false">SUMIFS(super1[Qtde],super1[Item],tab_higiene[[#This Row],[Item]],super1[Bairro],mercado16)+SUMIFS(supercb[Qtde],supercb[Item],tab_higiene[[#This Row],[Item]],supercb[Bairro],mercado16)</f>
        <v>0</v>
      </c>
      <c r="BA68" s="27" t="n">
        <f aca="false">SUMIFS(super1[Qtde],super1[Item],tab_higiene[[#This Row],[Item]],super1[Bairro],mercado17)+SUMIFS(supercb[Qtde],supercb[Item],tab_higiene[[#This Row],[Item]],supercb[Bairro],mercado17)</f>
        <v>0</v>
      </c>
      <c r="BB68" s="27" t="n">
        <f aca="false">SUMIFS(super1[Qtde],super1[Item],tab_higiene[[#This Row],[Item]],super1[Bairro],mercado18)+SUMIFS(supercb[Qtde],supercb[Item],tab_higiene[[#This Row],[Item]],supercb[Bairro],mercado18)</f>
        <v>0</v>
      </c>
      <c r="BC68" s="27" t="n">
        <f aca="false">SUMIFS(super1[Qtde],super1[Item],tab_higiene[[#This Row],[Item]],super1[Bairro],extras)+SUMIFS(supercb[Qtde],supercb[Item],tab_higiene[[#This Row],[Item]],supercb[Bairro],extras)</f>
        <v>0</v>
      </c>
      <c r="BD68" s="27" t="n">
        <f aca="false">SUM(AK68:BB68)</f>
        <v>0</v>
      </c>
      <c r="BE68" s="27" t="n">
        <f aca="false">IFERROR(BD68*AJ68,0)</f>
        <v>0</v>
      </c>
      <c r="BF68" s="28" t="n">
        <f aca="false">IFERROR(AI68*BD68,0)</f>
        <v>0</v>
      </c>
      <c r="BI68" s="22" t="str">
        <f aca="false">tab_alimentos[[#This Row],[Item]]</f>
        <v>Bombom de Cereja (94g)</v>
      </c>
      <c r="BJ68" s="22" t="n">
        <f aca="false">IFERROR(FIND(" (",BI68),0)</f>
        <v>17</v>
      </c>
      <c r="BK68" s="22" t="str">
        <f aca="false">IF(BJ68=0,BI68,LEFT(BI68,BJ68-1))</f>
        <v>Bombom de Cereja</v>
      </c>
      <c r="BL68" s="22" t="n">
        <f aca="false">tab_alimentos[[#This Row],[kg]]</f>
        <v>0</v>
      </c>
      <c r="BM68" s="32" t="s">
        <v>358</v>
      </c>
      <c r="BN68" s="22" t="n">
        <f aca="false">SUMIF($BJ$5:$BJ$158,BM68,$BK$5:$BK$158)</f>
        <v>0</v>
      </c>
      <c r="BP68" s="22" t="str">
        <f aca="false">tab_higiene[[#This Row],[Item]]</f>
        <v>Enxaguante bucal (350mL)</v>
      </c>
      <c r="BQ68" s="22" t="n">
        <f aca="false">IFERROR(FIND(" (",BP68),0)</f>
        <v>17</v>
      </c>
      <c r="BR68" s="22" t="str">
        <f aca="false">IF(BQ68=0,BP68,LEFT(BP68,BQ68-1))</f>
        <v>Enxaguante bucal</v>
      </c>
      <c r="BS68" s="22" t="n">
        <f aca="false">higiene[[#This Row],[Quantidade]]</f>
        <v>10</v>
      </c>
      <c r="BT68" s="22" t="n">
        <f aca="false">tab_higiene[Qtde (tot)]</f>
        <v>0</v>
      </c>
      <c r="BU68" s="22" t="n">
        <f aca="false">BS68*BT68</f>
        <v>0</v>
      </c>
      <c r="BV68" s="32" t="s">
        <v>359</v>
      </c>
      <c r="BW68" s="22" t="n">
        <f aca="false">SUMIF($BR$5:$BR$142,BV68,$BU$5:$BU$142)</f>
        <v>0</v>
      </c>
    </row>
    <row r="69" customFormat="false" ht="15" hidden="false" customHeight="false" outlineLevel="0" collapsed="false">
      <c r="I69" s="26" t="str">
        <f aca="false">alimentos[[#This Row],[Item]]</f>
        <v>C</v>
      </c>
      <c r="J69" s="27" t="n">
        <f aca="false">IFERROR(alimentos[[#This Row],[kg/embalagem]],0)</f>
        <v>0</v>
      </c>
      <c r="K69" s="27" t="n">
        <f aca="false">IFERROR(alimentos[[#This Row],[Preço]],0)</f>
        <v>0</v>
      </c>
      <c r="L69" s="27" t="n">
        <f aca="false">SUMIFS(super1[Qtde],super1[Item],tab_alimentos[[#This Row],[Item]],super1[Bairro],mercado1)+SUMIFS(supercb[Qtde],supercb[Item],tab_alimentos[[#This Row],[Item]],supercb[Bairro],mercado1)</f>
        <v>0</v>
      </c>
      <c r="M69" s="27" t="n">
        <f aca="false">SUMIFS(super1[Qtde],super1[Item],tab_alimentos[[#This Row],[Item]],super1[Bairro],mercado2)+SUMIFS(supercb[Qtde],supercb[Item],tab_alimentos[[#This Row],[Item]],supercb[Bairro],mercado2)</f>
        <v>0</v>
      </c>
      <c r="N69" s="27" t="n">
        <f aca="false">SUMIFS(super1[Qtde],super1[Item],tab_alimentos[[#This Row],[Item]],super1[Bairro],mercado3)+SUMIFS(supercb[Qtde],supercb[Item],tab_alimentos[[#This Row],[Item]],supercb[Bairro],mercado3)</f>
        <v>0</v>
      </c>
      <c r="O69" s="27" t="n">
        <f aca="false">SUMIFS(super1[Qtde],super1[Item],tab_alimentos[[#This Row],[Item]],super1[Bairro],mercado4)+SUMIFS(supercb[Qtde],supercb[Item],tab_alimentos[[#This Row],[Item]],supercb[Bairro],mercado4)</f>
        <v>0</v>
      </c>
      <c r="P69" s="27" t="n">
        <f aca="false">SUMIFS(super1[Qtde],super1[Item],tab_alimentos[[#This Row],[Item]],super1[Bairro],mercado5)+SUMIFS(supercb[Qtde],supercb[Item],tab_alimentos[[#This Row],[Item]],supercb[Bairro],mercado5)</f>
        <v>0</v>
      </c>
      <c r="Q69" s="27" t="n">
        <f aca="false">SUMIFS(super1[Qtde],super1[Item],tab_alimentos[[#This Row],[Item]],super1[Bairro],mercado6)+SUMIFS(supercb[Qtde],supercb[Item],tab_alimentos[[#This Row],[Item]],supercb[Bairro],mercado6)</f>
        <v>0</v>
      </c>
      <c r="R69" s="27" t="n">
        <f aca="false">SUMIFS(super1[Qtde],super1[Item],tab_alimentos[[#This Row],[Item]],super1[Bairro],mercado7)+SUMIFS(supercb[Qtde],supercb[Item],tab_alimentos[[#This Row],[Item]],supercb[Bairro],mercado7)</f>
        <v>0</v>
      </c>
      <c r="S69" s="27" t="n">
        <f aca="false">SUMIFS(super1[Qtde],super1[Item],tab_alimentos[[#This Row],[Item]],super1[Bairro],mercado8)+SUMIFS(supercb[Qtde],supercb[Item],tab_alimentos[[#This Row],[Item]],supercb[Bairro],mercado8)</f>
        <v>0</v>
      </c>
      <c r="T69" s="27" t="n">
        <f aca="false">SUMIFS(super1[Qtde],super1[Item],tab_alimentos[[#This Row],[Item]],super1[Bairro],mercado9)+SUMIFS(supercb[Qtde],supercb[Item],tab_alimentos[[#This Row],[Item]],supercb[Bairro],mercado9)</f>
        <v>0</v>
      </c>
      <c r="U69" s="27" t="n">
        <f aca="false">SUMIFS(super1[Qtde],super1[Item],tab_alimentos[[#This Row],[Item]],super1[Bairro],mercado10)+SUMIFS(supercb[Qtde],supercb[Item],tab_alimentos[[#This Row],[Item]],supercb[Bairro],mercado10)</f>
        <v>0</v>
      </c>
      <c r="V69" s="27" t="n">
        <f aca="false">SUMIFS(super1[Qtde],super1[Item],tab_alimentos[[#This Row],[Item]],super1[Bairro],mercado11)+SUMIFS(supercb[Qtde],supercb[Item],tab_alimentos[[#This Row],[Item]],supercb[Bairro],mercado11)</f>
        <v>0</v>
      </c>
      <c r="W69" s="27" t="n">
        <f aca="false">SUMIFS(super1[Qtde],super1[Item],tab_alimentos[[#This Row],[Item]],super1[Bairro],mercado12)+SUMIFS(supercb[Qtde],supercb[Item],tab_alimentos[[#This Row],[Item]],supercb[Bairro],mercado12)</f>
        <v>0</v>
      </c>
      <c r="X69" s="27" t="n">
        <f aca="false">SUMIFS(super1[Qtde],super1[Item],tab_alimentos[[#This Row],[Item]],super1[Bairro],mercado13)+SUMIFS(supercb[Qtde],supercb[Item],tab_alimentos[[#This Row],[Item]],supercb[Bairro],mercado13)</f>
        <v>0</v>
      </c>
      <c r="Y69" s="27" t="n">
        <f aca="false">SUMIFS(super1[Qtde],super1[Item],tab_alimentos[[#This Row],[Item]],super1[Bairro],mercado14)+SUMIFS(supercb[Qtde],supercb[Item],tab_alimentos[[#This Row],[Item]],supercb[Bairro],mercado14)</f>
        <v>0</v>
      </c>
      <c r="Z69" s="27" t="n">
        <f aca="false">SUMIFS(super1[Qtde],super1[Item],tab_alimentos[[#This Row],[Item]],super1[Bairro],mercado15)+SUMIFS(supercb[Qtde],supercb[Item],tab_alimentos[[#This Row],[Item]],supercb[Bairro],mercado15)</f>
        <v>0</v>
      </c>
      <c r="AA69" s="27" t="n">
        <f aca="false">SUMIFS(super1[Qtde],super1[Item],tab_alimentos[[#This Row],[Item]],super1[Bairro],mercado16)+SUMIFS(supercb[Qtde],supercb[Item],tab_alimentos[[#This Row],[Item]],supercb[Bairro],mercado16)</f>
        <v>0</v>
      </c>
      <c r="AB69" s="27" t="n">
        <f aca="false">SUMIFS(super1[Qtde],super1[Item],tab_alimentos[[#This Row],[Item]],super1[Bairro],mercado17)+SUMIFS(supercb[Qtde],supercb[Item],tab_alimentos[[#This Row],[Item]],supercb[Bairro],mercado17)</f>
        <v>0</v>
      </c>
      <c r="AC69" s="27" t="n">
        <f aca="false">SUMIFS(super1[Qtde],super1[Item],tab_alimentos[[#This Row],[Item]],super1[Bairro],mercado18)+SUMIFS(supercb[Qtde],supercb[Item],tab_alimentos[[#This Row],[Item]],supercb[Bairro],mercado18)</f>
        <v>0</v>
      </c>
      <c r="AD69" s="27" t="n">
        <f aca="false">SUMIFS(super1[Qtde],super1[Item],tab_alimentos[[#This Row],[Item]],super1[Bairro],extras)+SUMIFS(supercb[Qtde],supercb[Item],tab_alimentos[[#This Row],[Item]],supercb[Bairro],extras)</f>
        <v>0</v>
      </c>
      <c r="AE69" s="27" t="n">
        <f aca="false">SUM(L69:AC69)</f>
        <v>0</v>
      </c>
      <c r="AF69" s="27" t="n">
        <f aca="false">IFERROR(AE69*K69,0)</f>
        <v>0</v>
      </c>
      <c r="AG69" s="28" t="n">
        <f aca="false">IFERROR(J69*AE69,0)</f>
        <v>0</v>
      </c>
      <c r="AH69" s="26" t="str">
        <f aca="false">higiene[[#This Row],[Item]]</f>
        <v>Enxaguante bucal (500mL)</v>
      </c>
      <c r="AI69" s="27" t="n">
        <f aca="false">IFERROR(higiene[[#This Row],[Kg equivalente]],0)</f>
        <v>5.18202394837112</v>
      </c>
      <c r="AJ69" s="27" t="n">
        <f aca="false">IFERROR(higiene[[#This Row],[Preço por produto]],0)</f>
        <v>17.165</v>
      </c>
      <c r="AK69" s="27" t="n">
        <f aca="false">SUMIFS(super1[Qtde],super1[Item],tab_higiene[[#This Row],[Item]],super1[Bairro],mercado1)+SUMIFS(supercb[Qtde],supercb[Item],tab_higiene[[#This Row],[Item]],supercb[Bairro],mercado1)</f>
        <v>0</v>
      </c>
      <c r="AL69" s="27" t="n">
        <f aca="false">SUMIFS(super1[Qtde],super1[Item],tab_higiene[[#This Row],[Item]],super1[Bairro],mercado2)+SUMIFS(supercb[Qtde],supercb[Item],tab_higiene[[#This Row],[Item]],supercb[Bairro],mercado2)</f>
        <v>0</v>
      </c>
      <c r="AM69" s="27" t="n">
        <f aca="false">SUMIFS(super1[Qtde],super1[Item],tab_higiene[[#This Row],[Item]],super1[Bairro],mercado3)+SUMIFS(supercb[Qtde],supercb[Item],tab_higiene[[#This Row],[Item]],supercb[Bairro],mercado3)</f>
        <v>0</v>
      </c>
      <c r="AN69" s="27" t="n">
        <f aca="false">SUMIFS(super1[Qtde],super1[Item],tab_higiene[[#This Row],[Item]],super1[Bairro],mercado4)+SUMIFS(supercb[Qtde],supercb[Item],tab_higiene[[#This Row],[Item]],supercb[Bairro],mercado4)</f>
        <v>0</v>
      </c>
      <c r="AO69" s="27" t="n">
        <f aca="false">SUMIFS(super1[Qtde],super1[Item],tab_higiene[[#This Row],[Item]],super1[Bairro],mercado5)+SUMIFS(supercb[Qtde],supercb[Item],tab_higiene[[#This Row],[Item]],supercb[Bairro],mercado5)</f>
        <v>0</v>
      </c>
      <c r="AP69" s="27" t="n">
        <f aca="false">SUMIFS(super1[Qtde],super1[Item],tab_higiene[[#This Row],[Item]],super1[Bairro],mercado6)+SUMIFS(supercb[Qtde],supercb[Item],tab_higiene[[#This Row],[Item]],supercb[Bairro],mercado6)</f>
        <v>0</v>
      </c>
      <c r="AQ69" s="27" t="n">
        <f aca="false">SUMIFS(super1[Qtde],super1[Item],tab_higiene[[#This Row],[Item]],super1[Bairro],mercado7)+SUMIFS(supercb[Qtde],supercb[Item],tab_higiene[[#This Row],[Item]],supercb[Bairro],mercado7)</f>
        <v>0</v>
      </c>
      <c r="AR69" s="27" t="n">
        <f aca="false">SUMIFS(super1[Qtde],super1[Item],tab_higiene[[#This Row],[Item]],super1[Bairro],mercado8)+SUMIFS(supercb[Qtde],supercb[Item],tab_higiene[[#This Row],[Item]],supercb[Bairro],mercado8)</f>
        <v>0</v>
      </c>
      <c r="AS69" s="27" t="n">
        <f aca="false">SUMIFS(super1[Qtde],super1[Item],tab_higiene[[#This Row],[Item]],super1[Bairro],mercado9)+SUMIFS(supercb[Qtde],supercb[Item],tab_higiene[[#This Row],[Item]],supercb[Bairro],mercado9)</f>
        <v>0</v>
      </c>
      <c r="AT69" s="27" t="n">
        <f aca="false">SUMIFS(super1[Qtde],super1[Item],tab_higiene[[#This Row],[Item]],super1[Bairro],mercado10)+SUMIFS(supercb[Qtde],supercb[Item],tab_higiene[[#This Row],[Item]],supercb[Bairro],mercado10)</f>
        <v>0</v>
      </c>
      <c r="AU69" s="27" t="n">
        <f aca="false">SUMIFS(super1[Qtde],super1[Item],tab_higiene[[#This Row],[Item]],super1[Bairro],mercado11)+SUMIFS(supercb[Qtde],supercb[Item],tab_higiene[[#This Row],[Item]],supercb[Bairro],mercado11)</f>
        <v>0</v>
      </c>
      <c r="AV69" s="27" t="n">
        <f aca="false">SUMIFS(super1[Qtde],super1[Item],tab_higiene[[#This Row],[Item]],super1[Bairro],mercado12)+SUMIFS(supercb[Qtde],supercb[Item],tab_higiene[[#This Row],[Item]],supercb[Bairro],mercado12)</f>
        <v>0</v>
      </c>
      <c r="AW69" s="27" t="n">
        <f aca="false">SUMIFS(super1[Qtde],super1[Item],tab_higiene[[#This Row],[Item]],super1[Bairro],mercado13)+SUMIFS(supercb[Qtde],supercb[Item],tab_higiene[[#This Row],[Item]],supercb[Bairro],mercado13)</f>
        <v>0</v>
      </c>
      <c r="AX69" s="27" t="n">
        <f aca="false">SUMIFS(super1[Qtde],super1[Item],tab_higiene[[#This Row],[Item]],super1[Bairro],mercado14)+SUMIFS(supercb[Qtde],supercb[Item],tab_higiene[[#This Row],[Item]],supercb[Bairro],mercado14)</f>
        <v>0</v>
      </c>
      <c r="AY69" s="27" t="n">
        <f aca="false">SUMIFS(super1[Qtde],super1[Item],tab_higiene[[#This Row],[Item]],super1[Bairro],mercado15)+SUMIFS(supercb[Qtde],supercb[Item],tab_higiene[[#This Row],[Item]],supercb[Bairro],mercado15)</f>
        <v>0</v>
      </c>
      <c r="AZ69" s="27" t="n">
        <f aca="false">SUMIFS(super1[Qtde],super1[Item],tab_higiene[[#This Row],[Item]],super1[Bairro],mercado16)+SUMIFS(supercb[Qtde],supercb[Item],tab_higiene[[#This Row],[Item]],supercb[Bairro],mercado16)</f>
        <v>0</v>
      </c>
      <c r="BA69" s="27" t="n">
        <f aca="false">SUMIFS(super1[Qtde],super1[Item],tab_higiene[[#This Row],[Item]],super1[Bairro],mercado17)+SUMIFS(supercb[Qtde],supercb[Item],tab_higiene[[#This Row],[Item]],supercb[Bairro],mercado17)</f>
        <v>0</v>
      </c>
      <c r="BB69" s="27" t="n">
        <f aca="false">SUMIFS(super1[Qtde],super1[Item],tab_higiene[[#This Row],[Item]],super1[Bairro],mercado18)+SUMIFS(supercb[Qtde],supercb[Item],tab_higiene[[#This Row],[Item]],supercb[Bairro],mercado18)</f>
        <v>0</v>
      </c>
      <c r="BC69" s="27" t="n">
        <f aca="false">SUMIFS(super1[Qtde],super1[Item],tab_higiene[[#This Row],[Item]],super1[Bairro],extras)+SUMIFS(supercb[Qtde],supercb[Item],tab_higiene[[#This Row],[Item]],supercb[Bairro],extras)</f>
        <v>0</v>
      </c>
      <c r="BD69" s="27" t="n">
        <f aca="false">SUM(AK69:BB69)</f>
        <v>0</v>
      </c>
      <c r="BE69" s="27" t="n">
        <f aca="false">IFERROR(BD69*AJ69,0)</f>
        <v>0</v>
      </c>
      <c r="BF69" s="28" t="n">
        <f aca="false">IFERROR(AI69*BD69,0)</f>
        <v>0</v>
      </c>
      <c r="BI69" s="22" t="str">
        <f aca="false">tab_alimentos[[#This Row],[Item]]</f>
        <v>C</v>
      </c>
      <c r="BJ69" s="22" t="n">
        <f aca="false">IFERROR(FIND(" (",BI69),0)</f>
        <v>0</v>
      </c>
      <c r="BK69" s="22" t="str">
        <f aca="false">IF(BJ69=0,BI69,LEFT(BI69,BJ69-1))</f>
        <v>C</v>
      </c>
      <c r="BL69" s="22" t="n">
        <f aca="false">tab_alimentos[[#This Row],[kg]]</f>
        <v>0</v>
      </c>
      <c r="BM69" s="32" t="s">
        <v>193</v>
      </c>
      <c r="BN69" s="22" t="n">
        <f aca="false">SUMIF($BJ$5:$BJ$158,BM69,$BK$5:$BK$158)</f>
        <v>0</v>
      </c>
      <c r="BP69" s="22" t="str">
        <f aca="false">tab_higiene[[#This Row],[Item]]</f>
        <v>Enxaguante bucal (500mL)</v>
      </c>
      <c r="BQ69" s="22" t="n">
        <f aca="false">IFERROR(FIND(" (",BP69),0)</f>
        <v>17</v>
      </c>
      <c r="BR69" s="22" t="str">
        <f aca="false">IF(BQ69=0,BP69,LEFT(BP69,BQ69-1))</f>
        <v>Enxaguante bucal</v>
      </c>
      <c r="BS69" s="22" t="n">
        <f aca="false">higiene[[#This Row],[Quantidade]]</f>
        <v>18</v>
      </c>
      <c r="BT69" s="22" t="n">
        <f aca="false">tab_higiene[Qtde (tot)]</f>
        <v>0</v>
      </c>
      <c r="BU69" s="22" t="n">
        <f aca="false">BS69*BT69</f>
        <v>0</v>
      </c>
      <c r="BV69" s="32" t="s">
        <v>360</v>
      </c>
      <c r="BW69" s="22" t="n">
        <f aca="false">SUMIF($BR$5:$BR$142,BV69,$BU$5:$BU$142)</f>
        <v>0</v>
      </c>
    </row>
    <row r="70" customFormat="false" ht="15" hidden="false" customHeight="false" outlineLevel="0" collapsed="false">
      <c r="I70" s="26" t="str">
        <f aca="false">alimentos[[#This Row],[Item]]</f>
        <v>Café (1kg)</v>
      </c>
      <c r="J70" s="27" t="n">
        <f aca="false">IFERROR(alimentos[[#This Row],[kg/embalagem]],0)</f>
        <v>1</v>
      </c>
      <c r="K70" s="27" t="n">
        <f aca="false">IFERROR(alimentos[[#This Row],[Preço]],0)</f>
        <v>27.2633333333333</v>
      </c>
      <c r="L70" s="27" t="n">
        <f aca="false">SUMIFS(super1[Qtde],super1[Item],tab_alimentos[[#This Row],[Item]],super1[Bairro],mercado1)+SUMIFS(supercb[Qtde],supercb[Item],tab_alimentos[[#This Row],[Item]],supercb[Bairro],mercado1)</f>
        <v>0</v>
      </c>
      <c r="M70" s="27" t="n">
        <f aca="false">SUMIFS(super1[Qtde],super1[Item],tab_alimentos[[#This Row],[Item]],super1[Bairro],mercado2)+SUMIFS(supercb[Qtde],supercb[Item],tab_alimentos[[#This Row],[Item]],supercb[Bairro],mercado2)</f>
        <v>0</v>
      </c>
      <c r="N70" s="27" t="n">
        <f aca="false">SUMIFS(super1[Qtde],super1[Item],tab_alimentos[[#This Row],[Item]],super1[Bairro],mercado3)+SUMIFS(supercb[Qtde],supercb[Item],tab_alimentos[[#This Row],[Item]],supercb[Bairro],mercado3)</f>
        <v>0</v>
      </c>
      <c r="O70" s="27" t="n">
        <f aca="false">SUMIFS(super1[Qtde],super1[Item],tab_alimentos[[#This Row],[Item]],super1[Bairro],mercado4)+SUMIFS(supercb[Qtde],supercb[Item],tab_alimentos[[#This Row],[Item]],supercb[Bairro],mercado4)</f>
        <v>0</v>
      </c>
      <c r="P70" s="27" t="n">
        <f aca="false">SUMIFS(super1[Qtde],super1[Item],tab_alimentos[[#This Row],[Item]],super1[Bairro],mercado5)+SUMIFS(supercb[Qtde],supercb[Item],tab_alimentos[[#This Row],[Item]],supercb[Bairro],mercado5)</f>
        <v>0</v>
      </c>
      <c r="Q70" s="27" t="n">
        <f aca="false">SUMIFS(super1[Qtde],super1[Item],tab_alimentos[[#This Row],[Item]],super1[Bairro],mercado6)+SUMIFS(supercb[Qtde],supercb[Item],tab_alimentos[[#This Row],[Item]],supercb[Bairro],mercado6)</f>
        <v>0</v>
      </c>
      <c r="R70" s="27" t="n">
        <f aca="false">SUMIFS(super1[Qtde],super1[Item],tab_alimentos[[#This Row],[Item]],super1[Bairro],mercado7)+SUMIFS(supercb[Qtde],supercb[Item],tab_alimentos[[#This Row],[Item]],supercb[Bairro],mercado7)</f>
        <v>0</v>
      </c>
      <c r="S70" s="27" t="n">
        <f aca="false">SUMIFS(super1[Qtde],super1[Item],tab_alimentos[[#This Row],[Item]],super1[Bairro],mercado8)+SUMIFS(supercb[Qtde],supercb[Item],tab_alimentos[[#This Row],[Item]],supercb[Bairro],mercado8)</f>
        <v>0</v>
      </c>
      <c r="T70" s="27" t="n">
        <f aca="false">SUMIFS(super1[Qtde],super1[Item],tab_alimentos[[#This Row],[Item]],super1[Bairro],mercado9)+SUMIFS(supercb[Qtde],supercb[Item],tab_alimentos[[#This Row],[Item]],supercb[Bairro],mercado9)</f>
        <v>0</v>
      </c>
      <c r="U70" s="27" t="n">
        <f aca="false">SUMIFS(super1[Qtde],super1[Item],tab_alimentos[[#This Row],[Item]],super1[Bairro],mercado10)+SUMIFS(supercb[Qtde],supercb[Item],tab_alimentos[[#This Row],[Item]],supercb[Bairro],mercado10)</f>
        <v>0</v>
      </c>
      <c r="V70" s="27" t="n">
        <f aca="false">SUMIFS(super1[Qtde],super1[Item],tab_alimentos[[#This Row],[Item]],super1[Bairro],mercado11)+SUMIFS(supercb[Qtde],supercb[Item],tab_alimentos[[#This Row],[Item]],supercb[Bairro],mercado11)</f>
        <v>0</v>
      </c>
      <c r="W70" s="27" t="n">
        <f aca="false">SUMIFS(super1[Qtde],super1[Item],tab_alimentos[[#This Row],[Item]],super1[Bairro],mercado12)+SUMIFS(supercb[Qtde],supercb[Item],tab_alimentos[[#This Row],[Item]],supercb[Bairro],mercado12)</f>
        <v>0</v>
      </c>
      <c r="X70" s="27" t="n">
        <f aca="false">SUMIFS(super1[Qtde],super1[Item],tab_alimentos[[#This Row],[Item]],super1[Bairro],mercado13)+SUMIFS(supercb[Qtde],supercb[Item],tab_alimentos[[#This Row],[Item]],supercb[Bairro],mercado13)</f>
        <v>0</v>
      </c>
      <c r="Y70" s="27" t="n">
        <f aca="false">SUMIFS(super1[Qtde],super1[Item],tab_alimentos[[#This Row],[Item]],super1[Bairro],mercado14)+SUMIFS(supercb[Qtde],supercb[Item],tab_alimentos[[#This Row],[Item]],supercb[Bairro],mercado14)</f>
        <v>0</v>
      </c>
      <c r="Z70" s="27" t="n">
        <f aca="false">SUMIFS(super1[Qtde],super1[Item],tab_alimentos[[#This Row],[Item]],super1[Bairro],mercado15)+SUMIFS(supercb[Qtde],supercb[Item],tab_alimentos[[#This Row],[Item]],supercb[Bairro],mercado15)</f>
        <v>0</v>
      </c>
      <c r="AA70" s="27" t="n">
        <f aca="false">SUMIFS(super1[Qtde],super1[Item],tab_alimentos[[#This Row],[Item]],super1[Bairro],mercado16)+SUMIFS(supercb[Qtde],supercb[Item],tab_alimentos[[#This Row],[Item]],supercb[Bairro],mercado16)</f>
        <v>0</v>
      </c>
      <c r="AB70" s="27" t="n">
        <f aca="false">SUMIFS(super1[Qtde],super1[Item],tab_alimentos[[#This Row],[Item]],super1[Bairro],mercado17)+SUMIFS(supercb[Qtde],supercb[Item],tab_alimentos[[#This Row],[Item]],supercb[Bairro],mercado17)</f>
        <v>0</v>
      </c>
      <c r="AC70" s="27" t="n">
        <f aca="false">SUMIFS(super1[Qtde],super1[Item],tab_alimentos[[#This Row],[Item]],super1[Bairro],mercado18)+SUMIFS(supercb[Qtde],supercb[Item],tab_alimentos[[#This Row],[Item]],supercb[Bairro],mercado18)</f>
        <v>0</v>
      </c>
      <c r="AD70" s="27" t="n">
        <f aca="false">SUMIFS(super1[Qtde],super1[Item],tab_alimentos[[#This Row],[Item]],super1[Bairro],extras)+SUMIFS(supercb[Qtde],supercb[Item],tab_alimentos[[#This Row],[Item]],supercb[Bairro],extras)</f>
        <v>0</v>
      </c>
      <c r="AE70" s="27" t="n">
        <f aca="false">SUM(L70:AC70)</f>
        <v>0</v>
      </c>
      <c r="AF70" s="27" t="n">
        <f aca="false">IFERROR(AE70*K70,0)</f>
        <v>0</v>
      </c>
      <c r="AG70" s="28" t="n">
        <f aca="false">IFERROR(J70*AE70,0)</f>
        <v>0</v>
      </c>
      <c r="AH70" s="26" t="str">
        <f aca="false">higiene[[#This Row],[Item]]</f>
        <v>Escova de dente (1un)</v>
      </c>
      <c r="AI70" s="27" t="n">
        <f aca="false">IFERROR(higiene[[#This Row],[Kg equivalente]],0)</f>
        <v>0.996252783549356</v>
      </c>
      <c r="AJ70" s="27" t="n">
        <f aca="false">IFERROR(higiene[[#This Row],[Preço por produto]],0)</f>
        <v>3.3</v>
      </c>
      <c r="AK70" s="27" t="n">
        <f aca="false">SUMIFS(super1[Qtde],super1[Item],tab_higiene[[#This Row],[Item]],super1[Bairro],mercado1)+SUMIFS(supercb[Qtde],supercb[Item],tab_higiene[[#This Row],[Item]],supercb[Bairro],mercado1)</f>
        <v>0</v>
      </c>
      <c r="AL70" s="27" t="n">
        <f aca="false">SUMIFS(super1[Qtde],super1[Item],tab_higiene[[#This Row],[Item]],super1[Bairro],mercado2)+SUMIFS(supercb[Qtde],supercb[Item],tab_higiene[[#This Row],[Item]],supercb[Bairro],mercado2)</f>
        <v>1</v>
      </c>
      <c r="AM70" s="27" t="n">
        <f aca="false">SUMIFS(super1[Qtde],super1[Item],tab_higiene[[#This Row],[Item]],super1[Bairro],mercado3)+SUMIFS(supercb[Qtde],supercb[Item],tab_higiene[[#This Row],[Item]],supercb[Bairro],mercado3)</f>
        <v>1</v>
      </c>
      <c r="AN70" s="27" t="n">
        <f aca="false">SUMIFS(super1[Qtde],super1[Item],tab_higiene[[#This Row],[Item]],super1[Bairro],mercado4)+SUMIFS(supercb[Qtde],supercb[Item],tab_higiene[[#This Row],[Item]],supercb[Bairro],mercado4)</f>
        <v>1</v>
      </c>
      <c r="AO70" s="27" t="n">
        <f aca="false">SUMIFS(super1[Qtde],super1[Item],tab_higiene[[#This Row],[Item]],super1[Bairro],mercado5)+SUMIFS(supercb[Qtde],supercb[Item],tab_higiene[[#This Row],[Item]],supercb[Bairro],mercado5)</f>
        <v>10</v>
      </c>
      <c r="AP70" s="27" t="n">
        <f aca="false">SUMIFS(super1[Qtde],super1[Item],tab_higiene[[#This Row],[Item]],super1[Bairro],mercado6)+SUMIFS(supercb[Qtde],supercb[Item],tab_higiene[[#This Row],[Item]],supercb[Bairro],mercado6)</f>
        <v>15</v>
      </c>
      <c r="AQ70" s="27" t="n">
        <f aca="false">SUMIFS(super1[Qtde],super1[Item],tab_higiene[[#This Row],[Item]],super1[Bairro],mercado7)+SUMIFS(supercb[Qtde],supercb[Item],tab_higiene[[#This Row],[Item]],supercb[Bairro],mercado7)</f>
        <v>0</v>
      </c>
      <c r="AR70" s="27" t="n">
        <f aca="false">SUMIFS(super1[Qtde],super1[Item],tab_higiene[[#This Row],[Item]],super1[Bairro],mercado8)+SUMIFS(supercb[Qtde],supercb[Item],tab_higiene[[#This Row],[Item]],supercb[Bairro],mercado8)</f>
        <v>8</v>
      </c>
      <c r="AS70" s="27" t="n">
        <f aca="false">SUMIFS(super1[Qtde],super1[Item],tab_higiene[[#This Row],[Item]],super1[Bairro],mercado9)+SUMIFS(supercb[Qtde],supercb[Item],tab_higiene[[#This Row],[Item]],supercb[Bairro],mercado9)</f>
        <v>0</v>
      </c>
      <c r="AT70" s="27" t="n">
        <f aca="false">SUMIFS(super1[Qtde],super1[Item],tab_higiene[[#This Row],[Item]],super1[Bairro],mercado10)+SUMIFS(supercb[Qtde],supercb[Item],tab_higiene[[#This Row],[Item]],supercb[Bairro],mercado10)</f>
        <v>22</v>
      </c>
      <c r="AU70" s="27" t="n">
        <f aca="false">SUMIFS(super1[Qtde],super1[Item],tab_higiene[[#This Row],[Item]],super1[Bairro],mercado11)+SUMIFS(supercb[Qtde],supercb[Item],tab_higiene[[#This Row],[Item]],supercb[Bairro],mercado11)</f>
        <v>0</v>
      </c>
      <c r="AV70" s="27" t="n">
        <f aca="false">SUMIFS(super1[Qtde],super1[Item],tab_higiene[[#This Row],[Item]],super1[Bairro],mercado12)+SUMIFS(supercb[Qtde],supercb[Item],tab_higiene[[#This Row],[Item]],supercb[Bairro],mercado12)</f>
        <v>0</v>
      </c>
      <c r="AW70" s="27" t="n">
        <f aca="false">SUMIFS(super1[Qtde],super1[Item],tab_higiene[[#This Row],[Item]],super1[Bairro],mercado13)+SUMIFS(supercb[Qtde],supercb[Item],tab_higiene[[#This Row],[Item]],supercb[Bairro],mercado13)</f>
        <v>0</v>
      </c>
      <c r="AX70" s="27" t="n">
        <f aca="false">SUMIFS(super1[Qtde],super1[Item],tab_higiene[[#This Row],[Item]],super1[Bairro],mercado14)+SUMIFS(supercb[Qtde],supercb[Item],tab_higiene[[#This Row],[Item]],supercb[Bairro],mercado14)</f>
        <v>0</v>
      </c>
      <c r="AY70" s="27" t="n">
        <f aca="false">SUMIFS(super1[Qtde],super1[Item],tab_higiene[[#This Row],[Item]],super1[Bairro],mercado15)+SUMIFS(supercb[Qtde],supercb[Item],tab_higiene[[#This Row],[Item]],supercb[Bairro],mercado15)</f>
        <v>0</v>
      </c>
      <c r="AZ70" s="27" t="n">
        <f aca="false">SUMIFS(super1[Qtde],super1[Item],tab_higiene[[#This Row],[Item]],super1[Bairro],mercado16)+SUMIFS(supercb[Qtde],supercb[Item],tab_higiene[[#This Row],[Item]],supercb[Bairro],mercado16)</f>
        <v>0</v>
      </c>
      <c r="BA70" s="27" t="n">
        <f aca="false">SUMIFS(super1[Qtde],super1[Item],tab_higiene[[#This Row],[Item]],super1[Bairro],mercado17)+SUMIFS(supercb[Qtde],supercb[Item],tab_higiene[[#This Row],[Item]],supercb[Bairro],mercado17)</f>
        <v>0</v>
      </c>
      <c r="BB70" s="27" t="n">
        <f aca="false">SUMIFS(super1[Qtde],super1[Item],tab_higiene[[#This Row],[Item]],super1[Bairro],mercado18)+SUMIFS(supercb[Qtde],supercb[Item],tab_higiene[[#This Row],[Item]],supercb[Bairro],mercado18)</f>
        <v>0</v>
      </c>
      <c r="BC70" s="27" t="n">
        <f aca="false">SUMIFS(super1[Qtde],super1[Item],tab_higiene[[#This Row],[Item]],super1[Bairro],extras)+SUMIFS(supercb[Qtde],supercb[Item],tab_higiene[[#This Row],[Item]],supercb[Bairro],extras)</f>
        <v>0</v>
      </c>
      <c r="BD70" s="27" t="n">
        <f aca="false">SUM(AK70:BB70)</f>
        <v>58</v>
      </c>
      <c r="BE70" s="27" t="n">
        <f aca="false">IFERROR(BD70*AJ70,0)</f>
        <v>191.4</v>
      </c>
      <c r="BF70" s="28" t="n">
        <f aca="false">IFERROR(AI70*BD70,0)</f>
        <v>57.7826614458627</v>
      </c>
      <c r="BI70" s="22" t="str">
        <f aca="false">tab_alimentos[[#This Row],[Item]]</f>
        <v>Café (1kg)</v>
      </c>
      <c r="BJ70" s="22" t="n">
        <f aca="false">IFERROR(FIND(" (",BI70),0)</f>
        <v>5</v>
      </c>
      <c r="BK70" s="22" t="str">
        <f aca="false">IF(BJ70=0,BI70,LEFT(BI70,BJ70-1))</f>
        <v>Café</v>
      </c>
      <c r="BL70" s="22" t="n">
        <f aca="false">tab_alimentos[[#This Row],[kg]]</f>
        <v>0</v>
      </c>
      <c r="BM70" s="32" t="s">
        <v>330</v>
      </c>
      <c r="BN70" s="22" t="n">
        <f aca="false">SUMIF($BJ$5:$BJ$158,BM70,$BK$5:$BK$158)</f>
        <v>0</v>
      </c>
      <c r="BP70" s="22" t="str">
        <f aca="false">tab_higiene[[#This Row],[Item]]</f>
        <v>Escova de dente (1un)</v>
      </c>
      <c r="BQ70" s="22" t="n">
        <f aca="false">IFERROR(FIND(" (",BP70),0)</f>
        <v>16</v>
      </c>
      <c r="BR70" s="22" t="str">
        <f aca="false">IF(BQ70=0,BP70,LEFT(BP70,BQ70-1))</f>
        <v>Escova de dente</v>
      </c>
      <c r="BS70" s="22" t="n">
        <f aca="false">higiene[[#This Row],[Quantidade]]</f>
        <v>20</v>
      </c>
      <c r="BT70" s="22" t="n">
        <f aca="false">tab_higiene[Qtde (tot)]</f>
        <v>58</v>
      </c>
      <c r="BU70" s="22" t="n">
        <f aca="false">BS70*BT70</f>
        <v>1160</v>
      </c>
      <c r="BV70" s="32" t="s">
        <v>361</v>
      </c>
      <c r="BW70" s="22" t="n">
        <f aca="false">SUMIF($BR$5:$BR$142,BV70,$BU$5:$BU$142)</f>
        <v>0</v>
      </c>
    </row>
    <row r="71" customFormat="false" ht="15" hidden="false" customHeight="false" outlineLevel="0" collapsed="false">
      <c r="I71" s="26" t="str">
        <f aca="false">alimentos[[#This Row],[Item]]</f>
        <v>Café (250g)</v>
      </c>
      <c r="J71" s="27" t="n">
        <f aca="false">IFERROR(alimentos[[#This Row],[kg/embalagem]],0)</f>
        <v>0.25</v>
      </c>
      <c r="K71" s="27" t="n">
        <f aca="false">IFERROR(alimentos[[#This Row],[Preço]],0)</f>
        <v>5.57333333333333</v>
      </c>
      <c r="L71" s="27" t="n">
        <f aca="false">SUMIFS(super1[Qtde],super1[Item],tab_alimentos[[#This Row],[Item]],super1[Bairro],mercado1)+SUMIFS(supercb[Qtde],supercb[Item],tab_alimentos[[#This Row],[Item]],supercb[Bairro],mercado1)</f>
        <v>0</v>
      </c>
      <c r="M71" s="27" t="n">
        <f aca="false">SUMIFS(super1[Qtde],super1[Item],tab_alimentos[[#This Row],[Item]],super1[Bairro],mercado2)+SUMIFS(supercb[Qtde],supercb[Item],tab_alimentos[[#This Row],[Item]],supercb[Bairro],mercado2)</f>
        <v>0</v>
      </c>
      <c r="N71" s="27" t="n">
        <f aca="false">SUMIFS(super1[Qtde],super1[Item],tab_alimentos[[#This Row],[Item]],super1[Bairro],mercado3)+SUMIFS(supercb[Qtde],supercb[Item],tab_alimentos[[#This Row],[Item]],supercb[Bairro],mercado3)</f>
        <v>0</v>
      </c>
      <c r="O71" s="27" t="n">
        <f aca="false">SUMIFS(super1[Qtde],super1[Item],tab_alimentos[[#This Row],[Item]],super1[Bairro],mercado4)+SUMIFS(supercb[Qtde],supercb[Item],tab_alimentos[[#This Row],[Item]],supercb[Bairro],mercado4)</f>
        <v>0</v>
      </c>
      <c r="P71" s="27" t="n">
        <f aca="false">SUMIFS(super1[Qtde],super1[Item],tab_alimentos[[#This Row],[Item]],super1[Bairro],mercado5)+SUMIFS(supercb[Qtde],supercb[Item],tab_alimentos[[#This Row],[Item]],supercb[Bairro],mercado5)</f>
        <v>0</v>
      </c>
      <c r="Q71" s="27" t="n">
        <f aca="false">SUMIFS(super1[Qtde],super1[Item],tab_alimentos[[#This Row],[Item]],super1[Bairro],mercado6)+SUMIFS(supercb[Qtde],supercb[Item],tab_alimentos[[#This Row],[Item]],supercb[Bairro],mercado6)</f>
        <v>0</v>
      </c>
      <c r="R71" s="27" t="n">
        <f aca="false">SUMIFS(super1[Qtde],super1[Item],tab_alimentos[[#This Row],[Item]],super1[Bairro],mercado7)+SUMIFS(supercb[Qtde],supercb[Item],tab_alimentos[[#This Row],[Item]],supercb[Bairro],mercado7)</f>
        <v>0</v>
      </c>
      <c r="S71" s="27" t="n">
        <f aca="false">SUMIFS(super1[Qtde],super1[Item],tab_alimentos[[#This Row],[Item]],super1[Bairro],mercado8)+SUMIFS(supercb[Qtde],supercb[Item],tab_alimentos[[#This Row],[Item]],supercb[Bairro],mercado8)</f>
        <v>0</v>
      </c>
      <c r="T71" s="27" t="n">
        <f aca="false">SUMIFS(super1[Qtde],super1[Item],tab_alimentos[[#This Row],[Item]],super1[Bairro],mercado9)+SUMIFS(supercb[Qtde],supercb[Item],tab_alimentos[[#This Row],[Item]],supercb[Bairro],mercado9)</f>
        <v>0</v>
      </c>
      <c r="U71" s="27" t="n">
        <f aca="false">SUMIFS(super1[Qtde],super1[Item],tab_alimentos[[#This Row],[Item]],super1[Bairro],mercado10)+SUMIFS(supercb[Qtde],supercb[Item],tab_alimentos[[#This Row],[Item]],supercb[Bairro],mercado10)</f>
        <v>0</v>
      </c>
      <c r="V71" s="27" t="n">
        <f aca="false">SUMIFS(super1[Qtde],super1[Item],tab_alimentos[[#This Row],[Item]],super1[Bairro],mercado11)+SUMIFS(supercb[Qtde],supercb[Item],tab_alimentos[[#This Row],[Item]],supercb[Bairro],mercado11)</f>
        <v>0</v>
      </c>
      <c r="W71" s="27" t="n">
        <f aca="false">SUMIFS(super1[Qtde],super1[Item],tab_alimentos[[#This Row],[Item]],super1[Bairro],mercado12)+SUMIFS(supercb[Qtde],supercb[Item],tab_alimentos[[#This Row],[Item]],supercb[Bairro],mercado12)</f>
        <v>0</v>
      </c>
      <c r="X71" s="27" t="n">
        <f aca="false">SUMIFS(super1[Qtde],super1[Item],tab_alimentos[[#This Row],[Item]],super1[Bairro],mercado13)+SUMIFS(supercb[Qtde],supercb[Item],tab_alimentos[[#This Row],[Item]],supercb[Bairro],mercado13)</f>
        <v>0</v>
      </c>
      <c r="Y71" s="27" t="n">
        <f aca="false">SUMIFS(super1[Qtde],super1[Item],tab_alimentos[[#This Row],[Item]],super1[Bairro],mercado14)+SUMIFS(supercb[Qtde],supercb[Item],tab_alimentos[[#This Row],[Item]],supercb[Bairro],mercado14)</f>
        <v>0</v>
      </c>
      <c r="Z71" s="27" t="n">
        <f aca="false">SUMIFS(super1[Qtde],super1[Item],tab_alimentos[[#This Row],[Item]],super1[Bairro],mercado15)+SUMIFS(supercb[Qtde],supercb[Item],tab_alimentos[[#This Row],[Item]],supercb[Bairro],mercado15)</f>
        <v>0</v>
      </c>
      <c r="AA71" s="27" t="n">
        <f aca="false">SUMIFS(super1[Qtde],super1[Item],tab_alimentos[[#This Row],[Item]],super1[Bairro],mercado16)+SUMIFS(supercb[Qtde],supercb[Item],tab_alimentos[[#This Row],[Item]],supercb[Bairro],mercado16)</f>
        <v>0</v>
      </c>
      <c r="AB71" s="27" t="n">
        <f aca="false">SUMIFS(super1[Qtde],super1[Item],tab_alimentos[[#This Row],[Item]],super1[Bairro],mercado17)+SUMIFS(supercb[Qtde],supercb[Item],tab_alimentos[[#This Row],[Item]],supercb[Bairro],mercado17)</f>
        <v>0</v>
      </c>
      <c r="AC71" s="27" t="n">
        <f aca="false">SUMIFS(super1[Qtde],super1[Item],tab_alimentos[[#This Row],[Item]],super1[Bairro],mercado18)+SUMIFS(supercb[Qtde],supercb[Item],tab_alimentos[[#This Row],[Item]],supercb[Bairro],mercado18)</f>
        <v>0</v>
      </c>
      <c r="AD71" s="27" t="n">
        <f aca="false">SUMIFS(super1[Qtde],super1[Item],tab_alimentos[[#This Row],[Item]],super1[Bairro],extras)+SUMIFS(supercb[Qtde],supercb[Item],tab_alimentos[[#This Row],[Item]],supercb[Bairro],extras)</f>
        <v>0</v>
      </c>
      <c r="AE71" s="27" t="n">
        <f aca="false">SUM(L71:AC71)</f>
        <v>0</v>
      </c>
      <c r="AF71" s="27" t="n">
        <f aca="false">IFERROR(AE71*K71,0)</f>
        <v>0</v>
      </c>
      <c r="AG71" s="28" t="n">
        <f aca="false">IFERROR(J71*AE71,0)</f>
        <v>0</v>
      </c>
      <c r="AH71" s="26" t="str">
        <f aca="false">higiene[[#This Row],[Item]]</f>
        <v>Escova de dente (2un)</v>
      </c>
      <c r="AI71" s="27" t="n">
        <f aca="false">IFERROR(higiene[[#This Row],[Kg equivalente]],0)</f>
        <v>2.12634558751494</v>
      </c>
      <c r="AJ71" s="27" t="n">
        <f aca="false">IFERROR(higiene[[#This Row],[Preço por produto]],0)</f>
        <v>7.04333333333333</v>
      </c>
      <c r="AK71" s="27" t="n">
        <f aca="false">SUMIFS(super1[Qtde],super1[Item],tab_higiene[[#This Row],[Item]],super1[Bairro],mercado1)+SUMIFS(supercb[Qtde],supercb[Item],tab_higiene[[#This Row],[Item]],supercb[Bairro],mercado1)</f>
        <v>0</v>
      </c>
      <c r="AL71" s="27" t="n">
        <f aca="false">SUMIFS(super1[Qtde],super1[Item],tab_higiene[[#This Row],[Item]],super1[Bairro],mercado2)+SUMIFS(supercb[Qtde],supercb[Item],tab_higiene[[#This Row],[Item]],supercb[Bairro],mercado2)</f>
        <v>0</v>
      </c>
      <c r="AM71" s="27" t="n">
        <f aca="false">SUMIFS(super1[Qtde],super1[Item],tab_higiene[[#This Row],[Item]],super1[Bairro],mercado3)+SUMIFS(supercb[Qtde],supercb[Item],tab_higiene[[#This Row],[Item]],supercb[Bairro],mercado3)</f>
        <v>0</v>
      </c>
      <c r="AN71" s="27" t="n">
        <f aca="false">SUMIFS(super1[Qtde],super1[Item],tab_higiene[[#This Row],[Item]],super1[Bairro],mercado4)+SUMIFS(supercb[Qtde],supercb[Item],tab_higiene[[#This Row],[Item]],supercb[Bairro],mercado4)</f>
        <v>0</v>
      </c>
      <c r="AO71" s="27" t="n">
        <f aca="false">SUMIFS(super1[Qtde],super1[Item],tab_higiene[[#This Row],[Item]],super1[Bairro],mercado5)+SUMIFS(supercb[Qtde],supercb[Item],tab_higiene[[#This Row],[Item]],supercb[Bairro],mercado5)</f>
        <v>13</v>
      </c>
      <c r="AP71" s="27" t="n">
        <f aca="false">SUMIFS(super1[Qtde],super1[Item],tab_higiene[[#This Row],[Item]],super1[Bairro],mercado6)+SUMIFS(supercb[Qtde],supercb[Item],tab_higiene[[#This Row],[Item]],supercb[Bairro],mercado6)</f>
        <v>2</v>
      </c>
      <c r="AQ71" s="27" t="n">
        <f aca="false">SUMIFS(super1[Qtde],super1[Item],tab_higiene[[#This Row],[Item]],super1[Bairro],mercado7)+SUMIFS(supercb[Qtde],supercb[Item],tab_higiene[[#This Row],[Item]],supercb[Bairro],mercado7)</f>
        <v>0</v>
      </c>
      <c r="AR71" s="27" t="n">
        <f aca="false">SUMIFS(super1[Qtde],super1[Item],tab_higiene[[#This Row],[Item]],super1[Bairro],mercado8)+SUMIFS(supercb[Qtde],supercb[Item],tab_higiene[[#This Row],[Item]],supercb[Bairro],mercado8)</f>
        <v>0</v>
      </c>
      <c r="AS71" s="27" t="n">
        <f aca="false">SUMIFS(super1[Qtde],super1[Item],tab_higiene[[#This Row],[Item]],super1[Bairro],mercado9)+SUMIFS(supercb[Qtde],supercb[Item],tab_higiene[[#This Row],[Item]],supercb[Bairro],mercado9)</f>
        <v>0</v>
      </c>
      <c r="AT71" s="27" t="n">
        <f aca="false">SUMIFS(super1[Qtde],super1[Item],tab_higiene[[#This Row],[Item]],super1[Bairro],mercado10)+SUMIFS(supercb[Qtde],supercb[Item],tab_higiene[[#This Row],[Item]],supercb[Bairro],mercado10)</f>
        <v>16</v>
      </c>
      <c r="AU71" s="27" t="n">
        <f aca="false">SUMIFS(super1[Qtde],super1[Item],tab_higiene[[#This Row],[Item]],super1[Bairro],mercado11)+SUMIFS(supercb[Qtde],supercb[Item],tab_higiene[[#This Row],[Item]],supercb[Bairro],mercado11)</f>
        <v>0</v>
      </c>
      <c r="AV71" s="27" t="n">
        <f aca="false">SUMIFS(super1[Qtde],super1[Item],tab_higiene[[#This Row],[Item]],super1[Bairro],mercado12)+SUMIFS(supercb[Qtde],supercb[Item],tab_higiene[[#This Row],[Item]],supercb[Bairro],mercado12)</f>
        <v>0</v>
      </c>
      <c r="AW71" s="27" t="n">
        <f aca="false">SUMIFS(super1[Qtde],super1[Item],tab_higiene[[#This Row],[Item]],super1[Bairro],mercado13)+SUMIFS(supercb[Qtde],supercb[Item],tab_higiene[[#This Row],[Item]],supercb[Bairro],mercado13)</f>
        <v>4</v>
      </c>
      <c r="AX71" s="27" t="n">
        <f aca="false">SUMIFS(super1[Qtde],super1[Item],tab_higiene[[#This Row],[Item]],super1[Bairro],mercado14)+SUMIFS(supercb[Qtde],supercb[Item],tab_higiene[[#This Row],[Item]],supercb[Bairro],mercado14)</f>
        <v>0</v>
      </c>
      <c r="AY71" s="27" t="n">
        <f aca="false">SUMIFS(super1[Qtde],super1[Item],tab_higiene[[#This Row],[Item]],super1[Bairro],mercado15)+SUMIFS(supercb[Qtde],supercb[Item],tab_higiene[[#This Row],[Item]],supercb[Bairro],mercado15)</f>
        <v>0</v>
      </c>
      <c r="AZ71" s="27" t="n">
        <f aca="false">SUMIFS(super1[Qtde],super1[Item],tab_higiene[[#This Row],[Item]],super1[Bairro],mercado16)+SUMIFS(supercb[Qtde],supercb[Item],tab_higiene[[#This Row],[Item]],supercb[Bairro],mercado16)</f>
        <v>0</v>
      </c>
      <c r="BA71" s="27" t="n">
        <f aca="false">SUMIFS(super1[Qtde],super1[Item],tab_higiene[[#This Row],[Item]],super1[Bairro],mercado17)+SUMIFS(supercb[Qtde],supercb[Item],tab_higiene[[#This Row],[Item]],supercb[Bairro],mercado17)</f>
        <v>0</v>
      </c>
      <c r="BB71" s="27" t="n">
        <f aca="false">SUMIFS(super1[Qtde],super1[Item],tab_higiene[[#This Row],[Item]],super1[Bairro],mercado18)+SUMIFS(supercb[Qtde],supercb[Item],tab_higiene[[#This Row],[Item]],supercb[Bairro],mercado18)</f>
        <v>0</v>
      </c>
      <c r="BC71" s="27" t="n">
        <f aca="false">SUMIFS(super1[Qtde],super1[Item],tab_higiene[[#This Row],[Item]],super1[Bairro],extras)+SUMIFS(supercb[Qtde],supercb[Item],tab_higiene[[#This Row],[Item]],supercb[Bairro],extras)</f>
        <v>0</v>
      </c>
      <c r="BD71" s="27" t="n">
        <f aca="false">SUM(AK71:BB71)</f>
        <v>35</v>
      </c>
      <c r="BE71" s="27" t="n">
        <f aca="false">IFERROR(BD71*AJ71,0)</f>
        <v>246.516666666667</v>
      </c>
      <c r="BF71" s="28" t="n">
        <f aca="false">IFERROR(AI71*BD71,0)</f>
        <v>74.4220955630229</v>
      </c>
      <c r="BI71" s="22" t="str">
        <f aca="false">tab_alimentos[[#This Row],[Item]]</f>
        <v>Café (250g)</v>
      </c>
      <c r="BJ71" s="22" t="n">
        <f aca="false">IFERROR(FIND(" (",BI71),0)</f>
        <v>5</v>
      </c>
      <c r="BK71" s="22" t="str">
        <f aca="false">IF(BJ71=0,BI71,LEFT(BI71,BJ71-1))</f>
        <v>Café</v>
      </c>
      <c r="BL71" s="22" t="n">
        <f aca="false">tab_alimentos[[#This Row],[kg]]</f>
        <v>0</v>
      </c>
      <c r="BM71" s="32" t="s">
        <v>362</v>
      </c>
      <c r="BN71" s="22" t="n">
        <f aca="false">SUMIF($BJ$5:$BJ$158,BM71,$BK$5:$BK$158)</f>
        <v>0</v>
      </c>
      <c r="BP71" s="22" t="str">
        <f aca="false">tab_higiene[[#This Row],[Item]]</f>
        <v>Escova de dente (2un)</v>
      </c>
      <c r="BQ71" s="22" t="n">
        <f aca="false">IFERROR(FIND(" (",BP71),0)</f>
        <v>16</v>
      </c>
      <c r="BR71" s="22" t="str">
        <f aca="false">IF(BQ71=0,BP71,LEFT(BP71,BQ71-1))</f>
        <v>Escova de dente</v>
      </c>
      <c r="BS71" s="22" t="n">
        <f aca="false">higiene[[#This Row],[Quantidade]]</f>
        <v>24</v>
      </c>
      <c r="BT71" s="22" t="n">
        <f aca="false">tab_higiene[Qtde (tot)]</f>
        <v>35</v>
      </c>
      <c r="BU71" s="22" t="n">
        <f aca="false">BS71*BT71</f>
        <v>840</v>
      </c>
      <c r="BV71" s="32" t="s">
        <v>363</v>
      </c>
      <c r="BW71" s="22" t="n">
        <f aca="false">SUMIF($BR$5:$BR$142,BV71,$BU$5:$BU$142)</f>
        <v>0</v>
      </c>
    </row>
    <row r="72" customFormat="false" ht="15" hidden="false" customHeight="false" outlineLevel="0" collapsed="false">
      <c r="I72" s="26" t="str">
        <f aca="false">alimentos[[#This Row],[Item]]</f>
        <v>Café (500g)</v>
      </c>
      <c r="J72" s="27" t="n">
        <f aca="false">IFERROR(alimentos[[#This Row],[kg/embalagem]],0)</f>
        <v>0.5</v>
      </c>
      <c r="K72" s="27" t="n">
        <f aca="false">IFERROR(alimentos[[#This Row],[Preço]],0)</f>
        <v>7.00666666666667</v>
      </c>
      <c r="L72" s="27" t="n">
        <f aca="false">SUMIFS(super1[Qtde],super1[Item],tab_alimentos[[#This Row],[Item]],super1[Bairro],mercado1)+SUMIFS(supercb[Qtde],supercb[Item],tab_alimentos[[#This Row],[Item]],supercb[Bairro],mercado1)</f>
        <v>6</v>
      </c>
      <c r="M72" s="27" t="n">
        <f aca="false">SUMIFS(super1[Qtde],super1[Item],tab_alimentos[[#This Row],[Item]],super1[Bairro],mercado2)+SUMIFS(supercb[Qtde],supercb[Item],tab_alimentos[[#This Row],[Item]],supercb[Bairro],mercado2)</f>
        <v>2</v>
      </c>
      <c r="N72" s="27" t="n">
        <f aca="false">SUMIFS(super1[Qtde],super1[Item],tab_alimentos[[#This Row],[Item]],super1[Bairro],mercado3)+SUMIFS(supercb[Qtde],supercb[Item],tab_alimentos[[#This Row],[Item]],supercb[Bairro],mercado3)</f>
        <v>1</v>
      </c>
      <c r="O72" s="27" t="n">
        <f aca="false">SUMIFS(super1[Qtde],super1[Item],tab_alimentos[[#This Row],[Item]],super1[Bairro],mercado4)+SUMIFS(supercb[Qtde],supercb[Item],tab_alimentos[[#This Row],[Item]],supercb[Bairro],mercado4)</f>
        <v>1</v>
      </c>
      <c r="P72" s="27" t="n">
        <f aca="false">SUMIFS(super1[Qtde],super1[Item],tab_alimentos[[#This Row],[Item]],super1[Bairro],mercado5)+SUMIFS(supercb[Qtde],supercb[Item],tab_alimentos[[#This Row],[Item]],supercb[Bairro],mercado5)</f>
        <v>0</v>
      </c>
      <c r="Q72" s="27" t="n">
        <f aca="false">SUMIFS(super1[Qtde],super1[Item],tab_alimentos[[#This Row],[Item]],super1[Bairro],mercado6)+SUMIFS(supercb[Qtde],supercb[Item],tab_alimentos[[#This Row],[Item]],supercb[Bairro],mercado6)</f>
        <v>2</v>
      </c>
      <c r="R72" s="27" t="n">
        <f aca="false">SUMIFS(super1[Qtde],super1[Item],tab_alimentos[[#This Row],[Item]],super1[Bairro],mercado7)+SUMIFS(supercb[Qtde],supercb[Item],tab_alimentos[[#This Row],[Item]],supercb[Bairro],mercado7)</f>
        <v>1</v>
      </c>
      <c r="S72" s="27" t="n">
        <f aca="false">SUMIFS(super1[Qtde],super1[Item],tab_alimentos[[#This Row],[Item]],super1[Bairro],mercado8)+SUMIFS(supercb[Qtde],supercb[Item],tab_alimentos[[#This Row],[Item]],supercb[Bairro],mercado8)</f>
        <v>0</v>
      </c>
      <c r="T72" s="27" t="n">
        <f aca="false">SUMIFS(super1[Qtde],super1[Item],tab_alimentos[[#This Row],[Item]],super1[Bairro],mercado9)+SUMIFS(supercb[Qtde],supercb[Item],tab_alimentos[[#This Row],[Item]],supercb[Bairro],mercado9)</f>
        <v>2</v>
      </c>
      <c r="U72" s="27" t="n">
        <f aca="false">SUMIFS(super1[Qtde],super1[Item],tab_alimentos[[#This Row],[Item]],super1[Bairro],mercado10)+SUMIFS(supercb[Qtde],supercb[Item],tab_alimentos[[#This Row],[Item]],supercb[Bairro],mercado10)</f>
        <v>4</v>
      </c>
      <c r="V72" s="27" t="n">
        <f aca="false">SUMIFS(super1[Qtde],super1[Item],tab_alimentos[[#This Row],[Item]],super1[Bairro],mercado11)+SUMIFS(supercb[Qtde],supercb[Item],tab_alimentos[[#This Row],[Item]],supercb[Bairro],mercado11)</f>
        <v>2</v>
      </c>
      <c r="W72" s="27" t="n">
        <f aca="false">SUMIFS(super1[Qtde],super1[Item],tab_alimentos[[#This Row],[Item]],super1[Bairro],mercado12)+SUMIFS(supercb[Qtde],supercb[Item],tab_alimentos[[#This Row],[Item]],supercb[Bairro],mercado12)</f>
        <v>0</v>
      </c>
      <c r="X72" s="27" t="n">
        <f aca="false">SUMIFS(super1[Qtde],super1[Item],tab_alimentos[[#This Row],[Item]],super1[Bairro],mercado13)+SUMIFS(supercb[Qtde],supercb[Item],tab_alimentos[[#This Row],[Item]],supercb[Bairro],mercado13)</f>
        <v>3</v>
      </c>
      <c r="Y72" s="27" t="n">
        <f aca="false">SUMIFS(super1[Qtde],super1[Item],tab_alimentos[[#This Row],[Item]],super1[Bairro],mercado14)+SUMIFS(supercb[Qtde],supercb[Item],tab_alimentos[[#This Row],[Item]],supercb[Bairro],mercado14)</f>
        <v>0</v>
      </c>
      <c r="Z72" s="27" t="n">
        <f aca="false">SUMIFS(super1[Qtde],super1[Item],tab_alimentos[[#This Row],[Item]],super1[Bairro],mercado15)+SUMIFS(supercb[Qtde],supercb[Item],tab_alimentos[[#This Row],[Item]],supercb[Bairro],mercado15)</f>
        <v>0</v>
      </c>
      <c r="AA72" s="27" t="n">
        <f aca="false">SUMIFS(super1[Qtde],super1[Item],tab_alimentos[[#This Row],[Item]],super1[Bairro],mercado16)+SUMIFS(supercb[Qtde],supercb[Item],tab_alimentos[[#This Row],[Item]],supercb[Bairro],mercado16)</f>
        <v>0</v>
      </c>
      <c r="AB72" s="27" t="n">
        <f aca="false">SUMIFS(super1[Qtde],super1[Item],tab_alimentos[[#This Row],[Item]],super1[Bairro],mercado17)+SUMIFS(supercb[Qtde],supercb[Item],tab_alimentos[[#This Row],[Item]],supercb[Bairro],mercado17)</f>
        <v>0</v>
      </c>
      <c r="AC72" s="27" t="n">
        <f aca="false">SUMIFS(super1[Qtde],super1[Item],tab_alimentos[[#This Row],[Item]],super1[Bairro],mercado18)+SUMIFS(supercb[Qtde],supercb[Item],tab_alimentos[[#This Row],[Item]],supercb[Bairro],mercado18)</f>
        <v>0</v>
      </c>
      <c r="AD72" s="27" t="n">
        <f aca="false">SUMIFS(super1[Qtde],super1[Item],tab_alimentos[[#This Row],[Item]],super1[Bairro],extras)+SUMIFS(supercb[Qtde],supercb[Item],tab_alimentos[[#This Row],[Item]],supercb[Bairro],extras)</f>
        <v>0</v>
      </c>
      <c r="AE72" s="27" t="n">
        <f aca="false">SUM(L72:AC72)</f>
        <v>24</v>
      </c>
      <c r="AF72" s="27" t="n">
        <f aca="false">IFERROR(AE72*K72,0)</f>
        <v>168.16</v>
      </c>
      <c r="AG72" s="28" t="n">
        <f aca="false">IFERROR(J72*AE72,0)</f>
        <v>12</v>
      </c>
      <c r="AH72" s="26" t="str">
        <f aca="false">higiene[[#This Row],[Item]]</f>
        <v>Escova de dente (3 un)</v>
      </c>
      <c r="AI72" s="27" t="n">
        <f aca="false">IFERROR(higiene[[#This Row],[Kg equivalente]],0)</f>
        <v>2.41717089503591</v>
      </c>
      <c r="AJ72" s="27" t="n">
        <f aca="false">IFERROR(higiene[[#This Row],[Preço por produto]],0)</f>
        <v>8.00666666666667</v>
      </c>
      <c r="AK72" s="27" t="n">
        <f aca="false">SUMIFS(super1[Qtde],super1[Item],tab_higiene[[#This Row],[Item]],super1[Bairro],mercado1)+SUMIFS(supercb[Qtde],supercb[Item],tab_higiene[[#This Row],[Item]],supercb[Bairro],mercado1)</f>
        <v>2</v>
      </c>
      <c r="AL72" s="27" t="n">
        <f aca="false">SUMIFS(super1[Qtde],super1[Item],tab_higiene[[#This Row],[Item]],super1[Bairro],mercado2)+SUMIFS(supercb[Qtde],supercb[Item],tab_higiene[[#This Row],[Item]],supercb[Bairro],mercado2)</f>
        <v>0</v>
      </c>
      <c r="AM72" s="27" t="n">
        <f aca="false">SUMIFS(super1[Qtde],super1[Item],tab_higiene[[#This Row],[Item]],super1[Bairro],mercado3)+SUMIFS(supercb[Qtde],supercb[Item],tab_higiene[[#This Row],[Item]],supercb[Bairro],mercado3)</f>
        <v>1</v>
      </c>
      <c r="AN72" s="27" t="n">
        <f aca="false">SUMIFS(super1[Qtde],super1[Item],tab_higiene[[#This Row],[Item]],super1[Bairro],mercado4)+SUMIFS(supercb[Qtde],supercb[Item],tab_higiene[[#This Row],[Item]],supercb[Bairro],mercado4)</f>
        <v>0</v>
      </c>
      <c r="AO72" s="27" t="n">
        <f aca="false">SUMIFS(super1[Qtde],super1[Item],tab_higiene[[#This Row],[Item]],super1[Bairro],mercado5)+SUMIFS(supercb[Qtde],supercb[Item],tab_higiene[[#This Row],[Item]],supercb[Bairro],mercado5)</f>
        <v>6</v>
      </c>
      <c r="AP72" s="27" t="n">
        <f aca="false">SUMIFS(super1[Qtde],super1[Item],tab_higiene[[#This Row],[Item]],super1[Bairro],mercado6)+SUMIFS(supercb[Qtde],supercb[Item],tab_higiene[[#This Row],[Item]],supercb[Bairro],mercado6)</f>
        <v>0</v>
      </c>
      <c r="AQ72" s="27" t="n">
        <f aca="false">SUMIFS(super1[Qtde],super1[Item],tab_higiene[[#This Row],[Item]],super1[Bairro],mercado7)+SUMIFS(supercb[Qtde],supercb[Item],tab_higiene[[#This Row],[Item]],supercb[Bairro],mercado7)</f>
        <v>3</v>
      </c>
      <c r="AR72" s="27" t="n">
        <f aca="false">SUMIFS(super1[Qtde],super1[Item],tab_higiene[[#This Row],[Item]],super1[Bairro],mercado8)+SUMIFS(supercb[Qtde],supercb[Item],tab_higiene[[#This Row],[Item]],supercb[Bairro],mercado8)</f>
        <v>6</v>
      </c>
      <c r="AS72" s="27" t="n">
        <f aca="false">SUMIFS(super1[Qtde],super1[Item],tab_higiene[[#This Row],[Item]],super1[Bairro],mercado9)+SUMIFS(supercb[Qtde],supercb[Item],tab_higiene[[#This Row],[Item]],supercb[Bairro],mercado9)</f>
        <v>6</v>
      </c>
      <c r="AT72" s="27" t="n">
        <f aca="false">SUMIFS(super1[Qtde],super1[Item],tab_higiene[[#This Row],[Item]],super1[Bairro],mercado10)+SUMIFS(supercb[Qtde],supercb[Item],tab_higiene[[#This Row],[Item]],supercb[Bairro],mercado10)</f>
        <v>22</v>
      </c>
      <c r="AU72" s="27" t="n">
        <f aca="false">SUMIFS(super1[Qtde],super1[Item],tab_higiene[[#This Row],[Item]],super1[Bairro],mercado11)+SUMIFS(supercb[Qtde],supercb[Item],tab_higiene[[#This Row],[Item]],supercb[Bairro],mercado11)</f>
        <v>1</v>
      </c>
      <c r="AV72" s="27" t="n">
        <f aca="false">SUMIFS(super1[Qtde],super1[Item],tab_higiene[[#This Row],[Item]],super1[Bairro],mercado12)+SUMIFS(supercb[Qtde],supercb[Item],tab_higiene[[#This Row],[Item]],supercb[Bairro],mercado12)</f>
        <v>0</v>
      </c>
      <c r="AW72" s="27" t="n">
        <f aca="false">SUMIFS(super1[Qtde],super1[Item],tab_higiene[[#This Row],[Item]],super1[Bairro],mercado13)+SUMIFS(supercb[Qtde],supercb[Item],tab_higiene[[#This Row],[Item]],supercb[Bairro],mercado13)</f>
        <v>0</v>
      </c>
      <c r="AX72" s="27" t="n">
        <f aca="false">SUMIFS(super1[Qtde],super1[Item],tab_higiene[[#This Row],[Item]],super1[Bairro],mercado14)+SUMIFS(supercb[Qtde],supercb[Item],tab_higiene[[#This Row],[Item]],supercb[Bairro],mercado14)</f>
        <v>0</v>
      </c>
      <c r="AY72" s="27" t="n">
        <f aca="false">SUMIFS(super1[Qtde],super1[Item],tab_higiene[[#This Row],[Item]],super1[Bairro],mercado15)+SUMIFS(supercb[Qtde],supercb[Item],tab_higiene[[#This Row],[Item]],supercb[Bairro],mercado15)</f>
        <v>0</v>
      </c>
      <c r="AZ72" s="27" t="n">
        <f aca="false">SUMIFS(super1[Qtde],super1[Item],tab_higiene[[#This Row],[Item]],super1[Bairro],mercado16)+SUMIFS(supercb[Qtde],supercb[Item],tab_higiene[[#This Row],[Item]],supercb[Bairro],mercado16)</f>
        <v>0</v>
      </c>
      <c r="BA72" s="27" t="n">
        <f aca="false">SUMIFS(super1[Qtde],super1[Item],tab_higiene[[#This Row],[Item]],super1[Bairro],mercado17)+SUMIFS(supercb[Qtde],supercb[Item],tab_higiene[[#This Row],[Item]],supercb[Bairro],mercado17)</f>
        <v>0</v>
      </c>
      <c r="BB72" s="27" t="n">
        <f aca="false">SUMIFS(super1[Qtde],super1[Item],tab_higiene[[#This Row],[Item]],super1[Bairro],mercado18)+SUMIFS(supercb[Qtde],supercb[Item],tab_higiene[[#This Row],[Item]],supercb[Bairro],mercado18)</f>
        <v>0</v>
      </c>
      <c r="BC72" s="27" t="n">
        <f aca="false">SUMIFS(super1[Qtde],super1[Item],tab_higiene[[#This Row],[Item]],super1[Bairro],extras)+SUMIFS(supercb[Qtde],supercb[Item],tab_higiene[[#This Row],[Item]],supercb[Bairro],extras)</f>
        <v>0</v>
      </c>
      <c r="BD72" s="27" t="n">
        <f aca="false">SUM(AK72:BB72)</f>
        <v>47</v>
      </c>
      <c r="BE72" s="27" t="n">
        <f aca="false">IFERROR(BD72*AJ72,0)</f>
        <v>376.313333333333</v>
      </c>
      <c r="BF72" s="28" t="n">
        <f aca="false">IFERROR(AI72*BD72,0)</f>
        <v>113.607032066688</v>
      </c>
      <c r="BI72" s="22" t="str">
        <f aca="false">tab_alimentos[[#This Row],[Item]]</f>
        <v>Café (500g)</v>
      </c>
      <c r="BJ72" s="22" t="n">
        <f aca="false">IFERROR(FIND(" (",BI72),0)</f>
        <v>5</v>
      </c>
      <c r="BK72" s="22" t="str">
        <f aca="false">IF(BJ72=0,BI72,LEFT(BI72,BJ72-1))</f>
        <v>Café</v>
      </c>
      <c r="BL72" s="22" t="n">
        <f aca="false">tab_alimentos[[#This Row],[kg]]</f>
        <v>12</v>
      </c>
      <c r="BM72" s="32" t="s">
        <v>332</v>
      </c>
      <c r="BN72" s="22" t="n">
        <f aca="false">SUMIF($BJ$5:$BJ$158,BM72,$BK$5:$BK$158)</f>
        <v>0</v>
      </c>
      <c r="BP72" s="22" t="str">
        <f aca="false">tab_higiene[[#This Row],[Item]]</f>
        <v>Escova de dente (3 un)</v>
      </c>
      <c r="BQ72" s="22" t="n">
        <f aca="false">IFERROR(FIND(" (",BP72),0)</f>
        <v>16</v>
      </c>
      <c r="BR72" s="22" t="str">
        <f aca="false">IF(BQ72=0,BP72,LEFT(BP72,BQ72-1))</f>
        <v>Escova de dente</v>
      </c>
      <c r="BS72" s="22" t="n">
        <f aca="false">higiene[[#This Row],[Quantidade]]</f>
        <v>30</v>
      </c>
      <c r="BT72" s="22" t="n">
        <f aca="false">tab_higiene[Qtde (tot)]</f>
        <v>47</v>
      </c>
      <c r="BU72" s="22" t="n">
        <f aca="false">BS72*BT72</f>
        <v>1410</v>
      </c>
      <c r="BV72" s="32" t="n">
        <v>0</v>
      </c>
      <c r="BW72" s="22" t="n">
        <f aca="false">SUMIF($BR$5:$BR$142,BV72,$BU$5:$BU$142)</f>
        <v>0</v>
      </c>
    </row>
    <row r="73" customFormat="false" ht="15" hidden="false" customHeight="false" outlineLevel="0" collapsed="false">
      <c r="I73" s="26" t="str">
        <f aca="false">alimentos[[#This Row],[Item]]</f>
        <v>Café solúvel (50g)</v>
      </c>
      <c r="J73" s="27" t="n">
        <f aca="false">IFERROR(alimentos[[#This Row],[kg/embalagem]],0)</f>
        <v>0.05</v>
      </c>
      <c r="K73" s="27" t="n">
        <f aca="false">IFERROR(alimentos[[#This Row],[Preço]],0)</f>
        <v>3.455</v>
      </c>
      <c r="L73" s="27" t="n">
        <f aca="false">SUMIFS(super1[Qtde],super1[Item],tab_alimentos[[#This Row],[Item]],super1[Bairro],mercado1)+SUMIFS(supercb[Qtde],supercb[Item],tab_alimentos[[#This Row],[Item]],supercb[Bairro],mercado1)</f>
        <v>0</v>
      </c>
      <c r="M73" s="27" t="n">
        <f aca="false">SUMIFS(super1[Qtde],super1[Item],tab_alimentos[[#This Row],[Item]],super1[Bairro],mercado2)+SUMIFS(supercb[Qtde],supercb[Item],tab_alimentos[[#This Row],[Item]],supercb[Bairro],mercado2)</f>
        <v>0</v>
      </c>
      <c r="N73" s="27" t="n">
        <f aca="false">SUMIFS(super1[Qtde],super1[Item],tab_alimentos[[#This Row],[Item]],super1[Bairro],mercado3)+SUMIFS(supercb[Qtde],supercb[Item],tab_alimentos[[#This Row],[Item]],supercb[Bairro],mercado3)</f>
        <v>0</v>
      </c>
      <c r="O73" s="27" t="n">
        <f aca="false">SUMIFS(super1[Qtde],super1[Item],tab_alimentos[[#This Row],[Item]],super1[Bairro],mercado4)+SUMIFS(supercb[Qtde],supercb[Item],tab_alimentos[[#This Row],[Item]],supercb[Bairro],mercado4)</f>
        <v>0</v>
      </c>
      <c r="P73" s="27" t="n">
        <f aca="false">SUMIFS(super1[Qtde],super1[Item],tab_alimentos[[#This Row],[Item]],super1[Bairro],mercado5)+SUMIFS(supercb[Qtde],supercb[Item],tab_alimentos[[#This Row],[Item]],supercb[Bairro],mercado5)</f>
        <v>0</v>
      </c>
      <c r="Q73" s="27" t="n">
        <f aca="false">SUMIFS(super1[Qtde],super1[Item],tab_alimentos[[#This Row],[Item]],super1[Bairro],mercado6)+SUMIFS(supercb[Qtde],supercb[Item],tab_alimentos[[#This Row],[Item]],supercb[Bairro],mercado6)</f>
        <v>0</v>
      </c>
      <c r="R73" s="27" t="n">
        <f aca="false">SUMIFS(super1[Qtde],super1[Item],tab_alimentos[[#This Row],[Item]],super1[Bairro],mercado7)+SUMIFS(supercb[Qtde],supercb[Item],tab_alimentos[[#This Row],[Item]],supercb[Bairro],mercado7)</f>
        <v>0</v>
      </c>
      <c r="S73" s="27" t="n">
        <f aca="false">SUMIFS(super1[Qtde],super1[Item],tab_alimentos[[#This Row],[Item]],super1[Bairro],mercado8)+SUMIFS(supercb[Qtde],supercb[Item],tab_alimentos[[#This Row],[Item]],supercb[Bairro],mercado8)</f>
        <v>0</v>
      </c>
      <c r="T73" s="27" t="n">
        <f aca="false">SUMIFS(super1[Qtde],super1[Item],tab_alimentos[[#This Row],[Item]],super1[Bairro],mercado9)+SUMIFS(supercb[Qtde],supercb[Item],tab_alimentos[[#This Row],[Item]],supercb[Bairro],mercado9)</f>
        <v>0</v>
      </c>
      <c r="U73" s="27" t="n">
        <f aca="false">SUMIFS(super1[Qtde],super1[Item],tab_alimentos[[#This Row],[Item]],super1[Bairro],mercado10)+SUMIFS(supercb[Qtde],supercb[Item],tab_alimentos[[#This Row],[Item]],supercb[Bairro],mercado10)</f>
        <v>0</v>
      </c>
      <c r="V73" s="27" t="n">
        <f aca="false">SUMIFS(super1[Qtde],super1[Item],tab_alimentos[[#This Row],[Item]],super1[Bairro],mercado11)+SUMIFS(supercb[Qtde],supercb[Item],tab_alimentos[[#This Row],[Item]],supercb[Bairro],mercado11)</f>
        <v>0</v>
      </c>
      <c r="W73" s="27" t="n">
        <f aca="false">SUMIFS(super1[Qtde],super1[Item],tab_alimentos[[#This Row],[Item]],super1[Bairro],mercado12)+SUMIFS(supercb[Qtde],supercb[Item],tab_alimentos[[#This Row],[Item]],supercb[Bairro],mercado12)</f>
        <v>0</v>
      </c>
      <c r="X73" s="27" t="n">
        <f aca="false">SUMIFS(super1[Qtde],super1[Item],tab_alimentos[[#This Row],[Item]],super1[Bairro],mercado13)+SUMIFS(supercb[Qtde],supercb[Item],tab_alimentos[[#This Row],[Item]],supercb[Bairro],mercado13)</f>
        <v>0</v>
      </c>
      <c r="Y73" s="27" t="n">
        <f aca="false">SUMIFS(super1[Qtde],super1[Item],tab_alimentos[[#This Row],[Item]],super1[Bairro],mercado14)+SUMIFS(supercb[Qtde],supercb[Item],tab_alimentos[[#This Row],[Item]],supercb[Bairro],mercado14)</f>
        <v>0</v>
      </c>
      <c r="Z73" s="27" t="n">
        <f aca="false">SUMIFS(super1[Qtde],super1[Item],tab_alimentos[[#This Row],[Item]],super1[Bairro],mercado15)+SUMIFS(supercb[Qtde],supercb[Item],tab_alimentos[[#This Row],[Item]],supercb[Bairro],mercado15)</f>
        <v>0</v>
      </c>
      <c r="AA73" s="27" t="n">
        <f aca="false">SUMIFS(super1[Qtde],super1[Item],tab_alimentos[[#This Row],[Item]],super1[Bairro],mercado16)+SUMIFS(supercb[Qtde],supercb[Item],tab_alimentos[[#This Row],[Item]],supercb[Bairro],mercado16)</f>
        <v>0</v>
      </c>
      <c r="AB73" s="27" t="n">
        <f aca="false">SUMIFS(super1[Qtde],super1[Item],tab_alimentos[[#This Row],[Item]],super1[Bairro],mercado17)+SUMIFS(supercb[Qtde],supercb[Item],tab_alimentos[[#This Row],[Item]],supercb[Bairro],mercado17)</f>
        <v>0</v>
      </c>
      <c r="AC73" s="27" t="n">
        <f aca="false">SUMIFS(super1[Qtde],super1[Item],tab_alimentos[[#This Row],[Item]],super1[Bairro],mercado18)+SUMIFS(supercb[Qtde],supercb[Item],tab_alimentos[[#This Row],[Item]],supercb[Bairro],mercado18)</f>
        <v>0</v>
      </c>
      <c r="AD73" s="27" t="n">
        <f aca="false">SUMIFS(super1[Qtde],super1[Item],tab_alimentos[[#This Row],[Item]],super1[Bairro],extras)+SUMIFS(supercb[Qtde],supercb[Item],tab_alimentos[[#This Row],[Item]],supercb[Bairro],extras)</f>
        <v>0</v>
      </c>
      <c r="AE73" s="27" t="n">
        <f aca="false">SUM(L73:AC73)</f>
        <v>0</v>
      </c>
      <c r="AF73" s="27" t="n">
        <f aca="false">IFERROR(AE73*K73,0)</f>
        <v>0</v>
      </c>
      <c r="AG73" s="28" t="n">
        <f aca="false">IFERROR(J73*AE73,0)</f>
        <v>0</v>
      </c>
      <c r="AH73" s="26" t="str">
        <f aca="false">higiene[[#This Row],[Item]]</f>
        <v>Escova de Dentes (4un)</v>
      </c>
      <c r="AI73" s="27" t="n">
        <f aca="false">IFERROR(higiene[[#This Row],[Kg equivalente]],0)</f>
        <v>3.18800890735794</v>
      </c>
      <c r="AJ73" s="27" t="n">
        <f aca="false">IFERROR(higiene[[#This Row],[Preço por produto]],0)</f>
        <v>10.56</v>
      </c>
      <c r="AK73" s="27" t="n">
        <f aca="false">SUMIFS(super1[Qtde],super1[Item],tab_higiene[[#This Row],[Item]],super1[Bairro],mercado1)+SUMIFS(supercb[Qtde],supercb[Item],tab_higiene[[#This Row],[Item]],supercb[Bairro],mercado1)</f>
        <v>0</v>
      </c>
      <c r="AL73" s="27" t="n">
        <f aca="false">SUMIFS(super1[Qtde],super1[Item],tab_higiene[[#This Row],[Item]],super1[Bairro],mercado2)+SUMIFS(supercb[Qtde],supercb[Item],tab_higiene[[#This Row],[Item]],supercb[Bairro],mercado2)</f>
        <v>0</v>
      </c>
      <c r="AM73" s="27" t="n">
        <f aca="false">SUMIFS(super1[Qtde],super1[Item],tab_higiene[[#This Row],[Item]],super1[Bairro],mercado3)+SUMIFS(supercb[Qtde],supercb[Item],tab_higiene[[#This Row],[Item]],supercb[Bairro],mercado3)</f>
        <v>0</v>
      </c>
      <c r="AN73" s="27" t="n">
        <f aca="false">SUMIFS(super1[Qtde],super1[Item],tab_higiene[[#This Row],[Item]],super1[Bairro],mercado4)+SUMIFS(supercb[Qtde],supercb[Item],tab_higiene[[#This Row],[Item]],supercb[Bairro],mercado4)</f>
        <v>0</v>
      </c>
      <c r="AO73" s="27" t="n">
        <f aca="false">SUMIFS(super1[Qtde],super1[Item],tab_higiene[[#This Row],[Item]],super1[Bairro],mercado5)+SUMIFS(supercb[Qtde],supercb[Item],tab_higiene[[#This Row],[Item]],supercb[Bairro],mercado5)</f>
        <v>0</v>
      </c>
      <c r="AP73" s="27" t="n">
        <f aca="false">SUMIFS(super1[Qtde],super1[Item],tab_higiene[[#This Row],[Item]],super1[Bairro],mercado6)+SUMIFS(supercb[Qtde],supercb[Item],tab_higiene[[#This Row],[Item]],supercb[Bairro],mercado6)</f>
        <v>0</v>
      </c>
      <c r="AQ73" s="27" t="n">
        <f aca="false">SUMIFS(super1[Qtde],super1[Item],tab_higiene[[#This Row],[Item]],super1[Bairro],mercado7)+SUMIFS(supercb[Qtde],supercb[Item],tab_higiene[[#This Row],[Item]],supercb[Bairro],mercado7)</f>
        <v>0</v>
      </c>
      <c r="AR73" s="27" t="n">
        <f aca="false">SUMIFS(super1[Qtde],super1[Item],tab_higiene[[#This Row],[Item]],super1[Bairro],mercado8)+SUMIFS(supercb[Qtde],supercb[Item],tab_higiene[[#This Row],[Item]],supercb[Bairro],mercado8)</f>
        <v>0</v>
      </c>
      <c r="AS73" s="27" t="n">
        <f aca="false">SUMIFS(super1[Qtde],super1[Item],tab_higiene[[#This Row],[Item]],super1[Bairro],mercado9)+SUMIFS(supercb[Qtde],supercb[Item],tab_higiene[[#This Row],[Item]],supercb[Bairro],mercado9)</f>
        <v>0</v>
      </c>
      <c r="AT73" s="27" t="n">
        <f aca="false">SUMIFS(super1[Qtde],super1[Item],tab_higiene[[#This Row],[Item]],super1[Bairro],mercado10)+SUMIFS(supercb[Qtde],supercb[Item],tab_higiene[[#This Row],[Item]],supercb[Bairro],mercado10)</f>
        <v>6</v>
      </c>
      <c r="AU73" s="27" t="n">
        <f aca="false">SUMIFS(super1[Qtde],super1[Item],tab_higiene[[#This Row],[Item]],super1[Bairro],mercado11)+SUMIFS(supercb[Qtde],supercb[Item],tab_higiene[[#This Row],[Item]],supercb[Bairro],mercado11)</f>
        <v>0</v>
      </c>
      <c r="AV73" s="27" t="n">
        <f aca="false">SUMIFS(super1[Qtde],super1[Item],tab_higiene[[#This Row],[Item]],super1[Bairro],mercado12)+SUMIFS(supercb[Qtde],supercb[Item],tab_higiene[[#This Row],[Item]],supercb[Bairro],mercado12)</f>
        <v>0</v>
      </c>
      <c r="AW73" s="27" t="n">
        <f aca="false">SUMIFS(super1[Qtde],super1[Item],tab_higiene[[#This Row],[Item]],super1[Bairro],mercado13)+SUMIFS(supercb[Qtde],supercb[Item],tab_higiene[[#This Row],[Item]],supercb[Bairro],mercado13)</f>
        <v>0</v>
      </c>
      <c r="AX73" s="27" t="n">
        <f aca="false">SUMIFS(super1[Qtde],super1[Item],tab_higiene[[#This Row],[Item]],super1[Bairro],mercado14)+SUMIFS(supercb[Qtde],supercb[Item],tab_higiene[[#This Row],[Item]],supercb[Bairro],mercado14)</f>
        <v>0</v>
      </c>
      <c r="AY73" s="27" t="n">
        <f aca="false">SUMIFS(super1[Qtde],super1[Item],tab_higiene[[#This Row],[Item]],super1[Bairro],mercado15)+SUMIFS(supercb[Qtde],supercb[Item],tab_higiene[[#This Row],[Item]],supercb[Bairro],mercado15)</f>
        <v>0</v>
      </c>
      <c r="AZ73" s="27" t="n">
        <f aca="false">SUMIFS(super1[Qtde],super1[Item],tab_higiene[[#This Row],[Item]],super1[Bairro],mercado16)+SUMIFS(supercb[Qtde],supercb[Item],tab_higiene[[#This Row],[Item]],supercb[Bairro],mercado16)</f>
        <v>0</v>
      </c>
      <c r="BA73" s="27" t="n">
        <f aca="false">SUMIFS(super1[Qtde],super1[Item],tab_higiene[[#This Row],[Item]],super1[Bairro],mercado17)+SUMIFS(supercb[Qtde],supercb[Item],tab_higiene[[#This Row],[Item]],supercb[Bairro],mercado17)</f>
        <v>0</v>
      </c>
      <c r="BB73" s="27" t="n">
        <f aca="false">SUMIFS(super1[Qtde],super1[Item],tab_higiene[[#This Row],[Item]],super1[Bairro],mercado18)+SUMIFS(supercb[Qtde],supercb[Item],tab_higiene[[#This Row],[Item]],supercb[Bairro],mercado18)</f>
        <v>0</v>
      </c>
      <c r="BC73" s="27" t="n">
        <f aca="false">SUMIFS(super1[Qtde],super1[Item],tab_higiene[[#This Row],[Item]],super1[Bairro],extras)+SUMIFS(supercb[Qtde],supercb[Item],tab_higiene[[#This Row],[Item]],supercb[Bairro],extras)</f>
        <v>0</v>
      </c>
      <c r="BD73" s="27" t="n">
        <f aca="false">SUM(AK73:BB73)</f>
        <v>6</v>
      </c>
      <c r="BE73" s="27" t="n">
        <f aca="false">IFERROR(BD73*AJ73,0)</f>
        <v>63.36</v>
      </c>
      <c r="BF73" s="28" t="n">
        <f aca="false">IFERROR(AI73*BD73,0)</f>
        <v>19.1280534441476</v>
      </c>
      <c r="BI73" s="22" t="str">
        <f aca="false">tab_alimentos[[#This Row],[Item]]</f>
        <v>Café solúvel (50g)</v>
      </c>
      <c r="BJ73" s="22" t="n">
        <f aca="false">IFERROR(FIND(" (",BI73),0)</f>
        <v>13</v>
      </c>
      <c r="BK73" s="22" t="str">
        <f aca="false">IF(BJ73=0,BI73,LEFT(BI73,BJ73-1))</f>
        <v>Café solúvel</v>
      </c>
      <c r="BL73" s="22" t="n">
        <f aca="false">tab_alimentos[[#This Row],[kg]]</f>
        <v>0</v>
      </c>
      <c r="BM73" s="32" t="s">
        <v>364</v>
      </c>
      <c r="BN73" s="22" t="n">
        <f aca="false">SUMIF($BJ$5:$BJ$158,BM73,$BK$5:$BK$158)</f>
        <v>0</v>
      </c>
      <c r="BP73" s="22" t="str">
        <f aca="false">tab_higiene[[#This Row],[Item]]</f>
        <v>Escova de Dentes (4un)</v>
      </c>
      <c r="BQ73" s="22" t="n">
        <f aca="false">IFERROR(FIND(" (",BP73),0)</f>
        <v>17</v>
      </c>
      <c r="BR73" s="22" t="str">
        <f aca="false">IF(BQ73=0,BP73,LEFT(BP73,BQ73-1))</f>
        <v>Escova de Dentes</v>
      </c>
      <c r="BS73" s="22" t="n">
        <f aca="false">higiene[[#This Row],[Quantidade]]</f>
        <v>4</v>
      </c>
      <c r="BT73" s="22" t="n">
        <f aca="false">tab_higiene[Qtde (tot)]</f>
        <v>6</v>
      </c>
      <c r="BU73" s="22" t="n">
        <f aca="false">BS73*BT73</f>
        <v>24</v>
      </c>
      <c r="BV73" s="32" t="e">
        <f aca="false">#VALUE!</f>
        <v>#VALUE!</v>
      </c>
      <c r="BW73" s="22" t="e">
        <f aca="false">SUMIF($BR$5:$BR$142,BV73,$BU$5:$BU$142)</f>
        <v>#VALUE!</v>
      </c>
    </row>
    <row r="74" customFormat="false" ht="15" hidden="false" customHeight="false" outlineLevel="0" collapsed="false">
      <c r="I74" s="26" t="str">
        <f aca="false">alimentos[[#This Row],[Item]]</f>
        <v>Caixa de Bombons</v>
      </c>
      <c r="J74" s="27" t="n">
        <f aca="false">IFERROR(alimentos[[#This Row],[kg/embalagem]],0)</f>
        <v>0.3</v>
      </c>
      <c r="K74" s="27" t="n">
        <f aca="false">IFERROR(alimentos[[#This Row],[Preço]],0)</f>
        <v>8.99</v>
      </c>
      <c r="L74" s="27" t="n">
        <f aca="false">SUMIFS(super1[Qtde],super1[Item],tab_alimentos[[#This Row],[Item]],super1[Bairro],mercado1)+SUMIFS(supercb[Qtde],supercb[Item],tab_alimentos[[#This Row],[Item]],supercb[Bairro],mercado1)</f>
        <v>0</v>
      </c>
      <c r="M74" s="27" t="n">
        <f aca="false">SUMIFS(super1[Qtde],super1[Item],tab_alimentos[[#This Row],[Item]],super1[Bairro],mercado2)+SUMIFS(supercb[Qtde],supercb[Item],tab_alimentos[[#This Row],[Item]],supercb[Bairro],mercado2)</f>
        <v>0</v>
      </c>
      <c r="N74" s="27" t="n">
        <f aca="false">SUMIFS(super1[Qtde],super1[Item],tab_alimentos[[#This Row],[Item]],super1[Bairro],mercado3)+SUMIFS(supercb[Qtde],supercb[Item],tab_alimentos[[#This Row],[Item]],supercb[Bairro],mercado3)</f>
        <v>0</v>
      </c>
      <c r="O74" s="27" t="n">
        <f aca="false">SUMIFS(super1[Qtde],super1[Item],tab_alimentos[[#This Row],[Item]],super1[Bairro],mercado4)+SUMIFS(supercb[Qtde],supercb[Item],tab_alimentos[[#This Row],[Item]],supercb[Bairro],mercado4)</f>
        <v>0</v>
      </c>
      <c r="P74" s="27" t="n">
        <f aca="false">SUMIFS(super1[Qtde],super1[Item],tab_alimentos[[#This Row],[Item]],super1[Bairro],mercado5)+SUMIFS(supercb[Qtde],supercb[Item],tab_alimentos[[#This Row],[Item]],supercb[Bairro],mercado5)</f>
        <v>0</v>
      </c>
      <c r="Q74" s="27" t="n">
        <f aca="false">SUMIFS(super1[Qtde],super1[Item],tab_alimentos[[#This Row],[Item]],super1[Bairro],mercado6)+SUMIFS(supercb[Qtde],supercb[Item],tab_alimentos[[#This Row],[Item]],supercb[Bairro],mercado6)</f>
        <v>0</v>
      </c>
      <c r="R74" s="27" t="n">
        <f aca="false">SUMIFS(super1[Qtde],super1[Item],tab_alimentos[[#This Row],[Item]],super1[Bairro],mercado7)+SUMIFS(supercb[Qtde],supercb[Item],tab_alimentos[[#This Row],[Item]],supercb[Bairro],mercado7)</f>
        <v>0</v>
      </c>
      <c r="S74" s="27" t="n">
        <f aca="false">SUMIFS(super1[Qtde],super1[Item],tab_alimentos[[#This Row],[Item]],super1[Bairro],mercado8)+SUMIFS(supercb[Qtde],supercb[Item],tab_alimentos[[#This Row],[Item]],supercb[Bairro],mercado8)</f>
        <v>0</v>
      </c>
      <c r="T74" s="27" t="n">
        <f aca="false">SUMIFS(super1[Qtde],super1[Item],tab_alimentos[[#This Row],[Item]],super1[Bairro],mercado9)+SUMIFS(supercb[Qtde],supercb[Item],tab_alimentos[[#This Row],[Item]],supercb[Bairro],mercado9)</f>
        <v>0</v>
      </c>
      <c r="U74" s="27" t="n">
        <f aca="false">SUMIFS(super1[Qtde],super1[Item],tab_alimentos[[#This Row],[Item]],super1[Bairro],mercado10)+SUMIFS(supercb[Qtde],supercb[Item],tab_alimentos[[#This Row],[Item]],supercb[Bairro],mercado10)</f>
        <v>1</v>
      </c>
      <c r="V74" s="27" t="n">
        <f aca="false">SUMIFS(super1[Qtde],super1[Item],tab_alimentos[[#This Row],[Item]],super1[Bairro],mercado11)+SUMIFS(supercb[Qtde],supercb[Item],tab_alimentos[[#This Row],[Item]],supercb[Bairro],mercado11)</f>
        <v>0</v>
      </c>
      <c r="W74" s="27" t="n">
        <f aca="false">SUMIFS(super1[Qtde],super1[Item],tab_alimentos[[#This Row],[Item]],super1[Bairro],mercado12)+SUMIFS(supercb[Qtde],supercb[Item],tab_alimentos[[#This Row],[Item]],supercb[Bairro],mercado12)</f>
        <v>0</v>
      </c>
      <c r="X74" s="27" t="n">
        <f aca="false">SUMIFS(super1[Qtde],super1[Item],tab_alimentos[[#This Row],[Item]],super1[Bairro],mercado13)+SUMIFS(supercb[Qtde],supercb[Item],tab_alimentos[[#This Row],[Item]],supercb[Bairro],mercado13)</f>
        <v>0</v>
      </c>
      <c r="Y74" s="27" t="n">
        <f aca="false">SUMIFS(super1[Qtde],super1[Item],tab_alimentos[[#This Row],[Item]],super1[Bairro],mercado14)+SUMIFS(supercb[Qtde],supercb[Item],tab_alimentos[[#This Row],[Item]],supercb[Bairro],mercado14)</f>
        <v>0</v>
      </c>
      <c r="Z74" s="27" t="n">
        <f aca="false">SUMIFS(super1[Qtde],super1[Item],tab_alimentos[[#This Row],[Item]],super1[Bairro],mercado15)+SUMIFS(supercb[Qtde],supercb[Item],tab_alimentos[[#This Row],[Item]],supercb[Bairro],mercado15)</f>
        <v>0</v>
      </c>
      <c r="AA74" s="27" t="n">
        <f aca="false">SUMIFS(super1[Qtde],super1[Item],tab_alimentos[[#This Row],[Item]],super1[Bairro],mercado16)+SUMIFS(supercb[Qtde],supercb[Item],tab_alimentos[[#This Row],[Item]],supercb[Bairro],mercado16)</f>
        <v>0</v>
      </c>
      <c r="AB74" s="27" t="n">
        <f aca="false">SUMIFS(super1[Qtde],super1[Item],tab_alimentos[[#This Row],[Item]],super1[Bairro],mercado17)+SUMIFS(supercb[Qtde],supercb[Item],tab_alimentos[[#This Row],[Item]],supercb[Bairro],mercado17)</f>
        <v>0</v>
      </c>
      <c r="AC74" s="27" t="n">
        <f aca="false">SUMIFS(super1[Qtde],super1[Item],tab_alimentos[[#This Row],[Item]],super1[Bairro],mercado18)+SUMIFS(supercb[Qtde],supercb[Item],tab_alimentos[[#This Row],[Item]],supercb[Bairro],mercado18)</f>
        <v>0</v>
      </c>
      <c r="AD74" s="27" t="n">
        <f aca="false">SUMIFS(super1[Qtde],super1[Item],tab_alimentos[[#This Row],[Item]],super1[Bairro],extras)+SUMIFS(supercb[Qtde],supercb[Item],tab_alimentos[[#This Row],[Item]],supercb[Bairro],extras)</f>
        <v>0</v>
      </c>
      <c r="AE74" s="27" t="n">
        <f aca="false">SUM(L74:AC74)</f>
        <v>1</v>
      </c>
      <c r="AF74" s="27" t="n">
        <f aca="false">IFERROR(AE74*K74,0)</f>
        <v>8.99</v>
      </c>
      <c r="AG74" s="28" t="n">
        <f aca="false">IFERROR(J74*AE74,0)</f>
        <v>0.3</v>
      </c>
      <c r="AH74" s="26" t="str">
        <f aca="false">higiene[[#This Row],[Item]]</f>
        <v>Esponja (1un)</v>
      </c>
      <c r="AI74" s="27" t="n">
        <f aca="false">IFERROR(higiene[[#This Row],[Kg equivalente]],0)</f>
        <v>0.417822379524942</v>
      </c>
      <c r="AJ74" s="27" t="n">
        <f aca="false">IFERROR(higiene[[#This Row],[Preço por produto]],0)</f>
        <v>1.384</v>
      </c>
      <c r="AK74" s="27" t="n">
        <f aca="false">SUMIFS(super1[Qtde],super1[Item],tab_higiene[[#This Row],[Item]],super1[Bairro],mercado1)+SUMIFS(supercb[Qtde],supercb[Item],tab_higiene[[#This Row],[Item]],supercb[Bairro],mercado1)</f>
        <v>0</v>
      </c>
      <c r="AL74" s="27" t="n">
        <f aca="false">SUMIFS(super1[Qtde],super1[Item],tab_higiene[[#This Row],[Item]],super1[Bairro],mercado2)+SUMIFS(supercb[Qtde],supercb[Item],tab_higiene[[#This Row],[Item]],supercb[Bairro],mercado2)</f>
        <v>0</v>
      </c>
      <c r="AM74" s="27" t="n">
        <f aca="false">SUMIFS(super1[Qtde],super1[Item],tab_higiene[[#This Row],[Item]],super1[Bairro],mercado3)+SUMIFS(supercb[Qtde],supercb[Item],tab_higiene[[#This Row],[Item]],supercb[Bairro],mercado3)</f>
        <v>0</v>
      </c>
      <c r="AN74" s="27" t="n">
        <f aca="false">SUMIFS(super1[Qtde],super1[Item],tab_higiene[[#This Row],[Item]],super1[Bairro],mercado4)+SUMIFS(supercb[Qtde],supercb[Item],tab_higiene[[#This Row],[Item]],supercb[Bairro],mercado4)</f>
        <v>0</v>
      </c>
      <c r="AO74" s="27" t="n">
        <f aca="false">SUMIFS(super1[Qtde],super1[Item],tab_higiene[[#This Row],[Item]],super1[Bairro],mercado5)+SUMIFS(supercb[Qtde],supercb[Item],tab_higiene[[#This Row],[Item]],supercb[Bairro],mercado5)</f>
        <v>1</v>
      </c>
      <c r="AP74" s="27" t="n">
        <f aca="false">SUMIFS(super1[Qtde],super1[Item],tab_higiene[[#This Row],[Item]],super1[Bairro],mercado6)+SUMIFS(supercb[Qtde],supercb[Item],tab_higiene[[#This Row],[Item]],supercb[Bairro],mercado6)</f>
        <v>0</v>
      </c>
      <c r="AQ74" s="27" t="n">
        <f aca="false">SUMIFS(super1[Qtde],super1[Item],tab_higiene[[#This Row],[Item]],super1[Bairro],mercado7)+SUMIFS(supercb[Qtde],supercb[Item],tab_higiene[[#This Row],[Item]],supercb[Bairro],mercado7)</f>
        <v>0</v>
      </c>
      <c r="AR74" s="27" t="n">
        <f aca="false">SUMIFS(super1[Qtde],super1[Item],tab_higiene[[#This Row],[Item]],super1[Bairro],mercado8)+SUMIFS(supercb[Qtde],supercb[Item],tab_higiene[[#This Row],[Item]],supercb[Bairro],mercado8)</f>
        <v>6</v>
      </c>
      <c r="AS74" s="27" t="n">
        <f aca="false">SUMIFS(super1[Qtde],super1[Item],tab_higiene[[#This Row],[Item]],super1[Bairro],mercado9)+SUMIFS(supercb[Qtde],supercb[Item],tab_higiene[[#This Row],[Item]],supercb[Bairro],mercado9)</f>
        <v>0</v>
      </c>
      <c r="AT74" s="27" t="n">
        <f aca="false">SUMIFS(super1[Qtde],super1[Item],tab_higiene[[#This Row],[Item]],super1[Bairro],mercado10)+SUMIFS(supercb[Qtde],supercb[Item],tab_higiene[[#This Row],[Item]],supercb[Bairro],mercado10)</f>
        <v>0</v>
      </c>
      <c r="AU74" s="27" t="n">
        <f aca="false">SUMIFS(super1[Qtde],super1[Item],tab_higiene[[#This Row],[Item]],super1[Bairro],mercado11)+SUMIFS(supercb[Qtde],supercb[Item],tab_higiene[[#This Row],[Item]],supercb[Bairro],mercado11)</f>
        <v>0</v>
      </c>
      <c r="AV74" s="27" t="n">
        <f aca="false">SUMIFS(super1[Qtde],super1[Item],tab_higiene[[#This Row],[Item]],super1[Bairro],mercado12)+SUMIFS(supercb[Qtde],supercb[Item],tab_higiene[[#This Row],[Item]],supercb[Bairro],mercado12)</f>
        <v>0</v>
      </c>
      <c r="AW74" s="27" t="n">
        <f aca="false">SUMIFS(super1[Qtde],super1[Item],tab_higiene[[#This Row],[Item]],super1[Bairro],mercado13)+SUMIFS(supercb[Qtde],supercb[Item],tab_higiene[[#This Row],[Item]],supercb[Bairro],mercado13)</f>
        <v>0</v>
      </c>
      <c r="AX74" s="27" t="n">
        <f aca="false">SUMIFS(super1[Qtde],super1[Item],tab_higiene[[#This Row],[Item]],super1[Bairro],mercado14)+SUMIFS(supercb[Qtde],supercb[Item],tab_higiene[[#This Row],[Item]],supercb[Bairro],mercado14)</f>
        <v>0</v>
      </c>
      <c r="AY74" s="27" t="n">
        <f aca="false">SUMIFS(super1[Qtde],super1[Item],tab_higiene[[#This Row],[Item]],super1[Bairro],mercado15)+SUMIFS(supercb[Qtde],supercb[Item],tab_higiene[[#This Row],[Item]],supercb[Bairro],mercado15)</f>
        <v>0</v>
      </c>
      <c r="AZ74" s="27" t="n">
        <f aca="false">SUMIFS(super1[Qtde],super1[Item],tab_higiene[[#This Row],[Item]],super1[Bairro],mercado16)+SUMIFS(supercb[Qtde],supercb[Item],tab_higiene[[#This Row],[Item]],supercb[Bairro],mercado16)</f>
        <v>0</v>
      </c>
      <c r="BA74" s="27" t="n">
        <f aca="false">SUMIFS(super1[Qtde],super1[Item],tab_higiene[[#This Row],[Item]],super1[Bairro],mercado17)+SUMIFS(supercb[Qtde],supercb[Item],tab_higiene[[#This Row],[Item]],supercb[Bairro],mercado17)</f>
        <v>0</v>
      </c>
      <c r="BB74" s="27" t="n">
        <f aca="false">SUMIFS(super1[Qtde],super1[Item],tab_higiene[[#This Row],[Item]],super1[Bairro],mercado18)+SUMIFS(supercb[Qtde],supercb[Item],tab_higiene[[#This Row],[Item]],supercb[Bairro],mercado18)</f>
        <v>0</v>
      </c>
      <c r="BC74" s="27" t="n">
        <f aca="false">SUMIFS(super1[Qtde],super1[Item],tab_higiene[[#This Row],[Item]],super1[Bairro],extras)+SUMIFS(supercb[Qtde],supercb[Item],tab_higiene[[#This Row],[Item]],supercb[Bairro],extras)</f>
        <v>0</v>
      </c>
      <c r="BD74" s="27" t="n">
        <f aca="false">SUM(AK74:BB74)</f>
        <v>7</v>
      </c>
      <c r="BE74" s="27" t="n">
        <f aca="false">IFERROR(BD74*AJ74,0)</f>
        <v>9.688</v>
      </c>
      <c r="BF74" s="28" t="n">
        <f aca="false">IFERROR(AI74*BD74,0)</f>
        <v>2.92475665667459</v>
      </c>
      <c r="BI74" s="22" t="str">
        <f aca="false">tab_alimentos[[#This Row],[Item]]</f>
        <v>Caixa de Bombons</v>
      </c>
      <c r="BJ74" s="22" t="n">
        <f aca="false">IFERROR(FIND(" (",BI74),0)</f>
        <v>0</v>
      </c>
      <c r="BK74" s="22" t="str">
        <f aca="false">IF(BJ74=0,BI74,LEFT(BI74,BJ74-1))</f>
        <v>Caixa de Bombons</v>
      </c>
      <c r="BL74" s="22" t="n">
        <f aca="false">tab_alimentos[[#This Row],[kg]]</f>
        <v>0.3</v>
      </c>
      <c r="BM74" s="32" t="s">
        <v>335</v>
      </c>
      <c r="BN74" s="22" t="n">
        <f aca="false">SUMIF($BJ$5:$BJ$158,BM74,$BK$5:$BK$158)</f>
        <v>0</v>
      </c>
      <c r="BP74" s="22" t="str">
        <f aca="false">tab_higiene[[#This Row],[Item]]</f>
        <v>Esponja (1un)</v>
      </c>
      <c r="BQ74" s="22" t="n">
        <f aca="false">IFERROR(FIND(" (",BP74),0)</f>
        <v>8</v>
      </c>
      <c r="BR74" s="22" t="str">
        <f aca="false">IF(BQ74=0,BP74,LEFT(BP74,BQ74-1))</f>
        <v>Esponja</v>
      </c>
      <c r="BS74" s="22" t="n">
        <f aca="false">higiene[[#This Row],[Quantidade]]</f>
        <v>14</v>
      </c>
      <c r="BT74" s="22" t="n">
        <f aca="false">tab_higiene[Qtde (tot)]</f>
        <v>7</v>
      </c>
      <c r="BU74" s="22" t="n">
        <f aca="false">BS74*BT74</f>
        <v>98</v>
      </c>
      <c r="BW74" s="22" t="n">
        <f aca="false">SUMIF($BR$5:$BR$142,BV74,$BU$5:$BU$142)</f>
        <v>0</v>
      </c>
    </row>
    <row r="75" customFormat="false" ht="15" hidden="false" customHeight="false" outlineLevel="0" collapsed="false">
      <c r="I75" s="26" t="str">
        <f aca="false">alimentos[[#This Row],[Item]]</f>
        <v>Caldo Knor</v>
      </c>
      <c r="J75" s="27" t="n">
        <f aca="false">IFERROR(alimentos[[#This Row],[kg/embalagem]],0)</f>
        <v>1</v>
      </c>
      <c r="K75" s="27" t="n">
        <f aca="false">IFERROR(alimentos[[#This Row],[Preço]],0)</f>
        <v>1.236</v>
      </c>
      <c r="L75" s="27" t="n">
        <f aca="false">SUMIFS(super1[Qtde],super1[Item],tab_alimentos[[#This Row],[Item]],super1[Bairro],mercado1)+SUMIFS(supercb[Qtde],supercb[Item],tab_alimentos[[#This Row],[Item]],supercb[Bairro],mercado1)</f>
        <v>0</v>
      </c>
      <c r="M75" s="27" t="n">
        <f aca="false">SUMIFS(super1[Qtde],super1[Item],tab_alimentos[[#This Row],[Item]],super1[Bairro],mercado2)+SUMIFS(supercb[Qtde],supercb[Item],tab_alimentos[[#This Row],[Item]],supercb[Bairro],mercado2)</f>
        <v>0</v>
      </c>
      <c r="N75" s="27" t="n">
        <f aca="false">SUMIFS(super1[Qtde],super1[Item],tab_alimentos[[#This Row],[Item]],super1[Bairro],mercado3)+SUMIFS(supercb[Qtde],supercb[Item],tab_alimentos[[#This Row],[Item]],supercb[Bairro],mercado3)</f>
        <v>0</v>
      </c>
      <c r="O75" s="27" t="n">
        <f aca="false">SUMIFS(super1[Qtde],super1[Item],tab_alimentos[[#This Row],[Item]],super1[Bairro],mercado4)+SUMIFS(supercb[Qtde],supercb[Item],tab_alimentos[[#This Row],[Item]],supercb[Bairro],mercado4)</f>
        <v>0</v>
      </c>
      <c r="P75" s="27" t="n">
        <f aca="false">SUMIFS(super1[Qtde],super1[Item],tab_alimentos[[#This Row],[Item]],super1[Bairro],mercado5)+SUMIFS(supercb[Qtde],supercb[Item],tab_alimentos[[#This Row],[Item]],supercb[Bairro],mercado5)</f>
        <v>0</v>
      </c>
      <c r="Q75" s="27" t="n">
        <f aca="false">SUMIFS(super1[Qtde],super1[Item],tab_alimentos[[#This Row],[Item]],super1[Bairro],mercado6)+SUMIFS(supercb[Qtde],supercb[Item],tab_alimentos[[#This Row],[Item]],supercb[Bairro],mercado6)</f>
        <v>0</v>
      </c>
      <c r="R75" s="27" t="n">
        <f aca="false">SUMIFS(super1[Qtde],super1[Item],tab_alimentos[[#This Row],[Item]],super1[Bairro],mercado7)+SUMIFS(supercb[Qtde],supercb[Item],tab_alimentos[[#This Row],[Item]],supercb[Bairro],mercado7)</f>
        <v>0</v>
      </c>
      <c r="S75" s="27" t="n">
        <f aca="false">SUMIFS(super1[Qtde],super1[Item],tab_alimentos[[#This Row],[Item]],super1[Bairro],mercado8)+SUMIFS(supercb[Qtde],supercb[Item],tab_alimentos[[#This Row],[Item]],supercb[Bairro],mercado8)</f>
        <v>0</v>
      </c>
      <c r="T75" s="27" t="n">
        <f aca="false">SUMIFS(super1[Qtde],super1[Item],tab_alimentos[[#This Row],[Item]],super1[Bairro],mercado9)+SUMIFS(supercb[Qtde],supercb[Item],tab_alimentos[[#This Row],[Item]],supercb[Bairro],mercado9)</f>
        <v>0</v>
      </c>
      <c r="U75" s="27" t="n">
        <f aca="false">SUMIFS(super1[Qtde],super1[Item],tab_alimentos[[#This Row],[Item]],super1[Bairro],mercado10)+SUMIFS(supercb[Qtde],supercb[Item],tab_alimentos[[#This Row],[Item]],supercb[Bairro],mercado10)</f>
        <v>0</v>
      </c>
      <c r="V75" s="27" t="n">
        <f aca="false">SUMIFS(super1[Qtde],super1[Item],tab_alimentos[[#This Row],[Item]],super1[Bairro],mercado11)+SUMIFS(supercb[Qtde],supercb[Item],tab_alimentos[[#This Row],[Item]],supercb[Bairro],mercado11)</f>
        <v>0</v>
      </c>
      <c r="W75" s="27" t="n">
        <f aca="false">SUMIFS(super1[Qtde],super1[Item],tab_alimentos[[#This Row],[Item]],super1[Bairro],mercado12)+SUMIFS(supercb[Qtde],supercb[Item],tab_alimentos[[#This Row],[Item]],supercb[Bairro],mercado12)</f>
        <v>0</v>
      </c>
      <c r="X75" s="27" t="n">
        <f aca="false">SUMIFS(super1[Qtde],super1[Item],tab_alimentos[[#This Row],[Item]],super1[Bairro],mercado13)+SUMIFS(supercb[Qtde],supercb[Item],tab_alimentos[[#This Row],[Item]],supercb[Bairro],mercado13)</f>
        <v>0</v>
      </c>
      <c r="Y75" s="27" t="n">
        <f aca="false">SUMIFS(super1[Qtde],super1[Item],tab_alimentos[[#This Row],[Item]],super1[Bairro],mercado14)+SUMIFS(supercb[Qtde],supercb[Item],tab_alimentos[[#This Row],[Item]],supercb[Bairro],mercado14)</f>
        <v>0</v>
      </c>
      <c r="Z75" s="27" t="n">
        <f aca="false">SUMIFS(super1[Qtde],super1[Item],tab_alimentos[[#This Row],[Item]],super1[Bairro],mercado15)+SUMIFS(supercb[Qtde],supercb[Item],tab_alimentos[[#This Row],[Item]],supercb[Bairro],mercado15)</f>
        <v>0</v>
      </c>
      <c r="AA75" s="27" t="n">
        <f aca="false">SUMIFS(super1[Qtde],super1[Item],tab_alimentos[[#This Row],[Item]],super1[Bairro],mercado16)+SUMIFS(supercb[Qtde],supercb[Item],tab_alimentos[[#This Row],[Item]],supercb[Bairro],mercado16)</f>
        <v>0</v>
      </c>
      <c r="AB75" s="27" t="n">
        <f aca="false">SUMIFS(super1[Qtde],super1[Item],tab_alimentos[[#This Row],[Item]],super1[Bairro],mercado17)+SUMIFS(supercb[Qtde],supercb[Item],tab_alimentos[[#This Row],[Item]],supercb[Bairro],mercado17)</f>
        <v>0</v>
      </c>
      <c r="AC75" s="27" t="n">
        <f aca="false">SUMIFS(super1[Qtde],super1[Item],tab_alimentos[[#This Row],[Item]],super1[Bairro],mercado18)+SUMIFS(supercb[Qtde],supercb[Item],tab_alimentos[[#This Row],[Item]],supercb[Bairro],mercado18)</f>
        <v>0</v>
      </c>
      <c r="AD75" s="27" t="n">
        <f aca="false">SUMIFS(super1[Qtde],super1[Item],tab_alimentos[[#This Row],[Item]],super1[Bairro],extras)+SUMIFS(supercb[Qtde],supercb[Item],tab_alimentos[[#This Row],[Item]],supercb[Bairro],extras)</f>
        <v>0</v>
      </c>
      <c r="AE75" s="27" t="n">
        <f aca="false">SUM(L75:AC75)</f>
        <v>0</v>
      </c>
      <c r="AF75" s="27" t="n">
        <f aca="false">IFERROR(AE75*K75,0)</f>
        <v>0</v>
      </c>
      <c r="AG75" s="28" t="n">
        <f aca="false">IFERROR(J75*AE75,0)</f>
        <v>0</v>
      </c>
      <c r="AH75" s="26" t="str">
        <f aca="false">higiene[[#This Row],[Item]]</f>
        <v>Esponja (3un)</v>
      </c>
      <c r="AI75" s="27" t="n">
        <f aca="false">IFERROR(higiene[[#This Row],[Kg equivalente]],0)</f>
        <v>1.01678162878613</v>
      </c>
      <c r="AJ75" s="27" t="n">
        <f aca="false">IFERROR(higiene[[#This Row],[Preço por produto]],0)</f>
        <v>3.368</v>
      </c>
      <c r="AK75" s="27" t="n">
        <f aca="false">SUMIFS(super1[Qtde],super1[Item],tab_higiene[[#This Row],[Item]],super1[Bairro],mercado1)+SUMIFS(supercb[Qtde],supercb[Item],tab_higiene[[#This Row],[Item]],supercb[Bairro],mercado1)</f>
        <v>0</v>
      </c>
      <c r="AL75" s="27" t="n">
        <f aca="false">SUMIFS(super1[Qtde],super1[Item],tab_higiene[[#This Row],[Item]],super1[Bairro],mercado2)+SUMIFS(supercb[Qtde],supercb[Item],tab_higiene[[#This Row],[Item]],supercb[Bairro],mercado2)</f>
        <v>0</v>
      </c>
      <c r="AM75" s="27" t="n">
        <f aca="false">SUMIFS(super1[Qtde],super1[Item],tab_higiene[[#This Row],[Item]],super1[Bairro],mercado3)+SUMIFS(supercb[Qtde],supercb[Item],tab_higiene[[#This Row],[Item]],supercb[Bairro],mercado3)</f>
        <v>0</v>
      </c>
      <c r="AN75" s="27" t="n">
        <f aca="false">SUMIFS(super1[Qtde],super1[Item],tab_higiene[[#This Row],[Item]],super1[Bairro],mercado4)+SUMIFS(supercb[Qtde],supercb[Item],tab_higiene[[#This Row],[Item]],supercb[Bairro],mercado4)</f>
        <v>0</v>
      </c>
      <c r="AO75" s="27" t="n">
        <f aca="false">SUMIFS(super1[Qtde],super1[Item],tab_higiene[[#This Row],[Item]],super1[Bairro],mercado5)+SUMIFS(supercb[Qtde],supercb[Item],tab_higiene[[#This Row],[Item]],supercb[Bairro],mercado5)</f>
        <v>0</v>
      </c>
      <c r="AP75" s="27" t="n">
        <f aca="false">SUMIFS(super1[Qtde],super1[Item],tab_higiene[[#This Row],[Item]],super1[Bairro],mercado6)+SUMIFS(supercb[Qtde],supercb[Item],tab_higiene[[#This Row],[Item]],supercb[Bairro],mercado6)</f>
        <v>2</v>
      </c>
      <c r="AQ75" s="27" t="n">
        <f aca="false">SUMIFS(super1[Qtde],super1[Item],tab_higiene[[#This Row],[Item]],super1[Bairro],mercado7)+SUMIFS(supercb[Qtde],supercb[Item],tab_higiene[[#This Row],[Item]],supercb[Bairro],mercado7)</f>
        <v>0</v>
      </c>
      <c r="AR75" s="27" t="n">
        <f aca="false">SUMIFS(super1[Qtde],super1[Item],tab_higiene[[#This Row],[Item]],super1[Bairro],mercado8)+SUMIFS(supercb[Qtde],supercb[Item],tab_higiene[[#This Row],[Item]],supercb[Bairro],mercado8)</f>
        <v>0</v>
      </c>
      <c r="AS75" s="27" t="n">
        <f aca="false">SUMIFS(super1[Qtde],super1[Item],tab_higiene[[#This Row],[Item]],super1[Bairro],mercado9)+SUMIFS(supercb[Qtde],supercb[Item],tab_higiene[[#This Row],[Item]],supercb[Bairro],mercado9)</f>
        <v>1</v>
      </c>
      <c r="AT75" s="27" t="n">
        <f aca="false">SUMIFS(super1[Qtde],super1[Item],tab_higiene[[#This Row],[Item]],super1[Bairro],mercado10)+SUMIFS(supercb[Qtde],supercb[Item],tab_higiene[[#This Row],[Item]],supercb[Bairro],mercado10)</f>
        <v>0</v>
      </c>
      <c r="AU75" s="27" t="n">
        <f aca="false">SUMIFS(super1[Qtde],super1[Item],tab_higiene[[#This Row],[Item]],super1[Bairro],mercado11)+SUMIFS(supercb[Qtde],supercb[Item],tab_higiene[[#This Row],[Item]],supercb[Bairro],mercado11)</f>
        <v>2</v>
      </c>
      <c r="AV75" s="27" t="n">
        <f aca="false">SUMIFS(super1[Qtde],super1[Item],tab_higiene[[#This Row],[Item]],super1[Bairro],mercado12)+SUMIFS(supercb[Qtde],supercb[Item],tab_higiene[[#This Row],[Item]],supercb[Bairro],mercado12)</f>
        <v>0</v>
      </c>
      <c r="AW75" s="27" t="n">
        <f aca="false">SUMIFS(super1[Qtde],super1[Item],tab_higiene[[#This Row],[Item]],super1[Bairro],mercado13)+SUMIFS(supercb[Qtde],supercb[Item],tab_higiene[[#This Row],[Item]],supercb[Bairro],mercado13)</f>
        <v>0</v>
      </c>
      <c r="AX75" s="27" t="n">
        <f aca="false">SUMIFS(super1[Qtde],super1[Item],tab_higiene[[#This Row],[Item]],super1[Bairro],mercado14)+SUMIFS(supercb[Qtde],supercb[Item],tab_higiene[[#This Row],[Item]],supercb[Bairro],mercado14)</f>
        <v>0</v>
      </c>
      <c r="AY75" s="27" t="n">
        <f aca="false">SUMIFS(super1[Qtde],super1[Item],tab_higiene[[#This Row],[Item]],super1[Bairro],mercado15)+SUMIFS(supercb[Qtde],supercb[Item],tab_higiene[[#This Row],[Item]],supercb[Bairro],mercado15)</f>
        <v>0</v>
      </c>
      <c r="AZ75" s="27" t="n">
        <f aca="false">SUMIFS(super1[Qtde],super1[Item],tab_higiene[[#This Row],[Item]],super1[Bairro],mercado16)+SUMIFS(supercb[Qtde],supercb[Item],tab_higiene[[#This Row],[Item]],supercb[Bairro],mercado16)</f>
        <v>0</v>
      </c>
      <c r="BA75" s="27" t="n">
        <f aca="false">SUMIFS(super1[Qtde],super1[Item],tab_higiene[[#This Row],[Item]],super1[Bairro],mercado17)+SUMIFS(supercb[Qtde],supercb[Item],tab_higiene[[#This Row],[Item]],supercb[Bairro],mercado17)</f>
        <v>0</v>
      </c>
      <c r="BB75" s="27" t="n">
        <f aca="false">SUMIFS(super1[Qtde],super1[Item],tab_higiene[[#This Row],[Item]],super1[Bairro],mercado18)+SUMIFS(supercb[Qtde],supercb[Item],tab_higiene[[#This Row],[Item]],supercb[Bairro],mercado18)</f>
        <v>0</v>
      </c>
      <c r="BC75" s="27" t="n">
        <f aca="false">SUMIFS(super1[Qtde],super1[Item],tab_higiene[[#This Row],[Item]],super1[Bairro],extras)+SUMIFS(supercb[Qtde],supercb[Item],tab_higiene[[#This Row],[Item]],supercb[Bairro],extras)</f>
        <v>0</v>
      </c>
      <c r="BD75" s="27" t="n">
        <f aca="false">SUM(AK75:BB75)</f>
        <v>5</v>
      </c>
      <c r="BE75" s="27" t="n">
        <f aca="false">IFERROR(BD75*AJ75,0)</f>
        <v>16.84</v>
      </c>
      <c r="BF75" s="28" t="n">
        <f aca="false">IFERROR(AI75*BD75,0)</f>
        <v>5.08390814393065</v>
      </c>
      <c r="BI75" s="22" t="str">
        <f aca="false">tab_alimentos[[#This Row],[Item]]</f>
        <v>Caldo Knor</v>
      </c>
      <c r="BJ75" s="22" t="n">
        <f aca="false">IFERROR(FIND(" (",BI75),0)</f>
        <v>0</v>
      </c>
      <c r="BK75" s="22" t="str">
        <f aca="false">IF(BJ75=0,BI75,LEFT(BI75,BJ75-1))</f>
        <v>Caldo Knor</v>
      </c>
      <c r="BL75" s="22" t="n">
        <f aca="false">tab_alimentos[[#This Row],[kg]]</f>
        <v>0</v>
      </c>
      <c r="BM75" s="32" t="s">
        <v>365</v>
      </c>
      <c r="BN75" s="22" t="n">
        <f aca="false">SUMIF($BJ$5:$BJ$158,BM75,$BK$5:$BK$158)</f>
        <v>0</v>
      </c>
      <c r="BP75" s="22" t="str">
        <f aca="false">tab_higiene[[#This Row],[Item]]</f>
        <v>Esponja (3un)</v>
      </c>
      <c r="BQ75" s="22" t="n">
        <f aca="false">IFERROR(FIND(" (",BP75),0)</f>
        <v>8</v>
      </c>
      <c r="BR75" s="22" t="str">
        <f aca="false">IF(BQ75=0,BP75,LEFT(BP75,BQ75-1))</f>
        <v>Esponja</v>
      </c>
      <c r="BS75" s="22" t="n">
        <f aca="false">higiene[[#This Row],[Quantidade]]</f>
        <v>16</v>
      </c>
      <c r="BT75" s="22" t="n">
        <f aca="false">tab_higiene[Qtde (tot)]</f>
        <v>5</v>
      </c>
      <c r="BU75" s="22" t="n">
        <f aca="false">BS75*BT75</f>
        <v>80</v>
      </c>
      <c r="BW75" s="22" t="n">
        <f aca="false">SUMIF($BR$5:$BR$142,BV75,$BU$5:$BU$142)</f>
        <v>0</v>
      </c>
    </row>
    <row r="76" customFormat="false" ht="15" hidden="false" customHeight="false" outlineLevel="0" collapsed="false">
      <c r="I76" s="26" t="str">
        <f aca="false">alimentos[[#This Row],[Item]]</f>
        <v>Canjica (500g)</v>
      </c>
      <c r="J76" s="27" t="n">
        <f aca="false">IFERROR(alimentos[[#This Row],[kg/embalagem]],0)</f>
        <v>0.5</v>
      </c>
      <c r="K76" s="27" t="n">
        <f aca="false">IFERROR(alimentos[[#This Row],[Preço]],0)</f>
        <v>3.07333333333333</v>
      </c>
      <c r="L76" s="27" t="n">
        <f aca="false">SUMIFS(super1[Qtde],super1[Item],tab_alimentos[[#This Row],[Item]],super1[Bairro],mercado1)+SUMIFS(supercb[Qtde],supercb[Item],tab_alimentos[[#This Row],[Item]],supercb[Bairro],mercado1)</f>
        <v>0</v>
      </c>
      <c r="M76" s="27" t="n">
        <f aca="false">SUMIFS(super1[Qtde],super1[Item],tab_alimentos[[#This Row],[Item]],super1[Bairro],mercado2)+SUMIFS(supercb[Qtde],supercb[Item],tab_alimentos[[#This Row],[Item]],supercb[Bairro],mercado2)</f>
        <v>0</v>
      </c>
      <c r="N76" s="27" t="n">
        <f aca="false">SUMIFS(super1[Qtde],super1[Item],tab_alimentos[[#This Row],[Item]],super1[Bairro],mercado3)+SUMIFS(supercb[Qtde],supercb[Item],tab_alimentos[[#This Row],[Item]],supercb[Bairro],mercado3)</f>
        <v>0</v>
      </c>
      <c r="O76" s="27" t="n">
        <f aca="false">SUMIFS(super1[Qtde],super1[Item],tab_alimentos[[#This Row],[Item]],super1[Bairro],mercado4)+SUMIFS(supercb[Qtde],supercb[Item],tab_alimentos[[#This Row],[Item]],supercb[Bairro],mercado4)</f>
        <v>0</v>
      </c>
      <c r="P76" s="27" t="n">
        <f aca="false">SUMIFS(super1[Qtde],super1[Item],tab_alimentos[[#This Row],[Item]],super1[Bairro],mercado5)+SUMIFS(supercb[Qtde],supercb[Item],tab_alimentos[[#This Row],[Item]],supercb[Bairro],mercado5)</f>
        <v>0</v>
      </c>
      <c r="Q76" s="27" t="n">
        <f aca="false">SUMIFS(super1[Qtde],super1[Item],tab_alimentos[[#This Row],[Item]],super1[Bairro],mercado6)+SUMIFS(supercb[Qtde],supercb[Item],tab_alimentos[[#This Row],[Item]],supercb[Bairro],mercado6)</f>
        <v>0</v>
      </c>
      <c r="R76" s="27" t="n">
        <f aca="false">SUMIFS(super1[Qtde],super1[Item],tab_alimentos[[#This Row],[Item]],super1[Bairro],mercado7)+SUMIFS(supercb[Qtde],supercb[Item],tab_alimentos[[#This Row],[Item]],supercb[Bairro],mercado7)</f>
        <v>0</v>
      </c>
      <c r="S76" s="27" t="n">
        <f aca="false">SUMIFS(super1[Qtde],super1[Item],tab_alimentos[[#This Row],[Item]],super1[Bairro],mercado8)+SUMIFS(supercb[Qtde],supercb[Item],tab_alimentos[[#This Row],[Item]],supercb[Bairro],mercado8)</f>
        <v>0</v>
      </c>
      <c r="T76" s="27" t="n">
        <f aca="false">SUMIFS(super1[Qtde],super1[Item],tab_alimentos[[#This Row],[Item]],super1[Bairro],mercado9)+SUMIFS(supercb[Qtde],supercb[Item],tab_alimentos[[#This Row],[Item]],supercb[Bairro],mercado9)</f>
        <v>0</v>
      </c>
      <c r="U76" s="27" t="n">
        <f aca="false">SUMIFS(super1[Qtde],super1[Item],tab_alimentos[[#This Row],[Item]],super1[Bairro],mercado10)+SUMIFS(supercb[Qtde],supercb[Item],tab_alimentos[[#This Row],[Item]],supercb[Bairro],mercado10)</f>
        <v>0</v>
      </c>
      <c r="V76" s="27" t="n">
        <f aca="false">SUMIFS(super1[Qtde],super1[Item],tab_alimentos[[#This Row],[Item]],super1[Bairro],mercado11)+SUMIFS(supercb[Qtde],supercb[Item],tab_alimentos[[#This Row],[Item]],supercb[Bairro],mercado11)</f>
        <v>0</v>
      </c>
      <c r="W76" s="27" t="n">
        <f aca="false">SUMIFS(super1[Qtde],super1[Item],tab_alimentos[[#This Row],[Item]],super1[Bairro],mercado12)+SUMIFS(supercb[Qtde],supercb[Item],tab_alimentos[[#This Row],[Item]],supercb[Bairro],mercado12)</f>
        <v>0</v>
      </c>
      <c r="X76" s="27" t="n">
        <f aca="false">SUMIFS(super1[Qtde],super1[Item],tab_alimentos[[#This Row],[Item]],super1[Bairro],mercado13)+SUMIFS(supercb[Qtde],supercb[Item],tab_alimentos[[#This Row],[Item]],supercb[Bairro],mercado13)</f>
        <v>0</v>
      </c>
      <c r="Y76" s="27" t="n">
        <f aca="false">SUMIFS(super1[Qtde],super1[Item],tab_alimentos[[#This Row],[Item]],super1[Bairro],mercado14)+SUMIFS(supercb[Qtde],supercb[Item],tab_alimentos[[#This Row],[Item]],supercb[Bairro],mercado14)</f>
        <v>0</v>
      </c>
      <c r="Z76" s="27" t="n">
        <f aca="false">SUMIFS(super1[Qtde],super1[Item],tab_alimentos[[#This Row],[Item]],super1[Bairro],mercado15)+SUMIFS(supercb[Qtde],supercb[Item],tab_alimentos[[#This Row],[Item]],supercb[Bairro],mercado15)</f>
        <v>0</v>
      </c>
      <c r="AA76" s="27" t="n">
        <f aca="false">SUMIFS(super1[Qtde],super1[Item],tab_alimentos[[#This Row],[Item]],super1[Bairro],mercado16)+SUMIFS(supercb[Qtde],supercb[Item],tab_alimentos[[#This Row],[Item]],supercb[Bairro],mercado16)</f>
        <v>0</v>
      </c>
      <c r="AB76" s="27" t="n">
        <f aca="false">SUMIFS(super1[Qtde],super1[Item],tab_alimentos[[#This Row],[Item]],super1[Bairro],mercado17)+SUMIFS(supercb[Qtde],supercb[Item],tab_alimentos[[#This Row],[Item]],supercb[Bairro],mercado17)</f>
        <v>0</v>
      </c>
      <c r="AC76" s="27" t="n">
        <f aca="false">SUMIFS(super1[Qtde],super1[Item],tab_alimentos[[#This Row],[Item]],super1[Bairro],mercado18)+SUMIFS(supercb[Qtde],supercb[Item],tab_alimentos[[#This Row],[Item]],supercb[Bairro],mercado18)</f>
        <v>0</v>
      </c>
      <c r="AD76" s="27" t="n">
        <f aca="false">SUMIFS(super1[Qtde],super1[Item],tab_alimentos[[#This Row],[Item]],super1[Bairro],extras)+SUMIFS(supercb[Qtde],supercb[Item],tab_alimentos[[#This Row],[Item]],supercb[Bairro],extras)</f>
        <v>0</v>
      </c>
      <c r="AE76" s="27" t="n">
        <f aca="false">SUM(L76:AC76)</f>
        <v>0</v>
      </c>
      <c r="AF76" s="27" t="n">
        <f aca="false">IFERROR(AE76*K76,0)</f>
        <v>0</v>
      </c>
      <c r="AG76" s="28" t="n">
        <f aca="false">IFERROR(J76*AE76,0)</f>
        <v>0</v>
      </c>
      <c r="AH76" s="26" t="str">
        <f aca="false">higiene[[#This Row],[Item]]</f>
        <v>Esponja (4un)</v>
      </c>
      <c r="AI76" s="27" t="n">
        <f aca="false">IFERROR(higiene[[#This Row],[Kg equivalente]],0)</f>
        <v>0.882740345181308</v>
      </c>
      <c r="AJ76" s="27" t="n">
        <f aca="false">IFERROR(higiene[[#This Row],[Preço por produto]],0)</f>
        <v>2.924</v>
      </c>
      <c r="AK76" s="27" t="n">
        <f aca="false">SUMIFS(super1[Qtde],super1[Item],tab_higiene[[#This Row],[Item]],super1[Bairro],mercado1)+SUMIFS(supercb[Qtde],supercb[Item],tab_higiene[[#This Row],[Item]],supercb[Bairro],mercado1)</f>
        <v>0</v>
      </c>
      <c r="AL76" s="27" t="n">
        <f aca="false">SUMIFS(super1[Qtde],super1[Item],tab_higiene[[#This Row],[Item]],super1[Bairro],mercado2)+SUMIFS(supercb[Qtde],supercb[Item],tab_higiene[[#This Row],[Item]],supercb[Bairro],mercado2)</f>
        <v>1</v>
      </c>
      <c r="AM76" s="27" t="n">
        <f aca="false">SUMIFS(super1[Qtde],super1[Item],tab_higiene[[#This Row],[Item]],super1[Bairro],mercado3)+SUMIFS(supercb[Qtde],supercb[Item],tab_higiene[[#This Row],[Item]],supercb[Bairro],mercado3)</f>
        <v>0</v>
      </c>
      <c r="AN76" s="27" t="n">
        <f aca="false">SUMIFS(super1[Qtde],super1[Item],tab_higiene[[#This Row],[Item]],super1[Bairro],mercado4)+SUMIFS(supercb[Qtde],supercb[Item],tab_higiene[[#This Row],[Item]],supercb[Bairro],mercado4)</f>
        <v>0</v>
      </c>
      <c r="AO76" s="27" t="n">
        <f aca="false">SUMIFS(super1[Qtde],super1[Item],tab_higiene[[#This Row],[Item]],super1[Bairro],mercado5)+SUMIFS(supercb[Qtde],supercb[Item],tab_higiene[[#This Row],[Item]],supercb[Bairro],mercado5)</f>
        <v>1</v>
      </c>
      <c r="AP76" s="27" t="n">
        <f aca="false">SUMIFS(super1[Qtde],super1[Item],tab_higiene[[#This Row],[Item]],super1[Bairro],mercado6)+SUMIFS(supercb[Qtde],supercb[Item],tab_higiene[[#This Row],[Item]],supercb[Bairro],mercado6)</f>
        <v>4</v>
      </c>
      <c r="AQ76" s="27" t="n">
        <f aca="false">SUMIFS(super1[Qtde],super1[Item],tab_higiene[[#This Row],[Item]],super1[Bairro],mercado7)+SUMIFS(supercb[Qtde],supercb[Item],tab_higiene[[#This Row],[Item]],supercb[Bairro],mercado7)</f>
        <v>0</v>
      </c>
      <c r="AR76" s="27" t="n">
        <f aca="false">SUMIFS(super1[Qtde],super1[Item],tab_higiene[[#This Row],[Item]],super1[Bairro],mercado8)+SUMIFS(supercb[Qtde],supercb[Item],tab_higiene[[#This Row],[Item]],supercb[Bairro],mercado8)</f>
        <v>0</v>
      </c>
      <c r="AS76" s="27" t="n">
        <f aca="false">SUMIFS(super1[Qtde],super1[Item],tab_higiene[[#This Row],[Item]],super1[Bairro],mercado9)+SUMIFS(supercb[Qtde],supercb[Item],tab_higiene[[#This Row],[Item]],supercb[Bairro],mercado9)</f>
        <v>0</v>
      </c>
      <c r="AT76" s="27" t="n">
        <f aca="false">SUMIFS(super1[Qtde],super1[Item],tab_higiene[[#This Row],[Item]],super1[Bairro],mercado10)+SUMIFS(supercb[Qtde],supercb[Item],tab_higiene[[#This Row],[Item]],supercb[Bairro],mercado10)</f>
        <v>4</v>
      </c>
      <c r="AU76" s="27" t="n">
        <f aca="false">SUMIFS(super1[Qtde],super1[Item],tab_higiene[[#This Row],[Item]],super1[Bairro],mercado11)+SUMIFS(supercb[Qtde],supercb[Item],tab_higiene[[#This Row],[Item]],supercb[Bairro],mercado11)</f>
        <v>0</v>
      </c>
      <c r="AV76" s="27" t="n">
        <f aca="false">SUMIFS(super1[Qtde],super1[Item],tab_higiene[[#This Row],[Item]],super1[Bairro],mercado12)+SUMIFS(supercb[Qtde],supercb[Item],tab_higiene[[#This Row],[Item]],supercb[Bairro],mercado12)</f>
        <v>0</v>
      </c>
      <c r="AW76" s="27" t="n">
        <f aca="false">SUMIFS(super1[Qtde],super1[Item],tab_higiene[[#This Row],[Item]],super1[Bairro],mercado13)+SUMIFS(supercb[Qtde],supercb[Item],tab_higiene[[#This Row],[Item]],supercb[Bairro],mercado13)</f>
        <v>0</v>
      </c>
      <c r="AX76" s="27" t="n">
        <f aca="false">SUMIFS(super1[Qtde],super1[Item],tab_higiene[[#This Row],[Item]],super1[Bairro],mercado14)+SUMIFS(supercb[Qtde],supercb[Item],tab_higiene[[#This Row],[Item]],supercb[Bairro],mercado14)</f>
        <v>0</v>
      </c>
      <c r="AY76" s="27" t="n">
        <f aca="false">SUMIFS(super1[Qtde],super1[Item],tab_higiene[[#This Row],[Item]],super1[Bairro],mercado15)+SUMIFS(supercb[Qtde],supercb[Item],tab_higiene[[#This Row],[Item]],supercb[Bairro],mercado15)</f>
        <v>0</v>
      </c>
      <c r="AZ76" s="27" t="n">
        <f aca="false">SUMIFS(super1[Qtde],super1[Item],tab_higiene[[#This Row],[Item]],super1[Bairro],mercado16)+SUMIFS(supercb[Qtde],supercb[Item],tab_higiene[[#This Row],[Item]],supercb[Bairro],mercado16)</f>
        <v>0</v>
      </c>
      <c r="BA76" s="27" t="n">
        <f aca="false">SUMIFS(super1[Qtde],super1[Item],tab_higiene[[#This Row],[Item]],super1[Bairro],mercado17)+SUMIFS(supercb[Qtde],supercb[Item],tab_higiene[[#This Row],[Item]],supercb[Bairro],mercado17)</f>
        <v>0</v>
      </c>
      <c r="BB76" s="27" t="n">
        <f aca="false">SUMIFS(super1[Qtde],super1[Item],tab_higiene[[#This Row],[Item]],super1[Bairro],mercado18)+SUMIFS(supercb[Qtde],supercb[Item],tab_higiene[[#This Row],[Item]],supercb[Bairro],mercado18)</f>
        <v>0</v>
      </c>
      <c r="BC76" s="27" t="n">
        <f aca="false">SUMIFS(super1[Qtde],super1[Item],tab_higiene[[#This Row],[Item]],super1[Bairro],extras)+SUMIFS(supercb[Qtde],supercb[Item],tab_higiene[[#This Row],[Item]],supercb[Bairro],extras)</f>
        <v>0</v>
      </c>
      <c r="BD76" s="27" t="n">
        <f aca="false">SUM(AK76:BB76)</f>
        <v>10</v>
      </c>
      <c r="BE76" s="27" t="n">
        <f aca="false">IFERROR(BD76*AJ76,0)</f>
        <v>29.24</v>
      </c>
      <c r="BF76" s="28" t="n">
        <f aca="false">IFERROR(AI76*BD76,0)</f>
        <v>8.82740345181308</v>
      </c>
      <c r="BI76" s="22" t="str">
        <f aca="false">tab_alimentos[[#This Row],[Item]]</f>
        <v>Canjica (500g)</v>
      </c>
      <c r="BJ76" s="22" t="n">
        <f aca="false">IFERROR(FIND(" (",BI76),0)</f>
        <v>8</v>
      </c>
      <c r="BK76" s="22" t="str">
        <f aca="false">IF(BJ76=0,BI76,LEFT(BI76,BJ76-1))</f>
        <v>Canjica</v>
      </c>
      <c r="BL76" s="22" t="n">
        <f aca="false">tab_alimentos[[#This Row],[kg]]</f>
        <v>0</v>
      </c>
      <c r="BM76" s="32" t="s">
        <v>366</v>
      </c>
      <c r="BN76" s="22" t="n">
        <f aca="false">SUMIF($BJ$5:$BJ$158,BM76,$BK$5:$BK$158)</f>
        <v>0</v>
      </c>
      <c r="BP76" s="22" t="str">
        <f aca="false">tab_higiene[[#This Row],[Item]]</f>
        <v>Esponja (4un)</v>
      </c>
      <c r="BQ76" s="22" t="n">
        <f aca="false">IFERROR(FIND(" (",BP76),0)</f>
        <v>8</v>
      </c>
      <c r="BR76" s="22" t="str">
        <f aca="false">IF(BQ76=0,BP76,LEFT(BP76,BQ76-1))</f>
        <v>Esponja</v>
      </c>
      <c r="BS76" s="22" t="n">
        <f aca="false">higiene[[#This Row],[Quantidade]]</f>
        <v>18</v>
      </c>
      <c r="BT76" s="22" t="n">
        <f aca="false">tab_higiene[Qtde (tot)]</f>
        <v>10</v>
      </c>
      <c r="BU76" s="22" t="n">
        <f aca="false">BS76*BT76</f>
        <v>180</v>
      </c>
      <c r="BW76" s="22" t="n">
        <f aca="false">SUMIF($BR$5:$BR$142,BV76,$BU$5:$BU$142)</f>
        <v>0</v>
      </c>
    </row>
    <row r="77" customFormat="false" ht="15" hidden="false" customHeight="false" outlineLevel="0" collapsed="false">
      <c r="I77" s="26" t="str">
        <f aca="false">alimentos[[#This Row],[Item]]</f>
        <v>Cappuccino (200g)</v>
      </c>
      <c r="J77" s="27" t="n">
        <f aca="false">IFERROR(alimentos[[#This Row],[kg/embalagem]],0)</f>
        <v>0.2</v>
      </c>
      <c r="K77" s="27" t="n">
        <f aca="false">IFERROR(alimentos[[#This Row],[Preço]],0)</f>
        <v>8.14333333333333</v>
      </c>
      <c r="L77" s="27" t="n">
        <f aca="false">SUMIFS(super1[Qtde],super1[Item],tab_alimentos[[#This Row],[Item]],super1[Bairro],mercado1)+SUMIFS(supercb[Qtde],supercb[Item],tab_alimentos[[#This Row],[Item]],supercb[Bairro],mercado1)</f>
        <v>0</v>
      </c>
      <c r="M77" s="27" t="n">
        <f aca="false">SUMIFS(super1[Qtde],super1[Item],tab_alimentos[[#This Row],[Item]],super1[Bairro],mercado2)+SUMIFS(supercb[Qtde],supercb[Item],tab_alimentos[[#This Row],[Item]],supercb[Bairro],mercado2)</f>
        <v>0</v>
      </c>
      <c r="N77" s="27" t="n">
        <f aca="false">SUMIFS(super1[Qtde],super1[Item],tab_alimentos[[#This Row],[Item]],super1[Bairro],mercado3)+SUMIFS(supercb[Qtde],supercb[Item],tab_alimentos[[#This Row],[Item]],supercb[Bairro],mercado3)</f>
        <v>0</v>
      </c>
      <c r="O77" s="27" t="n">
        <f aca="false">SUMIFS(super1[Qtde],super1[Item],tab_alimentos[[#This Row],[Item]],super1[Bairro],mercado4)+SUMIFS(supercb[Qtde],supercb[Item],tab_alimentos[[#This Row],[Item]],supercb[Bairro],mercado4)</f>
        <v>0</v>
      </c>
      <c r="P77" s="27" t="n">
        <f aca="false">SUMIFS(super1[Qtde],super1[Item],tab_alimentos[[#This Row],[Item]],super1[Bairro],mercado5)+SUMIFS(supercb[Qtde],supercb[Item],tab_alimentos[[#This Row],[Item]],supercb[Bairro],mercado5)</f>
        <v>0</v>
      </c>
      <c r="Q77" s="27" t="n">
        <f aca="false">SUMIFS(super1[Qtde],super1[Item],tab_alimentos[[#This Row],[Item]],super1[Bairro],mercado6)+SUMIFS(supercb[Qtde],supercb[Item],tab_alimentos[[#This Row],[Item]],supercb[Bairro],mercado6)</f>
        <v>0</v>
      </c>
      <c r="R77" s="27" t="n">
        <f aca="false">SUMIFS(super1[Qtde],super1[Item],tab_alimentos[[#This Row],[Item]],super1[Bairro],mercado7)+SUMIFS(supercb[Qtde],supercb[Item],tab_alimentos[[#This Row],[Item]],supercb[Bairro],mercado7)</f>
        <v>0</v>
      </c>
      <c r="S77" s="27" t="n">
        <f aca="false">SUMIFS(super1[Qtde],super1[Item],tab_alimentos[[#This Row],[Item]],super1[Bairro],mercado8)+SUMIFS(supercb[Qtde],supercb[Item],tab_alimentos[[#This Row],[Item]],supercb[Bairro],mercado8)</f>
        <v>0</v>
      </c>
      <c r="T77" s="27" t="n">
        <f aca="false">SUMIFS(super1[Qtde],super1[Item],tab_alimentos[[#This Row],[Item]],super1[Bairro],mercado9)+SUMIFS(supercb[Qtde],supercb[Item],tab_alimentos[[#This Row],[Item]],supercb[Bairro],mercado9)</f>
        <v>0</v>
      </c>
      <c r="U77" s="27" t="n">
        <f aca="false">SUMIFS(super1[Qtde],super1[Item],tab_alimentos[[#This Row],[Item]],super1[Bairro],mercado10)+SUMIFS(supercb[Qtde],supercb[Item],tab_alimentos[[#This Row],[Item]],supercb[Bairro],mercado10)</f>
        <v>0</v>
      </c>
      <c r="V77" s="27" t="n">
        <f aca="false">SUMIFS(super1[Qtde],super1[Item],tab_alimentos[[#This Row],[Item]],super1[Bairro],mercado11)+SUMIFS(supercb[Qtde],supercb[Item],tab_alimentos[[#This Row],[Item]],supercb[Bairro],mercado11)</f>
        <v>0</v>
      </c>
      <c r="W77" s="27" t="n">
        <f aca="false">SUMIFS(super1[Qtde],super1[Item],tab_alimentos[[#This Row],[Item]],super1[Bairro],mercado12)+SUMIFS(supercb[Qtde],supercb[Item],tab_alimentos[[#This Row],[Item]],supercb[Bairro],mercado12)</f>
        <v>0</v>
      </c>
      <c r="X77" s="27" t="n">
        <f aca="false">SUMIFS(super1[Qtde],super1[Item],tab_alimentos[[#This Row],[Item]],super1[Bairro],mercado13)+SUMIFS(supercb[Qtde],supercb[Item],tab_alimentos[[#This Row],[Item]],supercb[Bairro],mercado13)</f>
        <v>0</v>
      </c>
      <c r="Y77" s="27" t="n">
        <f aca="false">SUMIFS(super1[Qtde],super1[Item],tab_alimentos[[#This Row],[Item]],super1[Bairro],mercado14)+SUMIFS(supercb[Qtde],supercb[Item],tab_alimentos[[#This Row],[Item]],supercb[Bairro],mercado14)</f>
        <v>0</v>
      </c>
      <c r="Z77" s="27" t="n">
        <f aca="false">SUMIFS(super1[Qtde],super1[Item],tab_alimentos[[#This Row],[Item]],super1[Bairro],mercado15)+SUMIFS(supercb[Qtde],supercb[Item],tab_alimentos[[#This Row],[Item]],supercb[Bairro],mercado15)</f>
        <v>0</v>
      </c>
      <c r="AA77" s="27" t="n">
        <f aca="false">SUMIFS(super1[Qtde],super1[Item],tab_alimentos[[#This Row],[Item]],super1[Bairro],mercado16)+SUMIFS(supercb[Qtde],supercb[Item],tab_alimentos[[#This Row],[Item]],supercb[Bairro],mercado16)</f>
        <v>0</v>
      </c>
      <c r="AB77" s="27" t="n">
        <f aca="false">SUMIFS(super1[Qtde],super1[Item],tab_alimentos[[#This Row],[Item]],super1[Bairro],mercado17)+SUMIFS(supercb[Qtde],supercb[Item],tab_alimentos[[#This Row],[Item]],supercb[Bairro],mercado17)</f>
        <v>0</v>
      </c>
      <c r="AC77" s="27" t="n">
        <f aca="false">SUMIFS(super1[Qtde],super1[Item],tab_alimentos[[#This Row],[Item]],super1[Bairro],mercado18)+SUMIFS(supercb[Qtde],supercb[Item],tab_alimentos[[#This Row],[Item]],supercb[Bairro],mercado18)</f>
        <v>0</v>
      </c>
      <c r="AD77" s="27" t="n">
        <f aca="false">SUMIFS(super1[Qtde],super1[Item],tab_alimentos[[#This Row],[Item]],super1[Bairro],extras)+SUMIFS(supercb[Qtde],supercb[Item],tab_alimentos[[#This Row],[Item]],supercb[Bairro],extras)</f>
        <v>0</v>
      </c>
      <c r="AE77" s="27" t="n">
        <f aca="false">SUM(L77:AC77)</f>
        <v>0</v>
      </c>
      <c r="AF77" s="27" t="n">
        <f aca="false">IFERROR(AE77*K77,0)</f>
        <v>0</v>
      </c>
      <c r="AG77" s="28" t="n">
        <f aca="false">IFERROR(J77*AE77,0)</f>
        <v>0</v>
      </c>
      <c r="AH77" s="26" t="str">
        <f aca="false">higiene[[#This Row],[Item]]</f>
        <v>Esponja de aço</v>
      </c>
      <c r="AI77" s="27" t="n">
        <f aca="false">IFERROR(higiene[[#This Row],[Kg equivalente]],0)</f>
        <v>0.449219436945891</v>
      </c>
      <c r="AJ77" s="27" t="n">
        <f aca="false">IFERROR(higiene[[#This Row],[Preço por produto]],0)</f>
        <v>1.488</v>
      </c>
      <c r="AK77" s="27" t="n">
        <f aca="false">SUMIFS(super1[Qtde],super1[Item],tab_higiene[[#This Row],[Item]],super1[Bairro],mercado1)+SUMIFS(supercb[Qtde],supercb[Item],tab_higiene[[#This Row],[Item]],supercb[Bairro],mercado1)</f>
        <v>0</v>
      </c>
      <c r="AL77" s="27" t="n">
        <f aca="false">SUMIFS(super1[Qtde],super1[Item],tab_higiene[[#This Row],[Item]],super1[Bairro],mercado2)+SUMIFS(supercb[Qtde],supercb[Item],tab_higiene[[#This Row],[Item]],supercb[Bairro],mercado2)</f>
        <v>0</v>
      </c>
      <c r="AM77" s="27" t="n">
        <f aca="false">SUMIFS(super1[Qtde],super1[Item],tab_higiene[[#This Row],[Item]],super1[Bairro],mercado3)+SUMIFS(supercb[Qtde],supercb[Item],tab_higiene[[#This Row],[Item]],supercb[Bairro],mercado3)</f>
        <v>0</v>
      </c>
      <c r="AN77" s="27" t="n">
        <f aca="false">SUMIFS(super1[Qtde],super1[Item],tab_higiene[[#This Row],[Item]],super1[Bairro],mercado4)+SUMIFS(supercb[Qtde],supercb[Item],tab_higiene[[#This Row],[Item]],supercb[Bairro],mercado4)</f>
        <v>0</v>
      </c>
      <c r="AO77" s="27" t="n">
        <f aca="false">SUMIFS(super1[Qtde],super1[Item],tab_higiene[[#This Row],[Item]],super1[Bairro],mercado5)+SUMIFS(supercb[Qtde],supercb[Item],tab_higiene[[#This Row],[Item]],supercb[Bairro],mercado5)</f>
        <v>0</v>
      </c>
      <c r="AP77" s="27" t="n">
        <f aca="false">SUMIFS(super1[Qtde],super1[Item],tab_higiene[[#This Row],[Item]],super1[Bairro],mercado6)+SUMIFS(supercb[Qtde],supercb[Item],tab_higiene[[#This Row],[Item]],supercb[Bairro],mercado6)</f>
        <v>0</v>
      </c>
      <c r="AQ77" s="27" t="n">
        <f aca="false">SUMIFS(super1[Qtde],super1[Item],tab_higiene[[#This Row],[Item]],super1[Bairro],mercado7)+SUMIFS(supercb[Qtde],supercb[Item],tab_higiene[[#This Row],[Item]],supercb[Bairro],mercado7)</f>
        <v>0</v>
      </c>
      <c r="AR77" s="27" t="n">
        <f aca="false">SUMIFS(super1[Qtde],super1[Item],tab_higiene[[#This Row],[Item]],super1[Bairro],mercado8)+SUMIFS(supercb[Qtde],supercb[Item],tab_higiene[[#This Row],[Item]],supercb[Bairro],mercado8)</f>
        <v>1</v>
      </c>
      <c r="AS77" s="27" t="n">
        <f aca="false">SUMIFS(super1[Qtde],super1[Item],tab_higiene[[#This Row],[Item]],super1[Bairro],mercado9)+SUMIFS(supercb[Qtde],supercb[Item],tab_higiene[[#This Row],[Item]],supercb[Bairro],mercado9)</f>
        <v>1</v>
      </c>
      <c r="AT77" s="27" t="n">
        <f aca="false">SUMIFS(super1[Qtde],super1[Item],tab_higiene[[#This Row],[Item]],super1[Bairro],mercado10)+SUMIFS(supercb[Qtde],supercb[Item],tab_higiene[[#This Row],[Item]],supercb[Bairro],mercado10)</f>
        <v>1</v>
      </c>
      <c r="AU77" s="27" t="n">
        <f aca="false">SUMIFS(super1[Qtde],super1[Item],tab_higiene[[#This Row],[Item]],super1[Bairro],mercado11)+SUMIFS(supercb[Qtde],supercb[Item],tab_higiene[[#This Row],[Item]],supercb[Bairro],mercado11)</f>
        <v>2</v>
      </c>
      <c r="AV77" s="27" t="n">
        <f aca="false">SUMIFS(super1[Qtde],super1[Item],tab_higiene[[#This Row],[Item]],super1[Bairro],mercado12)+SUMIFS(supercb[Qtde],supercb[Item],tab_higiene[[#This Row],[Item]],supercb[Bairro],mercado12)</f>
        <v>0</v>
      </c>
      <c r="AW77" s="27" t="n">
        <f aca="false">SUMIFS(super1[Qtde],super1[Item],tab_higiene[[#This Row],[Item]],super1[Bairro],mercado13)+SUMIFS(supercb[Qtde],supercb[Item],tab_higiene[[#This Row],[Item]],supercb[Bairro],mercado13)</f>
        <v>1</v>
      </c>
      <c r="AX77" s="27" t="n">
        <f aca="false">SUMIFS(super1[Qtde],super1[Item],tab_higiene[[#This Row],[Item]],super1[Bairro],mercado14)+SUMIFS(supercb[Qtde],supercb[Item],tab_higiene[[#This Row],[Item]],supercb[Bairro],mercado14)</f>
        <v>0</v>
      </c>
      <c r="AY77" s="27" t="n">
        <f aca="false">SUMIFS(super1[Qtde],super1[Item],tab_higiene[[#This Row],[Item]],super1[Bairro],mercado15)+SUMIFS(supercb[Qtde],supercb[Item],tab_higiene[[#This Row],[Item]],supercb[Bairro],mercado15)</f>
        <v>0</v>
      </c>
      <c r="AZ77" s="27" t="n">
        <f aca="false">SUMIFS(super1[Qtde],super1[Item],tab_higiene[[#This Row],[Item]],super1[Bairro],mercado16)+SUMIFS(supercb[Qtde],supercb[Item],tab_higiene[[#This Row],[Item]],supercb[Bairro],mercado16)</f>
        <v>0</v>
      </c>
      <c r="BA77" s="27" t="n">
        <f aca="false">SUMIFS(super1[Qtde],super1[Item],tab_higiene[[#This Row],[Item]],super1[Bairro],mercado17)+SUMIFS(supercb[Qtde],supercb[Item],tab_higiene[[#This Row],[Item]],supercb[Bairro],mercado17)</f>
        <v>0</v>
      </c>
      <c r="BB77" s="27" t="n">
        <f aca="false">SUMIFS(super1[Qtde],super1[Item],tab_higiene[[#This Row],[Item]],super1[Bairro],mercado18)+SUMIFS(supercb[Qtde],supercb[Item],tab_higiene[[#This Row],[Item]],supercb[Bairro],mercado18)</f>
        <v>0</v>
      </c>
      <c r="BC77" s="27" t="n">
        <f aca="false">SUMIFS(super1[Qtde],super1[Item],tab_higiene[[#This Row],[Item]],super1[Bairro],extras)+SUMIFS(supercb[Qtde],supercb[Item],tab_higiene[[#This Row],[Item]],supercb[Bairro],extras)</f>
        <v>0</v>
      </c>
      <c r="BD77" s="27" t="n">
        <f aca="false">SUM(AK77:BB77)</f>
        <v>6</v>
      </c>
      <c r="BE77" s="27" t="n">
        <f aca="false">IFERROR(BD77*AJ77,0)</f>
        <v>8.928</v>
      </c>
      <c r="BF77" s="28" t="n">
        <f aca="false">IFERROR(AI77*BD77,0)</f>
        <v>2.69531662167535</v>
      </c>
      <c r="BI77" s="22" t="str">
        <f aca="false">tab_alimentos[[#This Row],[Item]]</f>
        <v>Cappuccino (200g)</v>
      </c>
      <c r="BJ77" s="22" t="n">
        <f aca="false">IFERROR(FIND(" (",BI77),0)</f>
        <v>11</v>
      </c>
      <c r="BK77" s="22" t="str">
        <f aca="false">IF(BJ77=0,BI77,LEFT(BI77,BJ77-1))</f>
        <v>Cappuccino</v>
      </c>
      <c r="BL77" s="22" t="n">
        <f aca="false">tab_alimentos[[#This Row],[kg]]</f>
        <v>0</v>
      </c>
      <c r="BM77" s="32" t="s">
        <v>125</v>
      </c>
      <c r="BN77" s="22" t="n">
        <f aca="false">SUMIF($BJ$5:$BJ$158,BM77,$BK$5:$BK$158)</f>
        <v>0</v>
      </c>
      <c r="BP77" s="22" t="str">
        <f aca="false">tab_higiene[[#This Row],[Item]]</f>
        <v>Esponja de aço</v>
      </c>
      <c r="BQ77" s="22" t="n">
        <f aca="false">IFERROR(FIND(" (",BP77),0)</f>
        <v>0</v>
      </c>
      <c r="BR77" s="22" t="str">
        <f aca="false">IF(BQ77=0,BP77,LEFT(BP77,BQ77-1))</f>
        <v>Esponja de aço</v>
      </c>
      <c r="BS77" s="22" t="n">
        <f aca="false">higiene[[#This Row],[Quantidade]]</f>
        <v>20</v>
      </c>
      <c r="BT77" s="22" t="n">
        <f aca="false">tab_higiene[Qtde (tot)]</f>
        <v>6</v>
      </c>
      <c r="BU77" s="22" t="n">
        <f aca="false">BS77*BT77</f>
        <v>120</v>
      </c>
      <c r="BW77" s="22" t="n">
        <f aca="false">SUMIF($BR$5:$BR$142,BV77,$BU$5:$BU$142)</f>
        <v>0</v>
      </c>
    </row>
    <row r="78" customFormat="false" ht="15" hidden="false" customHeight="false" outlineLevel="0" collapsed="false">
      <c r="I78" s="26" t="str">
        <f aca="false">alimentos[[#This Row],[Item]]</f>
        <v>Cappuccino (20g)</v>
      </c>
      <c r="J78" s="27" t="n">
        <f aca="false">IFERROR(alimentos[[#This Row],[kg/embalagem]],0)</f>
        <v>0.02</v>
      </c>
      <c r="K78" s="27" t="n">
        <f aca="false">IFERROR(alimentos[[#This Row],[Preço]],0)</f>
        <v>1.69</v>
      </c>
      <c r="L78" s="27" t="n">
        <f aca="false">SUMIFS(super1[Qtde],super1[Item],tab_alimentos[[#This Row],[Item]],super1[Bairro],mercado1)+SUMIFS(supercb[Qtde],supercb[Item],tab_alimentos[[#This Row],[Item]],supercb[Bairro],mercado1)</f>
        <v>0</v>
      </c>
      <c r="M78" s="27" t="n">
        <f aca="false">SUMIFS(super1[Qtde],super1[Item],tab_alimentos[[#This Row],[Item]],super1[Bairro],mercado2)+SUMIFS(supercb[Qtde],supercb[Item],tab_alimentos[[#This Row],[Item]],supercb[Bairro],mercado2)</f>
        <v>0</v>
      </c>
      <c r="N78" s="27" t="n">
        <f aca="false">SUMIFS(super1[Qtde],super1[Item],tab_alimentos[[#This Row],[Item]],super1[Bairro],mercado3)+SUMIFS(supercb[Qtde],supercb[Item],tab_alimentos[[#This Row],[Item]],supercb[Bairro],mercado3)</f>
        <v>0</v>
      </c>
      <c r="O78" s="27" t="n">
        <f aca="false">SUMIFS(super1[Qtde],super1[Item],tab_alimentos[[#This Row],[Item]],super1[Bairro],mercado4)+SUMIFS(supercb[Qtde],supercb[Item],tab_alimentos[[#This Row],[Item]],supercb[Bairro],mercado4)</f>
        <v>0</v>
      </c>
      <c r="P78" s="27" t="n">
        <f aca="false">SUMIFS(super1[Qtde],super1[Item],tab_alimentos[[#This Row],[Item]],super1[Bairro],mercado5)+SUMIFS(supercb[Qtde],supercb[Item],tab_alimentos[[#This Row],[Item]],supercb[Bairro],mercado5)</f>
        <v>0</v>
      </c>
      <c r="Q78" s="27" t="n">
        <f aca="false">SUMIFS(super1[Qtde],super1[Item],tab_alimentos[[#This Row],[Item]],super1[Bairro],mercado6)+SUMIFS(supercb[Qtde],supercb[Item],tab_alimentos[[#This Row],[Item]],supercb[Bairro],mercado6)</f>
        <v>0</v>
      </c>
      <c r="R78" s="27" t="n">
        <f aca="false">SUMIFS(super1[Qtde],super1[Item],tab_alimentos[[#This Row],[Item]],super1[Bairro],mercado7)+SUMIFS(supercb[Qtde],supercb[Item],tab_alimentos[[#This Row],[Item]],supercb[Bairro],mercado7)</f>
        <v>0</v>
      </c>
      <c r="S78" s="27" t="n">
        <f aca="false">SUMIFS(super1[Qtde],super1[Item],tab_alimentos[[#This Row],[Item]],super1[Bairro],mercado8)+SUMIFS(supercb[Qtde],supercb[Item],tab_alimentos[[#This Row],[Item]],supercb[Bairro],mercado8)</f>
        <v>0</v>
      </c>
      <c r="T78" s="27" t="n">
        <f aca="false">SUMIFS(super1[Qtde],super1[Item],tab_alimentos[[#This Row],[Item]],super1[Bairro],mercado9)+SUMIFS(supercb[Qtde],supercb[Item],tab_alimentos[[#This Row],[Item]],supercb[Bairro],mercado9)</f>
        <v>0</v>
      </c>
      <c r="U78" s="27" t="n">
        <f aca="false">SUMIFS(super1[Qtde],super1[Item],tab_alimentos[[#This Row],[Item]],super1[Bairro],mercado10)+SUMIFS(supercb[Qtde],supercb[Item],tab_alimentos[[#This Row],[Item]],supercb[Bairro],mercado10)</f>
        <v>0</v>
      </c>
      <c r="V78" s="27" t="n">
        <f aca="false">SUMIFS(super1[Qtde],super1[Item],tab_alimentos[[#This Row],[Item]],super1[Bairro],mercado11)+SUMIFS(supercb[Qtde],supercb[Item],tab_alimentos[[#This Row],[Item]],supercb[Bairro],mercado11)</f>
        <v>0</v>
      </c>
      <c r="W78" s="27" t="n">
        <f aca="false">SUMIFS(super1[Qtde],super1[Item],tab_alimentos[[#This Row],[Item]],super1[Bairro],mercado12)+SUMIFS(supercb[Qtde],supercb[Item],tab_alimentos[[#This Row],[Item]],supercb[Bairro],mercado12)</f>
        <v>0</v>
      </c>
      <c r="X78" s="27" t="n">
        <f aca="false">SUMIFS(super1[Qtde],super1[Item],tab_alimentos[[#This Row],[Item]],super1[Bairro],mercado13)+SUMIFS(supercb[Qtde],supercb[Item],tab_alimentos[[#This Row],[Item]],supercb[Bairro],mercado13)</f>
        <v>0</v>
      </c>
      <c r="Y78" s="27" t="n">
        <f aca="false">SUMIFS(super1[Qtde],super1[Item],tab_alimentos[[#This Row],[Item]],super1[Bairro],mercado14)+SUMIFS(supercb[Qtde],supercb[Item],tab_alimentos[[#This Row],[Item]],supercb[Bairro],mercado14)</f>
        <v>0</v>
      </c>
      <c r="Z78" s="27" t="n">
        <f aca="false">SUMIFS(super1[Qtde],super1[Item],tab_alimentos[[#This Row],[Item]],super1[Bairro],mercado15)+SUMIFS(supercb[Qtde],supercb[Item],tab_alimentos[[#This Row],[Item]],supercb[Bairro],mercado15)</f>
        <v>0</v>
      </c>
      <c r="AA78" s="27" t="n">
        <f aca="false">SUMIFS(super1[Qtde],super1[Item],tab_alimentos[[#This Row],[Item]],super1[Bairro],mercado16)+SUMIFS(supercb[Qtde],supercb[Item],tab_alimentos[[#This Row],[Item]],supercb[Bairro],mercado16)</f>
        <v>0</v>
      </c>
      <c r="AB78" s="27" t="n">
        <f aca="false">SUMIFS(super1[Qtde],super1[Item],tab_alimentos[[#This Row],[Item]],super1[Bairro],mercado17)+SUMIFS(supercb[Qtde],supercb[Item],tab_alimentos[[#This Row],[Item]],supercb[Bairro],mercado17)</f>
        <v>0</v>
      </c>
      <c r="AC78" s="27" t="n">
        <f aca="false">SUMIFS(super1[Qtde],super1[Item],tab_alimentos[[#This Row],[Item]],super1[Bairro],mercado18)+SUMIFS(supercb[Qtde],supercb[Item],tab_alimentos[[#This Row],[Item]],supercb[Bairro],mercado18)</f>
        <v>0</v>
      </c>
      <c r="AD78" s="27" t="n">
        <f aca="false">SUMIFS(super1[Qtde],super1[Item],tab_alimentos[[#This Row],[Item]],super1[Bairro],extras)+SUMIFS(supercb[Qtde],supercb[Item],tab_alimentos[[#This Row],[Item]],supercb[Bairro],extras)</f>
        <v>0</v>
      </c>
      <c r="AE78" s="27" t="n">
        <f aca="false">SUM(L78:AC78)</f>
        <v>0</v>
      </c>
      <c r="AF78" s="27" t="n">
        <f aca="false">IFERROR(AE78*K78,0)</f>
        <v>0</v>
      </c>
      <c r="AG78" s="28" t="n">
        <f aca="false">IFERROR(J78*AE78,0)</f>
        <v>0</v>
      </c>
      <c r="AH78" s="26" t="str">
        <f aca="false">higiene[[#This Row],[Item]]</f>
        <v>F</v>
      </c>
      <c r="AI78" s="27" t="n">
        <f aca="false">IFERROR(higiene[[#This Row],[Kg equivalente]],0)</f>
        <v>0</v>
      </c>
      <c r="AJ78" s="27" t="n">
        <f aca="false">IFERROR(higiene[[#This Row],[Preço por produto]],0)</f>
        <v>0</v>
      </c>
      <c r="AK78" s="27" t="n">
        <f aca="false">SUMIFS(super1[Qtde],super1[Item],tab_higiene[[#This Row],[Item]],super1[Bairro],mercado1)+SUMIFS(supercb[Qtde],supercb[Item],tab_higiene[[#This Row],[Item]],supercb[Bairro],mercado1)</f>
        <v>0</v>
      </c>
      <c r="AL78" s="27" t="n">
        <f aca="false">SUMIFS(super1[Qtde],super1[Item],tab_higiene[[#This Row],[Item]],super1[Bairro],mercado2)+SUMIFS(supercb[Qtde],supercb[Item],tab_higiene[[#This Row],[Item]],supercb[Bairro],mercado2)</f>
        <v>0</v>
      </c>
      <c r="AM78" s="27" t="n">
        <f aca="false">SUMIFS(super1[Qtde],super1[Item],tab_higiene[[#This Row],[Item]],super1[Bairro],mercado3)+SUMIFS(supercb[Qtde],supercb[Item],tab_higiene[[#This Row],[Item]],supercb[Bairro],mercado3)</f>
        <v>0</v>
      </c>
      <c r="AN78" s="27" t="n">
        <f aca="false">SUMIFS(super1[Qtde],super1[Item],tab_higiene[[#This Row],[Item]],super1[Bairro],mercado4)+SUMIFS(supercb[Qtde],supercb[Item],tab_higiene[[#This Row],[Item]],supercb[Bairro],mercado4)</f>
        <v>0</v>
      </c>
      <c r="AO78" s="27" t="n">
        <f aca="false">SUMIFS(super1[Qtde],super1[Item],tab_higiene[[#This Row],[Item]],super1[Bairro],mercado5)+SUMIFS(supercb[Qtde],supercb[Item],tab_higiene[[#This Row],[Item]],supercb[Bairro],mercado5)</f>
        <v>0</v>
      </c>
      <c r="AP78" s="27" t="n">
        <f aca="false">SUMIFS(super1[Qtde],super1[Item],tab_higiene[[#This Row],[Item]],super1[Bairro],mercado6)+SUMIFS(supercb[Qtde],supercb[Item],tab_higiene[[#This Row],[Item]],supercb[Bairro],mercado6)</f>
        <v>0</v>
      </c>
      <c r="AQ78" s="27" t="n">
        <f aca="false">SUMIFS(super1[Qtde],super1[Item],tab_higiene[[#This Row],[Item]],super1[Bairro],mercado7)+SUMIFS(supercb[Qtde],supercb[Item],tab_higiene[[#This Row],[Item]],supercb[Bairro],mercado7)</f>
        <v>0</v>
      </c>
      <c r="AR78" s="27" t="n">
        <f aca="false">SUMIFS(super1[Qtde],super1[Item],tab_higiene[[#This Row],[Item]],super1[Bairro],mercado8)+SUMIFS(supercb[Qtde],supercb[Item],tab_higiene[[#This Row],[Item]],supercb[Bairro],mercado8)</f>
        <v>0</v>
      </c>
      <c r="AS78" s="27" t="n">
        <f aca="false">SUMIFS(super1[Qtde],super1[Item],tab_higiene[[#This Row],[Item]],super1[Bairro],mercado9)+SUMIFS(supercb[Qtde],supercb[Item],tab_higiene[[#This Row],[Item]],supercb[Bairro],mercado9)</f>
        <v>0</v>
      </c>
      <c r="AT78" s="27" t="n">
        <f aca="false">SUMIFS(super1[Qtde],super1[Item],tab_higiene[[#This Row],[Item]],super1[Bairro],mercado10)+SUMIFS(supercb[Qtde],supercb[Item],tab_higiene[[#This Row],[Item]],supercb[Bairro],mercado10)</f>
        <v>0</v>
      </c>
      <c r="AU78" s="27" t="n">
        <f aca="false">SUMIFS(super1[Qtde],super1[Item],tab_higiene[[#This Row],[Item]],super1[Bairro],mercado11)+SUMIFS(supercb[Qtde],supercb[Item],tab_higiene[[#This Row],[Item]],supercb[Bairro],mercado11)</f>
        <v>0</v>
      </c>
      <c r="AV78" s="27" t="n">
        <f aca="false">SUMIFS(super1[Qtde],super1[Item],tab_higiene[[#This Row],[Item]],super1[Bairro],mercado12)+SUMIFS(supercb[Qtde],supercb[Item],tab_higiene[[#This Row],[Item]],supercb[Bairro],mercado12)</f>
        <v>0</v>
      </c>
      <c r="AW78" s="27" t="n">
        <f aca="false">SUMIFS(super1[Qtde],super1[Item],tab_higiene[[#This Row],[Item]],super1[Bairro],mercado13)+SUMIFS(supercb[Qtde],supercb[Item],tab_higiene[[#This Row],[Item]],supercb[Bairro],mercado13)</f>
        <v>0</v>
      </c>
      <c r="AX78" s="27" t="n">
        <f aca="false">SUMIFS(super1[Qtde],super1[Item],tab_higiene[[#This Row],[Item]],super1[Bairro],mercado14)+SUMIFS(supercb[Qtde],supercb[Item],tab_higiene[[#This Row],[Item]],supercb[Bairro],mercado14)</f>
        <v>0</v>
      </c>
      <c r="AY78" s="27" t="n">
        <f aca="false">SUMIFS(super1[Qtde],super1[Item],tab_higiene[[#This Row],[Item]],super1[Bairro],mercado15)+SUMIFS(supercb[Qtde],supercb[Item],tab_higiene[[#This Row],[Item]],supercb[Bairro],mercado15)</f>
        <v>0</v>
      </c>
      <c r="AZ78" s="27" t="n">
        <f aca="false">SUMIFS(super1[Qtde],super1[Item],tab_higiene[[#This Row],[Item]],super1[Bairro],mercado16)+SUMIFS(supercb[Qtde],supercb[Item],tab_higiene[[#This Row],[Item]],supercb[Bairro],mercado16)</f>
        <v>0</v>
      </c>
      <c r="BA78" s="27" t="n">
        <f aca="false">SUMIFS(super1[Qtde],super1[Item],tab_higiene[[#This Row],[Item]],super1[Bairro],mercado17)+SUMIFS(supercb[Qtde],supercb[Item],tab_higiene[[#This Row],[Item]],supercb[Bairro],mercado17)</f>
        <v>0</v>
      </c>
      <c r="BB78" s="27" t="n">
        <f aca="false">SUMIFS(super1[Qtde],super1[Item],tab_higiene[[#This Row],[Item]],super1[Bairro],mercado18)+SUMIFS(supercb[Qtde],supercb[Item],tab_higiene[[#This Row],[Item]],supercb[Bairro],mercado18)</f>
        <v>0</v>
      </c>
      <c r="BC78" s="27" t="n">
        <f aca="false">SUMIFS(super1[Qtde],super1[Item],tab_higiene[[#This Row],[Item]],super1[Bairro],extras)+SUMIFS(supercb[Qtde],supercb[Item],tab_higiene[[#This Row],[Item]],supercb[Bairro],extras)</f>
        <v>0</v>
      </c>
      <c r="BD78" s="27" t="n">
        <f aca="false">SUM(AK78:BB78)</f>
        <v>0</v>
      </c>
      <c r="BE78" s="27" t="n">
        <f aca="false">IFERROR(BD78*AJ78,0)</f>
        <v>0</v>
      </c>
      <c r="BF78" s="28" t="n">
        <f aca="false">IFERROR(AI78*BD78,0)</f>
        <v>0</v>
      </c>
      <c r="BI78" s="22" t="str">
        <f aca="false">tab_alimentos[[#This Row],[Item]]</f>
        <v>Cappuccino (20g)</v>
      </c>
      <c r="BJ78" s="22" t="n">
        <f aca="false">IFERROR(FIND(" (",BI78),0)</f>
        <v>11</v>
      </c>
      <c r="BK78" s="22" t="str">
        <f aca="false">IF(BJ78=0,BI78,LEFT(BI78,BJ78-1))</f>
        <v>Cappuccino</v>
      </c>
      <c r="BL78" s="22" t="n">
        <f aca="false">tab_alimentos[[#This Row],[kg]]</f>
        <v>0</v>
      </c>
      <c r="BM78" s="32" t="s">
        <v>367</v>
      </c>
      <c r="BN78" s="22" t="n">
        <f aca="false">SUMIF($BJ$5:$BJ$158,BM78,$BK$5:$BK$158)</f>
        <v>0</v>
      </c>
      <c r="BP78" s="22" t="str">
        <f aca="false">tab_higiene[[#This Row],[Item]]</f>
        <v>F</v>
      </c>
      <c r="BQ78" s="22" t="n">
        <f aca="false">IFERROR(FIND(" (",BP78),0)</f>
        <v>0</v>
      </c>
      <c r="BR78" s="22" t="str">
        <f aca="false">IF(BQ78=0,BP78,LEFT(BP78,BQ78-1))</f>
        <v>F</v>
      </c>
      <c r="BS78" s="22" t="n">
        <f aca="false">higiene[[#This Row],[Quantidade]]</f>
        <v>22</v>
      </c>
      <c r="BT78" s="22" t="n">
        <f aca="false">tab_higiene[Qtde (tot)]</f>
        <v>0</v>
      </c>
      <c r="BU78" s="22" t="n">
        <f aca="false">BS78*BT78</f>
        <v>0</v>
      </c>
      <c r="BW78" s="22" t="n">
        <f aca="false">SUMIF($BR$5:$BR$142,BV78,$BU$5:$BU$142)</f>
        <v>0</v>
      </c>
    </row>
    <row r="79" customFormat="false" ht="15" hidden="false" customHeight="false" outlineLevel="0" collapsed="false">
      <c r="I79" s="26" t="str">
        <f aca="false">alimentos[[#This Row],[Item]]</f>
        <v>Cereal (120g)</v>
      </c>
      <c r="J79" s="27" t="n">
        <f aca="false">IFERROR(alimentos[[#This Row],[kg/embalagem]],0)</f>
        <v>0.12</v>
      </c>
      <c r="K79" s="27" t="n">
        <f aca="false">IFERROR(alimentos[[#This Row],[Preço]],0)</f>
        <v>3.99</v>
      </c>
      <c r="L79" s="27" t="n">
        <f aca="false">SUMIFS(super1[Qtde],super1[Item],tab_alimentos[[#This Row],[Item]],super1[Bairro],mercado1)+SUMIFS(supercb[Qtde],supercb[Item],tab_alimentos[[#This Row],[Item]],supercb[Bairro],mercado1)</f>
        <v>0</v>
      </c>
      <c r="M79" s="27" t="n">
        <f aca="false">SUMIFS(super1[Qtde],super1[Item],tab_alimentos[[#This Row],[Item]],super1[Bairro],mercado2)+SUMIFS(supercb[Qtde],supercb[Item],tab_alimentos[[#This Row],[Item]],supercb[Bairro],mercado2)</f>
        <v>0</v>
      </c>
      <c r="N79" s="27" t="n">
        <f aca="false">SUMIFS(super1[Qtde],super1[Item],tab_alimentos[[#This Row],[Item]],super1[Bairro],mercado3)+SUMIFS(supercb[Qtde],supercb[Item],tab_alimentos[[#This Row],[Item]],supercb[Bairro],mercado3)</f>
        <v>0</v>
      </c>
      <c r="O79" s="27" t="n">
        <f aca="false">SUMIFS(super1[Qtde],super1[Item],tab_alimentos[[#This Row],[Item]],super1[Bairro],mercado4)+SUMIFS(supercb[Qtde],supercb[Item],tab_alimentos[[#This Row],[Item]],supercb[Bairro],mercado4)</f>
        <v>0</v>
      </c>
      <c r="P79" s="27" t="n">
        <f aca="false">SUMIFS(super1[Qtde],super1[Item],tab_alimentos[[#This Row],[Item]],super1[Bairro],mercado5)+SUMIFS(supercb[Qtde],supercb[Item],tab_alimentos[[#This Row],[Item]],supercb[Bairro],mercado5)</f>
        <v>0</v>
      </c>
      <c r="Q79" s="27" t="n">
        <f aca="false">SUMIFS(super1[Qtde],super1[Item],tab_alimentos[[#This Row],[Item]],super1[Bairro],mercado6)+SUMIFS(supercb[Qtde],supercb[Item],tab_alimentos[[#This Row],[Item]],supercb[Bairro],mercado6)</f>
        <v>0</v>
      </c>
      <c r="R79" s="27" t="n">
        <f aca="false">SUMIFS(super1[Qtde],super1[Item],tab_alimentos[[#This Row],[Item]],super1[Bairro],mercado7)+SUMIFS(supercb[Qtde],supercb[Item],tab_alimentos[[#This Row],[Item]],supercb[Bairro],mercado7)</f>
        <v>0</v>
      </c>
      <c r="S79" s="27" t="n">
        <f aca="false">SUMIFS(super1[Qtde],super1[Item],tab_alimentos[[#This Row],[Item]],super1[Bairro],mercado8)+SUMIFS(supercb[Qtde],supercb[Item],tab_alimentos[[#This Row],[Item]],supercb[Bairro],mercado8)</f>
        <v>0</v>
      </c>
      <c r="T79" s="27" t="n">
        <f aca="false">SUMIFS(super1[Qtde],super1[Item],tab_alimentos[[#This Row],[Item]],super1[Bairro],mercado9)+SUMIFS(supercb[Qtde],supercb[Item],tab_alimentos[[#This Row],[Item]],supercb[Bairro],mercado9)</f>
        <v>1</v>
      </c>
      <c r="U79" s="27" t="n">
        <f aca="false">SUMIFS(super1[Qtde],super1[Item],tab_alimentos[[#This Row],[Item]],super1[Bairro],mercado10)+SUMIFS(supercb[Qtde],supercb[Item],tab_alimentos[[#This Row],[Item]],supercb[Bairro],mercado10)</f>
        <v>0</v>
      </c>
      <c r="V79" s="27" t="n">
        <f aca="false">SUMIFS(super1[Qtde],super1[Item],tab_alimentos[[#This Row],[Item]],super1[Bairro],mercado11)+SUMIFS(supercb[Qtde],supercb[Item],tab_alimentos[[#This Row],[Item]],supercb[Bairro],mercado11)</f>
        <v>0</v>
      </c>
      <c r="W79" s="27" t="n">
        <f aca="false">SUMIFS(super1[Qtde],super1[Item],tab_alimentos[[#This Row],[Item]],super1[Bairro],mercado12)+SUMIFS(supercb[Qtde],supercb[Item],tab_alimentos[[#This Row],[Item]],supercb[Bairro],mercado12)</f>
        <v>0</v>
      </c>
      <c r="X79" s="27" t="n">
        <f aca="false">SUMIFS(super1[Qtde],super1[Item],tab_alimentos[[#This Row],[Item]],super1[Bairro],mercado13)+SUMIFS(supercb[Qtde],supercb[Item],tab_alimentos[[#This Row],[Item]],supercb[Bairro],mercado13)</f>
        <v>0</v>
      </c>
      <c r="Y79" s="27" t="n">
        <f aca="false">SUMIFS(super1[Qtde],super1[Item],tab_alimentos[[#This Row],[Item]],super1[Bairro],mercado14)+SUMIFS(supercb[Qtde],supercb[Item],tab_alimentos[[#This Row],[Item]],supercb[Bairro],mercado14)</f>
        <v>0</v>
      </c>
      <c r="Z79" s="27" t="n">
        <f aca="false">SUMIFS(super1[Qtde],super1[Item],tab_alimentos[[#This Row],[Item]],super1[Bairro],mercado15)+SUMIFS(supercb[Qtde],supercb[Item],tab_alimentos[[#This Row],[Item]],supercb[Bairro],mercado15)</f>
        <v>0</v>
      </c>
      <c r="AA79" s="27" t="n">
        <f aca="false">SUMIFS(super1[Qtde],super1[Item],tab_alimentos[[#This Row],[Item]],super1[Bairro],mercado16)+SUMIFS(supercb[Qtde],supercb[Item],tab_alimentos[[#This Row],[Item]],supercb[Bairro],mercado16)</f>
        <v>0</v>
      </c>
      <c r="AB79" s="27" t="n">
        <f aca="false">SUMIFS(super1[Qtde],super1[Item],tab_alimentos[[#This Row],[Item]],super1[Bairro],mercado17)+SUMIFS(supercb[Qtde],supercb[Item],tab_alimentos[[#This Row],[Item]],supercb[Bairro],mercado17)</f>
        <v>0</v>
      </c>
      <c r="AC79" s="27" t="n">
        <f aca="false">SUMIFS(super1[Qtde],super1[Item],tab_alimentos[[#This Row],[Item]],super1[Bairro],mercado18)+SUMIFS(supercb[Qtde],supercb[Item],tab_alimentos[[#This Row],[Item]],supercb[Bairro],mercado18)</f>
        <v>0</v>
      </c>
      <c r="AD79" s="27" t="n">
        <f aca="false">SUMIFS(super1[Qtde],super1[Item],tab_alimentos[[#This Row],[Item]],super1[Bairro],extras)+SUMIFS(supercb[Qtde],supercb[Item],tab_alimentos[[#This Row],[Item]],supercb[Bairro],extras)</f>
        <v>0</v>
      </c>
      <c r="AE79" s="27" t="n">
        <f aca="false">SUM(L79:AC79)</f>
        <v>1</v>
      </c>
      <c r="AF79" s="27" t="n">
        <f aca="false">IFERROR(AE79*K79,0)</f>
        <v>3.99</v>
      </c>
      <c r="AG79" s="28" t="n">
        <f aca="false">IFERROR(J79*AE79,0)</f>
        <v>0.12</v>
      </c>
      <c r="AH79" s="26" t="str">
        <f aca="false">higiene[[#This Row],[Item]]</f>
        <v>Filtro de Café</v>
      </c>
      <c r="AI79" s="27" t="n">
        <f aca="false">IFERROR(higiene[[#This Row],[Kg equivalente]],0)</f>
        <v>0.842286444273547</v>
      </c>
      <c r="AJ79" s="27" t="n">
        <f aca="false">IFERROR(higiene[[#This Row],[Preço por produto]],0)</f>
        <v>2.79</v>
      </c>
      <c r="AK79" s="27" t="n">
        <f aca="false">SUMIFS(super1[Qtde],super1[Item],tab_higiene[[#This Row],[Item]],super1[Bairro],mercado1)+SUMIFS(supercb[Qtde],supercb[Item],tab_higiene[[#This Row],[Item]],supercb[Bairro],mercado1)</f>
        <v>0</v>
      </c>
      <c r="AL79" s="27" t="n">
        <f aca="false">SUMIFS(super1[Qtde],super1[Item],tab_higiene[[#This Row],[Item]],super1[Bairro],mercado2)+SUMIFS(supercb[Qtde],supercb[Item],tab_higiene[[#This Row],[Item]],supercb[Bairro],mercado2)</f>
        <v>0</v>
      </c>
      <c r="AM79" s="27" t="n">
        <f aca="false">SUMIFS(super1[Qtde],super1[Item],tab_higiene[[#This Row],[Item]],super1[Bairro],mercado3)+SUMIFS(supercb[Qtde],supercb[Item],tab_higiene[[#This Row],[Item]],supercb[Bairro],mercado3)</f>
        <v>0</v>
      </c>
      <c r="AN79" s="27" t="n">
        <f aca="false">SUMIFS(super1[Qtde],super1[Item],tab_higiene[[#This Row],[Item]],super1[Bairro],mercado4)+SUMIFS(supercb[Qtde],supercb[Item],tab_higiene[[#This Row],[Item]],supercb[Bairro],mercado4)</f>
        <v>0</v>
      </c>
      <c r="AO79" s="27" t="n">
        <f aca="false">SUMIFS(super1[Qtde],super1[Item],tab_higiene[[#This Row],[Item]],super1[Bairro],mercado5)+SUMIFS(supercb[Qtde],supercb[Item],tab_higiene[[#This Row],[Item]],supercb[Bairro],mercado5)</f>
        <v>0</v>
      </c>
      <c r="AP79" s="27" t="n">
        <f aca="false">SUMIFS(super1[Qtde],super1[Item],tab_higiene[[#This Row],[Item]],super1[Bairro],mercado6)+SUMIFS(supercb[Qtde],supercb[Item],tab_higiene[[#This Row],[Item]],supercb[Bairro],mercado6)</f>
        <v>0</v>
      </c>
      <c r="AQ79" s="27" t="n">
        <f aca="false">SUMIFS(super1[Qtde],super1[Item],tab_higiene[[#This Row],[Item]],super1[Bairro],mercado7)+SUMIFS(supercb[Qtde],supercb[Item],tab_higiene[[#This Row],[Item]],supercb[Bairro],mercado7)</f>
        <v>0</v>
      </c>
      <c r="AR79" s="27" t="n">
        <f aca="false">SUMIFS(super1[Qtde],super1[Item],tab_higiene[[#This Row],[Item]],super1[Bairro],mercado8)+SUMIFS(supercb[Qtde],supercb[Item],tab_higiene[[#This Row],[Item]],supercb[Bairro],mercado8)</f>
        <v>0</v>
      </c>
      <c r="AS79" s="27" t="n">
        <f aca="false">SUMIFS(super1[Qtde],super1[Item],tab_higiene[[#This Row],[Item]],super1[Bairro],mercado9)+SUMIFS(supercb[Qtde],supercb[Item],tab_higiene[[#This Row],[Item]],supercb[Bairro],mercado9)</f>
        <v>0</v>
      </c>
      <c r="AT79" s="27" t="n">
        <f aca="false">SUMIFS(super1[Qtde],super1[Item],tab_higiene[[#This Row],[Item]],super1[Bairro],mercado10)+SUMIFS(supercb[Qtde],supercb[Item],tab_higiene[[#This Row],[Item]],supercb[Bairro],mercado10)</f>
        <v>0</v>
      </c>
      <c r="AU79" s="27" t="n">
        <f aca="false">SUMIFS(super1[Qtde],super1[Item],tab_higiene[[#This Row],[Item]],super1[Bairro],mercado11)+SUMIFS(supercb[Qtde],supercb[Item],tab_higiene[[#This Row],[Item]],supercb[Bairro],mercado11)</f>
        <v>0</v>
      </c>
      <c r="AV79" s="27" t="n">
        <f aca="false">SUMIFS(super1[Qtde],super1[Item],tab_higiene[[#This Row],[Item]],super1[Bairro],mercado12)+SUMIFS(supercb[Qtde],supercb[Item],tab_higiene[[#This Row],[Item]],supercb[Bairro],mercado12)</f>
        <v>0</v>
      </c>
      <c r="AW79" s="27" t="n">
        <f aca="false">SUMIFS(super1[Qtde],super1[Item],tab_higiene[[#This Row],[Item]],super1[Bairro],mercado13)+SUMIFS(supercb[Qtde],supercb[Item],tab_higiene[[#This Row],[Item]],supercb[Bairro],mercado13)</f>
        <v>0</v>
      </c>
      <c r="AX79" s="27" t="n">
        <f aca="false">SUMIFS(super1[Qtde],super1[Item],tab_higiene[[#This Row],[Item]],super1[Bairro],mercado14)+SUMIFS(supercb[Qtde],supercb[Item],tab_higiene[[#This Row],[Item]],supercb[Bairro],mercado14)</f>
        <v>0</v>
      </c>
      <c r="AY79" s="27" t="n">
        <f aca="false">SUMIFS(super1[Qtde],super1[Item],tab_higiene[[#This Row],[Item]],super1[Bairro],mercado15)+SUMIFS(supercb[Qtde],supercb[Item],tab_higiene[[#This Row],[Item]],supercb[Bairro],mercado15)</f>
        <v>0</v>
      </c>
      <c r="AZ79" s="27" t="n">
        <f aca="false">SUMIFS(super1[Qtde],super1[Item],tab_higiene[[#This Row],[Item]],super1[Bairro],mercado16)+SUMIFS(supercb[Qtde],supercb[Item],tab_higiene[[#This Row],[Item]],supercb[Bairro],mercado16)</f>
        <v>0</v>
      </c>
      <c r="BA79" s="27" t="n">
        <f aca="false">SUMIFS(super1[Qtde],super1[Item],tab_higiene[[#This Row],[Item]],super1[Bairro],mercado17)+SUMIFS(supercb[Qtde],supercb[Item],tab_higiene[[#This Row],[Item]],supercb[Bairro],mercado17)</f>
        <v>0</v>
      </c>
      <c r="BB79" s="27" t="n">
        <f aca="false">SUMIFS(super1[Qtde],super1[Item],tab_higiene[[#This Row],[Item]],super1[Bairro],mercado18)+SUMIFS(supercb[Qtde],supercb[Item],tab_higiene[[#This Row],[Item]],supercb[Bairro],mercado18)</f>
        <v>0</v>
      </c>
      <c r="BC79" s="27" t="n">
        <f aca="false">SUMIFS(super1[Qtde],super1[Item],tab_higiene[[#This Row],[Item]],super1[Bairro],extras)+SUMIFS(supercb[Qtde],supercb[Item],tab_higiene[[#This Row],[Item]],supercb[Bairro],extras)</f>
        <v>0</v>
      </c>
      <c r="BD79" s="27" t="n">
        <f aca="false">SUM(AK79:BB79)</f>
        <v>0</v>
      </c>
      <c r="BE79" s="27" t="n">
        <f aca="false">IFERROR(BD79*AJ79,0)</f>
        <v>0</v>
      </c>
      <c r="BF79" s="28" t="n">
        <f aca="false">IFERROR(AI79*BD79,0)</f>
        <v>0</v>
      </c>
      <c r="BI79" s="22" t="str">
        <f aca="false">tab_alimentos[[#This Row],[Item]]</f>
        <v>Cereal (120g)</v>
      </c>
      <c r="BJ79" s="22" t="n">
        <f aca="false">IFERROR(FIND(" (",BI79),0)</f>
        <v>7</v>
      </c>
      <c r="BK79" s="22" t="str">
        <f aca="false">IF(BJ79=0,BI79,LEFT(BI79,BJ79-1))</f>
        <v>Cereal</v>
      </c>
      <c r="BL79" s="22" t="n">
        <f aca="false">tab_alimentos[[#This Row],[kg]]</f>
        <v>0.12</v>
      </c>
      <c r="BM79" s="32" t="s">
        <v>368</v>
      </c>
      <c r="BN79" s="22" t="n">
        <f aca="false">SUMIF($BJ$5:$BJ$158,BM79,$BK$5:$BK$158)</f>
        <v>0</v>
      </c>
      <c r="BP79" s="22" t="str">
        <f aca="false">tab_higiene[[#This Row],[Item]]</f>
        <v>Filtro de Café</v>
      </c>
      <c r="BQ79" s="22" t="n">
        <f aca="false">IFERROR(FIND(" (",BP79),0)</f>
        <v>0</v>
      </c>
      <c r="BR79" s="22" t="str">
        <f aca="false">IF(BQ79=0,BP79,LEFT(BP79,BQ79-1))</f>
        <v>Filtro de Café</v>
      </c>
      <c r="BS79" s="22" t="n">
        <f aca="false">higiene[[#This Row],[Quantidade]]</f>
        <v>24</v>
      </c>
      <c r="BT79" s="22" t="n">
        <f aca="false">tab_higiene[Qtde (tot)]</f>
        <v>0</v>
      </c>
      <c r="BU79" s="22" t="n">
        <f aca="false">BS79*BT79</f>
        <v>0</v>
      </c>
      <c r="BW79" s="22" t="n">
        <f aca="false">SUMIF($BR$5:$BR$142,BV79,$BU$5:$BU$142)</f>
        <v>0</v>
      </c>
    </row>
    <row r="80" customFormat="false" ht="15" hidden="false" customHeight="false" outlineLevel="0" collapsed="false">
      <c r="I80" s="26" t="str">
        <f aca="false">alimentos[[#This Row],[Item]]</f>
        <v>Cereal infantil (230g)</v>
      </c>
      <c r="J80" s="27" t="n">
        <f aca="false">IFERROR(alimentos[[#This Row],[kg/embalagem]],0)</f>
        <v>0.23</v>
      </c>
      <c r="K80" s="27" t="n">
        <f aca="false">IFERROR(alimentos[[#This Row],[Preço]],0)</f>
        <v>7.65</v>
      </c>
      <c r="L80" s="27" t="n">
        <f aca="false">SUMIFS(super1[Qtde],super1[Item],tab_alimentos[[#This Row],[Item]],super1[Bairro],mercado1)+SUMIFS(supercb[Qtde],supercb[Item],tab_alimentos[[#This Row],[Item]],supercb[Bairro],mercado1)</f>
        <v>0</v>
      </c>
      <c r="M80" s="27" t="n">
        <f aca="false">SUMIFS(super1[Qtde],super1[Item],tab_alimentos[[#This Row],[Item]],super1[Bairro],mercado2)+SUMIFS(supercb[Qtde],supercb[Item],tab_alimentos[[#This Row],[Item]],supercb[Bairro],mercado2)</f>
        <v>0</v>
      </c>
      <c r="N80" s="27" t="n">
        <f aca="false">SUMIFS(super1[Qtde],super1[Item],tab_alimentos[[#This Row],[Item]],super1[Bairro],mercado3)+SUMIFS(supercb[Qtde],supercb[Item],tab_alimentos[[#This Row],[Item]],supercb[Bairro],mercado3)</f>
        <v>0</v>
      </c>
      <c r="O80" s="27" t="n">
        <f aca="false">SUMIFS(super1[Qtde],super1[Item],tab_alimentos[[#This Row],[Item]],super1[Bairro],mercado4)+SUMIFS(supercb[Qtde],supercb[Item],tab_alimentos[[#This Row],[Item]],supercb[Bairro],mercado4)</f>
        <v>0</v>
      </c>
      <c r="P80" s="27" t="n">
        <f aca="false">SUMIFS(super1[Qtde],super1[Item],tab_alimentos[[#This Row],[Item]],super1[Bairro],mercado5)+SUMIFS(supercb[Qtde],supercb[Item],tab_alimentos[[#This Row],[Item]],supercb[Bairro],mercado5)</f>
        <v>0</v>
      </c>
      <c r="Q80" s="27" t="n">
        <f aca="false">SUMIFS(super1[Qtde],super1[Item],tab_alimentos[[#This Row],[Item]],super1[Bairro],mercado6)+SUMIFS(supercb[Qtde],supercb[Item],tab_alimentos[[#This Row],[Item]],supercb[Bairro],mercado6)</f>
        <v>0</v>
      </c>
      <c r="R80" s="27" t="n">
        <f aca="false">SUMIFS(super1[Qtde],super1[Item],tab_alimentos[[#This Row],[Item]],super1[Bairro],mercado7)+SUMIFS(supercb[Qtde],supercb[Item],tab_alimentos[[#This Row],[Item]],supercb[Bairro],mercado7)</f>
        <v>0</v>
      </c>
      <c r="S80" s="27" t="n">
        <f aca="false">SUMIFS(super1[Qtde],super1[Item],tab_alimentos[[#This Row],[Item]],super1[Bairro],mercado8)+SUMIFS(supercb[Qtde],supercb[Item],tab_alimentos[[#This Row],[Item]],supercb[Bairro],mercado8)</f>
        <v>0</v>
      </c>
      <c r="T80" s="27" t="n">
        <f aca="false">SUMIFS(super1[Qtde],super1[Item],tab_alimentos[[#This Row],[Item]],super1[Bairro],mercado9)+SUMIFS(supercb[Qtde],supercb[Item],tab_alimentos[[#This Row],[Item]],supercb[Bairro],mercado9)</f>
        <v>0</v>
      </c>
      <c r="U80" s="27" t="n">
        <f aca="false">SUMIFS(super1[Qtde],super1[Item],tab_alimentos[[#This Row],[Item]],super1[Bairro],mercado10)+SUMIFS(supercb[Qtde],supercb[Item],tab_alimentos[[#This Row],[Item]],supercb[Bairro],mercado10)</f>
        <v>0</v>
      </c>
      <c r="V80" s="27" t="n">
        <f aca="false">SUMIFS(super1[Qtde],super1[Item],tab_alimentos[[#This Row],[Item]],super1[Bairro],mercado11)+SUMIFS(supercb[Qtde],supercb[Item],tab_alimentos[[#This Row],[Item]],supercb[Bairro],mercado11)</f>
        <v>0</v>
      </c>
      <c r="W80" s="27" t="n">
        <f aca="false">SUMIFS(super1[Qtde],super1[Item],tab_alimentos[[#This Row],[Item]],super1[Bairro],mercado12)+SUMIFS(supercb[Qtde],supercb[Item],tab_alimentos[[#This Row],[Item]],supercb[Bairro],mercado12)</f>
        <v>0</v>
      </c>
      <c r="X80" s="27" t="n">
        <f aca="false">SUMIFS(super1[Qtde],super1[Item],tab_alimentos[[#This Row],[Item]],super1[Bairro],mercado13)+SUMIFS(supercb[Qtde],supercb[Item],tab_alimentos[[#This Row],[Item]],supercb[Bairro],mercado13)</f>
        <v>0</v>
      </c>
      <c r="Y80" s="27" t="n">
        <f aca="false">SUMIFS(super1[Qtde],super1[Item],tab_alimentos[[#This Row],[Item]],super1[Bairro],mercado14)+SUMIFS(supercb[Qtde],supercb[Item],tab_alimentos[[#This Row],[Item]],supercb[Bairro],mercado14)</f>
        <v>0</v>
      </c>
      <c r="Z80" s="27" t="n">
        <f aca="false">SUMIFS(super1[Qtde],super1[Item],tab_alimentos[[#This Row],[Item]],super1[Bairro],mercado15)+SUMIFS(supercb[Qtde],supercb[Item],tab_alimentos[[#This Row],[Item]],supercb[Bairro],mercado15)</f>
        <v>0</v>
      </c>
      <c r="AA80" s="27" t="n">
        <f aca="false">SUMIFS(super1[Qtde],super1[Item],tab_alimentos[[#This Row],[Item]],super1[Bairro],mercado16)+SUMIFS(supercb[Qtde],supercb[Item],tab_alimentos[[#This Row],[Item]],supercb[Bairro],mercado16)</f>
        <v>0</v>
      </c>
      <c r="AB80" s="27" t="n">
        <f aca="false">SUMIFS(super1[Qtde],super1[Item],tab_alimentos[[#This Row],[Item]],super1[Bairro],mercado17)+SUMIFS(supercb[Qtde],supercb[Item],tab_alimentos[[#This Row],[Item]],supercb[Bairro],mercado17)</f>
        <v>0</v>
      </c>
      <c r="AC80" s="27" t="n">
        <f aca="false">SUMIFS(super1[Qtde],super1[Item],tab_alimentos[[#This Row],[Item]],super1[Bairro],mercado18)+SUMIFS(supercb[Qtde],supercb[Item],tab_alimentos[[#This Row],[Item]],supercb[Bairro],mercado18)</f>
        <v>0</v>
      </c>
      <c r="AD80" s="27" t="n">
        <f aca="false">SUMIFS(super1[Qtde],super1[Item],tab_alimentos[[#This Row],[Item]],super1[Bairro],extras)+SUMIFS(supercb[Qtde],supercb[Item],tab_alimentos[[#This Row],[Item]],supercb[Bairro],extras)</f>
        <v>0</v>
      </c>
      <c r="AE80" s="27" t="n">
        <f aca="false">SUM(L80:AC80)</f>
        <v>0</v>
      </c>
      <c r="AF80" s="27" t="n">
        <f aca="false">IFERROR(AE80*K80,0)</f>
        <v>0</v>
      </c>
      <c r="AG80" s="28" t="n">
        <f aca="false">IFERROR(J80*AE80,0)</f>
        <v>0</v>
      </c>
      <c r="AH80" s="26" t="str">
        <f aca="false">higiene[[#This Row],[Item]]</f>
        <v>Fio Dental</v>
      </c>
      <c r="AI80" s="27" t="n">
        <f aca="false">IFERROR(higiene[[#This Row],[Kg equivalente]],0)</f>
        <v>2.0800550541379</v>
      </c>
      <c r="AJ80" s="27" t="n">
        <f aca="false">IFERROR(higiene[[#This Row],[Preço por produto]],0)</f>
        <v>6.89</v>
      </c>
      <c r="AK80" s="27" t="n">
        <f aca="false">SUMIFS(super1[Qtde],super1[Item],tab_higiene[[#This Row],[Item]],super1[Bairro],mercado1)+SUMIFS(supercb[Qtde],supercb[Item],tab_higiene[[#This Row],[Item]],supercb[Bairro],mercado1)</f>
        <v>0</v>
      </c>
      <c r="AL80" s="27" t="n">
        <f aca="false">SUMIFS(super1[Qtde],super1[Item],tab_higiene[[#This Row],[Item]],super1[Bairro],mercado2)+SUMIFS(supercb[Qtde],supercb[Item],tab_higiene[[#This Row],[Item]],supercb[Bairro],mercado2)</f>
        <v>0</v>
      </c>
      <c r="AM80" s="27" t="n">
        <f aca="false">SUMIFS(super1[Qtde],super1[Item],tab_higiene[[#This Row],[Item]],super1[Bairro],mercado3)+SUMIFS(supercb[Qtde],supercb[Item],tab_higiene[[#This Row],[Item]],supercb[Bairro],mercado3)</f>
        <v>0</v>
      </c>
      <c r="AN80" s="27" t="n">
        <f aca="false">SUMIFS(super1[Qtde],super1[Item],tab_higiene[[#This Row],[Item]],super1[Bairro],mercado4)+SUMIFS(supercb[Qtde],supercb[Item],tab_higiene[[#This Row],[Item]],supercb[Bairro],mercado4)</f>
        <v>0</v>
      </c>
      <c r="AO80" s="27" t="n">
        <f aca="false">SUMIFS(super1[Qtde],super1[Item],tab_higiene[[#This Row],[Item]],super1[Bairro],mercado5)+SUMIFS(supercb[Qtde],supercb[Item],tab_higiene[[#This Row],[Item]],supercb[Bairro],mercado5)</f>
        <v>0</v>
      </c>
      <c r="AP80" s="27" t="n">
        <f aca="false">SUMIFS(super1[Qtde],super1[Item],tab_higiene[[#This Row],[Item]],super1[Bairro],mercado6)+SUMIFS(supercb[Qtde],supercb[Item],tab_higiene[[#This Row],[Item]],supercb[Bairro],mercado6)</f>
        <v>0</v>
      </c>
      <c r="AQ80" s="27" t="n">
        <f aca="false">SUMIFS(super1[Qtde],super1[Item],tab_higiene[[#This Row],[Item]],super1[Bairro],mercado7)+SUMIFS(supercb[Qtde],supercb[Item],tab_higiene[[#This Row],[Item]],supercb[Bairro],mercado7)</f>
        <v>0</v>
      </c>
      <c r="AR80" s="27" t="n">
        <f aca="false">SUMIFS(super1[Qtde],super1[Item],tab_higiene[[#This Row],[Item]],super1[Bairro],mercado8)+SUMIFS(supercb[Qtde],supercb[Item],tab_higiene[[#This Row],[Item]],supercb[Bairro],mercado8)</f>
        <v>0</v>
      </c>
      <c r="AS80" s="27" t="n">
        <f aca="false">SUMIFS(super1[Qtde],super1[Item],tab_higiene[[#This Row],[Item]],super1[Bairro],mercado9)+SUMIFS(supercb[Qtde],supercb[Item],tab_higiene[[#This Row],[Item]],supercb[Bairro],mercado9)</f>
        <v>0</v>
      </c>
      <c r="AT80" s="27" t="n">
        <f aca="false">SUMIFS(super1[Qtde],super1[Item],tab_higiene[[#This Row],[Item]],super1[Bairro],mercado10)+SUMIFS(supercb[Qtde],supercb[Item],tab_higiene[[#This Row],[Item]],supercb[Bairro],mercado10)</f>
        <v>0</v>
      </c>
      <c r="AU80" s="27" t="n">
        <f aca="false">SUMIFS(super1[Qtde],super1[Item],tab_higiene[[#This Row],[Item]],super1[Bairro],mercado11)+SUMIFS(supercb[Qtde],supercb[Item],tab_higiene[[#This Row],[Item]],supercb[Bairro],mercado11)</f>
        <v>0</v>
      </c>
      <c r="AV80" s="27" t="n">
        <f aca="false">SUMIFS(super1[Qtde],super1[Item],tab_higiene[[#This Row],[Item]],super1[Bairro],mercado12)+SUMIFS(supercb[Qtde],supercb[Item],tab_higiene[[#This Row],[Item]],supercb[Bairro],mercado12)</f>
        <v>0</v>
      </c>
      <c r="AW80" s="27" t="n">
        <f aca="false">SUMIFS(super1[Qtde],super1[Item],tab_higiene[[#This Row],[Item]],super1[Bairro],mercado13)+SUMIFS(supercb[Qtde],supercb[Item],tab_higiene[[#This Row],[Item]],supercb[Bairro],mercado13)</f>
        <v>0</v>
      </c>
      <c r="AX80" s="27" t="n">
        <f aca="false">SUMIFS(super1[Qtde],super1[Item],tab_higiene[[#This Row],[Item]],super1[Bairro],mercado14)+SUMIFS(supercb[Qtde],supercb[Item],tab_higiene[[#This Row],[Item]],supercb[Bairro],mercado14)</f>
        <v>0</v>
      </c>
      <c r="AY80" s="27" t="n">
        <f aca="false">SUMIFS(super1[Qtde],super1[Item],tab_higiene[[#This Row],[Item]],super1[Bairro],mercado15)+SUMIFS(supercb[Qtde],supercb[Item],tab_higiene[[#This Row],[Item]],supercb[Bairro],mercado15)</f>
        <v>0</v>
      </c>
      <c r="AZ80" s="27" t="n">
        <f aca="false">SUMIFS(super1[Qtde],super1[Item],tab_higiene[[#This Row],[Item]],super1[Bairro],mercado16)+SUMIFS(supercb[Qtde],supercb[Item],tab_higiene[[#This Row],[Item]],supercb[Bairro],mercado16)</f>
        <v>0</v>
      </c>
      <c r="BA80" s="27" t="n">
        <f aca="false">SUMIFS(super1[Qtde],super1[Item],tab_higiene[[#This Row],[Item]],super1[Bairro],mercado17)+SUMIFS(supercb[Qtde],supercb[Item],tab_higiene[[#This Row],[Item]],supercb[Bairro],mercado17)</f>
        <v>0</v>
      </c>
      <c r="BB80" s="27" t="n">
        <f aca="false">SUMIFS(super1[Qtde],super1[Item],tab_higiene[[#This Row],[Item]],super1[Bairro],mercado18)+SUMIFS(supercb[Qtde],supercb[Item],tab_higiene[[#This Row],[Item]],supercb[Bairro],mercado18)</f>
        <v>0</v>
      </c>
      <c r="BC80" s="27" t="n">
        <f aca="false">SUMIFS(super1[Qtde],super1[Item],tab_higiene[[#This Row],[Item]],super1[Bairro],extras)+SUMIFS(supercb[Qtde],supercb[Item],tab_higiene[[#This Row],[Item]],supercb[Bairro],extras)</f>
        <v>0</v>
      </c>
      <c r="BD80" s="27" t="n">
        <f aca="false">SUM(AK80:BB80)</f>
        <v>0</v>
      </c>
      <c r="BE80" s="27" t="n">
        <f aca="false">IFERROR(BD80*AJ80,0)</f>
        <v>0</v>
      </c>
      <c r="BF80" s="28" t="n">
        <f aca="false">IFERROR(AI80*BD80,0)</f>
        <v>0</v>
      </c>
      <c r="BI80" s="22" t="str">
        <f aca="false">tab_alimentos[[#This Row],[Item]]</f>
        <v>Cereal infantil (230g)</v>
      </c>
      <c r="BJ80" s="22" t="n">
        <f aca="false">IFERROR(FIND(" (",BI80),0)</f>
        <v>16</v>
      </c>
      <c r="BK80" s="22" t="str">
        <f aca="false">IF(BJ80=0,BI80,LEFT(BI80,BJ80-1))</f>
        <v>Cereal infantil</v>
      </c>
      <c r="BL80" s="22" t="n">
        <f aca="false">tab_alimentos[[#This Row],[kg]]</f>
        <v>0</v>
      </c>
      <c r="BM80" s="32" t="s">
        <v>369</v>
      </c>
      <c r="BN80" s="22" t="n">
        <f aca="false">SUMIF($BJ$5:$BJ$158,BM80,$BK$5:$BK$158)</f>
        <v>0</v>
      </c>
      <c r="BP80" s="22" t="str">
        <f aca="false">tab_higiene[[#This Row],[Item]]</f>
        <v>Fio Dental</v>
      </c>
      <c r="BQ80" s="22" t="n">
        <f aca="false">IFERROR(FIND(" (",BP80),0)</f>
        <v>0</v>
      </c>
      <c r="BR80" s="22" t="str">
        <f aca="false">IF(BQ80=0,BP80,LEFT(BP80,BQ80-1))</f>
        <v>Fio Dental</v>
      </c>
      <c r="BS80" s="22" t="n">
        <f aca="false">higiene[[#This Row],[Quantidade]]</f>
        <v>26</v>
      </c>
      <c r="BT80" s="22" t="n">
        <f aca="false">tab_higiene[Qtde (tot)]</f>
        <v>0</v>
      </c>
      <c r="BU80" s="22" t="n">
        <f aca="false">BS80*BT80</f>
        <v>0</v>
      </c>
      <c r="BW80" s="22" t="n">
        <f aca="false">SUMIF($BR$5:$BR$142,BV80,$BU$5:$BU$142)</f>
        <v>0</v>
      </c>
    </row>
    <row r="81" customFormat="false" ht="15" hidden="false" customHeight="false" outlineLevel="0" collapsed="false">
      <c r="I81" s="26" t="str">
        <f aca="false">alimentos[[#This Row],[Item]]</f>
        <v>Cevada</v>
      </c>
      <c r="J81" s="27" t="n">
        <f aca="false">IFERROR(alimentos[[#This Row],[kg/embalagem]],0)</f>
        <v>0.5</v>
      </c>
      <c r="K81" s="27" t="n">
        <f aca="false">IFERROR(alimentos[[#This Row],[Preço]],0)</f>
        <v>6.97</v>
      </c>
      <c r="L81" s="27" t="n">
        <f aca="false">SUMIFS(super1[Qtde],super1[Item],tab_alimentos[[#This Row],[Item]],super1[Bairro],mercado1)+SUMIFS(supercb[Qtde],supercb[Item],tab_alimentos[[#This Row],[Item]],supercb[Bairro],mercado1)</f>
        <v>0</v>
      </c>
      <c r="M81" s="27" t="n">
        <f aca="false">SUMIFS(super1[Qtde],super1[Item],tab_alimentos[[#This Row],[Item]],super1[Bairro],mercado2)+SUMIFS(supercb[Qtde],supercb[Item],tab_alimentos[[#This Row],[Item]],supercb[Bairro],mercado2)</f>
        <v>0</v>
      </c>
      <c r="N81" s="27" t="n">
        <f aca="false">SUMIFS(super1[Qtde],super1[Item],tab_alimentos[[#This Row],[Item]],super1[Bairro],mercado3)+SUMIFS(supercb[Qtde],supercb[Item],tab_alimentos[[#This Row],[Item]],supercb[Bairro],mercado3)</f>
        <v>0</v>
      </c>
      <c r="O81" s="27" t="n">
        <f aca="false">SUMIFS(super1[Qtde],super1[Item],tab_alimentos[[#This Row],[Item]],super1[Bairro],mercado4)+SUMIFS(supercb[Qtde],supercb[Item],tab_alimentos[[#This Row],[Item]],supercb[Bairro],mercado4)</f>
        <v>0</v>
      </c>
      <c r="P81" s="27" t="n">
        <f aca="false">SUMIFS(super1[Qtde],super1[Item],tab_alimentos[[#This Row],[Item]],super1[Bairro],mercado5)+SUMIFS(supercb[Qtde],supercb[Item],tab_alimentos[[#This Row],[Item]],supercb[Bairro],mercado5)</f>
        <v>0</v>
      </c>
      <c r="Q81" s="27" t="n">
        <f aca="false">SUMIFS(super1[Qtde],super1[Item],tab_alimentos[[#This Row],[Item]],super1[Bairro],mercado6)+SUMIFS(supercb[Qtde],supercb[Item],tab_alimentos[[#This Row],[Item]],supercb[Bairro],mercado6)</f>
        <v>0</v>
      </c>
      <c r="R81" s="27" t="n">
        <f aca="false">SUMIFS(super1[Qtde],super1[Item],tab_alimentos[[#This Row],[Item]],super1[Bairro],mercado7)+SUMIFS(supercb[Qtde],supercb[Item],tab_alimentos[[#This Row],[Item]],supercb[Bairro],mercado7)</f>
        <v>0</v>
      </c>
      <c r="S81" s="27" t="n">
        <f aca="false">SUMIFS(super1[Qtde],super1[Item],tab_alimentos[[#This Row],[Item]],super1[Bairro],mercado8)+SUMIFS(supercb[Qtde],supercb[Item],tab_alimentos[[#This Row],[Item]],supercb[Bairro],mercado8)</f>
        <v>0</v>
      </c>
      <c r="T81" s="27" t="n">
        <f aca="false">SUMIFS(super1[Qtde],super1[Item],tab_alimentos[[#This Row],[Item]],super1[Bairro],mercado9)+SUMIFS(supercb[Qtde],supercb[Item],tab_alimentos[[#This Row],[Item]],supercb[Bairro],mercado9)</f>
        <v>0</v>
      </c>
      <c r="U81" s="27" t="n">
        <f aca="false">SUMIFS(super1[Qtde],super1[Item],tab_alimentos[[#This Row],[Item]],super1[Bairro],mercado10)+SUMIFS(supercb[Qtde],supercb[Item],tab_alimentos[[#This Row],[Item]],supercb[Bairro],mercado10)</f>
        <v>0</v>
      </c>
      <c r="V81" s="27" t="n">
        <f aca="false">SUMIFS(super1[Qtde],super1[Item],tab_alimentos[[#This Row],[Item]],super1[Bairro],mercado11)+SUMIFS(supercb[Qtde],supercb[Item],tab_alimentos[[#This Row],[Item]],supercb[Bairro],mercado11)</f>
        <v>0</v>
      </c>
      <c r="W81" s="27" t="n">
        <f aca="false">SUMIFS(super1[Qtde],super1[Item],tab_alimentos[[#This Row],[Item]],super1[Bairro],mercado12)+SUMIFS(supercb[Qtde],supercb[Item],tab_alimentos[[#This Row],[Item]],supercb[Bairro],mercado12)</f>
        <v>0</v>
      </c>
      <c r="X81" s="27" t="n">
        <f aca="false">SUMIFS(super1[Qtde],super1[Item],tab_alimentos[[#This Row],[Item]],super1[Bairro],mercado13)+SUMIFS(supercb[Qtde],supercb[Item],tab_alimentos[[#This Row],[Item]],supercb[Bairro],mercado13)</f>
        <v>0</v>
      </c>
      <c r="Y81" s="27" t="n">
        <f aca="false">SUMIFS(super1[Qtde],super1[Item],tab_alimentos[[#This Row],[Item]],super1[Bairro],mercado14)+SUMIFS(supercb[Qtde],supercb[Item],tab_alimentos[[#This Row],[Item]],supercb[Bairro],mercado14)</f>
        <v>0</v>
      </c>
      <c r="Z81" s="27" t="n">
        <f aca="false">SUMIFS(super1[Qtde],super1[Item],tab_alimentos[[#This Row],[Item]],super1[Bairro],mercado15)+SUMIFS(supercb[Qtde],supercb[Item],tab_alimentos[[#This Row],[Item]],supercb[Bairro],mercado15)</f>
        <v>0</v>
      </c>
      <c r="AA81" s="27" t="n">
        <f aca="false">SUMIFS(super1[Qtde],super1[Item],tab_alimentos[[#This Row],[Item]],super1[Bairro],mercado16)+SUMIFS(supercb[Qtde],supercb[Item],tab_alimentos[[#This Row],[Item]],supercb[Bairro],mercado16)</f>
        <v>0</v>
      </c>
      <c r="AB81" s="27" t="n">
        <f aca="false">SUMIFS(super1[Qtde],super1[Item],tab_alimentos[[#This Row],[Item]],super1[Bairro],mercado17)+SUMIFS(supercb[Qtde],supercb[Item],tab_alimentos[[#This Row],[Item]],supercb[Bairro],mercado17)</f>
        <v>0</v>
      </c>
      <c r="AC81" s="27" t="n">
        <f aca="false">SUMIFS(super1[Qtde],super1[Item],tab_alimentos[[#This Row],[Item]],super1[Bairro],mercado18)+SUMIFS(supercb[Qtde],supercb[Item],tab_alimentos[[#This Row],[Item]],supercb[Bairro],mercado18)</f>
        <v>0</v>
      </c>
      <c r="AD81" s="27" t="n">
        <f aca="false">SUMIFS(super1[Qtde],super1[Item],tab_alimentos[[#This Row],[Item]],super1[Bairro],extras)+SUMIFS(supercb[Qtde],supercb[Item],tab_alimentos[[#This Row],[Item]],supercb[Bairro],extras)</f>
        <v>0</v>
      </c>
      <c r="AE81" s="27" t="n">
        <f aca="false">SUM(L81:AC81)</f>
        <v>0</v>
      </c>
      <c r="AF81" s="27" t="n">
        <f aca="false">IFERROR(AE81*K81,0)</f>
        <v>0</v>
      </c>
      <c r="AG81" s="28" t="n">
        <f aca="false">IFERROR(J81*AE81,0)</f>
        <v>0</v>
      </c>
      <c r="AH81" s="26" t="str">
        <f aca="false">higiene[[#This Row],[Item]]</f>
        <v>Fosforo</v>
      </c>
      <c r="AI81" s="27" t="n">
        <f aca="false">IFERROR(higiene[[#This Row],[Kg equivalente]],0)</f>
        <v>1.08380227058854</v>
      </c>
      <c r="AJ81" s="27" t="n">
        <f aca="false">IFERROR(higiene[[#This Row],[Preço por produto]],0)</f>
        <v>3.59</v>
      </c>
      <c r="AK81" s="27" t="n">
        <f aca="false">SUMIFS(super1[Qtde],super1[Item],tab_higiene[[#This Row],[Item]],super1[Bairro],mercado1)+SUMIFS(supercb[Qtde],supercb[Item],tab_higiene[[#This Row],[Item]],supercb[Bairro],mercado1)</f>
        <v>0</v>
      </c>
      <c r="AL81" s="27" t="n">
        <f aca="false">SUMIFS(super1[Qtde],super1[Item],tab_higiene[[#This Row],[Item]],super1[Bairro],mercado2)+SUMIFS(supercb[Qtde],supercb[Item],tab_higiene[[#This Row],[Item]],supercb[Bairro],mercado2)</f>
        <v>0</v>
      </c>
      <c r="AM81" s="27" t="n">
        <f aca="false">SUMIFS(super1[Qtde],super1[Item],tab_higiene[[#This Row],[Item]],super1[Bairro],mercado3)+SUMIFS(supercb[Qtde],supercb[Item],tab_higiene[[#This Row],[Item]],supercb[Bairro],mercado3)</f>
        <v>0</v>
      </c>
      <c r="AN81" s="27" t="n">
        <f aca="false">SUMIFS(super1[Qtde],super1[Item],tab_higiene[[#This Row],[Item]],super1[Bairro],mercado4)+SUMIFS(supercb[Qtde],supercb[Item],tab_higiene[[#This Row],[Item]],supercb[Bairro],mercado4)</f>
        <v>0</v>
      </c>
      <c r="AO81" s="27" t="n">
        <f aca="false">SUMIFS(super1[Qtde],super1[Item],tab_higiene[[#This Row],[Item]],super1[Bairro],mercado5)+SUMIFS(supercb[Qtde],supercb[Item],tab_higiene[[#This Row],[Item]],supercb[Bairro],mercado5)</f>
        <v>0</v>
      </c>
      <c r="AP81" s="27" t="n">
        <f aca="false">SUMIFS(super1[Qtde],super1[Item],tab_higiene[[#This Row],[Item]],super1[Bairro],mercado6)+SUMIFS(supercb[Qtde],supercb[Item],tab_higiene[[#This Row],[Item]],supercb[Bairro],mercado6)</f>
        <v>0</v>
      </c>
      <c r="AQ81" s="27" t="n">
        <f aca="false">SUMIFS(super1[Qtde],super1[Item],tab_higiene[[#This Row],[Item]],super1[Bairro],mercado7)+SUMIFS(supercb[Qtde],supercb[Item],tab_higiene[[#This Row],[Item]],supercb[Bairro],mercado7)</f>
        <v>0</v>
      </c>
      <c r="AR81" s="27" t="n">
        <f aca="false">SUMIFS(super1[Qtde],super1[Item],tab_higiene[[#This Row],[Item]],super1[Bairro],mercado8)+SUMIFS(supercb[Qtde],supercb[Item],tab_higiene[[#This Row],[Item]],supercb[Bairro],mercado8)</f>
        <v>0</v>
      </c>
      <c r="AS81" s="27" t="n">
        <f aca="false">SUMIFS(super1[Qtde],super1[Item],tab_higiene[[#This Row],[Item]],super1[Bairro],mercado9)+SUMIFS(supercb[Qtde],supercb[Item],tab_higiene[[#This Row],[Item]],supercb[Bairro],mercado9)</f>
        <v>0</v>
      </c>
      <c r="AT81" s="27" t="n">
        <f aca="false">SUMIFS(super1[Qtde],super1[Item],tab_higiene[[#This Row],[Item]],super1[Bairro],mercado10)+SUMIFS(supercb[Qtde],supercb[Item],tab_higiene[[#This Row],[Item]],supercb[Bairro],mercado10)</f>
        <v>0</v>
      </c>
      <c r="AU81" s="27" t="n">
        <f aca="false">SUMIFS(super1[Qtde],super1[Item],tab_higiene[[#This Row],[Item]],super1[Bairro],mercado11)+SUMIFS(supercb[Qtde],supercb[Item],tab_higiene[[#This Row],[Item]],supercb[Bairro],mercado11)</f>
        <v>0</v>
      </c>
      <c r="AV81" s="27" t="n">
        <f aca="false">SUMIFS(super1[Qtde],super1[Item],tab_higiene[[#This Row],[Item]],super1[Bairro],mercado12)+SUMIFS(supercb[Qtde],supercb[Item],tab_higiene[[#This Row],[Item]],supercb[Bairro],mercado12)</f>
        <v>0</v>
      </c>
      <c r="AW81" s="27" t="n">
        <f aca="false">SUMIFS(super1[Qtde],super1[Item],tab_higiene[[#This Row],[Item]],super1[Bairro],mercado13)+SUMIFS(supercb[Qtde],supercb[Item],tab_higiene[[#This Row],[Item]],supercb[Bairro],mercado13)</f>
        <v>0</v>
      </c>
      <c r="AX81" s="27" t="n">
        <f aca="false">SUMIFS(super1[Qtde],super1[Item],tab_higiene[[#This Row],[Item]],super1[Bairro],mercado14)+SUMIFS(supercb[Qtde],supercb[Item],tab_higiene[[#This Row],[Item]],supercb[Bairro],mercado14)</f>
        <v>0</v>
      </c>
      <c r="AY81" s="27" t="n">
        <f aca="false">SUMIFS(super1[Qtde],super1[Item],tab_higiene[[#This Row],[Item]],super1[Bairro],mercado15)+SUMIFS(supercb[Qtde],supercb[Item],tab_higiene[[#This Row],[Item]],supercb[Bairro],mercado15)</f>
        <v>0</v>
      </c>
      <c r="AZ81" s="27" t="n">
        <f aca="false">SUMIFS(super1[Qtde],super1[Item],tab_higiene[[#This Row],[Item]],super1[Bairro],mercado16)+SUMIFS(supercb[Qtde],supercb[Item],tab_higiene[[#This Row],[Item]],supercb[Bairro],mercado16)</f>
        <v>0</v>
      </c>
      <c r="BA81" s="27" t="n">
        <f aca="false">SUMIFS(super1[Qtde],super1[Item],tab_higiene[[#This Row],[Item]],super1[Bairro],mercado17)+SUMIFS(supercb[Qtde],supercb[Item],tab_higiene[[#This Row],[Item]],supercb[Bairro],mercado17)</f>
        <v>0</v>
      </c>
      <c r="BB81" s="27" t="n">
        <f aca="false">SUMIFS(super1[Qtde],super1[Item],tab_higiene[[#This Row],[Item]],super1[Bairro],mercado18)+SUMIFS(supercb[Qtde],supercb[Item],tab_higiene[[#This Row],[Item]],supercb[Bairro],mercado18)</f>
        <v>0</v>
      </c>
      <c r="BC81" s="27" t="n">
        <f aca="false">SUMIFS(super1[Qtde],super1[Item],tab_higiene[[#This Row],[Item]],super1[Bairro],extras)+SUMIFS(supercb[Qtde],supercb[Item],tab_higiene[[#This Row],[Item]],supercb[Bairro],extras)</f>
        <v>0</v>
      </c>
      <c r="BD81" s="27" t="n">
        <f aca="false">SUM(AK81:BB81)</f>
        <v>0</v>
      </c>
      <c r="BE81" s="27" t="n">
        <f aca="false">IFERROR(BD81*AJ81,0)</f>
        <v>0</v>
      </c>
      <c r="BF81" s="28" t="n">
        <f aca="false">IFERROR(AI81*BD81,0)</f>
        <v>0</v>
      </c>
      <c r="BI81" s="22" t="str">
        <f aca="false">tab_alimentos[[#This Row],[Item]]</f>
        <v>Cevada</v>
      </c>
      <c r="BJ81" s="22" t="n">
        <f aca="false">IFERROR(FIND(" (",BI81),0)</f>
        <v>0</v>
      </c>
      <c r="BK81" s="22" t="str">
        <f aca="false">IF(BJ81=0,BI81,LEFT(BI81,BJ81-1))</f>
        <v>Cevada</v>
      </c>
      <c r="BL81" s="22" t="n">
        <f aca="false">tab_alimentos[[#This Row],[kg]]</f>
        <v>0</v>
      </c>
      <c r="BM81" s="32" t="s">
        <v>370</v>
      </c>
      <c r="BN81" s="22" t="n">
        <f aca="false">SUMIF($BJ$5:$BJ$158,BM81,$BK$5:$BK$158)</f>
        <v>0</v>
      </c>
      <c r="BP81" s="22" t="str">
        <f aca="false">tab_higiene[[#This Row],[Item]]</f>
        <v>Fosforo</v>
      </c>
      <c r="BQ81" s="22" t="n">
        <f aca="false">IFERROR(FIND(" (",BP81),0)</f>
        <v>0</v>
      </c>
      <c r="BR81" s="22" t="str">
        <f aca="false">IF(BQ81=0,BP81,LEFT(BP81,BQ81-1))</f>
        <v>Fosforo</v>
      </c>
      <c r="BS81" s="22" t="n">
        <f aca="false">higiene[[#This Row],[Quantidade]]</f>
        <v>30</v>
      </c>
      <c r="BT81" s="22" t="n">
        <f aca="false">tab_higiene[Qtde (tot)]</f>
        <v>0</v>
      </c>
      <c r="BU81" s="22" t="n">
        <f aca="false">BS81*BT81</f>
        <v>0</v>
      </c>
      <c r="BW81" s="22" t="n">
        <f aca="false">SUMIF($BR$5:$BR$142,BV81,$BU$5:$BU$142)</f>
        <v>0</v>
      </c>
    </row>
    <row r="82" customFormat="false" ht="15" hidden="false" customHeight="false" outlineLevel="0" collapsed="false">
      <c r="I82" s="26" t="str">
        <f aca="false">alimentos[[#This Row],[Item]]</f>
        <v>Chá (100g)</v>
      </c>
      <c r="J82" s="27" t="n">
        <f aca="false">IFERROR(alimentos[[#This Row],[kg/embalagem]],0)</f>
        <v>0.1</v>
      </c>
      <c r="K82" s="27" t="n">
        <f aca="false">IFERROR(alimentos[[#This Row],[Preço]],0)</f>
        <v>7.99</v>
      </c>
      <c r="L82" s="27" t="n">
        <f aca="false">SUMIFS(super1[Qtde],super1[Item],tab_alimentos[[#This Row],[Item]],super1[Bairro],mercado1)+SUMIFS(supercb[Qtde],supercb[Item],tab_alimentos[[#This Row],[Item]],supercb[Bairro],mercado1)</f>
        <v>0</v>
      </c>
      <c r="M82" s="27" t="n">
        <f aca="false">SUMIFS(super1[Qtde],super1[Item],tab_alimentos[[#This Row],[Item]],super1[Bairro],mercado2)+SUMIFS(supercb[Qtde],supercb[Item],tab_alimentos[[#This Row],[Item]],supercb[Bairro],mercado2)</f>
        <v>0</v>
      </c>
      <c r="N82" s="27" t="n">
        <f aca="false">SUMIFS(super1[Qtde],super1[Item],tab_alimentos[[#This Row],[Item]],super1[Bairro],mercado3)+SUMIFS(supercb[Qtde],supercb[Item],tab_alimentos[[#This Row],[Item]],supercb[Bairro],mercado3)</f>
        <v>0</v>
      </c>
      <c r="O82" s="27" t="n">
        <f aca="false">SUMIFS(super1[Qtde],super1[Item],tab_alimentos[[#This Row],[Item]],super1[Bairro],mercado4)+SUMIFS(supercb[Qtde],supercb[Item],tab_alimentos[[#This Row],[Item]],supercb[Bairro],mercado4)</f>
        <v>0</v>
      </c>
      <c r="P82" s="27" t="n">
        <f aca="false">SUMIFS(super1[Qtde],super1[Item],tab_alimentos[[#This Row],[Item]],super1[Bairro],mercado5)+SUMIFS(supercb[Qtde],supercb[Item],tab_alimentos[[#This Row],[Item]],supercb[Bairro],mercado5)</f>
        <v>0</v>
      </c>
      <c r="Q82" s="27" t="n">
        <f aca="false">SUMIFS(super1[Qtde],super1[Item],tab_alimentos[[#This Row],[Item]],super1[Bairro],mercado6)+SUMIFS(supercb[Qtde],supercb[Item],tab_alimentos[[#This Row],[Item]],supercb[Bairro],mercado6)</f>
        <v>0</v>
      </c>
      <c r="R82" s="27" t="n">
        <f aca="false">SUMIFS(super1[Qtde],super1[Item],tab_alimentos[[#This Row],[Item]],super1[Bairro],mercado7)+SUMIFS(supercb[Qtde],supercb[Item],tab_alimentos[[#This Row],[Item]],supercb[Bairro],mercado7)</f>
        <v>0</v>
      </c>
      <c r="S82" s="27" t="n">
        <f aca="false">SUMIFS(super1[Qtde],super1[Item],tab_alimentos[[#This Row],[Item]],super1[Bairro],mercado8)+SUMIFS(supercb[Qtde],supercb[Item],tab_alimentos[[#This Row],[Item]],supercb[Bairro],mercado8)</f>
        <v>0</v>
      </c>
      <c r="T82" s="27" t="n">
        <f aca="false">SUMIFS(super1[Qtde],super1[Item],tab_alimentos[[#This Row],[Item]],super1[Bairro],mercado9)+SUMIFS(supercb[Qtde],supercb[Item],tab_alimentos[[#This Row],[Item]],supercb[Bairro],mercado9)</f>
        <v>0</v>
      </c>
      <c r="U82" s="27" t="n">
        <f aca="false">SUMIFS(super1[Qtde],super1[Item],tab_alimentos[[#This Row],[Item]],super1[Bairro],mercado10)+SUMIFS(supercb[Qtde],supercb[Item],tab_alimentos[[#This Row],[Item]],supercb[Bairro],mercado10)</f>
        <v>0</v>
      </c>
      <c r="V82" s="27" t="n">
        <f aca="false">SUMIFS(super1[Qtde],super1[Item],tab_alimentos[[#This Row],[Item]],super1[Bairro],mercado11)+SUMIFS(supercb[Qtde],supercb[Item],tab_alimentos[[#This Row],[Item]],supercb[Bairro],mercado11)</f>
        <v>0</v>
      </c>
      <c r="W82" s="27" t="n">
        <f aca="false">SUMIFS(super1[Qtde],super1[Item],tab_alimentos[[#This Row],[Item]],super1[Bairro],mercado12)+SUMIFS(supercb[Qtde],supercb[Item],tab_alimentos[[#This Row],[Item]],supercb[Bairro],mercado12)</f>
        <v>0</v>
      </c>
      <c r="X82" s="27" t="n">
        <f aca="false">SUMIFS(super1[Qtde],super1[Item],tab_alimentos[[#This Row],[Item]],super1[Bairro],mercado13)+SUMIFS(supercb[Qtde],supercb[Item],tab_alimentos[[#This Row],[Item]],supercb[Bairro],mercado13)</f>
        <v>0</v>
      </c>
      <c r="Y82" s="27" t="n">
        <f aca="false">SUMIFS(super1[Qtde],super1[Item],tab_alimentos[[#This Row],[Item]],super1[Bairro],mercado14)+SUMIFS(supercb[Qtde],supercb[Item],tab_alimentos[[#This Row],[Item]],supercb[Bairro],mercado14)</f>
        <v>0</v>
      </c>
      <c r="Z82" s="27" t="n">
        <f aca="false">SUMIFS(super1[Qtde],super1[Item],tab_alimentos[[#This Row],[Item]],super1[Bairro],mercado15)+SUMIFS(supercb[Qtde],supercb[Item],tab_alimentos[[#This Row],[Item]],supercb[Bairro],mercado15)</f>
        <v>0</v>
      </c>
      <c r="AA82" s="27" t="n">
        <f aca="false">SUMIFS(super1[Qtde],super1[Item],tab_alimentos[[#This Row],[Item]],super1[Bairro],mercado16)+SUMIFS(supercb[Qtde],supercb[Item],tab_alimentos[[#This Row],[Item]],supercb[Bairro],mercado16)</f>
        <v>0</v>
      </c>
      <c r="AB82" s="27" t="n">
        <f aca="false">SUMIFS(super1[Qtde],super1[Item],tab_alimentos[[#This Row],[Item]],super1[Bairro],mercado17)+SUMIFS(supercb[Qtde],supercb[Item],tab_alimentos[[#This Row],[Item]],supercb[Bairro],mercado17)</f>
        <v>0</v>
      </c>
      <c r="AC82" s="27" t="n">
        <f aca="false">SUMIFS(super1[Qtde],super1[Item],tab_alimentos[[#This Row],[Item]],super1[Bairro],mercado18)+SUMIFS(supercb[Qtde],supercb[Item],tab_alimentos[[#This Row],[Item]],supercb[Bairro],mercado18)</f>
        <v>0</v>
      </c>
      <c r="AD82" s="27" t="n">
        <f aca="false">SUMIFS(super1[Qtde],super1[Item],tab_alimentos[[#This Row],[Item]],super1[Bairro],extras)+SUMIFS(supercb[Qtde],supercb[Item],tab_alimentos[[#This Row],[Item]],supercb[Bairro],extras)</f>
        <v>0</v>
      </c>
      <c r="AE82" s="27" t="n">
        <f aca="false">SUM(L82:AC82)</f>
        <v>0</v>
      </c>
      <c r="AF82" s="27" t="n">
        <f aca="false">IFERROR(AE82*K82,0)</f>
        <v>0</v>
      </c>
      <c r="AG82" s="28" t="n">
        <f aca="false">IFERROR(J82*AE82,0)</f>
        <v>0</v>
      </c>
      <c r="AH82" s="26" t="str">
        <f aca="false">higiene[[#This Row],[Item]]</f>
        <v>Fósforo (10 caixas x 40 un)</v>
      </c>
      <c r="AI82" s="27" t="n">
        <f aca="false">IFERROR(higiene[[#This Row],[Kg equivalente]],0)</f>
        <v>1.10644437930557</v>
      </c>
      <c r="AJ82" s="27" t="n">
        <f aca="false">IFERROR(higiene[[#This Row],[Preço por produto]],0)</f>
        <v>3.665</v>
      </c>
      <c r="AK82" s="27" t="n">
        <f aca="false">SUMIFS(super1[Qtde],super1[Item],tab_higiene[[#This Row],[Item]],super1[Bairro],mercado1)+SUMIFS(supercb[Qtde],supercb[Item],tab_higiene[[#This Row],[Item]],supercb[Bairro],mercado1)</f>
        <v>0</v>
      </c>
      <c r="AL82" s="27" t="n">
        <f aca="false">SUMIFS(super1[Qtde],super1[Item],tab_higiene[[#This Row],[Item]],super1[Bairro],mercado2)+SUMIFS(supercb[Qtde],supercb[Item],tab_higiene[[#This Row],[Item]],supercb[Bairro],mercado2)</f>
        <v>0</v>
      </c>
      <c r="AM82" s="27" t="n">
        <f aca="false">SUMIFS(super1[Qtde],super1[Item],tab_higiene[[#This Row],[Item]],super1[Bairro],mercado3)+SUMIFS(supercb[Qtde],supercb[Item],tab_higiene[[#This Row],[Item]],supercb[Bairro],mercado3)</f>
        <v>0</v>
      </c>
      <c r="AN82" s="27" t="n">
        <f aca="false">SUMIFS(super1[Qtde],super1[Item],tab_higiene[[#This Row],[Item]],super1[Bairro],mercado4)+SUMIFS(supercb[Qtde],supercb[Item],tab_higiene[[#This Row],[Item]],supercb[Bairro],mercado4)</f>
        <v>0</v>
      </c>
      <c r="AO82" s="27" t="n">
        <f aca="false">SUMIFS(super1[Qtde],super1[Item],tab_higiene[[#This Row],[Item]],super1[Bairro],mercado5)+SUMIFS(supercb[Qtde],supercb[Item],tab_higiene[[#This Row],[Item]],supercb[Bairro],mercado5)</f>
        <v>0</v>
      </c>
      <c r="AP82" s="27" t="n">
        <f aca="false">SUMIFS(super1[Qtde],super1[Item],tab_higiene[[#This Row],[Item]],super1[Bairro],mercado6)+SUMIFS(supercb[Qtde],supercb[Item],tab_higiene[[#This Row],[Item]],supercb[Bairro],mercado6)</f>
        <v>0</v>
      </c>
      <c r="AQ82" s="27" t="n">
        <f aca="false">SUMIFS(super1[Qtde],super1[Item],tab_higiene[[#This Row],[Item]],super1[Bairro],mercado7)+SUMIFS(supercb[Qtde],supercb[Item],tab_higiene[[#This Row],[Item]],supercb[Bairro],mercado7)</f>
        <v>0</v>
      </c>
      <c r="AR82" s="27" t="n">
        <f aca="false">SUMIFS(super1[Qtde],super1[Item],tab_higiene[[#This Row],[Item]],super1[Bairro],mercado8)+SUMIFS(supercb[Qtde],supercb[Item],tab_higiene[[#This Row],[Item]],supercb[Bairro],mercado8)</f>
        <v>0</v>
      </c>
      <c r="AS82" s="27" t="n">
        <f aca="false">SUMIFS(super1[Qtde],super1[Item],tab_higiene[[#This Row],[Item]],super1[Bairro],mercado9)+SUMIFS(supercb[Qtde],supercb[Item],tab_higiene[[#This Row],[Item]],supercb[Bairro],mercado9)</f>
        <v>1</v>
      </c>
      <c r="AT82" s="27" t="n">
        <f aca="false">SUMIFS(super1[Qtde],super1[Item],tab_higiene[[#This Row],[Item]],super1[Bairro],mercado10)+SUMIFS(supercb[Qtde],supercb[Item],tab_higiene[[#This Row],[Item]],supercb[Bairro],mercado10)</f>
        <v>0</v>
      </c>
      <c r="AU82" s="27" t="n">
        <f aca="false">SUMIFS(super1[Qtde],super1[Item],tab_higiene[[#This Row],[Item]],super1[Bairro],mercado11)+SUMIFS(supercb[Qtde],supercb[Item],tab_higiene[[#This Row],[Item]],supercb[Bairro],mercado11)</f>
        <v>0</v>
      </c>
      <c r="AV82" s="27" t="n">
        <f aca="false">SUMIFS(super1[Qtde],super1[Item],tab_higiene[[#This Row],[Item]],super1[Bairro],mercado12)+SUMIFS(supercb[Qtde],supercb[Item],tab_higiene[[#This Row],[Item]],supercb[Bairro],mercado12)</f>
        <v>0</v>
      </c>
      <c r="AW82" s="27" t="n">
        <f aca="false">SUMIFS(super1[Qtde],super1[Item],tab_higiene[[#This Row],[Item]],super1[Bairro],mercado13)+SUMIFS(supercb[Qtde],supercb[Item],tab_higiene[[#This Row],[Item]],supercb[Bairro],mercado13)</f>
        <v>1</v>
      </c>
      <c r="AX82" s="27" t="n">
        <f aca="false">SUMIFS(super1[Qtde],super1[Item],tab_higiene[[#This Row],[Item]],super1[Bairro],mercado14)+SUMIFS(supercb[Qtde],supercb[Item],tab_higiene[[#This Row],[Item]],supercb[Bairro],mercado14)</f>
        <v>0</v>
      </c>
      <c r="AY82" s="27" t="n">
        <f aca="false">SUMIFS(super1[Qtde],super1[Item],tab_higiene[[#This Row],[Item]],super1[Bairro],mercado15)+SUMIFS(supercb[Qtde],supercb[Item],tab_higiene[[#This Row],[Item]],supercb[Bairro],mercado15)</f>
        <v>0</v>
      </c>
      <c r="AZ82" s="27" t="n">
        <f aca="false">SUMIFS(super1[Qtde],super1[Item],tab_higiene[[#This Row],[Item]],super1[Bairro],mercado16)+SUMIFS(supercb[Qtde],supercb[Item],tab_higiene[[#This Row],[Item]],supercb[Bairro],mercado16)</f>
        <v>0</v>
      </c>
      <c r="BA82" s="27" t="n">
        <f aca="false">SUMIFS(super1[Qtde],super1[Item],tab_higiene[[#This Row],[Item]],super1[Bairro],mercado17)+SUMIFS(supercb[Qtde],supercb[Item],tab_higiene[[#This Row],[Item]],supercb[Bairro],mercado17)</f>
        <v>0</v>
      </c>
      <c r="BB82" s="27" t="n">
        <f aca="false">SUMIFS(super1[Qtde],super1[Item],tab_higiene[[#This Row],[Item]],super1[Bairro],mercado18)+SUMIFS(supercb[Qtde],supercb[Item],tab_higiene[[#This Row],[Item]],supercb[Bairro],mercado18)</f>
        <v>0</v>
      </c>
      <c r="BC82" s="27" t="n">
        <f aca="false">SUMIFS(super1[Qtde],super1[Item],tab_higiene[[#This Row],[Item]],super1[Bairro],extras)+SUMIFS(supercb[Qtde],supercb[Item],tab_higiene[[#This Row],[Item]],supercb[Bairro],extras)</f>
        <v>0</v>
      </c>
      <c r="BD82" s="27" t="n">
        <f aca="false">SUM(AK82:BB82)</f>
        <v>2</v>
      </c>
      <c r="BE82" s="27" t="n">
        <f aca="false">IFERROR(BD82*AJ82,0)</f>
        <v>7.33</v>
      </c>
      <c r="BF82" s="28" t="n">
        <f aca="false">IFERROR(AI82*BD82,0)</f>
        <v>2.21288875861115</v>
      </c>
      <c r="BI82" s="22" t="str">
        <f aca="false">tab_alimentos[[#This Row],[Item]]</f>
        <v>Chá (100g)</v>
      </c>
      <c r="BJ82" s="22" t="n">
        <f aca="false">IFERROR(FIND(" (",BI82),0)</f>
        <v>4</v>
      </c>
      <c r="BK82" s="22" t="str">
        <f aca="false">IF(BJ82=0,BI82,LEFT(BI82,BJ82-1))</f>
        <v>Chá</v>
      </c>
      <c r="BL82" s="22" t="n">
        <f aca="false">tab_alimentos[[#This Row],[kg]]</f>
        <v>0</v>
      </c>
      <c r="BM82" s="0" t="s">
        <v>371</v>
      </c>
      <c r="BN82" s="22" t="n">
        <f aca="false">SUMIF($BJ$5:$BJ$158,BM82,$BK$5:$BK$158)</f>
        <v>0</v>
      </c>
      <c r="BP82" s="22" t="str">
        <f aca="false">tab_higiene[[#This Row],[Item]]</f>
        <v>Fósforo (10 caixas x 40 un)</v>
      </c>
      <c r="BQ82" s="22" t="n">
        <f aca="false">IFERROR(FIND(" (",BP82),0)</f>
        <v>8</v>
      </c>
      <c r="BR82" s="22" t="str">
        <f aca="false">IF(BQ82=0,BP82,LEFT(BP82,BQ82-1))</f>
        <v>Fósforo</v>
      </c>
      <c r="BS82" s="22" t="n">
        <f aca="false">higiene[[#This Row],[Quantidade]]</f>
        <v>32</v>
      </c>
      <c r="BT82" s="22" t="n">
        <f aca="false">tab_higiene[Qtde (tot)]</f>
        <v>2</v>
      </c>
      <c r="BU82" s="22" t="n">
        <f aca="false">BS82*BT82</f>
        <v>64</v>
      </c>
      <c r="BW82" s="22" t="n">
        <f aca="false">SUMIF($BR$5:$BR$142,BV82,$BU$5:$BU$142)</f>
        <v>0</v>
      </c>
    </row>
    <row r="83" customFormat="false" ht="15" hidden="false" customHeight="false" outlineLevel="0" collapsed="false">
      <c r="I83" s="26" t="str">
        <f aca="false">alimentos[[#This Row],[Item]]</f>
        <v>Chá (10un)</v>
      </c>
      <c r="J83" s="27" t="n">
        <f aca="false">IFERROR(alimentos[[#This Row],[kg/embalagem]],0)</f>
        <v>0.1</v>
      </c>
      <c r="K83" s="27" t="n">
        <f aca="false">IFERROR(alimentos[[#This Row],[Preço]],0)</f>
        <v>4.04166666666667</v>
      </c>
      <c r="L83" s="27" t="n">
        <f aca="false">SUMIFS(super1[Qtde],super1[Item],tab_alimentos[[#This Row],[Item]],super1[Bairro],mercado1)+SUMIFS(supercb[Qtde],supercb[Item],tab_alimentos[[#This Row],[Item]],supercb[Bairro],mercado1)</f>
        <v>0</v>
      </c>
      <c r="M83" s="27" t="n">
        <f aca="false">SUMIFS(super1[Qtde],super1[Item],tab_alimentos[[#This Row],[Item]],super1[Bairro],mercado2)+SUMIFS(supercb[Qtde],supercb[Item],tab_alimentos[[#This Row],[Item]],supercb[Bairro],mercado2)</f>
        <v>0</v>
      </c>
      <c r="N83" s="27" t="n">
        <f aca="false">SUMIFS(super1[Qtde],super1[Item],tab_alimentos[[#This Row],[Item]],super1[Bairro],mercado3)+SUMIFS(supercb[Qtde],supercb[Item],tab_alimentos[[#This Row],[Item]],supercb[Bairro],mercado3)</f>
        <v>0</v>
      </c>
      <c r="O83" s="27" t="n">
        <f aca="false">SUMIFS(super1[Qtde],super1[Item],tab_alimentos[[#This Row],[Item]],super1[Bairro],mercado4)+SUMIFS(supercb[Qtde],supercb[Item],tab_alimentos[[#This Row],[Item]],supercb[Bairro],mercado4)</f>
        <v>0</v>
      </c>
      <c r="P83" s="27" t="n">
        <f aca="false">SUMIFS(super1[Qtde],super1[Item],tab_alimentos[[#This Row],[Item]],super1[Bairro],mercado5)+SUMIFS(supercb[Qtde],supercb[Item],tab_alimentos[[#This Row],[Item]],supercb[Bairro],mercado5)</f>
        <v>0</v>
      </c>
      <c r="Q83" s="27" t="n">
        <f aca="false">SUMIFS(super1[Qtde],super1[Item],tab_alimentos[[#This Row],[Item]],super1[Bairro],mercado6)+SUMIFS(supercb[Qtde],supercb[Item],tab_alimentos[[#This Row],[Item]],supercb[Bairro],mercado6)</f>
        <v>0</v>
      </c>
      <c r="R83" s="27" t="n">
        <f aca="false">SUMIFS(super1[Qtde],super1[Item],tab_alimentos[[#This Row],[Item]],super1[Bairro],mercado7)+SUMIFS(supercb[Qtde],supercb[Item],tab_alimentos[[#This Row],[Item]],supercb[Bairro],mercado7)</f>
        <v>0</v>
      </c>
      <c r="S83" s="27" t="n">
        <f aca="false">SUMIFS(super1[Qtde],super1[Item],tab_alimentos[[#This Row],[Item]],super1[Bairro],mercado8)+SUMIFS(supercb[Qtde],supercb[Item],tab_alimentos[[#This Row],[Item]],supercb[Bairro],mercado8)</f>
        <v>0</v>
      </c>
      <c r="T83" s="27" t="n">
        <f aca="false">SUMIFS(super1[Qtde],super1[Item],tab_alimentos[[#This Row],[Item]],super1[Bairro],mercado9)+SUMIFS(supercb[Qtde],supercb[Item],tab_alimentos[[#This Row],[Item]],supercb[Bairro],mercado9)</f>
        <v>0</v>
      </c>
      <c r="U83" s="27" t="n">
        <f aca="false">SUMIFS(super1[Qtde],super1[Item],tab_alimentos[[#This Row],[Item]],super1[Bairro],mercado10)+SUMIFS(supercb[Qtde],supercb[Item],tab_alimentos[[#This Row],[Item]],supercb[Bairro],mercado10)</f>
        <v>0</v>
      </c>
      <c r="V83" s="27" t="n">
        <f aca="false">SUMIFS(super1[Qtde],super1[Item],tab_alimentos[[#This Row],[Item]],super1[Bairro],mercado11)+SUMIFS(supercb[Qtde],supercb[Item],tab_alimentos[[#This Row],[Item]],supercb[Bairro],mercado11)</f>
        <v>0</v>
      </c>
      <c r="W83" s="27" t="n">
        <f aca="false">SUMIFS(super1[Qtde],super1[Item],tab_alimentos[[#This Row],[Item]],super1[Bairro],mercado12)+SUMIFS(supercb[Qtde],supercb[Item],tab_alimentos[[#This Row],[Item]],supercb[Bairro],mercado12)</f>
        <v>0</v>
      </c>
      <c r="X83" s="27" t="n">
        <f aca="false">SUMIFS(super1[Qtde],super1[Item],tab_alimentos[[#This Row],[Item]],super1[Bairro],mercado13)+SUMIFS(supercb[Qtde],supercb[Item],tab_alimentos[[#This Row],[Item]],supercb[Bairro],mercado13)</f>
        <v>0</v>
      </c>
      <c r="Y83" s="27" t="n">
        <f aca="false">SUMIFS(super1[Qtde],super1[Item],tab_alimentos[[#This Row],[Item]],super1[Bairro],mercado14)+SUMIFS(supercb[Qtde],supercb[Item],tab_alimentos[[#This Row],[Item]],supercb[Bairro],mercado14)</f>
        <v>0</v>
      </c>
      <c r="Z83" s="27" t="n">
        <f aca="false">SUMIFS(super1[Qtde],super1[Item],tab_alimentos[[#This Row],[Item]],super1[Bairro],mercado15)+SUMIFS(supercb[Qtde],supercb[Item],tab_alimentos[[#This Row],[Item]],supercb[Bairro],mercado15)</f>
        <v>0</v>
      </c>
      <c r="AA83" s="27" t="n">
        <f aca="false">SUMIFS(super1[Qtde],super1[Item],tab_alimentos[[#This Row],[Item]],super1[Bairro],mercado16)+SUMIFS(supercb[Qtde],supercb[Item],tab_alimentos[[#This Row],[Item]],supercb[Bairro],mercado16)</f>
        <v>0</v>
      </c>
      <c r="AB83" s="27" t="n">
        <f aca="false">SUMIFS(super1[Qtde],super1[Item],tab_alimentos[[#This Row],[Item]],super1[Bairro],mercado17)+SUMIFS(supercb[Qtde],supercb[Item],tab_alimentos[[#This Row],[Item]],supercb[Bairro],mercado17)</f>
        <v>0</v>
      </c>
      <c r="AC83" s="27" t="n">
        <f aca="false">SUMIFS(super1[Qtde],super1[Item],tab_alimentos[[#This Row],[Item]],super1[Bairro],mercado18)+SUMIFS(supercb[Qtde],supercb[Item],tab_alimentos[[#This Row],[Item]],supercb[Bairro],mercado18)</f>
        <v>0</v>
      </c>
      <c r="AD83" s="27" t="n">
        <f aca="false">SUMIFS(super1[Qtde],super1[Item],tab_alimentos[[#This Row],[Item]],super1[Bairro],extras)+SUMIFS(supercb[Qtde],supercb[Item],tab_alimentos[[#This Row],[Item]],supercb[Bairro],extras)</f>
        <v>0</v>
      </c>
      <c r="AE83" s="27" t="n">
        <f aca="false">SUM(L83:AC83)</f>
        <v>0</v>
      </c>
      <c r="AF83" s="27" t="n">
        <f aca="false">IFERROR(AE83*K83,0)</f>
        <v>0</v>
      </c>
      <c r="AG83" s="28" t="n">
        <f aca="false">IFERROR(J83*AE83,0)</f>
        <v>0</v>
      </c>
      <c r="AH83" s="26" t="str">
        <f aca="false">higiene[[#This Row],[Item]]</f>
        <v>Fosforo (200un)</v>
      </c>
      <c r="AI83" s="27" t="n">
        <f aca="false">IFERROR(higiene[[#This Row],[Kg equivalente]],0)</f>
        <v>1.13009280396558</v>
      </c>
      <c r="AJ83" s="27" t="n">
        <f aca="false">IFERROR(higiene[[#This Row],[Preço por produto]],0)</f>
        <v>3.74333333333333</v>
      </c>
      <c r="AK83" s="27" t="n">
        <f aca="false">SUMIFS(super1[Qtde],super1[Item],tab_higiene[[#This Row],[Item]],super1[Bairro],mercado1)+SUMIFS(supercb[Qtde],supercb[Item],tab_higiene[[#This Row],[Item]],supercb[Bairro],mercado1)</f>
        <v>0</v>
      </c>
      <c r="AL83" s="27" t="n">
        <f aca="false">SUMIFS(super1[Qtde],super1[Item],tab_higiene[[#This Row],[Item]],super1[Bairro],mercado2)+SUMIFS(supercb[Qtde],supercb[Item],tab_higiene[[#This Row],[Item]],supercb[Bairro],mercado2)</f>
        <v>0</v>
      </c>
      <c r="AM83" s="27" t="n">
        <f aca="false">SUMIFS(super1[Qtde],super1[Item],tab_higiene[[#This Row],[Item]],super1[Bairro],mercado3)+SUMIFS(supercb[Qtde],supercb[Item],tab_higiene[[#This Row],[Item]],supercb[Bairro],mercado3)</f>
        <v>0</v>
      </c>
      <c r="AN83" s="27" t="n">
        <f aca="false">SUMIFS(super1[Qtde],super1[Item],tab_higiene[[#This Row],[Item]],super1[Bairro],mercado4)+SUMIFS(supercb[Qtde],supercb[Item],tab_higiene[[#This Row],[Item]],supercb[Bairro],mercado4)</f>
        <v>0</v>
      </c>
      <c r="AO83" s="27" t="n">
        <f aca="false">SUMIFS(super1[Qtde],super1[Item],tab_higiene[[#This Row],[Item]],super1[Bairro],mercado5)+SUMIFS(supercb[Qtde],supercb[Item],tab_higiene[[#This Row],[Item]],supercb[Bairro],mercado5)</f>
        <v>0</v>
      </c>
      <c r="AP83" s="27" t="n">
        <f aca="false">SUMIFS(super1[Qtde],super1[Item],tab_higiene[[#This Row],[Item]],super1[Bairro],mercado6)+SUMIFS(supercb[Qtde],supercb[Item],tab_higiene[[#This Row],[Item]],supercb[Bairro],mercado6)</f>
        <v>0</v>
      </c>
      <c r="AQ83" s="27" t="n">
        <f aca="false">SUMIFS(super1[Qtde],super1[Item],tab_higiene[[#This Row],[Item]],super1[Bairro],mercado7)+SUMIFS(supercb[Qtde],supercb[Item],tab_higiene[[#This Row],[Item]],supercb[Bairro],mercado7)</f>
        <v>0</v>
      </c>
      <c r="AR83" s="27" t="n">
        <f aca="false">SUMIFS(super1[Qtde],super1[Item],tab_higiene[[#This Row],[Item]],super1[Bairro],mercado8)+SUMIFS(supercb[Qtde],supercb[Item],tab_higiene[[#This Row],[Item]],supercb[Bairro],mercado8)</f>
        <v>0</v>
      </c>
      <c r="AS83" s="27" t="n">
        <f aca="false">SUMIFS(super1[Qtde],super1[Item],tab_higiene[[#This Row],[Item]],super1[Bairro],mercado9)+SUMIFS(supercb[Qtde],supercb[Item],tab_higiene[[#This Row],[Item]],supercb[Bairro],mercado9)</f>
        <v>0</v>
      </c>
      <c r="AT83" s="27" t="n">
        <f aca="false">SUMIFS(super1[Qtde],super1[Item],tab_higiene[[#This Row],[Item]],super1[Bairro],mercado10)+SUMIFS(supercb[Qtde],supercb[Item],tab_higiene[[#This Row],[Item]],supercb[Bairro],mercado10)</f>
        <v>0</v>
      </c>
      <c r="AU83" s="27" t="n">
        <f aca="false">SUMIFS(super1[Qtde],super1[Item],tab_higiene[[#This Row],[Item]],super1[Bairro],mercado11)+SUMIFS(supercb[Qtde],supercb[Item],tab_higiene[[#This Row],[Item]],supercb[Bairro],mercado11)</f>
        <v>0</v>
      </c>
      <c r="AV83" s="27" t="n">
        <f aca="false">SUMIFS(super1[Qtde],super1[Item],tab_higiene[[#This Row],[Item]],super1[Bairro],mercado12)+SUMIFS(supercb[Qtde],supercb[Item],tab_higiene[[#This Row],[Item]],supercb[Bairro],mercado12)</f>
        <v>0</v>
      </c>
      <c r="AW83" s="27" t="n">
        <f aca="false">SUMIFS(super1[Qtde],super1[Item],tab_higiene[[#This Row],[Item]],super1[Bairro],mercado13)+SUMIFS(supercb[Qtde],supercb[Item],tab_higiene[[#This Row],[Item]],supercb[Bairro],mercado13)</f>
        <v>0</v>
      </c>
      <c r="AX83" s="27" t="n">
        <f aca="false">SUMIFS(super1[Qtde],super1[Item],tab_higiene[[#This Row],[Item]],super1[Bairro],mercado14)+SUMIFS(supercb[Qtde],supercb[Item],tab_higiene[[#This Row],[Item]],supercb[Bairro],mercado14)</f>
        <v>0</v>
      </c>
      <c r="AY83" s="27" t="n">
        <f aca="false">SUMIFS(super1[Qtde],super1[Item],tab_higiene[[#This Row],[Item]],super1[Bairro],mercado15)+SUMIFS(supercb[Qtde],supercb[Item],tab_higiene[[#This Row],[Item]],supercb[Bairro],mercado15)</f>
        <v>0</v>
      </c>
      <c r="AZ83" s="27" t="n">
        <f aca="false">SUMIFS(super1[Qtde],super1[Item],tab_higiene[[#This Row],[Item]],super1[Bairro],mercado16)+SUMIFS(supercb[Qtde],supercb[Item],tab_higiene[[#This Row],[Item]],supercb[Bairro],mercado16)</f>
        <v>0</v>
      </c>
      <c r="BA83" s="27" t="n">
        <f aca="false">SUMIFS(super1[Qtde],super1[Item],tab_higiene[[#This Row],[Item]],super1[Bairro],mercado17)+SUMIFS(supercb[Qtde],supercb[Item],tab_higiene[[#This Row],[Item]],supercb[Bairro],mercado17)</f>
        <v>0</v>
      </c>
      <c r="BB83" s="27" t="n">
        <f aca="false">SUMIFS(super1[Qtde],super1[Item],tab_higiene[[#This Row],[Item]],super1[Bairro],mercado18)+SUMIFS(supercb[Qtde],supercb[Item],tab_higiene[[#This Row],[Item]],supercb[Bairro],mercado18)</f>
        <v>0</v>
      </c>
      <c r="BC83" s="27" t="n">
        <f aca="false">SUMIFS(super1[Qtde],super1[Item],tab_higiene[[#This Row],[Item]],super1[Bairro],extras)+SUMIFS(supercb[Qtde],supercb[Item],tab_higiene[[#This Row],[Item]],supercb[Bairro],extras)</f>
        <v>0</v>
      </c>
      <c r="BD83" s="27" t="n">
        <f aca="false">SUM(AK83:BB83)</f>
        <v>0</v>
      </c>
      <c r="BE83" s="27" t="n">
        <f aca="false">IFERROR(BD83*AJ83,0)</f>
        <v>0</v>
      </c>
      <c r="BF83" s="28" t="n">
        <f aca="false">IFERROR(AI83*BD83,0)</f>
        <v>0</v>
      </c>
      <c r="BI83" s="22" t="str">
        <f aca="false">tab_alimentos[[#This Row],[Item]]</f>
        <v>Chá (10un)</v>
      </c>
      <c r="BJ83" s="22" t="n">
        <f aca="false">IFERROR(FIND(" (",BI83),0)</f>
        <v>4</v>
      </c>
      <c r="BK83" s="22" t="str">
        <f aca="false">IF(BJ83=0,BI83,LEFT(BI83,BJ83-1))</f>
        <v>Chá</v>
      </c>
      <c r="BL83" s="22" t="n">
        <f aca="false">tab_alimentos[[#This Row],[kg]]</f>
        <v>0</v>
      </c>
      <c r="BM83" s="0" t="s">
        <v>352</v>
      </c>
      <c r="BN83" s="22" t="n">
        <f aca="false">SUMIF($BJ$5:$BJ$158,BM83,$BK$5:$BK$158)</f>
        <v>0</v>
      </c>
      <c r="BP83" s="22" t="str">
        <f aca="false">tab_higiene[[#This Row],[Item]]</f>
        <v>Fosforo (200un)</v>
      </c>
      <c r="BQ83" s="22" t="n">
        <f aca="false">IFERROR(FIND(" (",BP83),0)</f>
        <v>8</v>
      </c>
      <c r="BR83" s="22" t="str">
        <f aca="false">IF(BQ83=0,BP83,LEFT(BP83,BQ83-1))</f>
        <v>Fosforo</v>
      </c>
      <c r="BS83" s="22" t="n">
        <f aca="false">higiene[[#This Row],[Quantidade]]</f>
        <v>34</v>
      </c>
      <c r="BT83" s="22" t="n">
        <f aca="false">tab_higiene[Qtde (tot)]</f>
        <v>0</v>
      </c>
      <c r="BU83" s="22" t="n">
        <f aca="false">BS83*BT83</f>
        <v>0</v>
      </c>
      <c r="BW83" s="22" t="n">
        <f aca="false">SUMIF($BR$5:$BR$142,BV83,$BU$5:$BU$142)</f>
        <v>0</v>
      </c>
    </row>
    <row r="84" customFormat="false" ht="15" hidden="false" customHeight="false" outlineLevel="0" collapsed="false">
      <c r="I84" s="26" t="str">
        <f aca="false">alimentos[[#This Row],[Item]]</f>
        <v>Chá (12g)</v>
      </c>
      <c r="J84" s="27" t="n">
        <f aca="false">IFERROR(alimentos[[#This Row],[kg/embalagem]],0)</f>
        <v>0.012</v>
      </c>
      <c r="K84" s="27" t="n">
        <f aca="false">IFERROR(alimentos[[#This Row],[Preço]],0)</f>
        <v>6.6</v>
      </c>
      <c r="L84" s="27" t="n">
        <f aca="false">SUMIFS(super1[Qtde],super1[Item],tab_alimentos[[#This Row],[Item]],super1[Bairro],mercado1)+SUMIFS(supercb[Qtde],supercb[Item],tab_alimentos[[#This Row],[Item]],supercb[Bairro],mercado1)</f>
        <v>0</v>
      </c>
      <c r="M84" s="27" t="n">
        <f aca="false">SUMIFS(super1[Qtde],super1[Item],tab_alimentos[[#This Row],[Item]],super1[Bairro],mercado2)+SUMIFS(supercb[Qtde],supercb[Item],tab_alimentos[[#This Row],[Item]],supercb[Bairro],mercado2)</f>
        <v>0</v>
      </c>
      <c r="N84" s="27" t="n">
        <f aca="false">SUMIFS(super1[Qtde],super1[Item],tab_alimentos[[#This Row],[Item]],super1[Bairro],mercado3)+SUMIFS(supercb[Qtde],supercb[Item],tab_alimentos[[#This Row],[Item]],supercb[Bairro],mercado3)</f>
        <v>0</v>
      </c>
      <c r="O84" s="27" t="n">
        <f aca="false">SUMIFS(super1[Qtde],super1[Item],tab_alimentos[[#This Row],[Item]],super1[Bairro],mercado4)+SUMIFS(supercb[Qtde],supercb[Item],tab_alimentos[[#This Row],[Item]],supercb[Bairro],mercado4)</f>
        <v>0</v>
      </c>
      <c r="P84" s="27" t="n">
        <f aca="false">SUMIFS(super1[Qtde],super1[Item],tab_alimentos[[#This Row],[Item]],super1[Bairro],mercado5)+SUMIFS(supercb[Qtde],supercb[Item],tab_alimentos[[#This Row],[Item]],supercb[Bairro],mercado5)</f>
        <v>0</v>
      </c>
      <c r="Q84" s="27" t="n">
        <f aca="false">SUMIFS(super1[Qtde],super1[Item],tab_alimentos[[#This Row],[Item]],super1[Bairro],mercado6)+SUMIFS(supercb[Qtde],supercb[Item],tab_alimentos[[#This Row],[Item]],supercb[Bairro],mercado6)</f>
        <v>0</v>
      </c>
      <c r="R84" s="27" t="n">
        <f aca="false">SUMIFS(super1[Qtde],super1[Item],tab_alimentos[[#This Row],[Item]],super1[Bairro],mercado7)+SUMIFS(supercb[Qtde],supercb[Item],tab_alimentos[[#This Row],[Item]],supercb[Bairro],mercado7)</f>
        <v>0</v>
      </c>
      <c r="S84" s="27" t="n">
        <f aca="false">SUMIFS(super1[Qtde],super1[Item],tab_alimentos[[#This Row],[Item]],super1[Bairro],mercado8)+SUMIFS(supercb[Qtde],supercb[Item],tab_alimentos[[#This Row],[Item]],supercb[Bairro],mercado8)</f>
        <v>0</v>
      </c>
      <c r="T84" s="27" t="n">
        <f aca="false">SUMIFS(super1[Qtde],super1[Item],tab_alimentos[[#This Row],[Item]],super1[Bairro],mercado9)+SUMIFS(supercb[Qtde],supercb[Item],tab_alimentos[[#This Row],[Item]],supercb[Bairro],mercado9)</f>
        <v>0</v>
      </c>
      <c r="U84" s="27" t="n">
        <f aca="false">SUMIFS(super1[Qtde],super1[Item],tab_alimentos[[#This Row],[Item]],super1[Bairro],mercado10)+SUMIFS(supercb[Qtde],supercb[Item],tab_alimentos[[#This Row],[Item]],supercb[Bairro],mercado10)</f>
        <v>0</v>
      </c>
      <c r="V84" s="27" t="n">
        <f aca="false">SUMIFS(super1[Qtde],super1[Item],tab_alimentos[[#This Row],[Item]],super1[Bairro],mercado11)+SUMIFS(supercb[Qtde],supercb[Item],tab_alimentos[[#This Row],[Item]],supercb[Bairro],mercado11)</f>
        <v>0</v>
      </c>
      <c r="W84" s="27" t="n">
        <f aca="false">SUMIFS(super1[Qtde],super1[Item],tab_alimentos[[#This Row],[Item]],super1[Bairro],mercado12)+SUMIFS(supercb[Qtde],supercb[Item],tab_alimentos[[#This Row],[Item]],supercb[Bairro],mercado12)</f>
        <v>0</v>
      </c>
      <c r="X84" s="27" t="n">
        <f aca="false">SUMIFS(super1[Qtde],super1[Item],tab_alimentos[[#This Row],[Item]],super1[Bairro],mercado13)+SUMIFS(supercb[Qtde],supercb[Item],tab_alimentos[[#This Row],[Item]],supercb[Bairro],mercado13)</f>
        <v>0</v>
      </c>
      <c r="Y84" s="27" t="n">
        <f aca="false">SUMIFS(super1[Qtde],super1[Item],tab_alimentos[[#This Row],[Item]],super1[Bairro],mercado14)+SUMIFS(supercb[Qtde],supercb[Item],tab_alimentos[[#This Row],[Item]],supercb[Bairro],mercado14)</f>
        <v>0</v>
      </c>
      <c r="Z84" s="27" t="n">
        <f aca="false">SUMIFS(super1[Qtde],super1[Item],tab_alimentos[[#This Row],[Item]],super1[Bairro],mercado15)+SUMIFS(supercb[Qtde],supercb[Item],tab_alimentos[[#This Row],[Item]],supercb[Bairro],mercado15)</f>
        <v>0</v>
      </c>
      <c r="AA84" s="27" t="n">
        <f aca="false">SUMIFS(super1[Qtde],super1[Item],tab_alimentos[[#This Row],[Item]],super1[Bairro],mercado16)+SUMIFS(supercb[Qtde],supercb[Item],tab_alimentos[[#This Row],[Item]],supercb[Bairro],mercado16)</f>
        <v>0</v>
      </c>
      <c r="AB84" s="27" t="n">
        <f aca="false">SUMIFS(super1[Qtde],super1[Item],tab_alimentos[[#This Row],[Item]],super1[Bairro],mercado17)+SUMIFS(supercb[Qtde],supercb[Item],tab_alimentos[[#This Row],[Item]],supercb[Bairro],mercado17)</f>
        <v>0</v>
      </c>
      <c r="AC84" s="27" t="n">
        <f aca="false">SUMIFS(super1[Qtde],super1[Item],tab_alimentos[[#This Row],[Item]],super1[Bairro],mercado18)+SUMIFS(supercb[Qtde],supercb[Item],tab_alimentos[[#This Row],[Item]],supercb[Bairro],mercado18)</f>
        <v>0</v>
      </c>
      <c r="AD84" s="27" t="n">
        <f aca="false">SUMIFS(super1[Qtde],super1[Item],tab_alimentos[[#This Row],[Item]],super1[Bairro],extras)+SUMIFS(supercb[Qtde],supercb[Item],tab_alimentos[[#This Row],[Item]],supercb[Bairro],extras)</f>
        <v>0</v>
      </c>
      <c r="AE84" s="27" t="n">
        <f aca="false">SUM(L84:AC84)</f>
        <v>0</v>
      </c>
      <c r="AF84" s="27" t="n">
        <f aca="false">IFERROR(AE84*K84,0)</f>
        <v>0</v>
      </c>
      <c r="AG84" s="28" t="n">
        <f aca="false">IFERROR(J84*AE84,0)</f>
        <v>0</v>
      </c>
      <c r="AH84" s="26" t="str">
        <f aca="false">higiene[[#This Row],[Item]]</f>
        <v>Fósforo (40un)</v>
      </c>
      <c r="AI84" s="27" t="n">
        <f aca="false">IFERROR(higiene[[#This Row],[Kg equivalente]],0)</f>
        <v>0.963044357431044</v>
      </c>
      <c r="AJ84" s="27" t="n">
        <f aca="false">IFERROR(higiene[[#This Row],[Preço por produto]],0)</f>
        <v>3.19</v>
      </c>
      <c r="AK84" s="27" t="n">
        <f aca="false">SUMIFS(super1[Qtde],super1[Item],tab_higiene[[#This Row],[Item]],super1[Bairro],mercado1)+SUMIFS(supercb[Qtde],supercb[Item],tab_higiene[[#This Row],[Item]],supercb[Bairro],mercado1)</f>
        <v>0</v>
      </c>
      <c r="AL84" s="27" t="n">
        <f aca="false">SUMIFS(super1[Qtde],super1[Item],tab_higiene[[#This Row],[Item]],super1[Bairro],mercado2)+SUMIFS(supercb[Qtde],supercb[Item],tab_higiene[[#This Row],[Item]],supercb[Bairro],mercado2)</f>
        <v>0</v>
      </c>
      <c r="AM84" s="27" t="n">
        <f aca="false">SUMIFS(super1[Qtde],super1[Item],tab_higiene[[#This Row],[Item]],super1[Bairro],mercado3)+SUMIFS(supercb[Qtde],supercb[Item],tab_higiene[[#This Row],[Item]],supercb[Bairro],mercado3)</f>
        <v>0</v>
      </c>
      <c r="AN84" s="27" t="n">
        <f aca="false">SUMIFS(super1[Qtde],super1[Item],tab_higiene[[#This Row],[Item]],super1[Bairro],mercado4)+SUMIFS(supercb[Qtde],supercb[Item],tab_higiene[[#This Row],[Item]],supercb[Bairro],mercado4)</f>
        <v>0</v>
      </c>
      <c r="AO84" s="27" t="n">
        <f aca="false">SUMIFS(super1[Qtde],super1[Item],tab_higiene[[#This Row],[Item]],super1[Bairro],mercado5)+SUMIFS(supercb[Qtde],supercb[Item],tab_higiene[[#This Row],[Item]],supercb[Bairro],mercado5)</f>
        <v>0</v>
      </c>
      <c r="AP84" s="27" t="n">
        <f aca="false">SUMIFS(super1[Qtde],super1[Item],tab_higiene[[#This Row],[Item]],super1[Bairro],mercado6)+SUMIFS(supercb[Qtde],supercb[Item],tab_higiene[[#This Row],[Item]],supercb[Bairro],mercado6)</f>
        <v>0</v>
      </c>
      <c r="AQ84" s="27" t="n">
        <f aca="false">SUMIFS(super1[Qtde],super1[Item],tab_higiene[[#This Row],[Item]],super1[Bairro],mercado7)+SUMIFS(supercb[Qtde],supercb[Item],tab_higiene[[#This Row],[Item]],supercb[Bairro],mercado7)</f>
        <v>0</v>
      </c>
      <c r="AR84" s="27" t="n">
        <f aca="false">SUMIFS(super1[Qtde],super1[Item],tab_higiene[[#This Row],[Item]],super1[Bairro],mercado8)+SUMIFS(supercb[Qtde],supercb[Item],tab_higiene[[#This Row],[Item]],supercb[Bairro],mercado8)</f>
        <v>0</v>
      </c>
      <c r="AS84" s="27" t="n">
        <f aca="false">SUMIFS(super1[Qtde],super1[Item],tab_higiene[[#This Row],[Item]],super1[Bairro],mercado9)+SUMIFS(supercb[Qtde],supercb[Item],tab_higiene[[#This Row],[Item]],supercb[Bairro],mercado9)</f>
        <v>0</v>
      </c>
      <c r="AT84" s="27" t="n">
        <f aca="false">SUMIFS(super1[Qtde],super1[Item],tab_higiene[[#This Row],[Item]],super1[Bairro],mercado10)+SUMIFS(supercb[Qtde],supercb[Item],tab_higiene[[#This Row],[Item]],supercb[Bairro],mercado10)</f>
        <v>0</v>
      </c>
      <c r="AU84" s="27" t="n">
        <f aca="false">SUMIFS(super1[Qtde],super1[Item],tab_higiene[[#This Row],[Item]],super1[Bairro],mercado11)+SUMIFS(supercb[Qtde],supercb[Item],tab_higiene[[#This Row],[Item]],supercb[Bairro],mercado11)</f>
        <v>0</v>
      </c>
      <c r="AV84" s="27" t="n">
        <f aca="false">SUMIFS(super1[Qtde],super1[Item],tab_higiene[[#This Row],[Item]],super1[Bairro],mercado12)+SUMIFS(supercb[Qtde],supercb[Item],tab_higiene[[#This Row],[Item]],supercb[Bairro],mercado12)</f>
        <v>0</v>
      </c>
      <c r="AW84" s="27" t="n">
        <f aca="false">SUMIFS(super1[Qtde],super1[Item],tab_higiene[[#This Row],[Item]],super1[Bairro],mercado13)+SUMIFS(supercb[Qtde],supercb[Item],tab_higiene[[#This Row],[Item]],supercb[Bairro],mercado13)</f>
        <v>0</v>
      </c>
      <c r="AX84" s="27" t="n">
        <f aca="false">SUMIFS(super1[Qtde],super1[Item],tab_higiene[[#This Row],[Item]],super1[Bairro],mercado14)+SUMIFS(supercb[Qtde],supercb[Item],tab_higiene[[#This Row],[Item]],supercb[Bairro],mercado14)</f>
        <v>0</v>
      </c>
      <c r="AY84" s="27" t="n">
        <f aca="false">SUMIFS(super1[Qtde],super1[Item],tab_higiene[[#This Row],[Item]],super1[Bairro],mercado15)+SUMIFS(supercb[Qtde],supercb[Item],tab_higiene[[#This Row],[Item]],supercb[Bairro],mercado15)</f>
        <v>0</v>
      </c>
      <c r="AZ84" s="27" t="n">
        <f aca="false">SUMIFS(super1[Qtde],super1[Item],tab_higiene[[#This Row],[Item]],super1[Bairro],mercado16)+SUMIFS(supercb[Qtde],supercb[Item],tab_higiene[[#This Row],[Item]],supercb[Bairro],mercado16)</f>
        <v>0</v>
      </c>
      <c r="BA84" s="27" t="n">
        <f aca="false">SUMIFS(super1[Qtde],super1[Item],tab_higiene[[#This Row],[Item]],super1[Bairro],mercado17)+SUMIFS(supercb[Qtde],supercb[Item],tab_higiene[[#This Row],[Item]],supercb[Bairro],mercado17)</f>
        <v>0</v>
      </c>
      <c r="BB84" s="27" t="n">
        <f aca="false">SUMIFS(super1[Qtde],super1[Item],tab_higiene[[#This Row],[Item]],super1[Bairro],mercado18)+SUMIFS(supercb[Qtde],supercb[Item],tab_higiene[[#This Row],[Item]],supercb[Bairro],mercado18)</f>
        <v>0</v>
      </c>
      <c r="BC84" s="27" t="n">
        <f aca="false">SUMIFS(super1[Qtde],super1[Item],tab_higiene[[#This Row],[Item]],super1[Bairro],extras)+SUMIFS(supercb[Qtde],supercb[Item],tab_higiene[[#This Row],[Item]],supercb[Bairro],extras)</f>
        <v>0</v>
      </c>
      <c r="BD84" s="27" t="n">
        <f aca="false">SUM(AK84:BB84)</f>
        <v>0</v>
      </c>
      <c r="BE84" s="27" t="n">
        <f aca="false">IFERROR(BD84*AJ84,0)</f>
        <v>0</v>
      </c>
      <c r="BF84" s="28" t="n">
        <f aca="false">IFERROR(AI84*BD84,0)</f>
        <v>0</v>
      </c>
      <c r="BI84" s="22" t="str">
        <f aca="false">tab_alimentos[[#This Row],[Item]]</f>
        <v>Chá (12g)</v>
      </c>
      <c r="BJ84" s="22" t="n">
        <f aca="false">IFERROR(FIND(" (",BI84),0)</f>
        <v>4</v>
      </c>
      <c r="BK84" s="22" t="str">
        <f aca="false">IF(BJ84=0,BI84,LEFT(BI84,BJ84-1))</f>
        <v>Chá</v>
      </c>
      <c r="BL84" s="22" t="n">
        <f aca="false">tab_alimentos[[#This Row],[kg]]</f>
        <v>0</v>
      </c>
      <c r="BM84" s="0" t="s">
        <v>372</v>
      </c>
      <c r="BN84" s="22" t="n">
        <f aca="false">SUMIF($BJ$5:$BJ$158,BM84,$BK$5:$BK$158)</f>
        <v>0</v>
      </c>
      <c r="BP84" s="22" t="str">
        <f aca="false">tab_higiene[[#This Row],[Item]]</f>
        <v>Fósforo (40un)</v>
      </c>
      <c r="BQ84" s="22" t="n">
        <f aca="false">IFERROR(FIND(" (",BP84),0)</f>
        <v>8</v>
      </c>
      <c r="BR84" s="22" t="str">
        <f aca="false">IF(BQ84=0,BP84,LEFT(BP84,BQ84-1))</f>
        <v>Fósforo</v>
      </c>
      <c r="BS84" s="22" t="n">
        <f aca="false">higiene[[#This Row],[Quantidade]]</f>
        <v>40</v>
      </c>
      <c r="BT84" s="22" t="n">
        <f aca="false">tab_higiene[Qtde (tot)]</f>
        <v>0</v>
      </c>
      <c r="BU84" s="22" t="n">
        <f aca="false">BS84*BT84</f>
        <v>0</v>
      </c>
      <c r="BW84" s="22" t="n">
        <f aca="false">SUMIF($BR$5:$BR$142,BV84,$BU$5:$BU$142)</f>
        <v>0</v>
      </c>
    </row>
    <row r="85" customFormat="false" ht="15" hidden="false" customHeight="false" outlineLevel="0" collapsed="false">
      <c r="I85" s="26" t="str">
        <f aca="false">alimentos[[#This Row],[Item]]</f>
        <v>Chá (22,5g)</v>
      </c>
      <c r="J85" s="27" t="n">
        <f aca="false">IFERROR(alimentos[[#This Row],[kg/embalagem]],0)</f>
        <v>0.0225</v>
      </c>
      <c r="K85" s="27" t="n">
        <f aca="false">IFERROR(alimentos[[#This Row],[Preço]],0)</f>
        <v>7.08333333333333</v>
      </c>
      <c r="L85" s="27" t="n">
        <f aca="false">SUMIFS(super1[Qtde],super1[Item],tab_alimentos[[#This Row],[Item]],super1[Bairro],mercado1)+SUMIFS(supercb[Qtde],supercb[Item],tab_alimentos[[#This Row],[Item]],supercb[Bairro],mercado1)</f>
        <v>0</v>
      </c>
      <c r="M85" s="27" t="n">
        <f aca="false">SUMIFS(super1[Qtde],super1[Item],tab_alimentos[[#This Row],[Item]],super1[Bairro],mercado2)+SUMIFS(supercb[Qtde],supercb[Item],tab_alimentos[[#This Row],[Item]],supercb[Bairro],mercado2)</f>
        <v>0</v>
      </c>
      <c r="N85" s="27" t="n">
        <f aca="false">SUMIFS(super1[Qtde],super1[Item],tab_alimentos[[#This Row],[Item]],super1[Bairro],mercado3)+SUMIFS(supercb[Qtde],supercb[Item],tab_alimentos[[#This Row],[Item]],supercb[Bairro],mercado3)</f>
        <v>0</v>
      </c>
      <c r="O85" s="27" t="n">
        <f aca="false">SUMIFS(super1[Qtde],super1[Item],tab_alimentos[[#This Row],[Item]],super1[Bairro],mercado4)+SUMIFS(supercb[Qtde],supercb[Item],tab_alimentos[[#This Row],[Item]],supercb[Bairro],mercado4)</f>
        <v>0</v>
      </c>
      <c r="P85" s="27" t="n">
        <f aca="false">SUMIFS(super1[Qtde],super1[Item],tab_alimentos[[#This Row],[Item]],super1[Bairro],mercado5)+SUMIFS(supercb[Qtde],supercb[Item],tab_alimentos[[#This Row],[Item]],supercb[Bairro],mercado5)</f>
        <v>0</v>
      </c>
      <c r="Q85" s="27" t="n">
        <f aca="false">SUMIFS(super1[Qtde],super1[Item],tab_alimentos[[#This Row],[Item]],super1[Bairro],mercado6)+SUMIFS(supercb[Qtde],supercb[Item],tab_alimentos[[#This Row],[Item]],supercb[Bairro],mercado6)</f>
        <v>0</v>
      </c>
      <c r="R85" s="27" t="n">
        <f aca="false">SUMIFS(super1[Qtde],super1[Item],tab_alimentos[[#This Row],[Item]],super1[Bairro],mercado7)+SUMIFS(supercb[Qtde],supercb[Item],tab_alimentos[[#This Row],[Item]],supercb[Bairro],mercado7)</f>
        <v>0</v>
      </c>
      <c r="S85" s="27" t="n">
        <f aca="false">SUMIFS(super1[Qtde],super1[Item],tab_alimentos[[#This Row],[Item]],super1[Bairro],mercado8)+SUMIFS(supercb[Qtde],supercb[Item],tab_alimentos[[#This Row],[Item]],supercb[Bairro],mercado8)</f>
        <v>0</v>
      </c>
      <c r="T85" s="27" t="n">
        <f aca="false">SUMIFS(super1[Qtde],super1[Item],tab_alimentos[[#This Row],[Item]],super1[Bairro],mercado9)+SUMIFS(supercb[Qtde],supercb[Item],tab_alimentos[[#This Row],[Item]],supercb[Bairro],mercado9)</f>
        <v>0</v>
      </c>
      <c r="U85" s="27" t="n">
        <f aca="false">SUMIFS(super1[Qtde],super1[Item],tab_alimentos[[#This Row],[Item]],super1[Bairro],mercado10)+SUMIFS(supercb[Qtde],supercb[Item],tab_alimentos[[#This Row],[Item]],supercb[Bairro],mercado10)</f>
        <v>0</v>
      </c>
      <c r="V85" s="27" t="n">
        <f aca="false">SUMIFS(super1[Qtde],super1[Item],tab_alimentos[[#This Row],[Item]],super1[Bairro],mercado11)+SUMIFS(supercb[Qtde],supercb[Item],tab_alimentos[[#This Row],[Item]],supercb[Bairro],mercado11)</f>
        <v>0</v>
      </c>
      <c r="W85" s="27" t="n">
        <f aca="false">SUMIFS(super1[Qtde],super1[Item],tab_alimentos[[#This Row],[Item]],super1[Bairro],mercado12)+SUMIFS(supercb[Qtde],supercb[Item],tab_alimentos[[#This Row],[Item]],supercb[Bairro],mercado12)</f>
        <v>0</v>
      </c>
      <c r="X85" s="27" t="n">
        <f aca="false">SUMIFS(super1[Qtde],super1[Item],tab_alimentos[[#This Row],[Item]],super1[Bairro],mercado13)+SUMIFS(supercb[Qtde],supercb[Item],tab_alimentos[[#This Row],[Item]],supercb[Bairro],mercado13)</f>
        <v>0</v>
      </c>
      <c r="Y85" s="27" t="n">
        <f aca="false">SUMIFS(super1[Qtde],super1[Item],tab_alimentos[[#This Row],[Item]],super1[Bairro],mercado14)+SUMIFS(supercb[Qtde],supercb[Item],tab_alimentos[[#This Row],[Item]],supercb[Bairro],mercado14)</f>
        <v>0</v>
      </c>
      <c r="Z85" s="27" t="n">
        <f aca="false">SUMIFS(super1[Qtde],super1[Item],tab_alimentos[[#This Row],[Item]],super1[Bairro],mercado15)+SUMIFS(supercb[Qtde],supercb[Item],tab_alimentos[[#This Row],[Item]],supercb[Bairro],mercado15)</f>
        <v>0</v>
      </c>
      <c r="AA85" s="27" t="n">
        <f aca="false">SUMIFS(super1[Qtde],super1[Item],tab_alimentos[[#This Row],[Item]],super1[Bairro],mercado16)+SUMIFS(supercb[Qtde],supercb[Item],tab_alimentos[[#This Row],[Item]],supercb[Bairro],mercado16)</f>
        <v>0</v>
      </c>
      <c r="AB85" s="27" t="n">
        <f aca="false">SUMIFS(super1[Qtde],super1[Item],tab_alimentos[[#This Row],[Item]],super1[Bairro],mercado17)+SUMIFS(supercb[Qtde],supercb[Item],tab_alimentos[[#This Row],[Item]],supercb[Bairro],mercado17)</f>
        <v>0</v>
      </c>
      <c r="AC85" s="27" t="n">
        <f aca="false">SUMIFS(super1[Qtde],super1[Item],tab_alimentos[[#This Row],[Item]],super1[Bairro],mercado18)+SUMIFS(supercb[Qtde],supercb[Item],tab_alimentos[[#This Row],[Item]],supercb[Bairro],mercado18)</f>
        <v>0</v>
      </c>
      <c r="AD85" s="27" t="n">
        <f aca="false">SUMIFS(super1[Qtde],super1[Item],tab_alimentos[[#This Row],[Item]],super1[Bairro],extras)+SUMIFS(supercb[Qtde],supercb[Item],tab_alimentos[[#This Row],[Item]],supercb[Bairro],extras)</f>
        <v>0</v>
      </c>
      <c r="AE85" s="27" t="n">
        <f aca="false">SUM(L85:AC85)</f>
        <v>0</v>
      </c>
      <c r="AF85" s="27" t="n">
        <f aca="false">IFERROR(AE85*K85,0)</f>
        <v>0</v>
      </c>
      <c r="AG85" s="28" t="n">
        <f aca="false">IFERROR(J85*AE85,0)</f>
        <v>0</v>
      </c>
      <c r="AH85" s="26" t="str">
        <f aca="false">higiene[[#This Row],[Item]]</f>
        <v>Fósforo (50un)</v>
      </c>
      <c r="AI85" s="27" t="n">
        <f aca="false">IFERROR(higiene[[#This Row],[Kg equivalente]],0)</f>
        <v>0.842286444273547</v>
      </c>
      <c r="AJ85" s="27" t="n">
        <f aca="false">IFERROR(higiene[[#This Row],[Preço por produto]],0)</f>
        <v>2.79</v>
      </c>
      <c r="AK85" s="27" t="n">
        <f aca="false">SUMIFS(super1[Qtde],super1[Item],tab_higiene[[#This Row],[Item]],super1[Bairro],mercado1)+SUMIFS(supercb[Qtde],supercb[Item],tab_higiene[[#This Row],[Item]],supercb[Bairro],mercado1)</f>
        <v>0</v>
      </c>
      <c r="AL85" s="27" t="n">
        <f aca="false">SUMIFS(super1[Qtde],super1[Item],tab_higiene[[#This Row],[Item]],super1[Bairro],mercado2)+SUMIFS(supercb[Qtde],supercb[Item],tab_higiene[[#This Row],[Item]],supercb[Bairro],mercado2)</f>
        <v>0</v>
      </c>
      <c r="AM85" s="27" t="n">
        <f aca="false">SUMIFS(super1[Qtde],super1[Item],tab_higiene[[#This Row],[Item]],super1[Bairro],mercado3)+SUMIFS(supercb[Qtde],supercb[Item],tab_higiene[[#This Row],[Item]],supercb[Bairro],mercado3)</f>
        <v>0</v>
      </c>
      <c r="AN85" s="27" t="n">
        <f aca="false">SUMIFS(super1[Qtde],super1[Item],tab_higiene[[#This Row],[Item]],super1[Bairro],mercado4)+SUMIFS(supercb[Qtde],supercb[Item],tab_higiene[[#This Row],[Item]],supercb[Bairro],mercado4)</f>
        <v>0</v>
      </c>
      <c r="AO85" s="27" t="n">
        <f aca="false">SUMIFS(super1[Qtde],super1[Item],tab_higiene[[#This Row],[Item]],super1[Bairro],mercado5)+SUMIFS(supercb[Qtde],supercb[Item],tab_higiene[[#This Row],[Item]],supercb[Bairro],mercado5)</f>
        <v>0</v>
      </c>
      <c r="AP85" s="27" t="n">
        <f aca="false">SUMIFS(super1[Qtde],super1[Item],tab_higiene[[#This Row],[Item]],super1[Bairro],mercado6)+SUMIFS(supercb[Qtde],supercb[Item],tab_higiene[[#This Row],[Item]],supercb[Bairro],mercado6)</f>
        <v>0</v>
      </c>
      <c r="AQ85" s="27" t="n">
        <f aca="false">SUMIFS(super1[Qtde],super1[Item],tab_higiene[[#This Row],[Item]],super1[Bairro],mercado7)+SUMIFS(supercb[Qtde],supercb[Item],tab_higiene[[#This Row],[Item]],supercb[Bairro],mercado7)</f>
        <v>0</v>
      </c>
      <c r="AR85" s="27" t="n">
        <f aca="false">SUMIFS(super1[Qtde],super1[Item],tab_higiene[[#This Row],[Item]],super1[Bairro],mercado8)+SUMIFS(supercb[Qtde],supercb[Item],tab_higiene[[#This Row],[Item]],supercb[Bairro],mercado8)</f>
        <v>0</v>
      </c>
      <c r="AS85" s="27" t="n">
        <f aca="false">SUMIFS(super1[Qtde],super1[Item],tab_higiene[[#This Row],[Item]],super1[Bairro],mercado9)+SUMIFS(supercb[Qtde],supercb[Item],tab_higiene[[#This Row],[Item]],supercb[Bairro],mercado9)</f>
        <v>0</v>
      </c>
      <c r="AT85" s="27" t="n">
        <f aca="false">SUMIFS(super1[Qtde],super1[Item],tab_higiene[[#This Row],[Item]],super1[Bairro],mercado10)+SUMIFS(supercb[Qtde],supercb[Item],tab_higiene[[#This Row],[Item]],supercb[Bairro],mercado10)</f>
        <v>0</v>
      </c>
      <c r="AU85" s="27" t="n">
        <f aca="false">SUMIFS(super1[Qtde],super1[Item],tab_higiene[[#This Row],[Item]],super1[Bairro],mercado11)+SUMIFS(supercb[Qtde],supercb[Item],tab_higiene[[#This Row],[Item]],supercb[Bairro],mercado11)</f>
        <v>0</v>
      </c>
      <c r="AV85" s="27" t="n">
        <f aca="false">SUMIFS(super1[Qtde],super1[Item],tab_higiene[[#This Row],[Item]],super1[Bairro],mercado12)+SUMIFS(supercb[Qtde],supercb[Item],tab_higiene[[#This Row],[Item]],supercb[Bairro],mercado12)</f>
        <v>0</v>
      </c>
      <c r="AW85" s="27" t="n">
        <f aca="false">SUMIFS(super1[Qtde],super1[Item],tab_higiene[[#This Row],[Item]],super1[Bairro],mercado13)+SUMIFS(supercb[Qtde],supercb[Item],tab_higiene[[#This Row],[Item]],supercb[Bairro],mercado13)</f>
        <v>0</v>
      </c>
      <c r="AX85" s="27" t="n">
        <f aca="false">SUMIFS(super1[Qtde],super1[Item],tab_higiene[[#This Row],[Item]],super1[Bairro],mercado14)+SUMIFS(supercb[Qtde],supercb[Item],tab_higiene[[#This Row],[Item]],supercb[Bairro],mercado14)</f>
        <v>0</v>
      </c>
      <c r="AY85" s="27" t="n">
        <f aca="false">SUMIFS(super1[Qtde],super1[Item],tab_higiene[[#This Row],[Item]],super1[Bairro],mercado15)+SUMIFS(supercb[Qtde],supercb[Item],tab_higiene[[#This Row],[Item]],supercb[Bairro],mercado15)</f>
        <v>0</v>
      </c>
      <c r="AZ85" s="27" t="n">
        <f aca="false">SUMIFS(super1[Qtde],super1[Item],tab_higiene[[#This Row],[Item]],super1[Bairro],mercado16)+SUMIFS(supercb[Qtde],supercb[Item],tab_higiene[[#This Row],[Item]],supercb[Bairro],mercado16)</f>
        <v>0</v>
      </c>
      <c r="BA85" s="27" t="n">
        <f aca="false">SUMIFS(super1[Qtde],super1[Item],tab_higiene[[#This Row],[Item]],super1[Bairro],mercado17)+SUMIFS(supercb[Qtde],supercb[Item],tab_higiene[[#This Row],[Item]],supercb[Bairro],mercado17)</f>
        <v>0</v>
      </c>
      <c r="BB85" s="27" t="n">
        <f aca="false">SUMIFS(super1[Qtde],super1[Item],tab_higiene[[#This Row],[Item]],super1[Bairro],mercado18)+SUMIFS(supercb[Qtde],supercb[Item],tab_higiene[[#This Row],[Item]],supercb[Bairro],mercado18)</f>
        <v>0</v>
      </c>
      <c r="BC85" s="27" t="n">
        <f aca="false">SUMIFS(super1[Qtde],super1[Item],tab_higiene[[#This Row],[Item]],super1[Bairro],extras)+SUMIFS(supercb[Qtde],supercb[Item],tab_higiene[[#This Row],[Item]],supercb[Bairro],extras)</f>
        <v>0</v>
      </c>
      <c r="BD85" s="27" t="n">
        <f aca="false">SUM(AK85:BB85)</f>
        <v>0</v>
      </c>
      <c r="BE85" s="27" t="n">
        <f aca="false">IFERROR(BD85*AJ85,0)</f>
        <v>0</v>
      </c>
      <c r="BF85" s="28" t="n">
        <f aca="false">IFERROR(AI85*BD85,0)</f>
        <v>0</v>
      </c>
      <c r="BI85" s="22" t="str">
        <f aca="false">tab_alimentos[[#This Row],[Item]]</f>
        <v>Chá (22,5g)</v>
      </c>
      <c r="BJ85" s="22" t="n">
        <f aca="false">IFERROR(FIND(" (",BI85),0)</f>
        <v>4</v>
      </c>
      <c r="BK85" s="22" t="str">
        <f aca="false">IF(BJ85=0,BI85,LEFT(BI85,BJ85-1))</f>
        <v>Chá</v>
      </c>
      <c r="BL85" s="22" t="n">
        <f aca="false">tab_alimentos[[#This Row],[kg]]</f>
        <v>0</v>
      </c>
      <c r="BM85" s="0" t="s">
        <v>373</v>
      </c>
      <c r="BN85" s="22" t="n">
        <f aca="false">SUMIF($BJ$5:$BJ$158,BM85,$BK$5:$BK$158)</f>
        <v>0</v>
      </c>
      <c r="BP85" s="22" t="str">
        <f aca="false">tab_higiene[[#This Row],[Item]]</f>
        <v>Fósforo (50un)</v>
      </c>
      <c r="BQ85" s="22" t="n">
        <f aca="false">IFERROR(FIND(" (",BP85),0)</f>
        <v>8</v>
      </c>
      <c r="BR85" s="22" t="str">
        <f aca="false">IF(BQ85=0,BP85,LEFT(BP85,BQ85-1))</f>
        <v>Fósforo</v>
      </c>
      <c r="BS85" s="22" t="n">
        <f aca="false">higiene[[#This Row],[Quantidade]]</f>
        <v>46</v>
      </c>
      <c r="BT85" s="22" t="n">
        <f aca="false">tab_higiene[Qtde (tot)]</f>
        <v>0</v>
      </c>
      <c r="BU85" s="22" t="n">
        <f aca="false">BS85*BT85</f>
        <v>0</v>
      </c>
      <c r="BW85" s="22" t="n">
        <f aca="false">SUMIF($BR$5:$BR$142,BV85,$BU$5:$BU$142)</f>
        <v>0</v>
      </c>
    </row>
    <row r="86" customFormat="false" ht="15" hidden="false" customHeight="false" outlineLevel="0" collapsed="false">
      <c r="I86" s="26" t="str">
        <f aca="false">alimentos[[#This Row],[Item]]</f>
        <v>Chocolate barra (100g)</v>
      </c>
      <c r="J86" s="27" t="n">
        <f aca="false">IFERROR(alimentos[[#This Row],[kg/embalagem]],0)</f>
        <v>0.1</v>
      </c>
      <c r="K86" s="27" t="n">
        <f aca="false">IFERROR(alimentos[[#This Row],[Preço]],0)</f>
        <v>4.82333333333333</v>
      </c>
      <c r="L86" s="27" t="n">
        <f aca="false">SUMIFS(super1[Qtde],super1[Item],tab_alimentos[[#This Row],[Item]],super1[Bairro],mercado1)+SUMIFS(supercb[Qtde],supercb[Item],tab_alimentos[[#This Row],[Item]],supercb[Bairro],mercado1)</f>
        <v>0</v>
      </c>
      <c r="M86" s="27" t="n">
        <f aca="false">SUMIFS(super1[Qtde],super1[Item],tab_alimentos[[#This Row],[Item]],super1[Bairro],mercado2)+SUMIFS(supercb[Qtde],supercb[Item],tab_alimentos[[#This Row],[Item]],supercb[Bairro],mercado2)</f>
        <v>0</v>
      </c>
      <c r="N86" s="27" t="n">
        <f aca="false">SUMIFS(super1[Qtde],super1[Item],tab_alimentos[[#This Row],[Item]],super1[Bairro],mercado3)+SUMIFS(supercb[Qtde],supercb[Item],tab_alimentos[[#This Row],[Item]],supercb[Bairro],mercado3)</f>
        <v>0</v>
      </c>
      <c r="O86" s="27" t="n">
        <f aca="false">SUMIFS(super1[Qtde],super1[Item],tab_alimentos[[#This Row],[Item]],super1[Bairro],mercado4)+SUMIFS(supercb[Qtde],supercb[Item],tab_alimentos[[#This Row],[Item]],supercb[Bairro],mercado4)</f>
        <v>0</v>
      </c>
      <c r="P86" s="27" t="n">
        <f aca="false">SUMIFS(super1[Qtde],super1[Item],tab_alimentos[[#This Row],[Item]],super1[Bairro],mercado5)+SUMIFS(supercb[Qtde],supercb[Item],tab_alimentos[[#This Row],[Item]],supercb[Bairro],mercado5)</f>
        <v>0</v>
      </c>
      <c r="Q86" s="27" t="n">
        <f aca="false">SUMIFS(super1[Qtde],super1[Item],tab_alimentos[[#This Row],[Item]],super1[Bairro],mercado6)+SUMIFS(supercb[Qtde],supercb[Item],tab_alimentos[[#This Row],[Item]],supercb[Bairro],mercado6)</f>
        <v>0</v>
      </c>
      <c r="R86" s="27" t="n">
        <f aca="false">SUMIFS(super1[Qtde],super1[Item],tab_alimentos[[#This Row],[Item]],super1[Bairro],mercado7)+SUMIFS(supercb[Qtde],supercb[Item],tab_alimentos[[#This Row],[Item]],supercb[Bairro],mercado7)</f>
        <v>0</v>
      </c>
      <c r="S86" s="27" t="n">
        <f aca="false">SUMIFS(super1[Qtde],super1[Item],tab_alimentos[[#This Row],[Item]],super1[Bairro],mercado8)+SUMIFS(supercb[Qtde],supercb[Item],tab_alimentos[[#This Row],[Item]],supercb[Bairro],mercado8)</f>
        <v>0</v>
      </c>
      <c r="T86" s="27" t="n">
        <f aca="false">SUMIFS(super1[Qtde],super1[Item],tab_alimentos[[#This Row],[Item]],super1[Bairro],mercado9)+SUMIFS(supercb[Qtde],supercb[Item],tab_alimentos[[#This Row],[Item]],supercb[Bairro],mercado9)</f>
        <v>0</v>
      </c>
      <c r="U86" s="27" t="n">
        <f aca="false">SUMIFS(super1[Qtde],super1[Item],tab_alimentos[[#This Row],[Item]],super1[Bairro],mercado10)+SUMIFS(supercb[Qtde],supercb[Item],tab_alimentos[[#This Row],[Item]],supercb[Bairro],mercado10)</f>
        <v>0</v>
      </c>
      <c r="V86" s="27" t="n">
        <f aca="false">SUMIFS(super1[Qtde],super1[Item],tab_alimentos[[#This Row],[Item]],super1[Bairro],mercado11)+SUMIFS(supercb[Qtde],supercb[Item],tab_alimentos[[#This Row],[Item]],supercb[Bairro],mercado11)</f>
        <v>0</v>
      </c>
      <c r="W86" s="27" t="n">
        <f aca="false">SUMIFS(super1[Qtde],super1[Item],tab_alimentos[[#This Row],[Item]],super1[Bairro],mercado12)+SUMIFS(supercb[Qtde],supercb[Item],tab_alimentos[[#This Row],[Item]],supercb[Bairro],mercado12)</f>
        <v>0</v>
      </c>
      <c r="X86" s="27" t="n">
        <f aca="false">SUMIFS(super1[Qtde],super1[Item],tab_alimentos[[#This Row],[Item]],super1[Bairro],mercado13)+SUMIFS(supercb[Qtde],supercb[Item],tab_alimentos[[#This Row],[Item]],supercb[Bairro],mercado13)</f>
        <v>0</v>
      </c>
      <c r="Y86" s="27" t="n">
        <f aca="false">SUMIFS(super1[Qtde],super1[Item],tab_alimentos[[#This Row],[Item]],super1[Bairro],mercado14)+SUMIFS(supercb[Qtde],supercb[Item],tab_alimentos[[#This Row],[Item]],supercb[Bairro],mercado14)</f>
        <v>0</v>
      </c>
      <c r="Z86" s="27" t="n">
        <f aca="false">SUMIFS(super1[Qtde],super1[Item],tab_alimentos[[#This Row],[Item]],super1[Bairro],mercado15)+SUMIFS(supercb[Qtde],supercb[Item],tab_alimentos[[#This Row],[Item]],supercb[Bairro],mercado15)</f>
        <v>0</v>
      </c>
      <c r="AA86" s="27" t="n">
        <f aca="false">SUMIFS(super1[Qtde],super1[Item],tab_alimentos[[#This Row],[Item]],super1[Bairro],mercado16)+SUMIFS(supercb[Qtde],supercb[Item],tab_alimentos[[#This Row],[Item]],supercb[Bairro],mercado16)</f>
        <v>0</v>
      </c>
      <c r="AB86" s="27" t="n">
        <f aca="false">SUMIFS(super1[Qtde],super1[Item],tab_alimentos[[#This Row],[Item]],super1[Bairro],mercado17)+SUMIFS(supercb[Qtde],supercb[Item],tab_alimentos[[#This Row],[Item]],supercb[Bairro],mercado17)</f>
        <v>0</v>
      </c>
      <c r="AC86" s="27" t="n">
        <f aca="false">SUMIFS(super1[Qtde],super1[Item],tab_alimentos[[#This Row],[Item]],super1[Bairro],mercado18)+SUMIFS(supercb[Qtde],supercb[Item],tab_alimentos[[#This Row],[Item]],supercb[Bairro],mercado18)</f>
        <v>0</v>
      </c>
      <c r="AD86" s="27" t="n">
        <f aca="false">SUMIFS(super1[Qtde],super1[Item],tab_alimentos[[#This Row],[Item]],super1[Bairro],extras)+SUMIFS(supercb[Qtde],supercb[Item],tab_alimentos[[#This Row],[Item]],supercb[Bairro],extras)</f>
        <v>0</v>
      </c>
      <c r="AE86" s="27" t="n">
        <f aca="false">SUM(L86:AC86)</f>
        <v>0</v>
      </c>
      <c r="AF86" s="27" t="n">
        <f aca="false">IFERROR(AE86*K86,0)</f>
        <v>0</v>
      </c>
      <c r="AG86" s="28" t="n">
        <f aca="false">IFERROR(J86*AE86,0)</f>
        <v>0</v>
      </c>
      <c r="AH86" s="26" t="str">
        <f aca="false">higiene[[#This Row],[Item]]</f>
        <v>Fraldas Geriátricas (07un)</v>
      </c>
      <c r="AI86" s="27" t="n">
        <f aca="false">IFERROR(higiene[[#This Row],[Kg equivalente]],0)</f>
        <v>5.10021046220692</v>
      </c>
      <c r="AJ86" s="27" t="n">
        <f aca="false">IFERROR(higiene[[#This Row],[Preço por produto]],0)</f>
        <v>16.894</v>
      </c>
      <c r="AK86" s="27" t="n">
        <f aca="false">SUMIFS(super1[Qtde],super1[Item],tab_higiene[[#This Row],[Item]],super1[Bairro],mercado1)+SUMIFS(supercb[Qtde],supercb[Item],tab_higiene[[#This Row],[Item]],supercb[Bairro],mercado1)</f>
        <v>0</v>
      </c>
      <c r="AL86" s="27" t="n">
        <f aca="false">SUMIFS(super1[Qtde],super1[Item],tab_higiene[[#This Row],[Item]],super1[Bairro],mercado2)+SUMIFS(supercb[Qtde],supercb[Item],tab_higiene[[#This Row],[Item]],supercb[Bairro],mercado2)</f>
        <v>0</v>
      </c>
      <c r="AM86" s="27" t="n">
        <f aca="false">SUMIFS(super1[Qtde],super1[Item],tab_higiene[[#This Row],[Item]],super1[Bairro],mercado3)+SUMIFS(supercb[Qtde],supercb[Item],tab_higiene[[#This Row],[Item]],supercb[Bairro],mercado3)</f>
        <v>1</v>
      </c>
      <c r="AN86" s="27" t="n">
        <f aca="false">SUMIFS(super1[Qtde],super1[Item],tab_higiene[[#This Row],[Item]],super1[Bairro],mercado4)+SUMIFS(supercb[Qtde],supercb[Item],tab_higiene[[#This Row],[Item]],supercb[Bairro],mercado4)</f>
        <v>1</v>
      </c>
      <c r="AO86" s="27" t="n">
        <f aca="false">SUMIFS(super1[Qtde],super1[Item],tab_higiene[[#This Row],[Item]],super1[Bairro],mercado5)+SUMIFS(supercb[Qtde],supercb[Item],tab_higiene[[#This Row],[Item]],supercb[Bairro],mercado5)</f>
        <v>1</v>
      </c>
      <c r="AP86" s="27" t="n">
        <f aca="false">SUMIFS(super1[Qtde],super1[Item],tab_higiene[[#This Row],[Item]],super1[Bairro],mercado6)+SUMIFS(supercb[Qtde],supercb[Item],tab_higiene[[#This Row],[Item]],supercb[Bairro],mercado6)</f>
        <v>2</v>
      </c>
      <c r="AQ86" s="27" t="n">
        <f aca="false">SUMIFS(super1[Qtde],super1[Item],tab_higiene[[#This Row],[Item]],super1[Bairro],mercado7)+SUMIFS(supercb[Qtde],supercb[Item],tab_higiene[[#This Row],[Item]],supercb[Bairro],mercado7)</f>
        <v>0</v>
      </c>
      <c r="AR86" s="27" t="n">
        <f aca="false">SUMIFS(super1[Qtde],super1[Item],tab_higiene[[#This Row],[Item]],super1[Bairro],mercado8)+SUMIFS(supercb[Qtde],supercb[Item],tab_higiene[[#This Row],[Item]],supercb[Bairro],mercado8)</f>
        <v>2</v>
      </c>
      <c r="AS86" s="27" t="n">
        <f aca="false">SUMIFS(super1[Qtde],super1[Item],tab_higiene[[#This Row],[Item]],super1[Bairro],mercado9)+SUMIFS(supercb[Qtde],supercb[Item],tab_higiene[[#This Row],[Item]],supercb[Bairro],mercado9)</f>
        <v>0</v>
      </c>
      <c r="AT86" s="27" t="n">
        <f aca="false">SUMIFS(super1[Qtde],super1[Item],tab_higiene[[#This Row],[Item]],super1[Bairro],mercado10)+SUMIFS(supercb[Qtde],supercb[Item],tab_higiene[[#This Row],[Item]],supercb[Bairro],mercado10)</f>
        <v>1</v>
      </c>
      <c r="AU86" s="27" t="n">
        <f aca="false">SUMIFS(super1[Qtde],super1[Item],tab_higiene[[#This Row],[Item]],super1[Bairro],mercado11)+SUMIFS(supercb[Qtde],supercb[Item],tab_higiene[[#This Row],[Item]],supercb[Bairro],mercado11)</f>
        <v>0</v>
      </c>
      <c r="AV86" s="27" t="n">
        <f aca="false">SUMIFS(super1[Qtde],super1[Item],tab_higiene[[#This Row],[Item]],super1[Bairro],mercado12)+SUMIFS(supercb[Qtde],supercb[Item],tab_higiene[[#This Row],[Item]],supercb[Bairro],mercado12)</f>
        <v>0</v>
      </c>
      <c r="AW86" s="27" t="n">
        <f aca="false">SUMIFS(super1[Qtde],super1[Item],tab_higiene[[#This Row],[Item]],super1[Bairro],mercado13)+SUMIFS(supercb[Qtde],supercb[Item],tab_higiene[[#This Row],[Item]],supercb[Bairro],mercado13)</f>
        <v>0</v>
      </c>
      <c r="AX86" s="27" t="n">
        <f aca="false">SUMIFS(super1[Qtde],super1[Item],tab_higiene[[#This Row],[Item]],super1[Bairro],mercado14)+SUMIFS(supercb[Qtde],supercb[Item],tab_higiene[[#This Row],[Item]],supercb[Bairro],mercado14)</f>
        <v>0</v>
      </c>
      <c r="AY86" s="27" t="n">
        <f aca="false">SUMIFS(super1[Qtde],super1[Item],tab_higiene[[#This Row],[Item]],super1[Bairro],mercado15)+SUMIFS(supercb[Qtde],supercb[Item],tab_higiene[[#This Row],[Item]],supercb[Bairro],mercado15)</f>
        <v>0</v>
      </c>
      <c r="AZ86" s="27" t="n">
        <f aca="false">SUMIFS(super1[Qtde],super1[Item],tab_higiene[[#This Row],[Item]],super1[Bairro],mercado16)+SUMIFS(supercb[Qtde],supercb[Item],tab_higiene[[#This Row],[Item]],supercb[Bairro],mercado16)</f>
        <v>0</v>
      </c>
      <c r="BA86" s="27" t="n">
        <f aca="false">SUMIFS(super1[Qtde],super1[Item],tab_higiene[[#This Row],[Item]],super1[Bairro],mercado17)+SUMIFS(supercb[Qtde],supercb[Item],tab_higiene[[#This Row],[Item]],supercb[Bairro],mercado17)</f>
        <v>0</v>
      </c>
      <c r="BB86" s="27" t="n">
        <f aca="false">SUMIFS(super1[Qtde],super1[Item],tab_higiene[[#This Row],[Item]],super1[Bairro],mercado18)+SUMIFS(supercb[Qtde],supercb[Item],tab_higiene[[#This Row],[Item]],supercb[Bairro],mercado18)</f>
        <v>0</v>
      </c>
      <c r="BC86" s="27" t="n">
        <f aca="false">SUMIFS(super1[Qtde],super1[Item],tab_higiene[[#This Row],[Item]],super1[Bairro],extras)+SUMIFS(supercb[Qtde],supercb[Item],tab_higiene[[#This Row],[Item]],supercb[Bairro],extras)</f>
        <v>0</v>
      </c>
      <c r="BD86" s="27" t="n">
        <f aca="false">SUM(AK86:BB86)</f>
        <v>8</v>
      </c>
      <c r="BE86" s="27" t="n">
        <f aca="false">IFERROR(BD86*AJ86,0)</f>
        <v>135.152</v>
      </c>
      <c r="BF86" s="28" t="n">
        <f aca="false">IFERROR(AI86*BD86,0)</f>
        <v>40.8016836976553</v>
      </c>
      <c r="BI86" s="22" t="str">
        <f aca="false">tab_alimentos[[#This Row],[Item]]</f>
        <v>Chocolate barra (100g)</v>
      </c>
      <c r="BJ86" s="22" t="n">
        <f aca="false">IFERROR(FIND(" (",BI86),0)</f>
        <v>16</v>
      </c>
      <c r="BK86" s="22" t="str">
        <f aca="false">IF(BJ86=0,BI86,LEFT(BI86,BJ86-1))</f>
        <v>Chocolate barra</v>
      </c>
      <c r="BL86" s="22" t="n">
        <f aca="false">tab_alimentos[[#This Row],[kg]]</f>
        <v>0</v>
      </c>
      <c r="BM86" s="0" t="s">
        <v>164</v>
      </c>
      <c r="BN86" s="22" t="n">
        <f aca="false">SUMIF($BJ$5:$BJ$158,BM86,$BK$5:$BK$158)</f>
        <v>0</v>
      </c>
      <c r="BP86" s="22" t="str">
        <f aca="false">tab_higiene[[#This Row],[Item]]</f>
        <v>Fraldas Geriátricas (07un)</v>
      </c>
      <c r="BQ86" s="22" t="n">
        <f aca="false">IFERROR(FIND(" (",BP86),0)</f>
        <v>20</v>
      </c>
      <c r="BR86" s="22" t="str">
        <f aca="false">IF(BQ86=0,BP86,LEFT(BP86,BQ86-1))</f>
        <v>Fraldas Geriátricas</v>
      </c>
      <c r="BS86" s="22" t="n">
        <f aca="false">higiene[[#This Row],[Quantidade]]</f>
        <v>50</v>
      </c>
      <c r="BT86" s="22" t="n">
        <f aca="false">tab_higiene[Qtde (tot)]</f>
        <v>8</v>
      </c>
      <c r="BU86" s="22" t="n">
        <f aca="false">BS86*BT86</f>
        <v>400</v>
      </c>
      <c r="BW86" s="22" t="n">
        <f aca="false">SUMIF($BR$5:$BR$142,BV86,$BU$5:$BU$142)</f>
        <v>0</v>
      </c>
    </row>
    <row r="87" customFormat="false" ht="15" hidden="false" customHeight="false" outlineLevel="0" collapsed="false">
      <c r="I87" s="26" t="str">
        <f aca="false">alimentos[[#This Row],[Item]]</f>
        <v>Coca-cola (1,5L)</v>
      </c>
      <c r="J87" s="27" t="n">
        <f aca="false">IFERROR(alimentos[[#This Row],[kg/embalagem]],0)</f>
        <v>1.5</v>
      </c>
      <c r="K87" s="27" t="n">
        <f aca="false">IFERROR(alimentos[[#This Row],[Preço]],0)</f>
        <v>3.89</v>
      </c>
      <c r="L87" s="27" t="n">
        <f aca="false">SUMIFS(super1[Qtde],super1[Item],tab_alimentos[[#This Row],[Item]],super1[Bairro],mercado1)+SUMIFS(supercb[Qtde],supercb[Item],tab_alimentos[[#This Row],[Item]],supercb[Bairro],mercado1)</f>
        <v>0</v>
      </c>
      <c r="M87" s="27" t="n">
        <f aca="false">SUMIFS(super1[Qtde],super1[Item],tab_alimentos[[#This Row],[Item]],super1[Bairro],mercado2)+SUMIFS(supercb[Qtde],supercb[Item],tab_alimentos[[#This Row],[Item]],supercb[Bairro],mercado2)</f>
        <v>0</v>
      </c>
      <c r="N87" s="27" t="n">
        <f aca="false">SUMIFS(super1[Qtde],super1[Item],tab_alimentos[[#This Row],[Item]],super1[Bairro],mercado3)+SUMIFS(supercb[Qtde],supercb[Item],tab_alimentos[[#This Row],[Item]],supercb[Bairro],mercado3)</f>
        <v>0</v>
      </c>
      <c r="O87" s="27" t="n">
        <f aca="false">SUMIFS(super1[Qtde],super1[Item],tab_alimentos[[#This Row],[Item]],super1[Bairro],mercado4)+SUMIFS(supercb[Qtde],supercb[Item],tab_alimentos[[#This Row],[Item]],supercb[Bairro],mercado4)</f>
        <v>0</v>
      </c>
      <c r="P87" s="27" t="n">
        <f aca="false">SUMIFS(super1[Qtde],super1[Item],tab_alimentos[[#This Row],[Item]],super1[Bairro],mercado5)+SUMIFS(supercb[Qtde],supercb[Item],tab_alimentos[[#This Row],[Item]],supercb[Bairro],mercado5)</f>
        <v>0</v>
      </c>
      <c r="Q87" s="27" t="n">
        <f aca="false">SUMIFS(super1[Qtde],super1[Item],tab_alimentos[[#This Row],[Item]],super1[Bairro],mercado6)+SUMIFS(supercb[Qtde],supercb[Item],tab_alimentos[[#This Row],[Item]],supercb[Bairro],mercado6)</f>
        <v>0</v>
      </c>
      <c r="R87" s="27" t="n">
        <f aca="false">SUMIFS(super1[Qtde],super1[Item],tab_alimentos[[#This Row],[Item]],super1[Bairro],mercado7)+SUMIFS(supercb[Qtde],supercb[Item],tab_alimentos[[#This Row],[Item]],supercb[Bairro],mercado7)</f>
        <v>0</v>
      </c>
      <c r="S87" s="27" t="n">
        <f aca="false">SUMIFS(super1[Qtde],super1[Item],tab_alimentos[[#This Row],[Item]],super1[Bairro],mercado8)+SUMIFS(supercb[Qtde],supercb[Item],tab_alimentos[[#This Row],[Item]],supercb[Bairro],mercado8)</f>
        <v>0</v>
      </c>
      <c r="T87" s="27" t="n">
        <f aca="false">SUMIFS(super1[Qtde],super1[Item],tab_alimentos[[#This Row],[Item]],super1[Bairro],mercado9)+SUMIFS(supercb[Qtde],supercb[Item],tab_alimentos[[#This Row],[Item]],supercb[Bairro],mercado9)</f>
        <v>0</v>
      </c>
      <c r="U87" s="27" t="n">
        <f aca="false">SUMIFS(super1[Qtde],super1[Item],tab_alimentos[[#This Row],[Item]],super1[Bairro],mercado10)+SUMIFS(supercb[Qtde],supercb[Item],tab_alimentos[[#This Row],[Item]],supercb[Bairro],mercado10)</f>
        <v>0</v>
      </c>
      <c r="V87" s="27" t="n">
        <f aca="false">SUMIFS(super1[Qtde],super1[Item],tab_alimentos[[#This Row],[Item]],super1[Bairro],mercado11)+SUMIFS(supercb[Qtde],supercb[Item],tab_alimentos[[#This Row],[Item]],supercb[Bairro],mercado11)</f>
        <v>0</v>
      </c>
      <c r="W87" s="27" t="n">
        <f aca="false">SUMIFS(super1[Qtde],super1[Item],tab_alimentos[[#This Row],[Item]],super1[Bairro],mercado12)+SUMIFS(supercb[Qtde],supercb[Item],tab_alimentos[[#This Row],[Item]],supercb[Bairro],mercado12)</f>
        <v>0</v>
      </c>
      <c r="X87" s="27" t="n">
        <f aca="false">SUMIFS(super1[Qtde],super1[Item],tab_alimentos[[#This Row],[Item]],super1[Bairro],mercado13)+SUMIFS(supercb[Qtde],supercb[Item],tab_alimentos[[#This Row],[Item]],supercb[Bairro],mercado13)</f>
        <v>0</v>
      </c>
      <c r="Y87" s="27" t="n">
        <f aca="false">SUMIFS(super1[Qtde],super1[Item],tab_alimentos[[#This Row],[Item]],super1[Bairro],mercado14)+SUMIFS(supercb[Qtde],supercb[Item],tab_alimentos[[#This Row],[Item]],supercb[Bairro],mercado14)</f>
        <v>0</v>
      </c>
      <c r="Z87" s="27" t="n">
        <f aca="false">SUMIFS(super1[Qtde],super1[Item],tab_alimentos[[#This Row],[Item]],super1[Bairro],mercado15)+SUMIFS(supercb[Qtde],supercb[Item],tab_alimentos[[#This Row],[Item]],supercb[Bairro],mercado15)</f>
        <v>0</v>
      </c>
      <c r="AA87" s="27" t="n">
        <f aca="false">SUMIFS(super1[Qtde],super1[Item],tab_alimentos[[#This Row],[Item]],super1[Bairro],mercado16)+SUMIFS(supercb[Qtde],supercb[Item],tab_alimentos[[#This Row],[Item]],supercb[Bairro],mercado16)</f>
        <v>0</v>
      </c>
      <c r="AB87" s="27" t="n">
        <f aca="false">SUMIFS(super1[Qtde],super1[Item],tab_alimentos[[#This Row],[Item]],super1[Bairro],mercado17)+SUMIFS(supercb[Qtde],supercb[Item],tab_alimentos[[#This Row],[Item]],supercb[Bairro],mercado17)</f>
        <v>0</v>
      </c>
      <c r="AC87" s="27" t="n">
        <f aca="false">SUMIFS(super1[Qtde],super1[Item],tab_alimentos[[#This Row],[Item]],super1[Bairro],mercado18)+SUMIFS(supercb[Qtde],supercb[Item],tab_alimentos[[#This Row],[Item]],supercb[Bairro],mercado18)</f>
        <v>0</v>
      </c>
      <c r="AD87" s="27" t="n">
        <f aca="false">SUMIFS(super1[Qtde],super1[Item],tab_alimentos[[#This Row],[Item]],super1[Bairro],extras)+SUMIFS(supercb[Qtde],supercb[Item],tab_alimentos[[#This Row],[Item]],supercb[Bairro],extras)</f>
        <v>0</v>
      </c>
      <c r="AE87" s="27" t="n">
        <f aca="false">SUM(L87:AC87)</f>
        <v>0</v>
      </c>
      <c r="AF87" s="27" t="n">
        <f aca="false">IFERROR(AE87*K87,0)</f>
        <v>0</v>
      </c>
      <c r="AG87" s="28" t="n">
        <f aca="false">IFERROR(J87*AE87,0)</f>
        <v>0</v>
      </c>
      <c r="AH87" s="26" t="str">
        <f aca="false">higiene[[#This Row],[Item]]</f>
        <v>Fraldas Geriátricas (08un)</v>
      </c>
      <c r="AI87" s="27" t="n">
        <f aca="false">IFERROR(higiene[[#This Row],[Kg equivalente]],0)</f>
        <v>4.46623141813005</v>
      </c>
      <c r="AJ87" s="27" t="n">
        <f aca="false">IFERROR(higiene[[#This Row],[Preço por produto]],0)</f>
        <v>14.794</v>
      </c>
      <c r="AK87" s="27" t="n">
        <f aca="false">SUMIFS(super1[Qtde],super1[Item],tab_higiene[[#This Row],[Item]],super1[Bairro],mercado1)+SUMIFS(supercb[Qtde],supercb[Item],tab_higiene[[#This Row],[Item]],supercb[Bairro],mercado1)</f>
        <v>3</v>
      </c>
      <c r="AL87" s="27" t="n">
        <f aca="false">SUMIFS(super1[Qtde],super1[Item],tab_higiene[[#This Row],[Item]],super1[Bairro],mercado2)+SUMIFS(supercb[Qtde],supercb[Item],tab_higiene[[#This Row],[Item]],supercb[Bairro],mercado2)</f>
        <v>1</v>
      </c>
      <c r="AM87" s="27" t="n">
        <f aca="false">SUMIFS(super1[Qtde],super1[Item],tab_higiene[[#This Row],[Item]],super1[Bairro],mercado3)+SUMIFS(supercb[Qtde],supercb[Item],tab_higiene[[#This Row],[Item]],supercb[Bairro],mercado3)</f>
        <v>1</v>
      </c>
      <c r="AN87" s="27" t="n">
        <f aca="false">SUMIFS(super1[Qtde],super1[Item],tab_higiene[[#This Row],[Item]],super1[Bairro],mercado4)+SUMIFS(supercb[Qtde],supercb[Item],tab_higiene[[#This Row],[Item]],supercb[Bairro],mercado4)</f>
        <v>0</v>
      </c>
      <c r="AO87" s="27" t="n">
        <f aca="false">SUMIFS(super1[Qtde],super1[Item],tab_higiene[[#This Row],[Item]],super1[Bairro],mercado5)+SUMIFS(supercb[Qtde],supercb[Item],tab_higiene[[#This Row],[Item]],supercb[Bairro],mercado5)</f>
        <v>7</v>
      </c>
      <c r="AP87" s="27" t="n">
        <f aca="false">SUMIFS(super1[Qtde],super1[Item],tab_higiene[[#This Row],[Item]],super1[Bairro],mercado6)+SUMIFS(supercb[Qtde],supercb[Item],tab_higiene[[#This Row],[Item]],supercb[Bairro],mercado6)</f>
        <v>1</v>
      </c>
      <c r="AQ87" s="27" t="n">
        <f aca="false">SUMIFS(super1[Qtde],super1[Item],tab_higiene[[#This Row],[Item]],super1[Bairro],mercado7)+SUMIFS(supercb[Qtde],supercb[Item],tab_higiene[[#This Row],[Item]],supercb[Bairro],mercado7)</f>
        <v>1</v>
      </c>
      <c r="AR87" s="27" t="n">
        <f aca="false">SUMIFS(super1[Qtde],super1[Item],tab_higiene[[#This Row],[Item]],super1[Bairro],mercado8)+SUMIFS(supercb[Qtde],supercb[Item],tab_higiene[[#This Row],[Item]],supercb[Bairro],mercado8)</f>
        <v>6</v>
      </c>
      <c r="AS87" s="27" t="n">
        <f aca="false">SUMIFS(super1[Qtde],super1[Item],tab_higiene[[#This Row],[Item]],super1[Bairro],mercado9)+SUMIFS(supercb[Qtde],supercb[Item],tab_higiene[[#This Row],[Item]],supercb[Bairro],mercado9)</f>
        <v>2</v>
      </c>
      <c r="AT87" s="27" t="n">
        <f aca="false">SUMIFS(super1[Qtde],super1[Item],tab_higiene[[#This Row],[Item]],super1[Bairro],mercado10)+SUMIFS(supercb[Qtde],supercb[Item],tab_higiene[[#This Row],[Item]],supercb[Bairro],mercado10)</f>
        <v>6</v>
      </c>
      <c r="AU87" s="27" t="n">
        <f aca="false">SUMIFS(super1[Qtde],super1[Item],tab_higiene[[#This Row],[Item]],super1[Bairro],mercado11)+SUMIFS(supercb[Qtde],supercb[Item],tab_higiene[[#This Row],[Item]],supercb[Bairro],mercado11)</f>
        <v>1</v>
      </c>
      <c r="AV87" s="27" t="n">
        <f aca="false">SUMIFS(super1[Qtde],super1[Item],tab_higiene[[#This Row],[Item]],super1[Bairro],mercado12)+SUMIFS(supercb[Qtde],supercb[Item],tab_higiene[[#This Row],[Item]],supercb[Bairro],mercado12)</f>
        <v>0</v>
      </c>
      <c r="AW87" s="27" t="n">
        <f aca="false">SUMIFS(super1[Qtde],super1[Item],tab_higiene[[#This Row],[Item]],super1[Bairro],mercado13)+SUMIFS(supercb[Qtde],supercb[Item],tab_higiene[[#This Row],[Item]],supercb[Bairro],mercado13)</f>
        <v>2</v>
      </c>
      <c r="AX87" s="27" t="n">
        <f aca="false">SUMIFS(super1[Qtde],super1[Item],tab_higiene[[#This Row],[Item]],super1[Bairro],mercado14)+SUMIFS(supercb[Qtde],supercb[Item],tab_higiene[[#This Row],[Item]],supercb[Bairro],mercado14)</f>
        <v>0</v>
      </c>
      <c r="AY87" s="27" t="n">
        <f aca="false">SUMIFS(super1[Qtde],super1[Item],tab_higiene[[#This Row],[Item]],super1[Bairro],mercado15)+SUMIFS(supercb[Qtde],supercb[Item],tab_higiene[[#This Row],[Item]],supercb[Bairro],mercado15)</f>
        <v>0</v>
      </c>
      <c r="AZ87" s="27" t="n">
        <f aca="false">SUMIFS(super1[Qtde],super1[Item],tab_higiene[[#This Row],[Item]],super1[Bairro],mercado16)+SUMIFS(supercb[Qtde],supercb[Item],tab_higiene[[#This Row],[Item]],supercb[Bairro],mercado16)</f>
        <v>0</v>
      </c>
      <c r="BA87" s="27" t="n">
        <f aca="false">SUMIFS(super1[Qtde],super1[Item],tab_higiene[[#This Row],[Item]],super1[Bairro],mercado17)+SUMIFS(supercb[Qtde],supercb[Item],tab_higiene[[#This Row],[Item]],supercb[Bairro],mercado17)</f>
        <v>0</v>
      </c>
      <c r="BB87" s="27" t="n">
        <f aca="false">SUMIFS(super1[Qtde],super1[Item],tab_higiene[[#This Row],[Item]],super1[Bairro],mercado18)+SUMIFS(supercb[Qtde],supercb[Item],tab_higiene[[#This Row],[Item]],supercb[Bairro],mercado18)</f>
        <v>0</v>
      </c>
      <c r="BC87" s="27" t="n">
        <f aca="false">SUMIFS(super1[Qtde],super1[Item],tab_higiene[[#This Row],[Item]],super1[Bairro],extras)+SUMIFS(supercb[Qtde],supercb[Item],tab_higiene[[#This Row],[Item]],supercb[Bairro],extras)</f>
        <v>0</v>
      </c>
      <c r="BD87" s="27" t="n">
        <f aca="false">SUM(AK87:BB87)</f>
        <v>31</v>
      </c>
      <c r="BE87" s="27" t="n">
        <f aca="false">IFERROR(BD87*AJ87,0)</f>
        <v>458.614</v>
      </c>
      <c r="BF87" s="28" t="n">
        <f aca="false">IFERROR(AI87*BD87,0)</f>
        <v>138.453173962032</v>
      </c>
      <c r="BI87" s="22" t="str">
        <f aca="false">tab_alimentos[[#This Row],[Item]]</f>
        <v>Coca-cola (1,5L)</v>
      </c>
      <c r="BJ87" s="22" t="n">
        <f aca="false">IFERROR(FIND(" (",BI87),0)</f>
        <v>10</v>
      </c>
      <c r="BK87" s="22" t="str">
        <f aca="false">IF(BJ87=0,BI87,LEFT(BI87,BJ87-1))</f>
        <v>Coca-cola</v>
      </c>
      <c r="BL87" s="22" t="n">
        <f aca="false">tab_alimentos[[#This Row],[kg]]</f>
        <v>0</v>
      </c>
      <c r="BM87" s="0" t="s">
        <v>355</v>
      </c>
      <c r="BN87" s="22" t="n">
        <f aca="false">SUMIF($BJ$5:$BJ$158,BM87,$BK$5:$BK$158)</f>
        <v>0</v>
      </c>
      <c r="BP87" s="22" t="str">
        <f aca="false">tab_higiene[[#This Row],[Item]]</f>
        <v>Fraldas Geriátricas (08un)</v>
      </c>
      <c r="BQ87" s="22" t="n">
        <f aca="false">IFERROR(FIND(" (",BP87),0)</f>
        <v>20</v>
      </c>
      <c r="BR87" s="22" t="str">
        <f aca="false">IF(BQ87=0,BP87,LEFT(BP87,BQ87-1))</f>
        <v>Fraldas Geriátricas</v>
      </c>
      <c r="BS87" s="22" t="n">
        <f aca="false">higiene[[#This Row],[Quantidade]]</f>
        <v>0</v>
      </c>
      <c r="BT87" s="22" t="n">
        <f aca="false">tab_higiene[Qtde (tot)]</f>
        <v>31</v>
      </c>
      <c r="BU87" s="22" t="n">
        <f aca="false">BS87*BT87</f>
        <v>0</v>
      </c>
      <c r="BW87" s="22" t="n">
        <f aca="false">SUMIF($BR$5:$BR$142,BV87,$BU$5:$BU$142)</f>
        <v>0</v>
      </c>
    </row>
    <row r="88" customFormat="false" ht="15" hidden="false" customHeight="false" outlineLevel="0" collapsed="false">
      <c r="I88" s="26" t="str">
        <f aca="false">alimentos[[#This Row],[Item]]</f>
        <v>Coca-cola (2,5L)</v>
      </c>
      <c r="J88" s="27" t="n">
        <f aca="false">IFERROR(alimentos[[#This Row],[kg/embalagem]],0)</f>
        <v>2.5</v>
      </c>
      <c r="K88" s="27" t="n">
        <f aca="false">IFERROR(alimentos[[#This Row],[Preço]],0)</f>
        <v>7.19</v>
      </c>
      <c r="L88" s="27" t="n">
        <f aca="false">SUMIFS(super1[Qtde],super1[Item],tab_alimentos[[#This Row],[Item]],super1[Bairro],mercado1)+SUMIFS(supercb[Qtde],supercb[Item],tab_alimentos[[#This Row],[Item]],supercb[Bairro],mercado1)</f>
        <v>0</v>
      </c>
      <c r="M88" s="27" t="n">
        <f aca="false">SUMIFS(super1[Qtde],super1[Item],tab_alimentos[[#This Row],[Item]],super1[Bairro],mercado2)+SUMIFS(supercb[Qtde],supercb[Item],tab_alimentos[[#This Row],[Item]],supercb[Bairro],mercado2)</f>
        <v>0</v>
      </c>
      <c r="N88" s="27" t="n">
        <f aca="false">SUMIFS(super1[Qtde],super1[Item],tab_alimentos[[#This Row],[Item]],super1[Bairro],mercado3)+SUMIFS(supercb[Qtde],supercb[Item],tab_alimentos[[#This Row],[Item]],supercb[Bairro],mercado3)</f>
        <v>0</v>
      </c>
      <c r="O88" s="27" t="n">
        <f aca="false">SUMIFS(super1[Qtde],super1[Item],tab_alimentos[[#This Row],[Item]],super1[Bairro],mercado4)+SUMIFS(supercb[Qtde],supercb[Item],tab_alimentos[[#This Row],[Item]],supercb[Bairro],mercado4)</f>
        <v>0</v>
      </c>
      <c r="P88" s="27" t="n">
        <f aca="false">SUMIFS(super1[Qtde],super1[Item],tab_alimentos[[#This Row],[Item]],super1[Bairro],mercado5)+SUMIFS(supercb[Qtde],supercb[Item],tab_alimentos[[#This Row],[Item]],supercb[Bairro],mercado5)</f>
        <v>0</v>
      </c>
      <c r="Q88" s="27" t="n">
        <f aca="false">SUMIFS(super1[Qtde],super1[Item],tab_alimentos[[#This Row],[Item]],super1[Bairro],mercado6)+SUMIFS(supercb[Qtde],supercb[Item],tab_alimentos[[#This Row],[Item]],supercb[Bairro],mercado6)</f>
        <v>0</v>
      </c>
      <c r="R88" s="27" t="n">
        <f aca="false">SUMIFS(super1[Qtde],super1[Item],tab_alimentos[[#This Row],[Item]],super1[Bairro],mercado7)+SUMIFS(supercb[Qtde],supercb[Item],tab_alimentos[[#This Row],[Item]],supercb[Bairro],mercado7)</f>
        <v>0</v>
      </c>
      <c r="S88" s="27" t="n">
        <f aca="false">SUMIFS(super1[Qtde],super1[Item],tab_alimentos[[#This Row],[Item]],super1[Bairro],mercado8)+SUMIFS(supercb[Qtde],supercb[Item],tab_alimentos[[#This Row],[Item]],supercb[Bairro],mercado8)</f>
        <v>0</v>
      </c>
      <c r="T88" s="27" t="n">
        <f aca="false">SUMIFS(super1[Qtde],super1[Item],tab_alimentos[[#This Row],[Item]],super1[Bairro],mercado9)+SUMIFS(supercb[Qtde],supercb[Item],tab_alimentos[[#This Row],[Item]],supercb[Bairro],mercado9)</f>
        <v>0</v>
      </c>
      <c r="U88" s="27" t="n">
        <f aca="false">SUMIFS(super1[Qtde],super1[Item],tab_alimentos[[#This Row],[Item]],super1[Bairro],mercado10)+SUMIFS(supercb[Qtde],supercb[Item],tab_alimentos[[#This Row],[Item]],supercb[Bairro],mercado10)</f>
        <v>0</v>
      </c>
      <c r="V88" s="27" t="n">
        <f aca="false">SUMIFS(super1[Qtde],super1[Item],tab_alimentos[[#This Row],[Item]],super1[Bairro],mercado11)+SUMIFS(supercb[Qtde],supercb[Item],tab_alimentos[[#This Row],[Item]],supercb[Bairro],mercado11)</f>
        <v>0</v>
      </c>
      <c r="W88" s="27" t="n">
        <f aca="false">SUMIFS(super1[Qtde],super1[Item],tab_alimentos[[#This Row],[Item]],super1[Bairro],mercado12)+SUMIFS(supercb[Qtde],supercb[Item],tab_alimentos[[#This Row],[Item]],supercb[Bairro],mercado12)</f>
        <v>0</v>
      </c>
      <c r="X88" s="27" t="n">
        <f aca="false">SUMIFS(super1[Qtde],super1[Item],tab_alimentos[[#This Row],[Item]],super1[Bairro],mercado13)+SUMIFS(supercb[Qtde],supercb[Item],tab_alimentos[[#This Row],[Item]],supercb[Bairro],mercado13)</f>
        <v>0</v>
      </c>
      <c r="Y88" s="27" t="n">
        <f aca="false">SUMIFS(super1[Qtde],super1[Item],tab_alimentos[[#This Row],[Item]],super1[Bairro],mercado14)+SUMIFS(supercb[Qtde],supercb[Item],tab_alimentos[[#This Row],[Item]],supercb[Bairro],mercado14)</f>
        <v>0</v>
      </c>
      <c r="Z88" s="27" t="n">
        <f aca="false">SUMIFS(super1[Qtde],super1[Item],tab_alimentos[[#This Row],[Item]],super1[Bairro],mercado15)+SUMIFS(supercb[Qtde],supercb[Item],tab_alimentos[[#This Row],[Item]],supercb[Bairro],mercado15)</f>
        <v>0</v>
      </c>
      <c r="AA88" s="27" t="n">
        <f aca="false">SUMIFS(super1[Qtde],super1[Item],tab_alimentos[[#This Row],[Item]],super1[Bairro],mercado16)+SUMIFS(supercb[Qtde],supercb[Item],tab_alimentos[[#This Row],[Item]],supercb[Bairro],mercado16)</f>
        <v>0</v>
      </c>
      <c r="AB88" s="27" t="n">
        <f aca="false">SUMIFS(super1[Qtde],super1[Item],tab_alimentos[[#This Row],[Item]],super1[Bairro],mercado17)+SUMIFS(supercb[Qtde],supercb[Item],tab_alimentos[[#This Row],[Item]],supercb[Bairro],mercado17)</f>
        <v>0</v>
      </c>
      <c r="AC88" s="27" t="n">
        <f aca="false">SUMIFS(super1[Qtde],super1[Item],tab_alimentos[[#This Row],[Item]],super1[Bairro],mercado18)+SUMIFS(supercb[Qtde],supercb[Item],tab_alimentos[[#This Row],[Item]],supercb[Bairro],mercado18)</f>
        <v>0</v>
      </c>
      <c r="AD88" s="27" t="n">
        <f aca="false">SUMIFS(super1[Qtde],super1[Item],tab_alimentos[[#This Row],[Item]],super1[Bairro],extras)+SUMIFS(supercb[Qtde],supercb[Item],tab_alimentos[[#This Row],[Item]],supercb[Bairro],extras)</f>
        <v>0</v>
      </c>
      <c r="AE88" s="27" t="n">
        <f aca="false">SUM(L88:AC88)</f>
        <v>0</v>
      </c>
      <c r="AF88" s="27" t="n">
        <f aca="false">IFERROR(AE88*K88,0)</f>
        <v>0</v>
      </c>
      <c r="AG88" s="28" t="n">
        <f aca="false">IFERROR(J88*AE88,0)</f>
        <v>0</v>
      </c>
      <c r="AH88" s="26" t="str">
        <f aca="false">higiene[[#This Row],[Item]]</f>
        <v>Fraldas Geriátricas (09un)</v>
      </c>
      <c r="AI88" s="27" t="n">
        <f aca="false">IFERROR(higiene[[#This Row],[Kg equivalente]],0)</f>
        <v>6.21400094789624</v>
      </c>
      <c r="AJ88" s="27" t="n">
        <f aca="false">IFERROR(higiene[[#This Row],[Preço por produto]],0)</f>
        <v>20.5833333333333</v>
      </c>
      <c r="AK88" s="27" t="n">
        <f aca="false">SUMIFS(super1[Qtde],super1[Item],tab_higiene[[#This Row],[Item]],super1[Bairro],mercado1)+SUMIFS(supercb[Qtde],supercb[Item],tab_higiene[[#This Row],[Item]],supercb[Bairro],mercado1)</f>
        <v>0</v>
      </c>
      <c r="AL88" s="27" t="n">
        <f aca="false">SUMIFS(super1[Qtde],super1[Item],tab_higiene[[#This Row],[Item]],super1[Bairro],mercado2)+SUMIFS(supercb[Qtde],supercb[Item],tab_higiene[[#This Row],[Item]],supercb[Bairro],mercado2)</f>
        <v>0</v>
      </c>
      <c r="AM88" s="27" t="n">
        <f aca="false">SUMIFS(super1[Qtde],super1[Item],tab_higiene[[#This Row],[Item]],super1[Bairro],mercado3)+SUMIFS(supercb[Qtde],supercb[Item],tab_higiene[[#This Row],[Item]],supercb[Bairro],mercado3)</f>
        <v>0</v>
      </c>
      <c r="AN88" s="27" t="n">
        <f aca="false">SUMIFS(super1[Qtde],super1[Item],tab_higiene[[#This Row],[Item]],super1[Bairro],mercado4)+SUMIFS(supercb[Qtde],supercb[Item],tab_higiene[[#This Row],[Item]],supercb[Bairro],mercado4)</f>
        <v>0</v>
      </c>
      <c r="AO88" s="27" t="n">
        <f aca="false">SUMIFS(super1[Qtde],super1[Item],tab_higiene[[#This Row],[Item]],super1[Bairro],mercado5)+SUMIFS(supercb[Qtde],supercb[Item],tab_higiene[[#This Row],[Item]],supercb[Bairro],mercado5)</f>
        <v>1</v>
      </c>
      <c r="AP88" s="27" t="n">
        <f aca="false">SUMIFS(super1[Qtde],super1[Item],tab_higiene[[#This Row],[Item]],super1[Bairro],mercado6)+SUMIFS(supercb[Qtde],supercb[Item],tab_higiene[[#This Row],[Item]],supercb[Bairro],mercado6)</f>
        <v>0</v>
      </c>
      <c r="AQ88" s="27" t="n">
        <f aca="false">SUMIFS(super1[Qtde],super1[Item],tab_higiene[[#This Row],[Item]],super1[Bairro],mercado7)+SUMIFS(supercb[Qtde],supercb[Item],tab_higiene[[#This Row],[Item]],supercb[Bairro],mercado7)</f>
        <v>0</v>
      </c>
      <c r="AR88" s="27" t="n">
        <f aca="false">SUMIFS(super1[Qtde],super1[Item],tab_higiene[[#This Row],[Item]],super1[Bairro],mercado8)+SUMIFS(supercb[Qtde],supercb[Item],tab_higiene[[#This Row],[Item]],supercb[Bairro],mercado8)</f>
        <v>0</v>
      </c>
      <c r="AS88" s="27" t="n">
        <f aca="false">SUMIFS(super1[Qtde],super1[Item],tab_higiene[[#This Row],[Item]],super1[Bairro],mercado9)+SUMIFS(supercb[Qtde],supercb[Item],tab_higiene[[#This Row],[Item]],supercb[Bairro],mercado9)</f>
        <v>0</v>
      </c>
      <c r="AT88" s="27" t="n">
        <f aca="false">SUMIFS(super1[Qtde],super1[Item],tab_higiene[[#This Row],[Item]],super1[Bairro],mercado10)+SUMIFS(supercb[Qtde],supercb[Item],tab_higiene[[#This Row],[Item]],supercb[Bairro],mercado10)</f>
        <v>1</v>
      </c>
      <c r="AU88" s="27" t="n">
        <f aca="false">SUMIFS(super1[Qtde],super1[Item],tab_higiene[[#This Row],[Item]],super1[Bairro],mercado11)+SUMIFS(supercb[Qtde],supercb[Item],tab_higiene[[#This Row],[Item]],supercb[Bairro],mercado11)</f>
        <v>0</v>
      </c>
      <c r="AV88" s="27" t="n">
        <f aca="false">SUMIFS(super1[Qtde],super1[Item],tab_higiene[[#This Row],[Item]],super1[Bairro],mercado12)+SUMIFS(supercb[Qtde],supercb[Item],tab_higiene[[#This Row],[Item]],supercb[Bairro],mercado12)</f>
        <v>0</v>
      </c>
      <c r="AW88" s="27" t="n">
        <f aca="false">SUMIFS(super1[Qtde],super1[Item],tab_higiene[[#This Row],[Item]],super1[Bairro],mercado13)+SUMIFS(supercb[Qtde],supercb[Item],tab_higiene[[#This Row],[Item]],supercb[Bairro],mercado13)</f>
        <v>0</v>
      </c>
      <c r="AX88" s="27" t="n">
        <f aca="false">SUMIFS(super1[Qtde],super1[Item],tab_higiene[[#This Row],[Item]],super1[Bairro],mercado14)+SUMIFS(supercb[Qtde],supercb[Item],tab_higiene[[#This Row],[Item]],supercb[Bairro],mercado14)</f>
        <v>0</v>
      </c>
      <c r="AY88" s="27" t="n">
        <f aca="false">SUMIFS(super1[Qtde],super1[Item],tab_higiene[[#This Row],[Item]],super1[Bairro],mercado15)+SUMIFS(supercb[Qtde],supercb[Item],tab_higiene[[#This Row],[Item]],supercb[Bairro],mercado15)</f>
        <v>0</v>
      </c>
      <c r="AZ88" s="27" t="n">
        <f aca="false">SUMIFS(super1[Qtde],super1[Item],tab_higiene[[#This Row],[Item]],super1[Bairro],mercado16)+SUMIFS(supercb[Qtde],supercb[Item],tab_higiene[[#This Row],[Item]],supercb[Bairro],mercado16)</f>
        <v>0</v>
      </c>
      <c r="BA88" s="27" t="n">
        <f aca="false">SUMIFS(super1[Qtde],super1[Item],tab_higiene[[#This Row],[Item]],super1[Bairro],mercado17)+SUMIFS(supercb[Qtde],supercb[Item],tab_higiene[[#This Row],[Item]],supercb[Bairro],mercado17)</f>
        <v>0</v>
      </c>
      <c r="BB88" s="27" t="n">
        <f aca="false">SUMIFS(super1[Qtde],super1[Item],tab_higiene[[#This Row],[Item]],super1[Bairro],mercado18)+SUMIFS(supercb[Qtde],supercb[Item],tab_higiene[[#This Row],[Item]],supercb[Bairro],mercado18)</f>
        <v>0</v>
      </c>
      <c r="BC88" s="27" t="n">
        <f aca="false">SUMIFS(super1[Qtde],super1[Item],tab_higiene[[#This Row],[Item]],super1[Bairro],extras)+SUMIFS(supercb[Qtde],supercb[Item],tab_higiene[[#This Row],[Item]],supercb[Bairro],extras)</f>
        <v>0</v>
      </c>
      <c r="BD88" s="27" t="n">
        <f aca="false">SUM(AK88:BB88)</f>
        <v>2</v>
      </c>
      <c r="BE88" s="27" t="n">
        <f aca="false">IFERROR(BD88*AJ88,0)</f>
        <v>41.1666666666667</v>
      </c>
      <c r="BF88" s="28" t="n">
        <f aca="false">IFERROR(AI88*BD88,0)</f>
        <v>12.4280018957925</v>
      </c>
      <c r="BI88" s="22" t="str">
        <f aca="false">tab_alimentos[[#This Row],[Item]]</f>
        <v>Coca-cola (2,5L)</v>
      </c>
      <c r="BJ88" s="22" t="n">
        <f aca="false">IFERROR(FIND(" (",BI88),0)</f>
        <v>10</v>
      </c>
      <c r="BK88" s="22" t="str">
        <f aca="false">IF(BJ88=0,BI88,LEFT(BI88,BJ88-1))</f>
        <v>Coca-cola</v>
      </c>
      <c r="BL88" s="22" t="n">
        <f aca="false">tab_alimentos[[#This Row],[kg]]</f>
        <v>0</v>
      </c>
      <c r="BM88" s="0" t="s">
        <v>357</v>
      </c>
      <c r="BN88" s="22" t="n">
        <f aca="false">SUMIF($BJ$5:$BJ$158,BM88,$BK$5:$BK$158)</f>
        <v>0</v>
      </c>
      <c r="BP88" s="22" t="str">
        <f aca="false">tab_higiene[[#This Row],[Item]]</f>
        <v>Fraldas Geriátricas (09un)</v>
      </c>
      <c r="BQ88" s="22" t="n">
        <f aca="false">IFERROR(FIND(" (",BP88),0)</f>
        <v>20</v>
      </c>
      <c r="BR88" s="22" t="str">
        <f aca="false">IF(BQ88=0,BP88,LEFT(BP88,BQ88-1))</f>
        <v>Fraldas Geriátricas</v>
      </c>
      <c r="BS88" s="22" t="n">
        <f aca="false">higiene[[#This Row],[Quantidade]]</f>
        <v>1</v>
      </c>
      <c r="BT88" s="22" t="n">
        <f aca="false">tab_higiene[Qtde (tot)]</f>
        <v>2</v>
      </c>
      <c r="BU88" s="22" t="n">
        <f aca="false">BS88*BT88</f>
        <v>2</v>
      </c>
      <c r="BW88" s="22" t="n">
        <f aca="false">SUMIF($BR$5:$BR$142,BV88,$BU$5:$BU$142)</f>
        <v>0</v>
      </c>
    </row>
    <row r="89" customFormat="false" ht="15" hidden="false" customHeight="false" outlineLevel="0" collapsed="false">
      <c r="I89" s="26" t="str">
        <f aca="false">alimentos[[#This Row],[Item]]</f>
        <v>Coca-cola (2L)</v>
      </c>
      <c r="J89" s="27" t="n">
        <f aca="false">IFERROR(alimentos[[#This Row],[kg/embalagem]],0)</f>
        <v>2</v>
      </c>
      <c r="K89" s="27" t="n">
        <f aca="false">IFERROR(alimentos[[#This Row],[Preço]],0)</f>
        <v>6.49</v>
      </c>
      <c r="L89" s="27" t="n">
        <f aca="false">SUMIFS(super1[Qtde],super1[Item],tab_alimentos[[#This Row],[Item]],super1[Bairro],mercado1)+SUMIFS(supercb[Qtde],supercb[Item],tab_alimentos[[#This Row],[Item]],supercb[Bairro],mercado1)</f>
        <v>0</v>
      </c>
      <c r="M89" s="27" t="n">
        <f aca="false">SUMIFS(super1[Qtde],super1[Item],tab_alimentos[[#This Row],[Item]],super1[Bairro],mercado2)+SUMIFS(supercb[Qtde],supercb[Item],tab_alimentos[[#This Row],[Item]],supercb[Bairro],mercado2)</f>
        <v>0</v>
      </c>
      <c r="N89" s="27" t="n">
        <f aca="false">SUMIFS(super1[Qtde],super1[Item],tab_alimentos[[#This Row],[Item]],super1[Bairro],mercado3)+SUMIFS(supercb[Qtde],supercb[Item],tab_alimentos[[#This Row],[Item]],supercb[Bairro],mercado3)</f>
        <v>0</v>
      </c>
      <c r="O89" s="27" t="n">
        <f aca="false">SUMIFS(super1[Qtde],super1[Item],tab_alimentos[[#This Row],[Item]],super1[Bairro],mercado4)+SUMIFS(supercb[Qtde],supercb[Item],tab_alimentos[[#This Row],[Item]],supercb[Bairro],mercado4)</f>
        <v>0</v>
      </c>
      <c r="P89" s="27" t="n">
        <f aca="false">SUMIFS(super1[Qtde],super1[Item],tab_alimentos[[#This Row],[Item]],super1[Bairro],mercado5)+SUMIFS(supercb[Qtde],supercb[Item],tab_alimentos[[#This Row],[Item]],supercb[Bairro],mercado5)</f>
        <v>0</v>
      </c>
      <c r="Q89" s="27" t="n">
        <f aca="false">SUMIFS(super1[Qtde],super1[Item],tab_alimentos[[#This Row],[Item]],super1[Bairro],mercado6)+SUMIFS(supercb[Qtde],supercb[Item],tab_alimentos[[#This Row],[Item]],supercb[Bairro],mercado6)</f>
        <v>0</v>
      </c>
      <c r="R89" s="27" t="n">
        <f aca="false">SUMIFS(super1[Qtde],super1[Item],tab_alimentos[[#This Row],[Item]],super1[Bairro],mercado7)+SUMIFS(supercb[Qtde],supercb[Item],tab_alimentos[[#This Row],[Item]],supercb[Bairro],mercado7)</f>
        <v>0</v>
      </c>
      <c r="S89" s="27" t="n">
        <f aca="false">SUMIFS(super1[Qtde],super1[Item],tab_alimentos[[#This Row],[Item]],super1[Bairro],mercado8)+SUMIFS(supercb[Qtde],supercb[Item],tab_alimentos[[#This Row],[Item]],supercb[Bairro],mercado8)</f>
        <v>0</v>
      </c>
      <c r="T89" s="27" t="n">
        <f aca="false">SUMIFS(super1[Qtde],super1[Item],tab_alimentos[[#This Row],[Item]],super1[Bairro],mercado9)+SUMIFS(supercb[Qtde],supercb[Item],tab_alimentos[[#This Row],[Item]],supercb[Bairro],mercado9)</f>
        <v>0</v>
      </c>
      <c r="U89" s="27" t="n">
        <f aca="false">SUMIFS(super1[Qtde],super1[Item],tab_alimentos[[#This Row],[Item]],super1[Bairro],mercado10)+SUMIFS(supercb[Qtde],supercb[Item],tab_alimentos[[#This Row],[Item]],supercb[Bairro],mercado10)</f>
        <v>0</v>
      </c>
      <c r="V89" s="27" t="n">
        <f aca="false">SUMIFS(super1[Qtde],super1[Item],tab_alimentos[[#This Row],[Item]],super1[Bairro],mercado11)+SUMIFS(supercb[Qtde],supercb[Item],tab_alimentos[[#This Row],[Item]],supercb[Bairro],mercado11)</f>
        <v>0</v>
      </c>
      <c r="W89" s="27" t="n">
        <f aca="false">SUMIFS(super1[Qtde],super1[Item],tab_alimentos[[#This Row],[Item]],super1[Bairro],mercado12)+SUMIFS(supercb[Qtde],supercb[Item],tab_alimentos[[#This Row],[Item]],supercb[Bairro],mercado12)</f>
        <v>0</v>
      </c>
      <c r="X89" s="27" t="n">
        <f aca="false">SUMIFS(super1[Qtde],super1[Item],tab_alimentos[[#This Row],[Item]],super1[Bairro],mercado13)+SUMIFS(supercb[Qtde],supercb[Item],tab_alimentos[[#This Row],[Item]],supercb[Bairro],mercado13)</f>
        <v>0</v>
      </c>
      <c r="Y89" s="27" t="n">
        <f aca="false">SUMIFS(super1[Qtde],super1[Item],tab_alimentos[[#This Row],[Item]],super1[Bairro],mercado14)+SUMIFS(supercb[Qtde],supercb[Item],tab_alimentos[[#This Row],[Item]],supercb[Bairro],mercado14)</f>
        <v>0</v>
      </c>
      <c r="Z89" s="27" t="n">
        <f aca="false">SUMIFS(super1[Qtde],super1[Item],tab_alimentos[[#This Row],[Item]],super1[Bairro],mercado15)+SUMIFS(supercb[Qtde],supercb[Item],tab_alimentos[[#This Row],[Item]],supercb[Bairro],mercado15)</f>
        <v>0</v>
      </c>
      <c r="AA89" s="27" t="n">
        <f aca="false">SUMIFS(super1[Qtde],super1[Item],tab_alimentos[[#This Row],[Item]],super1[Bairro],mercado16)+SUMIFS(supercb[Qtde],supercb[Item],tab_alimentos[[#This Row],[Item]],supercb[Bairro],mercado16)</f>
        <v>0</v>
      </c>
      <c r="AB89" s="27" t="n">
        <f aca="false">SUMIFS(super1[Qtde],super1[Item],tab_alimentos[[#This Row],[Item]],super1[Bairro],mercado17)+SUMIFS(supercb[Qtde],supercb[Item],tab_alimentos[[#This Row],[Item]],supercb[Bairro],mercado17)</f>
        <v>0</v>
      </c>
      <c r="AC89" s="27" t="n">
        <f aca="false">SUMIFS(super1[Qtde],super1[Item],tab_alimentos[[#This Row],[Item]],super1[Bairro],mercado18)+SUMIFS(supercb[Qtde],supercb[Item],tab_alimentos[[#This Row],[Item]],supercb[Bairro],mercado18)</f>
        <v>0</v>
      </c>
      <c r="AD89" s="27" t="n">
        <f aca="false">SUMIFS(super1[Qtde],super1[Item],tab_alimentos[[#This Row],[Item]],super1[Bairro],extras)+SUMIFS(supercb[Qtde],supercb[Item],tab_alimentos[[#This Row],[Item]],supercb[Bairro],extras)</f>
        <v>0</v>
      </c>
      <c r="AE89" s="27" t="n">
        <f aca="false">SUM(L89:AC89)</f>
        <v>0</v>
      </c>
      <c r="AF89" s="27" t="n">
        <f aca="false">IFERROR(AE89*K89,0)</f>
        <v>0</v>
      </c>
      <c r="AG89" s="28" t="n">
        <f aca="false">IFERROR(J89*AE89,0)</f>
        <v>0</v>
      </c>
      <c r="AH89" s="26" t="str">
        <f aca="false">higiene[[#This Row],[Item]]</f>
        <v>Fraldas Geriátricas (10un)</v>
      </c>
      <c r="AI89" s="27" t="n">
        <f aca="false">IFERROR(higiene[[#This Row],[Kg equivalente]],0)</f>
        <v>5.37070818767971</v>
      </c>
      <c r="AJ89" s="27" t="n">
        <f aca="false">IFERROR(higiene[[#This Row],[Preço por produto]],0)</f>
        <v>17.79</v>
      </c>
      <c r="AK89" s="27" t="n">
        <f aca="false">SUMIFS(super1[Qtde],super1[Item],tab_higiene[[#This Row],[Item]],super1[Bairro],mercado1)+SUMIFS(supercb[Qtde],supercb[Item],tab_higiene[[#This Row],[Item]],supercb[Bairro],mercado1)</f>
        <v>0</v>
      </c>
      <c r="AL89" s="27" t="n">
        <f aca="false">SUMIFS(super1[Qtde],super1[Item],tab_higiene[[#This Row],[Item]],super1[Bairro],mercado2)+SUMIFS(supercb[Qtde],supercb[Item],tab_higiene[[#This Row],[Item]],supercb[Bairro],mercado2)</f>
        <v>0</v>
      </c>
      <c r="AM89" s="27" t="n">
        <f aca="false">SUMIFS(super1[Qtde],super1[Item],tab_higiene[[#This Row],[Item]],super1[Bairro],mercado3)+SUMIFS(supercb[Qtde],supercb[Item],tab_higiene[[#This Row],[Item]],supercb[Bairro],mercado3)</f>
        <v>0</v>
      </c>
      <c r="AN89" s="27" t="n">
        <f aca="false">SUMIFS(super1[Qtde],super1[Item],tab_higiene[[#This Row],[Item]],super1[Bairro],mercado4)+SUMIFS(supercb[Qtde],supercb[Item],tab_higiene[[#This Row],[Item]],supercb[Bairro],mercado4)</f>
        <v>0</v>
      </c>
      <c r="AO89" s="27" t="n">
        <f aca="false">SUMIFS(super1[Qtde],super1[Item],tab_higiene[[#This Row],[Item]],super1[Bairro],mercado5)+SUMIFS(supercb[Qtde],supercb[Item],tab_higiene[[#This Row],[Item]],supercb[Bairro],mercado5)</f>
        <v>0</v>
      </c>
      <c r="AP89" s="27" t="n">
        <f aca="false">SUMIFS(super1[Qtde],super1[Item],tab_higiene[[#This Row],[Item]],super1[Bairro],mercado6)+SUMIFS(supercb[Qtde],supercb[Item],tab_higiene[[#This Row],[Item]],supercb[Bairro],mercado6)</f>
        <v>0</v>
      </c>
      <c r="AQ89" s="27" t="n">
        <f aca="false">SUMIFS(super1[Qtde],super1[Item],tab_higiene[[#This Row],[Item]],super1[Bairro],mercado7)+SUMIFS(supercb[Qtde],supercb[Item],tab_higiene[[#This Row],[Item]],supercb[Bairro],mercado7)</f>
        <v>0</v>
      </c>
      <c r="AR89" s="27" t="n">
        <f aca="false">SUMIFS(super1[Qtde],super1[Item],tab_higiene[[#This Row],[Item]],super1[Bairro],mercado8)+SUMIFS(supercb[Qtde],supercb[Item],tab_higiene[[#This Row],[Item]],supercb[Bairro],mercado8)</f>
        <v>0</v>
      </c>
      <c r="AS89" s="27" t="n">
        <f aca="false">SUMIFS(super1[Qtde],super1[Item],tab_higiene[[#This Row],[Item]],super1[Bairro],mercado9)+SUMIFS(supercb[Qtde],supercb[Item],tab_higiene[[#This Row],[Item]],supercb[Bairro],mercado9)</f>
        <v>1</v>
      </c>
      <c r="AT89" s="27" t="n">
        <f aca="false">SUMIFS(super1[Qtde],super1[Item],tab_higiene[[#This Row],[Item]],super1[Bairro],mercado10)+SUMIFS(supercb[Qtde],supercb[Item],tab_higiene[[#This Row],[Item]],supercb[Bairro],mercado10)</f>
        <v>0</v>
      </c>
      <c r="AU89" s="27" t="n">
        <f aca="false">SUMIFS(super1[Qtde],super1[Item],tab_higiene[[#This Row],[Item]],super1[Bairro],mercado11)+SUMIFS(supercb[Qtde],supercb[Item],tab_higiene[[#This Row],[Item]],supercb[Bairro],mercado11)</f>
        <v>0</v>
      </c>
      <c r="AV89" s="27" t="n">
        <f aca="false">SUMIFS(super1[Qtde],super1[Item],tab_higiene[[#This Row],[Item]],super1[Bairro],mercado12)+SUMIFS(supercb[Qtde],supercb[Item],tab_higiene[[#This Row],[Item]],supercb[Bairro],mercado12)</f>
        <v>0</v>
      </c>
      <c r="AW89" s="27" t="n">
        <f aca="false">SUMIFS(super1[Qtde],super1[Item],tab_higiene[[#This Row],[Item]],super1[Bairro],mercado13)+SUMIFS(supercb[Qtde],supercb[Item],tab_higiene[[#This Row],[Item]],supercb[Bairro],mercado13)</f>
        <v>0</v>
      </c>
      <c r="AX89" s="27" t="n">
        <f aca="false">SUMIFS(super1[Qtde],super1[Item],tab_higiene[[#This Row],[Item]],super1[Bairro],mercado14)+SUMIFS(supercb[Qtde],supercb[Item],tab_higiene[[#This Row],[Item]],supercb[Bairro],mercado14)</f>
        <v>0</v>
      </c>
      <c r="AY89" s="27" t="n">
        <f aca="false">SUMIFS(super1[Qtde],super1[Item],tab_higiene[[#This Row],[Item]],super1[Bairro],mercado15)+SUMIFS(supercb[Qtde],supercb[Item],tab_higiene[[#This Row],[Item]],supercb[Bairro],mercado15)</f>
        <v>0</v>
      </c>
      <c r="AZ89" s="27" t="n">
        <f aca="false">SUMIFS(super1[Qtde],super1[Item],tab_higiene[[#This Row],[Item]],super1[Bairro],mercado16)+SUMIFS(supercb[Qtde],supercb[Item],tab_higiene[[#This Row],[Item]],supercb[Bairro],mercado16)</f>
        <v>0</v>
      </c>
      <c r="BA89" s="27" t="n">
        <f aca="false">SUMIFS(super1[Qtde],super1[Item],tab_higiene[[#This Row],[Item]],super1[Bairro],mercado17)+SUMIFS(supercb[Qtde],supercb[Item],tab_higiene[[#This Row],[Item]],supercb[Bairro],mercado17)</f>
        <v>0</v>
      </c>
      <c r="BB89" s="27" t="n">
        <f aca="false">SUMIFS(super1[Qtde],super1[Item],tab_higiene[[#This Row],[Item]],super1[Bairro],mercado18)+SUMIFS(supercb[Qtde],supercb[Item],tab_higiene[[#This Row],[Item]],supercb[Bairro],mercado18)</f>
        <v>0</v>
      </c>
      <c r="BC89" s="27" t="n">
        <f aca="false">SUMIFS(super1[Qtde],super1[Item],tab_higiene[[#This Row],[Item]],super1[Bairro],extras)+SUMIFS(supercb[Qtde],supercb[Item],tab_higiene[[#This Row],[Item]],supercb[Bairro],extras)</f>
        <v>0</v>
      </c>
      <c r="BD89" s="27" t="n">
        <f aca="false">SUM(AK89:BB89)</f>
        <v>1</v>
      </c>
      <c r="BE89" s="27" t="n">
        <f aca="false">IFERROR(BD89*AJ89,0)</f>
        <v>17.79</v>
      </c>
      <c r="BF89" s="28" t="n">
        <f aca="false">IFERROR(AI89*BD89,0)</f>
        <v>5.37070818767971</v>
      </c>
      <c r="BI89" s="22" t="str">
        <f aca="false">tab_alimentos[[#This Row],[Item]]</f>
        <v>Coca-cola (2L)</v>
      </c>
      <c r="BJ89" s="22" t="n">
        <f aca="false">IFERROR(FIND(" (",BI89),0)</f>
        <v>10</v>
      </c>
      <c r="BK89" s="22" t="str">
        <f aca="false">IF(BJ89=0,BI89,LEFT(BI89,BJ89-1))</f>
        <v>Coca-cola</v>
      </c>
      <c r="BL89" s="22" t="n">
        <f aca="false">tab_alimentos[[#This Row],[kg]]</f>
        <v>0</v>
      </c>
      <c r="BM89" s="0" t="s">
        <v>374</v>
      </c>
      <c r="BN89" s="22" t="n">
        <f aca="false">SUMIF($BJ$5:$BJ$158,BM89,$BK$5:$BK$158)</f>
        <v>0</v>
      </c>
      <c r="BP89" s="22" t="str">
        <f aca="false">tab_higiene[[#This Row],[Item]]</f>
        <v>Fraldas Geriátricas (10un)</v>
      </c>
      <c r="BQ89" s="22" t="n">
        <f aca="false">IFERROR(FIND(" (",BP89),0)</f>
        <v>20</v>
      </c>
      <c r="BR89" s="22" t="str">
        <f aca="false">IF(BQ89=0,BP89,LEFT(BP89,BQ89-1))</f>
        <v>Fraldas Geriátricas</v>
      </c>
      <c r="BS89" s="22" t="n">
        <f aca="false">higiene[[#This Row],[Quantidade]]</f>
        <v>0</v>
      </c>
      <c r="BT89" s="22" t="n">
        <f aca="false">tab_higiene[Qtde (tot)]</f>
        <v>1</v>
      </c>
      <c r="BU89" s="22" t="n">
        <f aca="false">BS89*BT89</f>
        <v>0</v>
      </c>
      <c r="BW89" s="22" t="n">
        <f aca="false">SUMIF($BR$5:$BR$142,BV89,$BU$5:$BU$142)</f>
        <v>0</v>
      </c>
    </row>
    <row r="90" customFormat="false" ht="15" hidden="false" customHeight="false" outlineLevel="0" collapsed="false">
      <c r="I90" s="26" t="str">
        <f aca="false">alimentos[[#This Row],[Item]]</f>
        <v>Coca-cola (3L)</v>
      </c>
      <c r="J90" s="27" t="n">
        <f aca="false">IFERROR(alimentos[[#This Row],[kg/embalagem]],0)</f>
        <v>3</v>
      </c>
      <c r="K90" s="27" t="n">
        <f aca="false">IFERROR(alimentos[[#This Row],[Preço]],0)</f>
        <v>7.99</v>
      </c>
      <c r="L90" s="27" t="n">
        <f aca="false">SUMIFS(super1[Qtde],super1[Item],tab_alimentos[[#This Row],[Item]],super1[Bairro],mercado1)+SUMIFS(supercb[Qtde],supercb[Item],tab_alimentos[[#This Row],[Item]],supercb[Bairro],mercado1)</f>
        <v>0</v>
      </c>
      <c r="M90" s="27" t="n">
        <f aca="false">SUMIFS(super1[Qtde],super1[Item],tab_alimentos[[#This Row],[Item]],super1[Bairro],mercado2)+SUMIFS(supercb[Qtde],supercb[Item],tab_alimentos[[#This Row],[Item]],supercb[Bairro],mercado2)</f>
        <v>0</v>
      </c>
      <c r="N90" s="27" t="n">
        <f aca="false">SUMIFS(super1[Qtde],super1[Item],tab_alimentos[[#This Row],[Item]],super1[Bairro],mercado3)+SUMIFS(supercb[Qtde],supercb[Item],tab_alimentos[[#This Row],[Item]],supercb[Bairro],mercado3)</f>
        <v>0</v>
      </c>
      <c r="O90" s="27" t="n">
        <f aca="false">SUMIFS(super1[Qtde],super1[Item],tab_alimentos[[#This Row],[Item]],super1[Bairro],mercado4)+SUMIFS(supercb[Qtde],supercb[Item],tab_alimentos[[#This Row],[Item]],supercb[Bairro],mercado4)</f>
        <v>0</v>
      </c>
      <c r="P90" s="27" t="n">
        <f aca="false">SUMIFS(super1[Qtde],super1[Item],tab_alimentos[[#This Row],[Item]],super1[Bairro],mercado5)+SUMIFS(supercb[Qtde],supercb[Item],tab_alimentos[[#This Row],[Item]],supercb[Bairro],mercado5)</f>
        <v>0</v>
      </c>
      <c r="Q90" s="27" t="n">
        <f aca="false">SUMIFS(super1[Qtde],super1[Item],tab_alimentos[[#This Row],[Item]],super1[Bairro],mercado6)+SUMIFS(supercb[Qtde],supercb[Item],tab_alimentos[[#This Row],[Item]],supercb[Bairro],mercado6)</f>
        <v>0</v>
      </c>
      <c r="R90" s="27" t="n">
        <f aca="false">SUMIFS(super1[Qtde],super1[Item],tab_alimentos[[#This Row],[Item]],super1[Bairro],mercado7)+SUMIFS(supercb[Qtde],supercb[Item],tab_alimentos[[#This Row],[Item]],supercb[Bairro],mercado7)</f>
        <v>0</v>
      </c>
      <c r="S90" s="27" t="n">
        <f aca="false">SUMIFS(super1[Qtde],super1[Item],tab_alimentos[[#This Row],[Item]],super1[Bairro],mercado8)+SUMIFS(supercb[Qtde],supercb[Item],tab_alimentos[[#This Row],[Item]],supercb[Bairro],mercado8)</f>
        <v>0</v>
      </c>
      <c r="T90" s="27" t="n">
        <f aca="false">SUMIFS(super1[Qtde],super1[Item],tab_alimentos[[#This Row],[Item]],super1[Bairro],mercado9)+SUMIFS(supercb[Qtde],supercb[Item],tab_alimentos[[#This Row],[Item]],supercb[Bairro],mercado9)</f>
        <v>0</v>
      </c>
      <c r="U90" s="27" t="n">
        <f aca="false">SUMIFS(super1[Qtde],super1[Item],tab_alimentos[[#This Row],[Item]],super1[Bairro],mercado10)+SUMIFS(supercb[Qtde],supercb[Item],tab_alimentos[[#This Row],[Item]],supercb[Bairro],mercado10)</f>
        <v>0</v>
      </c>
      <c r="V90" s="27" t="n">
        <f aca="false">SUMIFS(super1[Qtde],super1[Item],tab_alimentos[[#This Row],[Item]],super1[Bairro],mercado11)+SUMIFS(supercb[Qtde],supercb[Item],tab_alimentos[[#This Row],[Item]],supercb[Bairro],mercado11)</f>
        <v>0</v>
      </c>
      <c r="W90" s="27" t="n">
        <f aca="false">SUMIFS(super1[Qtde],super1[Item],tab_alimentos[[#This Row],[Item]],super1[Bairro],mercado12)+SUMIFS(supercb[Qtde],supercb[Item],tab_alimentos[[#This Row],[Item]],supercb[Bairro],mercado12)</f>
        <v>0</v>
      </c>
      <c r="X90" s="27" t="n">
        <f aca="false">SUMIFS(super1[Qtde],super1[Item],tab_alimentos[[#This Row],[Item]],super1[Bairro],mercado13)+SUMIFS(supercb[Qtde],supercb[Item],tab_alimentos[[#This Row],[Item]],supercb[Bairro],mercado13)</f>
        <v>0</v>
      </c>
      <c r="Y90" s="27" t="n">
        <f aca="false">SUMIFS(super1[Qtde],super1[Item],tab_alimentos[[#This Row],[Item]],super1[Bairro],mercado14)+SUMIFS(supercb[Qtde],supercb[Item],tab_alimentos[[#This Row],[Item]],supercb[Bairro],mercado14)</f>
        <v>0</v>
      </c>
      <c r="Z90" s="27" t="n">
        <f aca="false">SUMIFS(super1[Qtde],super1[Item],tab_alimentos[[#This Row],[Item]],super1[Bairro],mercado15)+SUMIFS(supercb[Qtde],supercb[Item],tab_alimentos[[#This Row],[Item]],supercb[Bairro],mercado15)</f>
        <v>0</v>
      </c>
      <c r="AA90" s="27" t="n">
        <f aca="false">SUMIFS(super1[Qtde],super1[Item],tab_alimentos[[#This Row],[Item]],super1[Bairro],mercado16)+SUMIFS(supercb[Qtde],supercb[Item],tab_alimentos[[#This Row],[Item]],supercb[Bairro],mercado16)</f>
        <v>0</v>
      </c>
      <c r="AB90" s="27" t="n">
        <f aca="false">SUMIFS(super1[Qtde],super1[Item],tab_alimentos[[#This Row],[Item]],super1[Bairro],mercado17)+SUMIFS(supercb[Qtde],supercb[Item],tab_alimentos[[#This Row],[Item]],supercb[Bairro],mercado17)</f>
        <v>0</v>
      </c>
      <c r="AC90" s="27" t="n">
        <f aca="false">SUMIFS(super1[Qtde],super1[Item],tab_alimentos[[#This Row],[Item]],super1[Bairro],mercado18)+SUMIFS(supercb[Qtde],supercb[Item],tab_alimentos[[#This Row],[Item]],supercb[Bairro],mercado18)</f>
        <v>0</v>
      </c>
      <c r="AD90" s="27" t="n">
        <f aca="false">SUMIFS(super1[Qtde],super1[Item],tab_alimentos[[#This Row],[Item]],super1[Bairro],extras)+SUMIFS(supercb[Qtde],supercb[Item],tab_alimentos[[#This Row],[Item]],supercb[Bairro],extras)</f>
        <v>0</v>
      </c>
      <c r="AE90" s="27" t="n">
        <f aca="false">SUM(L90:AC90)</f>
        <v>0</v>
      </c>
      <c r="AF90" s="27" t="n">
        <f aca="false">IFERROR(AE90*K90,0)</f>
        <v>0</v>
      </c>
      <c r="AG90" s="28" t="n">
        <f aca="false">IFERROR(J90*AE90,0)</f>
        <v>0</v>
      </c>
      <c r="AH90" s="26" t="str">
        <f aca="false">higiene[[#This Row],[Item]]</f>
        <v>Fraldas Geriátricas (18un)</v>
      </c>
      <c r="AI90" s="27" t="n">
        <f aca="false">IFERROR(higiene[[#This Row],[Kg equivalente]],0)</f>
        <v>15.6955097626458</v>
      </c>
      <c r="AJ90" s="27" t="n">
        <f aca="false">IFERROR(higiene[[#This Row],[Preço por produto]],0)</f>
        <v>51.99</v>
      </c>
      <c r="AK90" s="27" t="n">
        <f aca="false">SUMIFS(super1[Qtde],super1[Item],tab_higiene[[#This Row],[Item]],super1[Bairro],mercado1)+SUMIFS(supercb[Qtde],supercb[Item],tab_higiene[[#This Row],[Item]],supercb[Bairro],mercado1)</f>
        <v>0</v>
      </c>
      <c r="AL90" s="27" t="n">
        <f aca="false">SUMIFS(super1[Qtde],super1[Item],tab_higiene[[#This Row],[Item]],super1[Bairro],mercado2)+SUMIFS(supercb[Qtde],supercb[Item],tab_higiene[[#This Row],[Item]],supercb[Bairro],mercado2)</f>
        <v>0</v>
      </c>
      <c r="AM90" s="27" t="n">
        <f aca="false">SUMIFS(super1[Qtde],super1[Item],tab_higiene[[#This Row],[Item]],super1[Bairro],mercado3)+SUMIFS(supercb[Qtde],supercb[Item],tab_higiene[[#This Row],[Item]],supercb[Bairro],mercado3)</f>
        <v>0</v>
      </c>
      <c r="AN90" s="27" t="n">
        <f aca="false">SUMIFS(super1[Qtde],super1[Item],tab_higiene[[#This Row],[Item]],super1[Bairro],mercado4)+SUMIFS(supercb[Qtde],supercb[Item],tab_higiene[[#This Row],[Item]],supercb[Bairro],mercado4)</f>
        <v>0</v>
      </c>
      <c r="AO90" s="27" t="n">
        <f aca="false">SUMIFS(super1[Qtde],super1[Item],tab_higiene[[#This Row],[Item]],super1[Bairro],mercado5)+SUMIFS(supercb[Qtde],supercb[Item],tab_higiene[[#This Row],[Item]],supercb[Bairro],mercado5)</f>
        <v>0</v>
      </c>
      <c r="AP90" s="27" t="n">
        <f aca="false">SUMIFS(super1[Qtde],super1[Item],tab_higiene[[#This Row],[Item]],super1[Bairro],mercado6)+SUMIFS(supercb[Qtde],supercb[Item],tab_higiene[[#This Row],[Item]],supercb[Bairro],mercado6)</f>
        <v>0</v>
      </c>
      <c r="AQ90" s="27" t="n">
        <f aca="false">SUMIFS(super1[Qtde],super1[Item],tab_higiene[[#This Row],[Item]],super1[Bairro],mercado7)+SUMIFS(supercb[Qtde],supercb[Item],tab_higiene[[#This Row],[Item]],supercb[Bairro],mercado7)</f>
        <v>0</v>
      </c>
      <c r="AR90" s="27" t="n">
        <f aca="false">SUMIFS(super1[Qtde],super1[Item],tab_higiene[[#This Row],[Item]],super1[Bairro],mercado8)+SUMIFS(supercb[Qtde],supercb[Item],tab_higiene[[#This Row],[Item]],supercb[Bairro],mercado8)</f>
        <v>0</v>
      </c>
      <c r="AS90" s="27" t="n">
        <f aca="false">SUMIFS(super1[Qtde],super1[Item],tab_higiene[[#This Row],[Item]],super1[Bairro],mercado9)+SUMIFS(supercb[Qtde],supercb[Item],tab_higiene[[#This Row],[Item]],supercb[Bairro],mercado9)</f>
        <v>0</v>
      </c>
      <c r="AT90" s="27" t="n">
        <f aca="false">SUMIFS(super1[Qtde],super1[Item],tab_higiene[[#This Row],[Item]],super1[Bairro],mercado10)+SUMIFS(supercb[Qtde],supercb[Item],tab_higiene[[#This Row],[Item]],supercb[Bairro],mercado10)</f>
        <v>0</v>
      </c>
      <c r="AU90" s="27" t="n">
        <f aca="false">SUMIFS(super1[Qtde],super1[Item],tab_higiene[[#This Row],[Item]],super1[Bairro],mercado11)+SUMIFS(supercb[Qtde],supercb[Item],tab_higiene[[#This Row],[Item]],supercb[Bairro],mercado11)</f>
        <v>0</v>
      </c>
      <c r="AV90" s="27" t="n">
        <f aca="false">SUMIFS(super1[Qtde],super1[Item],tab_higiene[[#This Row],[Item]],super1[Bairro],mercado12)+SUMIFS(supercb[Qtde],supercb[Item],tab_higiene[[#This Row],[Item]],supercb[Bairro],mercado12)</f>
        <v>0</v>
      </c>
      <c r="AW90" s="27" t="n">
        <f aca="false">SUMIFS(super1[Qtde],super1[Item],tab_higiene[[#This Row],[Item]],super1[Bairro],mercado13)+SUMIFS(supercb[Qtde],supercb[Item],tab_higiene[[#This Row],[Item]],supercb[Bairro],mercado13)</f>
        <v>0</v>
      </c>
      <c r="AX90" s="27" t="n">
        <f aca="false">SUMIFS(super1[Qtde],super1[Item],tab_higiene[[#This Row],[Item]],super1[Bairro],mercado14)+SUMIFS(supercb[Qtde],supercb[Item],tab_higiene[[#This Row],[Item]],supercb[Bairro],mercado14)</f>
        <v>0</v>
      </c>
      <c r="AY90" s="27" t="n">
        <f aca="false">SUMIFS(super1[Qtde],super1[Item],tab_higiene[[#This Row],[Item]],super1[Bairro],mercado15)+SUMIFS(supercb[Qtde],supercb[Item],tab_higiene[[#This Row],[Item]],supercb[Bairro],mercado15)</f>
        <v>0</v>
      </c>
      <c r="AZ90" s="27" t="n">
        <f aca="false">SUMIFS(super1[Qtde],super1[Item],tab_higiene[[#This Row],[Item]],super1[Bairro],mercado16)+SUMIFS(supercb[Qtde],supercb[Item],tab_higiene[[#This Row],[Item]],supercb[Bairro],mercado16)</f>
        <v>0</v>
      </c>
      <c r="BA90" s="27" t="n">
        <f aca="false">SUMIFS(super1[Qtde],super1[Item],tab_higiene[[#This Row],[Item]],super1[Bairro],mercado17)+SUMIFS(supercb[Qtde],supercb[Item],tab_higiene[[#This Row],[Item]],supercb[Bairro],mercado17)</f>
        <v>0</v>
      </c>
      <c r="BB90" s="27" t="n">
        <f aca="false">SUMIFS(super1[Qtde],super1[Item],tab_higiene[[#This Row],[Item]],super1[Bairro],mercado18)+SUMIFS(supercb[Qtde],supercb[Item],tab_higiene[[#This Row],[Item]],supercb[Bairro],mercado18)</f>
        <v>0</v>
      </c>
      <c r="BC90" s="27" t="n">
        <f aca="false">SUMIFS(super1[Qtde],super1[Item],tab_higiene[[#This Row],[Item]],super1[Bairro],extras)+SUMIFS(supercb[Qtde],supercb[Item],tab_higiene[[#This Row],[Item]],supercb[Bairro],extras)</f>
        <v>0</v>
      </c>
      <c r="BD90" s="27" t="n">
        <f aca="false">SUM(AK90:BB90)</f>
        <v>0</v>
      </c>
      <c r="BE90" s="27" t="n">
        <f aca="false">IFERROR(BD90*AJ90,0)</f>
        <v>0</v>
      </c>
      <c r="BF90" s="28" t="n">
        <f aca="false">IFERROR(AI90*BD90,0)</f>
        <v>0</v>
      </c>
      <c r="BI90" s="22" t="str">
        <f aca="false">tab_alimentos[[#This Row],[Item]]</f>
        <v>Coca-cola (3L)</v>
      </c>
      <c r="BJ90" s="22" t="n">
        <f aca="false">IFERROR(FIND(" (",BI90),0)</f>
        <v>10</v>
      </c>
      <c r="BK90" s="22" t="str">
        <f aca="false">IF(BJ90=0,BI90,LEFT(BI90,BJ90-1))</f>
        <v>Coca-cola</v>
      </c>
      <c r="BL90" s="22" t="n">
        <f aca="false">tab_alimentos[[#This Row],[kg]]</f>
        <v>0</v>
      </c>
      <c r="BM90" s="0" t="n">
        <v>0</v>
      </c>
      <c r="BN90" s="22" t="n">
        <f aca="false">SUMIF($BJ$5:$BJ$158,BM90,$BK$5:$BK$158)</f>
        <v>0</v>
      </c>
      <c r="BP90" s="22" t="str">
        <f aca="false">tab_higiene[[#This Row],[Item]]</f>
        <v>Fraldas Geriátricas (18un)</v>
      </c>
      <c r="BQ90" s="22" t="n">
        <f aca="false">IFERROR(FIND(" (",BP90),0)</f>
        <v>20</v>
      </c>
      <c r="BR90" s="22" t="str">
        <f aca="false">IF(BQ90=0,BP90,LEFT(BP90,BQ90-1))</f>
        <v>Fraldas Geriátricas</v>
      </c>
      <c r="BS90" s="22" t="n">
        <f aca="false">higiene[[#This Row],[Quantidade]]</f>
        <v>0</v>
      </c>
      <c r="BT90" s="22" t="n">
        <f aca="false">tab_higiene[Qtde (tot)]</f>
        <v>0</v>
      </c>
      <c r="BU90" s="22" t="n">
        <f aca="false">BS90*BT90</f>
        <v>0</v>
      </c>
      <c r="BW90" s="22" t="n">
        <f aca="false">SUMIF($BR$5:$BR$142,BV90,$BU$5:$BU$142)</f>
        <v>0</v>
      </c>
    </row>
    <row r="91" customFormat="false" ht="15" hidden="false" customHeight="false" outlineLevel="0" collapsed="false">
      <c r="I91" s="26" t="str">
        <f aca="false">alimentos[[#This Row],[Item]]</f>
        <v>Coco Ralado (100g)</v>
      </c>
      <c r="J91" s="27" t="n">
        <f aca="false">IFERROR(alimentos[[#This Row],[kg/embalagem]],0)</f>
        <v>0.1</v>
      </c>
      <c r="K91" s="27" t="n">
        <f aca="false">IFERROR(alimentos[[#This Row],[Preço]],0)</f>
        <v>3.84</v>
      </c>
      <c r="L91" s="27" t="n">
        <f aca="false">SUMIFS(super1[Qtde],super1[Item],tab_alimentos[[#This Row],[Item]],super1[Bairro],mercado1)+SUMIFS(supercb[Qtde],supercb[Item],tab_alimentos[[#This Row],[Item]],supercb[Bairro],mercado1)</f>
        <v>0</v>
      </c>
      <c r="M91" s="27" t="n">
        <f aca="false">SUMIFS(super1[Qtde],super1[Item],tab_alimentos[[#This Row],[Item]],super1[Bairro],mercado2)+SUMIFS(supercb[Qtde],supercb[Item],tab_alimentos[[#This Row],[Item]],supercb[Bairro],mercado2)</f>
        <v>0</v>
      </c>
      <c r="N91" s="27" t="n">
        <f aca="false">SUMIFS(super1[Qtde],super1[Item],tab_alimentos[[#This Row],[Item]],super1[Bairro],mercado3)+SUMIFS(supercb[Qtde],supercb[Item],tab_alimentos[[#This Row],[Item]],supercb[Bairro],mercado3)</f>
        <v>0</v>
      </c>
      <c r="O91" s="27" t="n">
        <f aca="false">SUMIFS(super1[Qtde],super1[Item],tab_alimentos[[#This Row],[Item]],super1[Bairro],mercado4)+SUMIFS(supercb[Qtde],supercb[Item],tab_alimentos[[#This Row],[Item]],supercb[Bairro],mercado4)</f>
        <v>0</v>
      </c>
      <c r="P91" s="27" t="n">
        <f aca="false">SUMIFS(super1[Qtde],super1[Item],tab_alimentos[[#This Row],[Item]],super1[Bairro],mercado5)+SUMIFS(supercb[Qtde],supercb[Item],tab_alimentos[[#This Row],[Item]],supercb[Bairro],mercado5)</f>
        <v>0</v>
      </c>
      <c r="Q91" s="27" t="n">
        <f aca="false">SUMIFS(super1[Qtde],super1[Item],tab_alimentos[[#This Row],[Item]],super1[Bairro],mercado6)+SUMIFS(supercb[Qtde],supercb[Item],tab_alimentos[[#This Row],[Item]],supercb[Bairro],mercado6)</f>
        <v>0</v>
      </c>
      <c r="R91" s="27" t="n">
        <f aca="false">SUMIFS(super1[Qtde],super1[Item],tab_alimentos[[#This Row],[Item]],super1[Bairro],mercado7)+SUMIFS(supercb[Qtde],supercb[Item],tab_alimentos[[#This Row],[Item]],supercb[Bairro],mercado7)</f>
        <v>0</v>
      </c>
      <c r="S91" s="27" t="n">
        <f aca="false">SUMIFS(super1[Qtde],super1[Item],tab_alimentos[[#This Row],[Item]],super1[Bairro],mercado8)+SUMIFS(supercb[Qtde],supercb[Item],tab_alimentos[[#This Row],[Item]],supercb[Bairro],mercado8)</f>
        <v>0</v>
      </c>
      <c r="T91" s="27" t="n">
        <f aca="false">SUMIFS(super1[Qtde],super1[Item],tab_alimentos[[#This Row],[Item]],super1[Bairro],mercado9)+SUMIFS(supercb[Qtde],supercb[Item],tab_alimentos[[#This Row],[Item]],supercb[Bairro],mercado9)</f>
        <v>0</v>
      </c>
      <c r="U91" s="27" t="n">
        <f aca="false">SUMIFS(super1[Qtde],super1[Item],tab_alimentos[[#This Row],[Item]],super1[Bairro],mercado10)+SUMIFS(supercb[Qtde],supercb[Item],tab_alimentos[[#This Row],[Item]],supercb[Bairro],mercado10)</f>
        <v>0</v>
      </c>
      <c r="V91" s="27" t="n">
        <f aca="false">SUMIFS(super1[Qtde],super1[Item],tab_alimentos[[#This Row],[Item]],super1[Bairro],mercado11)+SUMIFS(supercb[Qtde],supercb[Item],tab_alimentos[[#This Row],[Item]],supercb[Bairro],mercado11)</f>
        <v>0</v>
      </c>
      <c r="W91" s="27" t="n">
        <f aca="false">SUMIFS(super1[Qtde],super1[Item],tab_alimentos[[#This Row],[Item]],super1[Bairro],mercado12)+SUMIFS(supercb[Qtde],supercb[Item],tab_alimentos[[#This Row],[Item]],supercb[Bairro],mercado12)</f>
        <v>0</v>
      </c>
      <c r="X91" s="27" t="n">
        <f aca="false">SUMIFS(super1[Qtde],super1[Item],tab_alimentos[[#This Row],[Item]],super1[Bairro],mercado13)+SUMIFS(supercb[Qtde],supercb[Item],tab_alimentos[[#This Row],[Item]],supercb[Bairro],mercado13)</f>
        <v>0</v>
      </c>
      <c r="Y91" s="27" t="n">
        <f aca="false">SUMIFS(super1[Qtde],super1[Item],tab_alimentos[[#This Row],[Item]],super1[Bairro],mercado14)+SUMIFS(supercb[Qtde],supercb[Item],tab_alimentos[[#This Row],[Item]],supercb[Bairro],mercado14)</f>
        <v>0</v>
      </c>
      <c r="Z91" s="27" t="n">
        <f aca="false">SUMIFS(super1[Qtde],super1[Item],tab_alimentos[[#This Row],[Item]],super1[Bairro],mercado15)+SUMIFS(supercb[Qtde],supercb[Item],tab_alimentos[[#This Row],[Item]],supercb[Bairro],mercado15)</f>
        <v>0</v>
      </c>
      <c r="AA91" s="27" t="n">
        <f aca="false">SUMIFS(super1[Qtde],super1[Item],tab_alimentos[[#This Row],[Item]],super1[Bairro],mercado16)+SUMIFS(supercb[Qtde],supercb[Item],tab_alimentos[[#This Row],[Item]],supercb[Bairro],mercado16)</f>
        <v>0</v>
      </c>
      <c r="AB91" s="27" t="n">
        <f aca="false">SUMIFS(super1[Qtde],super1[Item],tab_alimentos[[#This Row],[Item]],super1[Bairro],mercado17)+SUMIFS(supercb[Qtde],supercb[Item],tab_alimentos[[#This Row],[Item]],supercb[Bairro],mercado17)</f>
        <v>0</v>
      </c>
      <c r="AC91" s="27" t="n">
        <f aca="false">SUMIFS(super1[Qtde],super1[Item],tab_alimentos[[#This Row],[Item]],super1[Bairro],mercado18)+SUMIFS(supercb[Qtde],supercb[Item],tab_alimentos[[#This Row],[Item]],supercb[Bairro],mercado18)</f>
        <v>0</v>
      </c>
      <c r="AD91" s="27" t="n">
        <f aca="false">SUMIFS(super1[Qtde],super1[Item],tab_alimentos[[#This Row],[Item]],super1[Bairro],extras)+SUMIFS(supercb[Qtde],supercb[Item],tab_alimentos[[#This Row],[Item]],supercb[Bairro],extras)</f>
        <v>0</v>
      </c>
      <c r="AE91" s="27" t="n">
        <f aca="false">SUM(L91:AC91)</f>
        <v>0</v>
      </c>
      <c r="AF91" s="27" t="n">
        <f aca="false">IFERROR(AE91*K91,0)</f>
        <v>0</v>
      </c>
      <c r="AG91" s="28" t="n">
        <f aca="false">IFERROR(J91*AE91,0)</f>
        <v>0</v>
      </c>
      <c r="AH91" s="26" t="str">
        <f aca="false">higiene[[#This Row],[Item]]</f>
        <v>Fraldas Geriátricas (20un)</v>
      </c>
      <c r="AI91" s="27" t="n">
        <f aca="false">IFERROR(higiene[[#This Row],[Kg equivalente]],0)</f>
        <v>4.29415139188062</v>
      </c>
      <c r="AJ91" s="27" t="n">
        <f aca="false">IFERROR(higiene[[#This Row],[Preço por produto]],0)</f>
        <v>14.224</v>
      </c>
      <c r="AK91" s="27" t="n">
        <f aca="false">SUMIFS(super1[Qtde],super1[Item],tab_higiene[[#This Row],[Item]],super1[Bairro],mercado1)+SUMIFS(supercb[Qtde],supercb[Item],tab_higiene[[#This Row],[Item]],supercb[Bairro],mercado1)</f>
        <v>0</v>
      </c>
      <c r="AL91" s="27" t="n">
        <f aca="false">SUMIFS(super1[Qtde],super1[Item],tab_higiene[[#This Row],[Item]],super1[Bairro],mercado2)+SUMIFS(supercb[Qtde],supercb[Item],tab_higiene[[#This Row],[Item]],supercb[Bairro],mercado2)</f>
        <v>0</v>
      </c>
      <c r="AM91" s="27" t="n">
        <f aca="false">SUMIFS(super1[Qtde],super1[Item],tab_higiene[[#This Row],[Item]],super1[Bairro],mercado3)+SUMIFS(supercb[Qtde],supercb[Item],tab_higiene[[#This Row],[Item]],supercb[Bairro],mercado3)</f>
        <v>0</v>
      </c>
      <c r="AN91" s="27" t="n">
        <f aca="false">SUMIFS(super1[Qtde],super1[Item],tab_higiene[[#This Row],[Item]],super1[Bairro],mercado4)+SUMIFS(supercb[Qtde],supercb[Item],tab_higiene[[#This Row],[Item]],supercb[Bairro],mercado4)</f>
        <v>0</v>
      </c>
      <c r="AO91" s="27" t="n">
        <f aca="false">SUMIFS(super1[Qtde],super1[Item],tab_higiene[[#This Row],[Item]],super1[Bairro],mercado5)+SUMIFS(supercb[Qtde],supercb[Item],tab_higiene[[#This Row],[Item]],supercb[Bairro],mercado5)</f>
        <v>1</v>
      </c>
      <c r="AP91" s="27" t="n">
        <f aca="false">SUMIFS(super1[Qtde],super1[Item],tab_higiene[[#This Row],[Item]],super1[Bairro],mercado6)+SUMIFS(supercb[Qtde],supercb[Item],tab_higiene[[#This Row],[Item]],supercb[Bairro],mercado6)</f>
        <v>0</v>
      </c>
      <c r="AQ91" s="27" t="n">
        <f aca="false">SUMIFS(super1[Qtde],super1[Item],tab_higiene[[#This Row],[Item]],super1[Bairro],mercado7)+SUMIFS(supercb[Qtde],supercb[Item],tab_higiene[[#This Row],[Item]],supercb[Bairro],mercado7)</f>
        <v>0</v>
      </c>
      <c r="AR91" s="27" t="n">
        <f aca="false">SUMIFS(super1[Qtde],super1[Item],tab_higiene[[#This Row],[Item]],super1[Bairro],mercado8)+SUMIFS(supercb[Qtde],supercb[Item],tab_higiene[[#This Row],[Item]],supercb[Bairro],mercado8)</f>
        <v>0</v>
      </c>
      <c r="AS91" s="27" t="n">
        <f aca="false">SUMIFS(super1[Qtde],super1[Item],tab_higiene[[#This Row],[Item]],super1[Bairro],mercado9)+SUMIFS(supercb[Qtde],supercb[Item],tab_higiene[[#This Row],[Item]],supercb[Bairro],mercado9)</f>
        <v>1</v>
      </c>
      <c r="AT91" s="27" t="n">
        <f aca="false">SUMIFS(super1[Qtde],super1[Item],tab_higiene[[#This Row],[Item]],super1[Bairro],mercado10)+SUMIFS(supercb[Qtde],supercb[Item],tab_higiene[[#This Row],[Item]],supercb[Bairro],mercado10)</f>
        <v>1</v>
      </c>
      <c r="AU91" s="27" t="n">
        <f aca="false">SUMIFS(super1[Qtde],super1[Item],tab_higiene[[#This Row],[Item]],super1[Bairro],mercado11)+SUMIFS(supercb[Qtde],supercb[Item],tab_higiene[[#This Row],[Item]],supercb[Bairro],mercado11)</f>
        <v>1</v>
      </c>
      <c r="AV91" s="27" t="n">
        <f aca="false">SUMIFS(super1[Qtde],super1[Item],tab_higiene[[#This Row],[Item]],super1[Bairro],mercado12)+SUMIFS(supercb[Qtde],supercb[Item],tab_higiene[[#This Row],[Item]],supercb[Bairro],mercado12)</f>
        <v>0</v>
      </c>
      <c r="AW91" s="27" t="n">
        <f aca="false">SUMIFS(super1[Qtde],super1[Item],tab_higiene[[#This Row],[Item]],super1[Bairro],mercado13)+SUMIFS(supercb[Qtde],supercb[Item],tab_higiene[[#This Row],[Item]],supercb[Bairro],mercado13)</f>
        <v>1</v>
      </c>
      <c r="AX91" s="27" t="n">
        <f aca="false">SUMIFS(super1[Qtde],super1[Item],tab_higiene[[#This Row],[Item]],super1[Bairro],mercado14)+SUMIFS(supercb[Qtde],supercb[Item],tab_higiene[[#This Row],[Item]],supercb[Bairro],mercado14)</f>
        <v>0</v>
      </c>
      <c r="AY91" s="27" t="n">
        <f aca="false">SUMIFS(super1[Qtde],super1[Item],tab_higiene[[#This Row],[Item]],super1[Bairro],mercado15)+SUMIFS(supercb[Qtde],supercb[Item],tab_higiene[[#This Row],[Item]],supercb[Bairro],mercado15)</f>
        <v>0</v>
      </c>
      <c r="AZ91" s="27" t="n">
        <f aca="false">SUMIFS(super1[Qtde],super1[Item],tab_higiene[[#This Row],[Item]],super1[Bairro],mercado16)+SUMIFS(supercb[Qtde],supercb[Item],tab_higiene[[#This Row],[Item]],supercb[Bairro],mercado16)</f>
        <v>0</v>
      </c>
      <c r="BA91" s="27" t="n">
        <f aca="false">SUMIFS(super1[Qtde],super1[Item],tab_higiene[[#This Row],[Item]],super1[Bairro],mercado17)+SUMIFS(supercb[Qtde],supercb[Item],tab_higiene[[#This Row],[Item]],supercb[Bairro],mercado17)</f>
        <v>0</v>
      </c>
      <c r="BB91" s="27" t="n">
        <f aca="false">SUMIFS(super1[Qtde],super1[Item],tab_higiene[[#This Row],[Item]],super1[Bairro],mercado18)+SUMIFS(supercb[Qtde],supercb[Item],tab_higiene[[#This Row],[Item]],supercb[Bairro],mercado18)</f>
        <v>0</v>
      </c>
      <c r="BC91" s="27" t="n">
        <f aca="false">SUMIFS(super1[Qtde],super1[Item],tab_higiene[[#This Row],[Item]],super1[Bairro],extras)+SUMIFS(supercb[Qtde],supercb[Item],tab_higiene[[#This Row],[Item]],supercb[Bairro],extras)</f>
        <v>0</v>
      </c>
      <c r="BD91" s="27" t="n">
        <f aca="false">SUM(AK91:BB91)</f>
        <v>5</v>
      </c>
      <c r="BE91" s="27" t="n">
        <f aca="false">IFERROR(BD91*AJ91,0)</f>
        <v>71.12</v>
      </c>
      <c r="BF91" s="28" t="n">
        <f aca="false">IFERROR(AI91*BD91,0)</f>
        <v>21.4707569594031</v>
      </c>
      <c r="BI91" s="22" t="str">
        <f aca="false">tab_alimentos[[#This Row],[Item]]</f>
        <v>Coco Ralado (100g)</v>
      </c>
      <c r="BJ91" s="22" t="n">
        <f aca="false">IFERROR(FIND(" (",BI91),0)</f>
        <v>12</v>
      </c>
      <c r="BK91" s="22" t="str">
        <f aca="false">IF(BJ91=0,BI91,LEFT(BI91,BJ91-1))</f>
        <v>Coco Ralado</v>
      </c>
      <c r="BL91" s="22" t="n">
        <f aca="false">tab_alimentos[[#This Row],[kg]]</f>
        <v>0</v>
      </c>
      <c r="BM91" s="0" t="e">
        <f aca="false">#VALUE!</f>
        <v>#VALUE!</v>
      </c>
      <c r="BN91" s="22" t="e">
        <f aca="false">SUMIF($BJ$5:$BJ$158,BM91,$BK$5:$BK$158)</f>
        <v>#VALUE!</v>
      </c>
      <c r="BP91" s="22" t="str">
        <f aca="false">tab_higiene[[#This Row],[Item]]</f>
        <v>Fraldas Geriátricas (20un)</v>
      </c>
      <c r="BQ91" s="22" t="n">
        <f aca="false">IFERROR(FIND(" (",BP91),0)</f>
        <v>20</v>
      </c>
      <c r="BR91" s="22" t="str">
        <f aca="false">IF(BQ91=0,BP91,LEFT(BP91,BQ91-1))</f>
        <v>Fraldas Geriátricas</v>
      </c>
      <c r="BS91" s="22" t="n">
        <f aca="false">higiene[[#This Row],[Quantidade]]</f>
        <v>0</v>
      </c>
      <c r="BT91" s="22" t="n">
        <f aca="false">tab_higiene[Qtde (tot)]</f>
        <v>5</v>
      </c>
      <c r="BU91" s="22" t="n">
        <f aca="false">BS91*BT91</f>
        <v>0</v>
      </c>
      <c r="BW91" s="22" t="n">
        <f aca="false">SUMIF($BR$5:$BR$142,BV91,$BU$5:$BU$142)</f>
        <v>0</v>
      </c>
    </row>
    <row r="92" customFormat="false" ht="15" hidden="false" customHeight="false" outlineLevel="0" collapsed="false">
      <c r="I92" s="26" t="str">
        <f aca="false">alimentos[[#This Row],[Item]]</f>
        <v>Cookie (400g)</v>
      </c>
      <c r="J92" s="27" t="n">
        <f aca="false">IFERROR(alimentos[[#This Row],[kg/embalagem]],0)</f>
        <v>0.4</v>
      </c>
      <c r="K92" s="27" t="n">
        <f aca="false">IFERROR(alimentos[[#This Row],[Preço]],0)</f>
        <v>4.88</v>
      </c>
      <c r="L92" s="27" t="n">
        <f aca="false">SUMIFS(super1[Qtde],super1[Item],tab_alimentos[[#This Row],[Item]],super1[Bairro],mercado1)+SUMIFS(supercb[Qtde],supercb[Item],tab_alimentos[[#This Row],[Item]],supercb[Bairro],mercado1)</f>
        <v>0</v>
      </c>
      <c r="M92" s="27" t="n">
        <f aca="false">SUMIFS(super1[Qtde],super1[Item],tab_alimentos[[#This Row],[Item]],super1[Bairro],mercado2)+SUMIFS(supercb[Qtde],supercb[Item],tab_alimentos[[#This Row],[Item]],supercb[Bairro],mercado2)</f>
        <v>0</v>
      </c>
      <c r="N92" s="27" t="n">
        <f aca="false">SUMIFS(super1[Qtde],super1[Item],tab_alimentos[[#This Row],[Item]],super1[Bairro],mercado3)+SUMIFS(supercb[Qtde],supercb[Item],tab_alimentos[[#This Row],[Item]],supercb[Bairro],mercado3)</f>
        <v>0</v>
      </c>
      <c r="O92" s="27" t="n">
        <f aca="false">SUMIFS(super1[Qtde],super1[Item],tab_alimentos[[#This Row],[Item]],super1[Bairro],mercado4)+SUMIFS(supercb[Qtde],supercb[Item],tab_alimentos[[#This Row],[Item]],supercb[Bairro],mercado4)</f>
        <v>0</v>
      </c>
      <c r="P92" s="27" t="n">
        <f aca="false">SUMIFS(super1[Qtde],super1[Item],tab_alimentos[[#This Row],[Item]],super1[Bairro],mercado5)+SUMIFS(supercb[Qtde],supercb[Item],tab_alimentos[[#This Row],[Item]],supercb[Bairro],mercado5)</f>
        <v>0</v>
      </c>
      <c r="Q92" s="27" t="n">
        <f aca="false">SUMIFS(super1[Qtde],super1[Item],tab_alimentos[[#This Row],[Item]],super1[Bairro],mercado6)+SUMIFS(supercb[Qtde],supercb[Item],tab_alimentos[[#This Row],[Item]],supercb[Bairro],mercado6)</f>
        <v>0</v>
      </c>
      <c r="R92" s="27" t="n">
        <f aca="false">SUMIFS(super1[Qtde],super1[Item],tab_alimentos[[#This Row],[Item]],super1[Bairro],mercado7)+SUMIFS(supercb[Qtde],supercb[Item],tab_alimentos[[#This Row],[Item]],supercb[Bairro],mercado7)</f>
        <v>0</v>
      </c>
      <c r="S92" s="27" t="n">
        <f aca="false">SUMIFS(super1[Qtde],super1[Item],tab_alimentos[[#This Row],[Item]],super1[Bairro],mercado8)+SUMIFS(supercb[Qtde],supercb[Item],tab_alimentos[[#This Row],[Item]],supercb[Bairro],mercado8)</f>
        <v>0</v>
      </c>
      <c r="T92" s="27" t="n">
        <f aca="false">SUMIFS(super1[Qtde],super1[Item],tab_alimentos[[#This Row],[Item]],super1[Bairro],mercado9)+SUMIFS(supercb[Qtde],supercb[Item],tab_alimentos[[#This Row],[Item]],supercb[Bairro],mercado9)</f>
        <v>0</v>
      </c>
      <c r="U92" s="27" t="n">
        <f aca="false">SUMIFS(super1[Qtde],super1[Item],tab_alimentos[[#This Row],[Item]],super1[Bairro],mercado10)+SUMIFS(supercb[Qtde],supercb[Item],tab_alimentos[[#This Row],[Item]],supercb[Bairro],mercado10)</f>
        <v>0</v>
      </c>
      <c r="V92" s="27" t="n">
        <f aca="false">SUMIFS(super1[Qtde],super1[Item],tab_alimentos[[#This Row],[Item]],super1[Bairro],mercado11)+SUMIFS(supercb[Qtde],supercb[Item],tab_alimentos[[#This Row],[Item]],supercb[Bairro],mercado11)</f>
        <v>0</v>
      </c>
      <c r="W92" s="27" t="n">
        <f aca="false">SUMIFS(super1[Qtde],super1[Item],tab_alimentos[[#This Row],[Item]],super1[Bairro],mercado12)+SUMIFS(supercb[Qtde],supercb[Item],tab_alimentos[[#This Row],[Item]],supercb[Bairro],mercado12)</f>
        <v>0</v>
      </c>
      <c r="X92" s="27" t="n">
        <f aca="false">SUMIFS(super1[Qtde],super1[Item],tab_alimentos[[#This Row],[Item]],super1[Bairro],mercado13)+SUMIFS(supercb[Qtde],supercb[Item],tab_alimentos[[#This Row],[Item]],supercb[Bairro],mercado13)</f>
        <v>0</v>
      </c>
      <c r="Y92" s="27" t="n">
        <f aca="false">SUMIFS(super1[Qtde],super1[Item],tab_alimentos[[#This Row],[Item]],super1[Bairro],mercado14)+SUMIFS(supercb[Qtde],supercb[Item],tab_alimentos[[#This Row],[Item]],supercb[Bairro],mercado14)</f>
        <v>0</v>
      </c>
      <c r="Z92" s="27" t="n">
        <f aca="false">SUMIFS(super1[Qtde],super1[Item],tab_alimentos[[#This Row],[Item]],super1[Bairro],mercado15)+SUMIFS(supercb[Qtde],supercb[Item],tab_alimentos[[#This Row],[Item]],supercb[Bairro],mercado15)</f>
        <v>0</v>
      </c>
      <c r="AA92" s="27" t="n">
        <f aca="false">SUMIFS(super1[Qtde],super1[Item],tab_alimentos[[#This Row],[Item]],super1[Bairro],mercado16)+SUMIFS(supercb[Qtde],supercb[Item],tab_alimentos[[#This Row],[Item]],supercb[Bairro],mercado16)</f>
        <v>0</v>
      </c>
      <c r="AB92" s="27" t="n">
        <f aca="false">SUMIFS(super1[Qtde],super1[Item],tab_alimentos[[#This Row],[Item]],super1[Bairro],mercado17)+SUMIFS(supercb[Qtde],supercb[Item],tab_alimentos[[#This Row],[Item]],supercb[Bairro],mercado17)</f>
        <v>0</v>
      </c>
      <c r="AC92" s="27" t="n">
        <f aca="false">SUMIFS(super1[Qtde],super1[Item],tab_alimentos[[#This Row],[Item]],super1[Bairro],mercado18)+SUMIFS(supercb[Qtde],supercb[Item],tab_alimentos[[#This Row],[Item]],supercb[Bairro],mercado18)</f>
        <v>0</v>
      </c>
      <c r="AD92" s="27" t="n">
        <f aca="false">SUMIFS(super1[Qtde],super1[Item],tab_alimentos[[#This Row],[Item]],super1[Bairro],extras)+SUMIFS(supercb[Qtde],supercb[Item],tab_alimentos[[#This Row],[Item]],supercb[Bairro],extras)</f>
        <v>0</v>
      </c>
      <c r="AE92" s="27" t="n">
        <f aca="false">SUM(L92:AC92)</f>
        <v>0</v>
      </c>
      <c r="AF92" s="27" t="n">
        <f aca="false">IFERROR(AE92*K92,0)</f>
        <v>0</v>
      </c>
      <c r="AG92" s="28" t="n">
        <f aca="false">IFERROR(J92*AE92,0)</f>
        <v>0</v>
      </c>
      <c r="AH92" s="26" t="str">
        <f aca="false">higiene[[#This Row],[Item]]</f>
        <v>Fraldas Geriátricas (24 un)</v>
      </c>
      <c r="AI92" s="27" t="n">
        <f aca="false">IFERROR(higiene[[#This Row],[Kg equivalente]],0)</f>
        <v>15.0645496663978</v>
      </c>
      <c r="AJ92" s="27" t="n">
        <f aca="false">IFERROR(higiene[[#This Row],[Preço por produto]],0)</f>
        <v>49.9</v>
      </c>
      <c r="AK92" s="27" t="n">
        <f aca="false">SUMIFS(super1[Qtde],super1[Item],tab_higiene[[#This Row],[Item]],super1[Bairro],mercado1)+SUMIFS(supercb[Qtde],supercb[Item],tab_higiene[[#This Row],[Item]],supercb[Bairro],mercado1)</f>
        <v>0</v>
      </c>
      <c r="AL92" s="27" t="n">
        <f aca="false">SUMIFS(super1[Qtde],super1[Item],tab_higiene[[#This Row],[Item]],super1[Bairro],mercado2)+SUMIFS(supercb[Qtde],supercb[Item],tab_higiene[[#This Row],[Item]],supercb[Bairro],mercado2)</f>
        <v>0</v>
      </c>
      <c r="AM92" s="27" t="n">
        <f aca="false">SUMIFS(super1[Qtde],super1[Item],tab_higiene[[#This Row],[Item]],super1[Bairro],mercado3)+SUMIFS(supercb[Qtde],supercb[Item],tab_higiene[[#This Row],[Item]],supercb[Bairro],mercado3)</f>
        <v>0</v>
      </c>
      <c r="AN92" s="27" t="n">
        <f aca="false">SUMIFS(super1[Qtde],super1[Item],tab_higiene[[#This Row],[Item]],super1[Bairro],mercado4)+SUMIFS(supercb[Qtde],supercb[Item],tab_higiene[[#This Row],[Item]],supercb[Bairro],mercado4)</f>
        <v>0</v>
      </c>
      <c r="AO92" s="27" t="n">
        <f aca="false">SUMIFS(super1[Qtde],super1[Item],tab_higiene[[#This Row],[Item]],super1[Bairro],mercado5)+SUMIFS(supercb[Qtde],supercb[Item],tab_higiene[[#This Row],[Item]],supercb[Bairro],mercado5)</f>
        <v>0</v>
      </c>
      <c r="AP92" s="27" t="n">
        <f aca="false">SUMIFS(super1[Qtde],super1[Item],tab_higiene[[#This Row],[Item]],super1[Bairro],mercado6)+SUMIFS(supercb[Qtde],supercb[Item],tab_higiene[[#This Row],[Item]],supercb[Bairro],mercado6)</f>
        <v>0</v>
      </c>
      <c r="AQ92" s="27" t="n">
        <f aca="false">SUMIFS(super1[Qtde],super1[Item],tab_higiene[[#This Row],[Item]],super1[Bairro],mercado7)+SUMIFS(supercb[Qtde],supercb[Item],tab_higiene[[#This Row],[Item]],supercb[Bairro],mercado7)</f>
        <v>0</v>
      </c>
      <c r="AR92" s="27" t="n">
        <f aca="false">SUMIFS(super1[Qtde],super1[Item],tab_higiene[[#This Row],[Item]],super1[Bairro],mercado8)+SUMIFS(supercb[Qtde],supercb[Item],tab_higiene[[#This Row],[Item]],supercb[Bairro],mercado8)</f>
        <v>0</v>
      </c>
      <c r="AS92" s="27" t="n">
        <f aca="false">SUMIFS(super1[Qtde],super1[Item],tab_higiene[[#This Row],[Item]],super1[Bairro],mercado9)+SUMIFS(supercb[Qtde],supercb[Item],tab_higiene[[#This Row],[Item]],supercb[Bairro],mercado9)</f>
        <v>0</v>
      </c>
      <c r="AT92" s="27" t="n">
        <f aca="false">SUMIFS(super1[Qtde],super1[Item],tab_higiene[[#This Row],[Item]],super1[Bairro],mercado10)+SUMIFS(supercb[Qtde],supercb[Item],tab_higiene[[#This Row],[Item]],supercb[Bairro],mercado10)</f>
        <v>0</v>
      </c>
      <c r="AU92" s="27" t="n">
        <f aca="false">SUMIFS(super1[Qtde],super1[Item],tab_higiene[[#This Row],[Item]],super1[Bairro],mercado11)+SUMIFS(supercb[Qtde],supercb[Item],tab_higiene[[#This Row],[Item]],supercb[Bairro],mercado11)</f>
        <v>0</v>
      </c>
      <c r="AV92" s="27" t="n">
        <f aca="false">SUMIFS(super1[Qtde],super1[Item],tab_higiene[[#This Row],[Item]],super1[Bairro],mercado12)+SUMIFS(supercb[Qtde],supercb[Item],tab_higiene[[#This Row],[Item]],supercb[Bairro],mercado12)</f>
        <v>0</v>
      </c>
      <c r="AW92" s="27" t="n">
        <f aca="false">SUMIFS(super1[Qtde],super1[Item],tab_higiene[[#This Row],[Item]],super1[Bairro],mercado13)+SUMIFS(supercb[Qtde],supercb[Item],tab_higiene[[#This Row],[Item]],supercb[Bairro],mercado13)</f>
        <v>0</v>
      </c>
      <c r="AX92" s="27" t="n">
        <f aca="false">SUMIFS(super1[Qtde],super1[Item],tab_higiene[[#This Row],[Item]],super1[Bairro],mercado14)+SUMIFS(supercb[Qtde],supercb[Item],tab_higiene[[#This Row],[Item]],supercb[Bairro],mercado14)</f>
        <v>0</v>
      </c>
      <c r="AY92" s="27" t="n">
        <f aca="false">SUMIFS(super1[Qtde],super1[Item],tab_higiene[[#This Row],[Item]],super1[Bairro],mercado15)+SUMIFS(supercb[Qtde],supercb[Item],tab_higiene[[#This Row],[Item]],supercb[Bairro],mercado15)</f>
        <v>0</v>
      </c>
      <c r="AZ92" s="27" t="n">
        <f aca="false">SUMIFS(super1[Qtde],super1[Item],tab_higiene[[#This Row],[Item]],super1[Bairro],mercado16)+SUMIFS(supercb[Qtde],supercb[Item],tab_higiene[[#This Row],[Item]],supercb[Bairro],mercado16)</f>
        <v>0</v>
      </c>
      <c r="BA92" s="27" t="n">
        <f aca="false">SUMIFS(super1[Qtde],super1[Item],tab_higiene[[#This Row],[Item]],super1[Bairro],mercado17)+SUMIFS(supercb[Qtde],supercb[Item],tab_higiene[[#This Row],[Item]],supercb[Bairro],mercado17)</f>
        <v>0</v>
      </c>
      <c r="BB92" s="27" t="n">
        <f aca="false">SUMIFS(super1[Qtde],super1[Item],tab_higiene[[#This Row],[Item]],super1[Bairro],mercado18)+SUMIFS(supercb[Qtde],supercb[Item],tab_higiene[[#This Row],[Item]],supercb[Bairro],mercado18)</f>
        <v>0</v>
      </c>
      <c r="BC92" s="27" t="n">
        <f aca="false">SUMIFS(super1[Qtde],super1[Item],tab_higiene[[#This Row],[Item]],super1[Bairro],extras)+SUMIFS(supercb[Qtde],supercb[Item],tab_higiene[[#This Row],[Item]],supercb[Bairro],extras)</f>
        <v>0</v>
      </c>
      <c r="BD92" s="27" t="n">
        <f aca="false">SUM(AK92:BB92)</f>
        <v>0</v>
      </c>
      <c r="BE92" s="27" t="n">
        <f aca="false">IFERROR(BD92*AJ92,0)</f>
        <v>0</v>
      </c>
      <c r="BF92" s="28" t="n">
        <f aca="false">IFERROR(AI92*BD92,0)</f>
        <v>0</v>
      </c>
      <c r="BI92" s="22" t="str">
        <f aca="false">tab_alimentos[[#This Row],[Item]]</f>
        <v>Cookie (400g)</v>
      </c>
      <c r="BJ92" s="22" t="n">
        <f aca="false">IFERROR(FIND(" (",BI92),0)</f>
        <v>7</v>
      </c>
      <c r="BK92" s="22" t="str">
        <f aca="false">IF(BJ92=0,BI92,LEFT(BI92,BJ92-1))</f>
        <v>Cookie</v>
      </c>
      <c r="BL92" s="22" t="n">
        <f aca="false">tab_alimentos[[#This Row],[kg]]</f>
        <v>0</v>
      </c>
      <c r="BN92" s="22" t="n">
        <f aca="false">SUMIF($BJ$5:$BJ$158,BM92,$BK$5:$BK$158)</f>
        <v>0</v>
      </c>
      <c r="BP92" s="22" t="str">
        <f aca="false">tab_higiene[[#This Row],[Item]]</f>
        <v>Fraldas Geriátricas (24 un)</v>
      </c>
      <c r="BQ92" s="22" t="n">
        <f aca="false">IFERROR(FIND(" (",BP92),0)</f>
        <v>20</v>
      </c>
      <c r="BR92" s="22" t="str">
        <f aca="false">IF(BQ92=0,BP92,LEFT(BP92,BQ92-1))</f>
        <v>Fraldas Geriátricas</v>
      </c>
      <c r="BS92" s="22" t="n">
        <f aca="false">higiene[[#This Row],[Quantidade]]</f>
        <v>0</v>
      </c>
      <c r="BT92" s="22" t="n">
        <f aca="false">tab_higiene[Qtde (tot)]</f>
        <v>0</v>
      </c>
      <c r="BU92" s="22" t="n">
        <f aca="false">BS92*BT92</f>
        <v>0</v>
      </c>
      <c r="BW92" s="22" t="n">
        <f aca="false">SUMIF($BR$5:$BR$142,BV92,$BU$5:$BU$142)</f>
        <v>0</v>
      </c>
    </row>
    <row r="93" customFormat="false" ht="15" hidden="false" customHeight="false" outlineLevel="0" collapsed="false">
      <c r="I93" s="26" t="str">
        <f aca="false">alimentos[[#This Row],[Item]]</f>
        <v>Creme de Cebola em Pó (68g)</v>
      </c>
      <c r="J93" s="27" t="n">
        <f aca="false">IFERROR(alimentos[[#This Row],[kg/embalagem]],0)</f>
        <v>0.068</v>
      </c>
      <c r="K93" s="27" t="n">
        <f aca="false">IFERROR(alimentos[[#This Row],[Preço]],0)</f>
        <v>5.3</v>
      </c>
      <c r="L93" s="27" t="n">
        <f aca="false">SUMIFS(super1[Qtde],super1[Item],tab_alimentos[[#This Row],[Item]],super1[Bairro],mercado1)+SUMIFS(supercb[Qtde],supercb[Item],tab_alimentos[[#This Row],[Item]],supercb[Bairro],mercado1)</f>
        <v>0</v>
      </c>
      <c r="M93" s="27" t="n">
        <f aca="false">SUMIFS(super1[Qtde],super1[Item],tab_alimentos[[#This Row],[Item]],super1[Bairro],mercado2)+SUMIFS(supercb[Qtde],supercb[Item],tab_alimentos[[#This Row],[Item]],supercb[Bairro],mercado2)</f>
        <v>0</v>
      </c>
      <c r="N93" s="27" t="n">
        <f aca="false">SUMIFS(super1[Qtde],super1[Item],tab_alimentos[[#This Row],[Item]],super1[Bairro],mercado3)+SUMIFS(supercb[Qtde],supercb[Item],tab_alimentos[[#This Row],[Item]],supercb[Bairro],mercado3)</f>
        <v>0</v>
      </c>
      <c r="O93" s="27" t="n">
        <f aca="false">SUMIFS(super1[Qtde],super1[Item],tab_alimentos[[#This Row],[Item]],super1[Bairro],mercado4)+SUMIFS(supercb[Qtde],supercb[Item],tab_alimentos[[#This Row],[Item]],supercb[Bairro],mercado4)</f>
        <v>0</v>
      </c>
      <c r="P93" s="27" t="n">
        <f aca="false">SUMIFS(super1[Qtde],super1[Item],tab_alimentos[[#This Row],[Item]],super1[Bairro],mercado5)+SUMIFS(supercb[Qtde],supercb[Item],tab_alimentos[[#This Row],[Item]],supercb[Bairro],mercado5)</f>
        <v>0</v>
      </c>
      <c r="Q93" s="27" t="n">
        <f aca="false">SUMIFS(super1[Qtde],super1[Item],tab_alimentos[[#This Row],[Item]],super1[Bairro],mercado6)+SUMIFS(supercb[Qtde],supercb[Item],tab_alimentos[[#This Row],[Item]],supercb[Bairro],mercado6)</f>
        <v>0</v>
      </c>
      <c r="R93" s="27" t="n">
        <f aca="false">SUMIFS(super1[Qtde],super1[Item],tab_alimentos[[#This Row],[Item]],super1[Bairro],mercado7)+SUMIFS(supercb[Qtde],supercb[Item],tab_alimentos[[#This Row],[Item]],supercb[Bairro],mercado7)</f>
        <v>0</v>
      </c>
      <c r="S93" s="27" t="n">
        <f aca="false">SUMIFS(super1[Qtde],super1[Item],tab_alimentos[[#This Row],[Item]],super1[Bairro],mercado8)+SUMIFS(supercb[Qtde],supercb[Item],tab_alimentos[[#This Row],[Item]],supercb[Bairro],mercado8)</f>
        <v>0</v>
      </c>
      <c r="T93" s="27" t="n">
        <f aca="false">SUMIFS(super1[Qtde],super1[Item],tab_alimentos[[#This Row],[Item]],super1[Bairro],mercado9)+SUMIFS(supercb[Qtde],supercb[Item],tab_alimentos[[#This Row],[Item]],supercb[Bairro],mercado9)</f>
        <v>0</v>
      </c>
      <c r="U93" s="27" t="n">
        <f aca="false">SUMIFS(super1[Qtde],super1[Item],tab_alimentos[[#This Row],[Item]],super1[Bairro],mercado10)+SUMIFS(supercb[Qtde],supercb[Item],tab_alimentos[[#This Row],[Item]],supercb[Bairro],mercado10)</f>
        <v>0</v>
      </c>
      <c r="V93" s="27" t="n">
        <f aca="false">SUMIFS(super1[Qtde],super1[Item],tab_alimentos[[#This Row],[Item]],super1[Bairro],mercado11)+SUMIFS(supercb[Qtde],supercb[Item],tab_alimentos[[#This Row],[Item]],supercb[Bairro],mercado11)</f>
        <v>0</v>
      </c>
      <c r="W93" s="27" t="n">
        <f aca="false">SUMIFS(super1[Qtde],super1[Item],tab_alimentos[[#This Row],[Item]],super1[Bairro],mercado12)+SUMIFS(supercb[Qtde],supercb[Item],tab_alimentos[[#This Row],[Item]],supercb[Bairro],mercado12)</f>
        <v>0</v>
      </c>
      <c r="X93" s="27" t="n">
        <f aca="false">SUMIFS(super1[Qtde],super1[Item],tab_alimentos[[#This Row],[Item]],super1[Bairro],mercado13)+SUMIFS(supercb[Qtde],supercb[Item],tab_alimentos[[#This Row],[Item]],supercb[Bairro],mercado13)</f>
        <v>0</v>
      </c>
      <c r="Y93" s="27" t="n">
        <f aca="false">SUMIFS(super1[Qtde],super1[Item],tab_alimentos[[#This Row],[Item]],super1[Bairro],mercado14)+SUMIFS(supercb[Qtde],supercb[Item],tab_alimentos[[#This Row],[Item]],supercb[Bairro],mercado14)</f>
        <v>0</v>
      </c>
      <c r="Z93" s="27" t="n">
        <f aca="false">SUMIFS(super1[Qtde],super1[Item],tab_alimentos[[#This Row],[Item]],super1[Bairro],mercado15)+SUMIFS(supercb[Qtde],supercb[Item],tab_alimentos[[#This Row],[Item]],supercb[Bairro],mercado15)</f>
        <v>0</v>
      </c>
      <c r="AA93" s="27" t="n">
        <f aca="false">SUMIFS(super1[Qtde],super1[Item],tab_alimentos[[#This Row],[Item]],super1[Bairro],mercado16)+SUMIFS(supercb[Qtde],supercb[Item],tab_alimentos[[#This Row],[Item]],supercb[Bairro],mercado16)</f>
        <v>0</v>
      </c>
      <c r="AB93" s="27" t="n">
        <f aca="false">SUMIFS(super1[Qtde],super1[Item],tab_alimentos[[#This Row],[Item]],super1[Bairro],mercado17)+SUMIFS(supercb[Qtde],supercb[Item],tab_alimentos[[#This Row],[Item]],supercb[Bairro],mercado17)</f>
        <v>0</v>
      </c>
      <c r="AC93" s="27" t="n">
        <f aca="false">SUMIFS(super1[Qtde],super1[Item],tab_alimentos[[#This Row],[Item]],super1[Bairro],mercado18)+SUMIFS(supercb[Qtde],supercb[Item],tab_alimentos[[#This Row],[Item]],supercb[Bairro],mercado18)</f>
        <v>0</v>
      </c>
      <c r="AD93" s="27" t="n">
        <f aca="false">SUMIFS(super1[Qtde],super1[Item],tab_alimentos[[#This Row],[Item]],super1[Bairro],extras)+SUMIFS(supercb[Qtde],supercb[Item],tab_alimentos[[#This Row],[Item]],supercb[Bairro],extras)</f>
        <v>0</v>
      </c>
      <c r="AE93" s="27" t="n">
        <f aca="false">SUM(L93:AC93)</f>
        <v>0</v>
      </c>
      <c r="AF93" s="27" t="n">
        <f aca="false">IFERROR(AE93*K93,0)</f>
        <v>0</v>
      </c>
      <c r="AG93" s="28" t="n">
        <f aca="false">IFERROR(J93*AE93,0)</f>
        <v>0</v>
      </c>
      <c r="AH93" s="26" t="str">
        <f aca="false">higiene[[#This Row],[Item]]</f>
        <v>Fraldas Geriátricas (30un)</v>
      </c>
      <c r="AI93" s="27" t="n">
        <f aca="false">IFERROR(higiene[[#This Row],[Kg equivalente]],0)</f>
        <v>13.6758336650866</v>
      </c>
      <c r="AJ93" s="27" t="n">
        <f aca="false">IFERROR(higiene[[#This Row],[Preço por produto]],0)</f>
        <v>45.3</v>
      </c>
      <c r="AK93" s="27" t="n">
        <f aca="false">SUMIFS(super1[Qtde],super1[Item],tab_higiene[[#This Row],[Item]],super1[Bairro],mercado1)+SUMIFS(supercb[Qtde],supercb[Item],tab_higiene[[#This Row],[Item]],supercb[Bairro],mercado1)</f>
        <v>0</v>
      </c>
      <c r="AL93" s="27" t="n">
        <f aca="false">SUMIFS(super1[Qtde],super1[Item],tab_higiene[[#This Row],[Item]],super1[Bairro],mercado2)+SUMIFS(supercb[Qtde],supercb[Item],tab_higiene[[#This Row],[Item]],supercb[Bairro],mercado2)</f>
        <v>0</v>
      </c>
      <c r="AM93" s="27" t="n">
        <f aca="false">SUMIFS(super1[Qtde],super1[Item],tab_higiene[[#This Row],[Item]],super1[Bairro],mercado3)+SUMIFS(supercb[Qtde],supercb[Item],tab_higiene[[#This Row],[Item]],supercb[Bairro],mercado3)</f>
        <v>0</v>
      </c>
      <c r="AN93" s="27" t="n">
        <f aca="false">SUMIFS(super1[Qtde],super1[Item],tab_higiene[[#This Row],[Item]],super1[Bairro],mercado4)+SUMIFS(supercb[Qtde],supercb[Item],tab_higiene[[#This Row],[Item]],supercb[Bairro],mercado4)</f>
        <v>0</v>
      </c>
      <c r="AO93" s="27" t="n">
        <f aca="false">SUMIFS(super1[Qtde],super1[Item],tab_higiene[[#This Row],[Item]],super1[Bairro],mercado5)+SUMIFS(supercb[Qtde],supercb[Item],tab_higiene[[#This Row],[Item]],supercb[Bairro],mercado5)</f>
        <v>0</v>
      </c>
      <c r="AP93" s="27" t="n">
        <f aca="false">SUMIFS(super1[Qtde],super1[Item],tab_higiene[[#This Row],[Item]],super1[Bairro],mercado6)+SUMIFS(supercb[Qtde],supercb[Item],tab_higiene[[#This Row],[Item]],supercb[Bairro],mercado6)</f>
        <v>0</v>
      </c>
      <c r="AQ93" s="27" t="n">
        <f aca="false">SUMIFS(super1[Qtde],super1[Item],tab_higiene[[#This Row],[Item]],super1[Bairro],mercado7)+SUMIFS(supercb[Qtde],supercb[Item],tab_higiene[[#This Row],[Item]],supercb[Bairro],mercado7)</f>
        <v>0</v>
      </c>
      <c r="AR93" s="27" t="n">
        <f aca="false">SUMIFS(super1[Qtde],super1[Item],tab_higiene[[#This Row],[Item]],super1[Bairro],mercado8)+SUMIFS(supercb[Qtde],supercb[Item],tab_higiene[[#This Row],[Item]],supercb[Bairro],mercado8)</f>
        <v>0</v>
      </c>
      <c r="AS93" s="27" t="n">
        <f aca="false">SUMIFS(super1[Qtde],super1[Item],tab_higiene[[#This Row],[Item]],super1[Bairro],mercado9)+SUMIFS(supercb[Qtde],supercb[Item],tab_higiene[[#This Row],[Item]],supercb[Bairro],mercado9)</f>
        <v>0</v>
      </c>
      <c r="AT93" s="27" t="n">
        <f aca="false">SUMIFS(super1[Qtde],super1[Item],tab_higiene[[#This Row],[Item]],super1[Bairro],mercado10)+SUMIFS(supercb[Qtde],supercb[Item],tab_higiene[[#This Row],[Item]],supercb[Bairro],mercado10)</f>
        <v>0</v>
      </c>
      <c r="AU93" s="27" t="n">
        <f aca="false">SUMIFS(super1[Qtde],super1[Item],tab_higiene[[#This Row],[Item]],super1[Bairro],mercado11)+SUMIFS(supercb[Qtde],supercb[Item],tab_higiene[[#This Row],[Item]],supercb[Bairro],mercado11)</f>
        <v>0</v>
      </c>
      <c r="AV93" s="27" t="n">
        <f aca="false">SUMIFS(super1[Qtde],super1[Item],tab_higiene[[#This Row],[Item]],super1[Bairro],mercado12)+SUMIFS(supercb[Qtde],supercb[Item],tab_higiene[[#This Row],[Item]],supercb[Bairro],mercado12)</f>
        <v>0</v>
      </c>
      <c r="AW93" s="27" t="n">
        <f aca="false">SUMIFS(super1[Qtde],super1[Item],tab_higiene[[#This Row],[Item]],super1[Bairro],mercado13)+SUMIFS(supercb[Qtde],supercb[Item],tab_higiene[[#This Row],[Item]],supercb[Bairro],mercado13)</f>
        <v>0</v>
      </c>
      <c r="AX93" s="27" t="n">
        <f aca="false">SUMIFS(super1[Qtde],super1[Item],tab_higiene[[#This Row],[Item]],super1[Bairro],mercado14)+SUMIFS(supercb[Qtde],supercb[Item],tab_higiene[[#This Row],[Item]],supercb[Bairro],mercado14)</f>
        <v>0</v>
      </c>
      <c r="AY93" s="27" t="n">
        <f aca="false">SUMIFS(super1[Qtde],super1[Item],tab_higiene[[#This Row],[Item]],super1[Bairro],mercado15)+SUMIFS(supercb[Qtde],supercb[Item],tab_higiene[[#This Row],[Item]],supercb[Bairro],mercado15)</f>
        <v>0</v>
      </c>
      <c r="AZ93" s="27" t="n">
        <f aca="false">SUMIFS(super1[Qtde],super1[Item],tab_higiene[[#This Row],[Item]],super1[Bairro],mercado16)+SUMIFS(supercb[Qtde],supercb[Item],tab_higiene[[#This Row],[Item]],supercb[Bairro],mercado16)</f>
        <v>0</v>
      </c>
      <c r="BA93" s="27" t="n">
        <f aca="false">SUMIFS(super1[Qtde],super1[Item],tab_higiene[[#This Row],[Item]],super1[Bairro],mercado17)+SUMIFS(supercb[Qtde],supercb[Item],tab_higiene[[#This Row],[Item]],supercb[Bairro],mercado17)</f>
        <v>0</v>
      </c>
      <c r="BB93" s="27" t="n">
        <f aca="false">SUMIFS(super1[Qtde],super1[Item],tab_higiene[[#This Row],[Item]],super1[Bairro],mercado18)+SUMIFS(supercb[Qtde],supercb[Item],tab_higiene[[#This Row],[Item]],supercb[Bairro],mercado18)</f>
        <v>0</v>
      </c>
      <c r="BC93" s="27" t="n">
        <f aca="false">SUMIFS(super1[Qtde],super1[Item],tab_higiene[[#This Row],[Item]],super1[Bairro],extras)+SUMIFS(supercb[Qtde],supercb[Item],tab_higiene[[#This Row],[Item]],supercb[Bairro],extras)</f>
        <v>0</v>
      </c>
      <c r="BD93" s="27" t="n">
        <f aca="false">SUM(AK93:BB93)</f>
        <v>0</v>
      </c>
      <c r="BE93" s="27" t="n">
        <f aca="false">IFERROR(BD93*AJ93,0)</f>
        <v>0</v>
      </c>
      <c r="BF93" s="28" t="n">
        <f aca="false">IFERROR(AI93*BD93,0)</f>
        <v>0</v>
      </c>
      <c r="BI93" s="22" t="str">
        <f aca="false">tab_alimentos[[#This Row],[Item]]</f>
        <v>Creme de Cebola em Pó (68g)</v>
      </c>
      <c r="BJ93" s="22" t="n">
        <f aca="false">IFERROR(FIND(" (",BI93),0)</f>
        <v>22</v>
      </c>
      <c r="BK93" s="22" t="str">
        <f aca="false">IF(BJ93=0,BI93,LEFT(BI93,BJ93-1))</f>
        <v>Creme de Cebola em Pó</v>
      </c>
      <c r="BL93" s="22" t="n">
        <f aca="false">tab_alimentos[[#This Row],[kg]]</f>
        <v>0</v>
      </c>
      <c r="BN93" s="22" t="n">
        <f aca="false">SUMIF($BJ$5:$BJ$158,BM93,$BK$5:$BK$158)</f>
        <v>0</v>
      </c>
      <c r="BP93" s="22" t="str">
        <f aca="false">tab_higiene[[#This Row],[Item]]</f>
        <v>Fraldas Geriátricas (30un)</v>
      </c>
      <c r="BQ93" s="22" t="n">
        <f aca="false">IFERROR(FIND(" (",BP93),0)</f>
        <v>20</v>
      </c>
      <c r="BR93" s="22" t="str">
        <f aca="false">IF(BQ93=0,BP93,LEFT(BP93,BQ93-1))</f>
        <v>Fraldas Geriátricas</v>
      </c>
      <c r="BS93" s="22" t="n">
        <f aca="false">higiene[[#This Row],[Quantidade]]</f>
        <v>1</v>
      </c>
      <c r="BT93" s="22" t="n">
        <f aca="false">tab_higiene[Qtde (tot)]</f>
        <v>0</v>
      </c>
      <c r="BU93" s="22" t="n">
        <f aca="false">BS93*BT93</f>
        <v>0</v>
      </c>
      <c r="BW93" s="22" t="n">
        <f aca="false">SUMIF($BR$5:$BR$142,BV93,$BU$5:$BU$142)</f>
        <v>0</v>
      </c>
    </row>
    <row r="94" customFormat="false" ht="15" hidden="false" customHeight="false" outlineLevel="0" collapsed="false">
      <c r="I94" s="26" t="str">
        <f aca="false">alimentos[[#This Row],[Item]]</f>
        <v>Creme de Leite</v>
      </c>
      <c r="J94" s="27" t="n">
        <f aca="false">IFERROR(alimentos[[#This Row],[kg/embalagem]],0)</f>
        <v>0.2</v>
      </c>
      <c r="K94" s="27" t="n">
        <f aca="false">IFERROR(alimentos[[#This Row],[Preço]],0)</f>
        <v>2.64666666666667</v>
      </c>
      <c r="L94" s="27" t="n">
        <f aca="false">SUMIFS(super1[Qtde],super1[Item],tab_alimentos[[#This Row],[Item]],super1[Bairro],mercado1)+SUMIFS(supercb[Qtde],supercb[Item],tab_alimentos[[#This Row],[Item]],supercb[Bairro],mercado1)</f>
        <v>0</v>
      </c>
      <c r="M94" s="27" t="n">
        <f aca="false">SUMIFS(super1[Qtde],super1[Item],tab_alimentos[[#This Row],[Item]],super1[Bairro],mercado2)+SUMIFS(supercb[Qtde],supercb[Item],tab_alimentos[[#This Row],[Item]],supercb[Bairro],mercado2)</f>
        <v>0</v>
      </c>
      <c r="N94" s="27" t="n">
        <f aca="false">SUMIFS(super1[Qtde],super1[Item],tab_alimentos[[#This Row],[Item]],super1[Bairro],mercado3)+SUMIFS(supercb[Qtde],supercb[Item],tab_alimentos[[#This Row],[Item]],supercb[Bairro],mercado3)</f>
        <v>0</v>
      </c>
      <c r="O94" s="27" t="n">
        <f aca="false">SUMIFS(super1[Qtde],super1[Item],tab_alimentos[[#This Row],[Item]],super1[Bairro],mercado4)+SUMIFS(supercb[Qtde],supercb[Item],tab_alimentos[[#This Row],[Item]],supercb[Bairro],mercado4)</f>
        <v>0</v>
      </c>
      <c r="P94" s="27" t="n">
        <f aca="false">SUMIFS(super1[Qtde],super1[Item],tab_alimentos[[#This Row],[Item]],super1[Bairro],mercado5)+SUMIFS(supercb[Qtde],supercb[Item],tab_alimentos[[#This Row],[Item]],supercb[Bairro],mercado5)</f>
        <v>0</v>
      </c>
      <c r="Q94" s="27" t="n">
        <f aca="false">SUMIFS(super1[Qtde],super1[Item],tab_alimentos[[#This Row],[Item]],super1[Bairro],mercado6)+SUMIFS(supercb[Qtde],supercb[Item],tab_alimentos[[#This Row],[Item]],supercb[Bairro],mercado6)</f>
        <v>0</v>
      </c>
      <c r="R94" s="27" t="n">
        <f aca="false">SUMIFS(super1[Qtde],super1[Item],tab_alimentos[[#This Row],[Item]],super1[Bairro],mercado7)+SUMIFS(supercb[Qtde],supercb[Item],tab_alimentos[[#This Row],[Item]],supercb[Bairro],mercado7)</f>
        <v>0</v>
      </c>
      <c r="S94" s="27" t="n">
        <f aca="false">SUMIFS(super1[Qtde],super1[Item],tab_alimentos[[#This Row],[Item]],super1[Bairro],mercado8)+SUMIFS(supercb[Qtde],supercb[Item],tab_alimentos[[#This Row],[Item]],supercb[Bairro],mercado8)</f>
        <v>0</v>
      </c>
      <c r="T94" s="27" t="n">
        <f aca="false">SUMIFS(super1[Qtde],super1[Item],tab_alimentos[[#This Row],[Item]],super1[Bairro],mercado9)+SUMIFS(supercb[Qtde],supercb[Item],tab_alimentos[[#This Row],[Item]],supercb[Bairro],mercado9)</f>
        <v>0</v>
      </c>
      <c r="U94" s="27" t="n">
        <f aca="false">SUMIFS(super1[Qtde],super1[Item],tab_alimentos[[#This Row],[Item]],super1[Bairro],mercado10)+SUMIFS(supercb[Qtde],supercb[Item],tab_alimentos[[#This Row],[Item]],supercb[Bairro],mercado10)</f>
        <v>0</v>
      </c>
      <c r="V94" s="27" t="n">
        <f aca="false">SUMIFS(super1[Qtde],super1[Item],tab_alimentos[[#This Row],[Item]],super1[Bairro],mercado11)+SUMIFS(supercb[Qtde],supercb[Item],tab_alimentos[[#This Row],[Item]],supercb[Bairro],mercado11)</f>
        <v>0</v>
      </c>
      <c r="W94" s="27" t="n">
        <f aca="false">SUMIFS(super1[Qtde],super1[Item],tab_alimentos[[#This Row],[Item]],super1[Bairro],mercado12)+SUMIFS(supercb[Qtde],supercb[Item],tab_alimentos[[#This Row],[Item]],supercb[Bairro],mercado12)</f>
        <v>0</v>
      </c>
      <c r="X94" s="27" t="n">
        <f aca="false">SUMIFS(super1[Qtde],super1[Item],tab_alimentos[[#This Row],[Item]],super1[Bairro],mercado13)+SUMIFS(supercb[Qtde],supercb[Item],tab_alimentos[[#This Row],[Item]],supercb[Bairro],mercado13)</f>
        <v>0</v>
      </c>
      <c r="Y94" s="27" t="n">
        <f aca="false">SUMIFS(super1[Qtde],super1[Item],tab_alimentos[[#This Row],[Item]],super1[Bairro],mercado14)+SUMIFS(supercb[Qtde],supercb[Item],tab_alimentos[[#This Row],[Item]],supercb[Bairro],mercado14)</f>
        <v>0</v>
      </c>
      <c r="Z94" s="27" t="n">
        <f aca="false">SUMIFS(super1[Qtde],super1[Item],tab_alimentos[[#This Row],[Item]],super1[Bairro],mercado15)+SUMIFS(supercb[Qtde],supercb[Item],tab_alimentos[[#This Row],[Item]],supercb[Bairro],mercado15)</f>
        <v>0</v>
      </c>
      <c r="AA94" s="27" t="n">
        <f aca="false">SUMIFS(super1[Qtde],super1[Item],tab_alimentos[[#This Row],[Item]],super1[Bairro],mercado16)+SUMIFS(supercb[Qtde],supercb[Item],tab_alimentos[[#This Row],[Item]],supercb[Bairro],mercado16)</f>
        <v>0</v>
      </c>
      <c r="AB94" s="27" t="n">
        <f aca="false">SUMIFS(super1[Qtde],super1[Item],tab_alimentos[[#This Row],[Item]],super1[Bairro],mercado17)+SUMIFS(supercb[Qtde],supercb[Item],tab_alimentos[[#This Row],[Item]],supercb[Bairro],mercado17)</f>
        <v>0</v>
      </c>
      <c r="AC94" s="27" t="n">
        <f aca="false">SUMIFS(super1[Qtde],super1[Item],tab_alimentos[[#This Row],[Item]],super1[Bairro],mercado18)+SUMIFS(supercb[Qtde],supercb[Item],tab_alimentos[[#This Row],[Item]],supercb[Bairro],mercado18)</f>
        <v>0</v>
      </c>
      <c r="AD94" s="27" t="n">
        <f aca="false">SUMIFS(super1[Qtde],super1[Item],tab_alimentos[[#This Row],[Item]],super1[Bairro],extras)+SUMIFS(supercb[Qtde],supercb[Item],tab_alimentos[[#This Row],[Item]],supercb[Bairro],extras)</f>
        <v>0</v>
      </c>
      <c r="AE94" s="27" t="n">
        <f aca="false">SUM(L94:AC94)</f>
        <v>0</v>
      </c>
      <c r="AF94" s="27" t="n">
        <f aca="false">IFERROR(AE94*K94,0)</f>
        <v>0</v>
      </c>
      <c r="AG94" s="28" t="n">
        <f aca="false">IFERROR(J94*AE94,0)</f>
        <v>0</v>
      </c>
      <c r="AH94" s="26" t="str">
        <f aca="false">higiene[[#This Row],[Item]]</f>
        <v>Fraldas Infantis (12un)</v>
      </c>
      <c r="AI94" s="27" t="n">
        <f aca="false">IFERROR(higiene[[#This Row],[Kg equivalente]],0)</f>
        <v>4.13293957781536</v>
      </c>
      <c r="AJ94" s="27" t="n">
        <f aca="false">IFERROR(higiene[[#This Row],[Preço por produto]],0)</f>
        <v>13.69</v>
      </c>
      <c r="AK94" s="27" t="n">
        <f aca="false">SUMIFS(super1[Qtde],super1[Item],tab_higiene[[#This Row],[Item]],super1[Bairro],mercado1)+SUMIFS(supercb[Qtde],supercb[Item],tab_higiene[[#This Row],[Item]],supercb[Bairro],mercado1)</f>
        <v>0</v>
      </c>
      <c r="AL94" s="27" t="n">
        <f aca="false">SUMIFS(super1[Qtde],super1[Item],tab_higiene[[#This Row],[Item]],super1[Bairro],mercado2)+SUMIFS(supercb[Qtde],supercb[Item],tab_higiene[[#This Row],[Item]],supercb[Bairro],mercado2)</f>
        <v>0</v>
      </c>
      <c r="AM94" s="27" t="n">
        <f aca="false">SUMIFS(super1[Qtde],super1[Item],tab_higiene[[#This Row],[Item]],super1[Bairro],mercado3)+SUMIFS(supercb[Qtde],supercb[Item],tab_higiene[[#This Row],[Item]],supercb[Bairro],mercado3)</f>
        <v>0</v>
      </c>
      <c r="AN94" s="27" t="n">
        <f aca="false">SUMIFS(super1[Qtde],super1[Item],tab_higiene[[#This Row],[Item]],super1[Bairro],mercado4)+SUMIFS(supercb[Qtde],supercb[Item],tab_higiene[[#This Row],[Item]],supercb[Bairro],mercado4)</f>
        <v>0</v>
      </c>
      <c r="AO94" s="27" t="n">
        <f aca="false">SUMIFS(super1[Qtde],super1[Item],tab_higiene[[#This Row],[Item]],super1[Bairro],mercado5)+SUMIFS(supercb[Qtde],supercb[Item],tab_higiene[[#This Row],[Item]],supercb[Bairro],mercado5)</f>
        <v>0</v>
      </c>
      <c r="AP94" s="27" t="n">
        <f aca="false">SUMIFS(super1[Qtde],super1[Item],tab_higiene[[#This Row],[Item]],super1[Bairro],mercado6)+SUMIFS(supercb[Qtde],supercb[Item],tab_higiene[[#This Row],[Item]],supercb[Bairro],mercado6)</f>
        <v>0</v>
      </c>
      <c r="AQ94" s="27" t="n">
        <f aca="false">SUMIFS(super1[Qtde],super1[Item],tab_higiene[[#This Row],[Item]],super1[Bairro],mercado7)+SUMIFS(supercb[Qtde],supercb[Item],tab_higiene[[#This Row],[Item]],supercb[Bairro],mercado7)</f>
        <v>0</v>
      </c>
      <c r="AR94" s="27" t="n">
        <f aca="false">SUMIFS(super1[Qtde],super1[Item],tab_higiene[[#This Row],[Item]],super1[Bairro],mercado8)+SUMIFS(supercb[Qtde],supercb[Item],tab_higiene[[#This Row],[Item]],supercb[Bairro],mercado8)</f>
        <v>0</v>
      </c>
      <c r="AS94" s="27" t="n">
        <f aca="false">SUMIFS(super1[Qtde],super1[Item],tab_higiene[[#This Row],[Item]],super1[Bairro],mercado9)+SUMIFS(supercb[Qtde],supercb[Item],tab_higiene[[#This Row],[Item]],supercb[Bairro],mercado9)</f>
        <v>0</v>
      </c>
      <c r="AT94" s="27" t="n">
        <f aca="false">SUMIFS(super1[Qtde],super1[Item],tab_higiene[[#This Row],[Item]],super1[Bairro],mercado10)+SUMIFS(supercb[Qtde],supercb[Item],tab_higiene[[#This Row],[Item]],supercb[Bairro],mercado10)</f>
        <v>0</v>
      </c>
      <c r="AU94" s="27" t="n">
        <f aca="false">SUMIFS(super1[Qtde],super1[Item],tab_higiene[[#This Row],[Item]],super1[Bairro],mercado11)+SUMIFS(supercb[Qtde],supercb[Item],tab_higiene[[#This Row],[Item]],supercb[Bairro],mercado11)</f>
        <v>0</v>
      </c>
      <c r="AV94" s="27" t="n">
        <f aca="false">SUMIFS(super1[Qtde],super1[Item],tab_higiene[[#This Row],[Item]],super1[Bairro],mercado12)+SUMIFS(supercb[Qtde],supercb[Item],tab_higiene[[#This Row],[Item]],supercb[Bairro],mercado12)</f>
        <v>0</v>
      </c>
      <c r="AW94" s="27" t="n">
        <f aca="false">SUMIFS(super1[Qtde],super1[Item],tab_higiene[[#This Row],[Item]],super1[Bairro],mercado13)+SUMIFS(supercb[Qtde],supercb[Item],tab_higiene[[#This Row],[Item]],supercb[Bairro],mercado13)</f>
        <v>0</v>
      </c>
      <c r="AX94" s="27" t="n">
        <f aca="false">SUMIFS(super1[Qtde],super1[Item],tab_higiene[[#This Row],[Item]],super1[Bairro],mercado14)+SUMIFS(supercb[Qtde],supercb[Item],tab_higiene[[#This Row],[Item]],supercb[Bairro],mercado14)</f>
        <v>0</v>
      </c>
      <c r="AY94" s="27" t="n">
        <f aca="false">SUMIFS(super1[Qtde],super1[Item],tab_higiene[[#This Row],[Item]],super1[Bairro],mercado15)+SUMIFS(supercb[Qtde],supercb[Item],tab_higiene[[#This Row],[Item]],supercb[Bairro],mercado15)</f>
        <v>0</v>
      </c>
      <c r="AZ94" s="27" t="n">
        <f aca="false">SUMIFS(super1[Qtde],super1[Item],tab_higiene[[#This Row],[Item]],super1[Bairro],mercado16)+SUMIFS(supercb[Qtde],supercb[Item],tab_higiene[[#This Row],[Item]],supercb[Bairro],mercado16)</f>
        <v>0</v>
      </c>
      <c r="BA94" s="27" t="n">
        <f aca="false">SUMIFS(super1[Qtde],super1[Item],tab_higiene[[#This Row],[Item]],super1[Bairro],mercado17)+SUMIFS(supercb[Qtde],supercb[Item],tab_higiene[[#This Row],[Item]],supercb[Bairro],mercado17)</f>
        <v>0</v>
      </c>
      <c r="BB94" s="27" t="n">
        <f aca="false">SUMIFS(super1[Qtde],super1[Item],tab_higiene[[#This Row],[Item]],super1[Bairro],mercado18)+SUMIFS(supercb[Qtde],supercb[Item],tab_higiene[[#This Row],[Item]],supercb[Bairro],mercado18)</f>
        <v>0</v>
      </c>
      <c r="BC94" s="27" t="n">
        <f aca="false">SUMIFS(super1[Qtde],super1[Item],tab_higiene[[#This Row],[Item]],super1[Bairro],extras)+SUMIFS(supercb[Qtde],supercb[Item],tab_higiene[[#This Row],[Item]],supercb[Bairro],extras)</f>
        <v>0</v>
      </c>
      <c r="BD94" s="27" t="n">
        <f aca="false">SUM(AK94:BB94)</f>
        <v>0</v>
      </c>
      <c r="BE94" s="27" t="n">
        <f aca="false">IFERROR(BD94*AJ94,0)</f>
        <v>0</v>
      </c>
      <c r="BF94" s="28" t="n">
        <f aca="false">IFERROR(AI94*BD94,0)</f>
        <v>0</v>
      </c>
      <c r="BI94" s="22" t="str">
        <f aca="false">tab_alimentos[[#This Row],[Item]]</f>
        <v>Creme de Leite</v>
      </c>
      <c r="BJ94" s="22" t="n">
        <f aca="false">IFERROR(FIND(" (",BI94),0)</f>
        <v>0</v>
      </c>
      <c r="BK94" s="22" t="str">
        <f aca="false">IF(BJ94=0,BI94,LEFT(BI94,BJ94-1))</f>
        <v>Creme de Leite</v>
      </c>
      <c r="BL94" s="22" t="n">
        <f aca="false">tab_alimentos[[#This Row],[kg]]</f>
        <v>0</v>
      </c>
      <c r="BN94" s="22" t="n">
        <f aca="false">SUMIF($BJ$5:$BJ$158,BM94,$BK$5:$BK$158)</f>
        <v>0</v>
      </c>
      <c r="BP94" s="22" t="str">
        <f aca="false">tab_higiene[[#This Row],[Item]]</f>
        <v>Fraldas Infantis (12un)</v>
      </c>
      <c r="BQ94" s="22" t="n">
        <f aca="false">IFERROR(FIND(" (",BP94),0)</f>
        <v>17</v>
      </c>
      <c r="BR94" s="22" t="str">
        <f aca="false">IF(BQ94=0,BP94,LEFT(BP94,BQ94-1))</f>
        <v>Fraldas Infantis</v>
      </c>
      <c r="BS94" s="22" t="n">
        <f aca="false">higiene[[#This Row],[Quantidade]]</f>
        <v>12</v>
      </c>
      <c r="BT94" s="22" t="n">
        <f aca="false">tab_higiene[Qtde (tot)]</f>
        <v>0</v>
      </c>
      <c r="BU94" s="22" t="n">
        <f aca="false">BS94*BT94</f>
        <v>0</v>
      </c>
      <c r="BW94" s="22" t="n">
        <f aca="false">SUMIF($BR$5:$BR$142,BV94,$BU$5:$BU$142)</f>
        <v>0</v>
      </c>
    </row>
    <row r="95" customFormat="false" ht="15" hidden="false" customHeight="false" outlineLevel="0" collapsed="false">
      <c r="I95" s="26" t="str">
        <f aca="false">alimentos[[#This Row],[Item]]</f>
        <v>Cuscuz (500g)</v>
      </c>
      <c r="J95" s="27" t="n">
        <f aca="false">IFERROR(alimentos[[#This Row],[kg/embalagem]],0)</f>
        <v>0.5</v>
      </c>
      <c r="K95" s="27" t="n">
        <f aca="false">IFERROR(alimentos[[#This Row],[Preço]],0)</f>
        <v>7.09</v>
      </c>
      <c r="L95" s="27" t="n">
        <f aca="false">SUMIFS(super1[Qtde],super1[Item],tab_alimentos[[#This Row],[Item]],super1[Bairro],mercado1)+SUMIFS(supercb[Qtde],supercb[Item],tab_alimentos[[#This Row],[Item]],supercb[Bairro],mercado1)</f>
        <v>0</v>
      </c>
      <c r="M95" s="27" t="n">
        <f aca="false">SUMIFS(super1[Qtde],super1[Item],tab_alimentos[[#This Row],[Item]],super1[Bairro],mercado2)+SUMIFS(supercb[Qtde],supercb[Item],tab_alimentos[[#This Row],[Item]],supercb[Bairro],mercado2)</f>
        <v>0</v>
      </c>
      <c r="N95" s="27" t="n">
        <f aca="false">SUMIFS(super1[Qtde],super1[Item],tab_alimentos[[#This Row],[Item]],super1[Bairro],mercado3)+SUMIFS(supercb[Qtde],supercb[Item],tab_alimentos[[#This Row],[Item]],supercb[Bairro],mercado3)</f>
        <v>0</v>
      </c>
      <c r="O95" s="27" t="n">
        <f aca="false">SUMIFS(super1[Qtde],super1[Item],tab_alimentos[[#This Row],[Item]],super1[Bairro],mercado4)+SUMIFS(supercb[Qtde],supercb[Item],tab_alimentos[[#This Row],[Item]],supercb[Bairro],mercado4)</f>
        <v>0</v>
      </c>
      <c r="P95" s="27" t="n">
        <f aca="false">SUMIFS(super1[Qtde],super1[Item],tab_alimentos[[#This Row],[Item]],super1[Bairro],mercado5)+SUMIFS(supercb[Qtde],supercb[Item],tab_alimentos[[#This Row],[Item]],supercb[Bairro],mercado5)</f>
        <v>0</v>
      </c>
      <c r="Q95" s="27" t="n">
        <f aca="false">SUMIFS(super1[Qtde],super1[Item],tab_alimentos[[#This Row],[Item]],super1[Bairro],mercado6)+SUMIFS(supercb[Qtde],supercb[Item],tab_alimentos[[#This Row],[Item]],supercb[Bairro],mercado6)</f>
        <v>0</v>
      </c>
      <c r="R95" s="27" t="n">
        <f aca="false">SUMIFS(super1[Qtde],super1[Item],tab_alimentos[[#This Row],[Item]],super1[Bairro],mercado7)+SUMIFS(supercb[Qtde],supercb[Item],tab_alimentos[[#This Row],[Item]],supercb[Bairro],mercado7)</f>
        <v>0</v>
      </c>
      <c r="S95" s="27" t="n">
        <f aca="false">SUMIFS(super1[Qtde],super1[Item],tab_alimentos[[#This Row],[Item]],super1[Bairro],mercado8)+SUMIFS(supercb[Qtde],supercb[Item],tab_alimentos[[#This Row],[Item]],supercb[Bairro],mercado8)</f>
        <v>0</v>
      </c>
      <c r="T95" s="27" t="n">
        <f aca="false">SUMIFS(super1[Qtde],super1[Item],tab_alimentos[[#This Row],[Item]],super1[Bairro],mercado9)+SUMIFS(supercb[Qtde],supercb[Item],tab_alimentos[[#This Row],[Item]],supercb[Bairro],mercado9)</f>
        <v>0</v>
      </c>
      <c r="U95" s="27" t="n">
        <f aca="false">SUMIFS(super1[Qtde],super1[Item],tab_alimentos[[#This Row],[Item]],super1[Bairro],mercado10)+SUMIFS(supercb[Qtde],supercb[Item],tab_alimentos[[#This Row],[Item]],supercb[Bairro],mercado10)</f>
        <v>0</v>
      </c>
      <c r="V95" s="27" t="n">
        <f aca="false">SUMIFS(super1[Qtde],super1[Item],tab_alimentos[[#This Row],[Item]],super1[Bairro],mercado11)+SUMIFS(supercb[Qtde],supercb[Item],tab_alimentos[[#This Row],[Item]],supercb[Bairro],mercado11)</f>
        <v>0</v>
      </c>
      <c r="W95" s="27" t="n">
        <f aca="false">SUMIFS(super1[Qtde],super1[Item],tab_alimentos[[#This Row],[Item]],super1[Bairro],mercado12)+SUMIFS(supercb[Qtde],supercb[Item],tab_alimentos[[#This Row],[Item]],supercb[Bairro],mercado12)</f>
        <v>0</v>
      </c>
      <c r="X95" s="27" t="n">
        <f aca="false">SUMIFS(super1[Qtde],super1[Item],tab_alimentos[[#This Row],[Item]],super1[Bairro],mercado13)+SUMIFS(supercb[Qtde],supercb[Item],tab_alimentos[[#This Row],[Item]],supercb[Bairro],mercado13)</f>
        <v>0</v>
      </c>
      <c r="Y95" s="27" t="n">
        <f aca="false">SUMIFS(super1[Qtde],super1[Item],tab_alimentos[[#This Row],[Item]],super1[Bairro],mercado14)+SUMIFS(supercb[Qtde],supercb[Item],tab_alimentos[[#This Row],[Item]],supercb[Bairro],mercado14)</f>
        <v>0</v>
      </c>
      <c r="Z95" s="27" t="n">
        <f aca="false">SUMIFS(super1[Qtde],super1[Item],tab_alimentos[[#This Row],[Item]],super1[Bairro],mercado15)+SUMIFS(supercb[Qtde],supercb[Item],tab_alimentos[[#This Row],[Item]],supercb[Bairro],mercado15)</f>
        <v>0</v>
      </c>
      <c r="AA95" s="27" t="n">
        <f aca="false">SUMIFS(super1[Qtde],super1[Item],tab_alimentos[[#This Row],[Item]],super1[Bairro],mercado16)+SUMIFS(supercb[Qtde],supercb[Item],tab_alimentos[[#This Row],[Item]],supercb[Bairro],mercado16)</f>
        <v>0</v>
      </c>
      <c r="AB95" s="27" t="n">
        <f aca="false">SUMIFS(super1[Qtde],super1[Item],tab_alimentos[[#This Row],[Item]],super1[Bairro],mercado17)+SUMIFS(supercb[Qtde],supercb[Item],tab_alimentos[[#This Row],[Item]],supercb[Bairro],mercado17)</f>
        <v>0</v>
      </c>
      <c r="AC95" s="27" t="n">
        <f aca="false">SUMIFS(super1[Qtde],super1[Item],tab_alimentos[[#This Row],[Item]],super1[Bairro],mercado18)+SUMIFS(supercb[Qtde],supercb[Item],tab_alimentos[[#This Row],[Item]],supercb[Bairro],mercado18)</f>
        <v>0</v>
      </c>
      <c r="AD95" s="27" t="n">
        <f aca="false">SUMIFS(super1[Qtde],super1[Item],tab_alimentos[[#This Row],[Item]],super1[Bairro],extras)+SUMIFS(supercb[Qtde],supercb[Item],tab_alimentos[[#This Row],[Item]],supercb[Bairro],extras)</f>
        <v>0</v>
      </c>
      <c r="AE95" s="27" t="n">
        <f aca="false">SUM(L95:AC95)</f>
        <v>0</v>
      </c>
      <c r="AF95" s="27" t="n">
        <f aca="false">IFERROR(AE95*K95,0)</f>
        <v>0</v>
      </c>
      <c r="AG95" s="28" t="n">
        <f aca="false">IFERROR(J95*AE95,0)</f>
        <v>0</v>
      </c>
      <c r="AH95" s="26" t="str">
        <f aca="false">higiene[[#This Row],[Item]]</f>
        <v>Fraldas Infantis (14un)</v>
      </c>
      <c r="AI95" s="27" t="n">
        <f aca="false">IFERROR(higiene[[#This Row],[Kg equivalente]],0)</f>
        <v>5.55184505741596</v>
      </c>
      <c r="AJ95" s="27" t="n">
        <f aca="false">IFERROR(higiene[[#This Row],[Preço por produto]],0)</f>
        <v>18.39</v>
      </c>
      <c r="AK95" s="27" t="n">
        <f aca="false">SUMIFS(super1[Qtde],super1[Item],tab_higiene[[#This Row],[Item]],super1[Bairro],mercado1)+SUMIFS(supercb[Qtde],supercb[Item],tab_higiene[[#This Row],[Item]],supercb[Bairro],mercado1)</f>
        <v>0</v>
      </c>
      <c r="AL95" s="27" t="n">
        <f aca="false">SUMIFS(super1[Qtde],super1[Item],tab_higiene[[#This Row],[Item]],super1[Bairro],mercado2)+SUMIFS(supercb[Qtde],supercb[Item],tab_higiene[[#This Row],[Item]],supercb[Bairro],mercado2)</f>
        <v>0</v>
      </c>
      <c r="AM95" s="27" t="n">
        <f aca="false">SUMIFS(super1[Qtde],super1[Item],tab_higiene[[#This Row],[Item]],super1[Bairro],mercado3)+SUMIFS(supercb[Qtde],supercb[Item],tab_higiene[[#This Row],[Item]],supercb[Bairro],mercado3)</f>
        <v>0</v>
      </c>
      <c r="AN95" s="27" t="n">
        <f aca="false">SUMIFS(super1[Qtde],super1[Item],tab_higiene[[#This Row],[Item]],super1[Bairro],mercado4)+SUMIFS(supercb[Qtde],supercb[Item],tab_higiene[[#This Row],[Item]],supercb[Bairro],mercado4)</f>
        <v>0</v>
      </c>
      <c r="AO95" s="27" t="n">
        <f aca="false">SUMIFS(super1[Qtde],super1[Item],tab_higiene[[#This Row],[Item]],super1[Bairro],mercado5)+SUMIFS(supercb[Qtde],supercb[Item],tab_higiene[[#This Row],[Item]],supercb[Bairro],mercado5)</f>
        <v>0</v>
      </c>
      <c r="AP95" s="27" t="n">
        <f aca="false">SUMIFS(super1[Qtde],super1[Item],tab_higiene[[#This Row],[Item]],super1[Bairro],mercado6)+SUMIFS(supercb[Qtde],supercb[Item],tab_higiene[[#This Row],[Item]],supercb[Bairro],mercado6)</f>
        <v>0</v>
      </c>
      <c r="AQ95" s="27" t="n">
        <f aca="false">SUMIFS(super1[Qtde],super1[Item],tab_higiene[[#This Row],[Item]],super1[Bairro],mercado7)+SUMIFS(supercb[Qtde],supercb[Item],tab_higiene[[#This Row],[Item]],supercb[Bairro],mercado7)</f>
        <v>0</v>
      </c>
      <c r="AR95" s="27" t="n">
        <f aca="false">SUMIFS(super1[Qtde],super1[Item],tab_higiene[[#This Row],[Item]],super1[Bairro],mercado8)+SUMIFS(supercb[Qtde],supercb[Item],tab_higiene[[#This Row],[Item]],supercb[Bairro],mercado8)</f>
        <v>0</v>
      </c>
      <c r="AS95" s="27" t="n">
        <f aca="false">SUMIFS(super1[Qtde],super1[Item],tab_higiene[[#This Row],[Item]],super1[Bairro],mercado9)+SUMIFS(supercb[Qtde],supercb[Item],tab_higiene[[#This Row],[Item]],supercb[Bairro],mercado9)</f>
        <v>0</v>
      </c>
      <c r="AT95" s="27" t="n">
        <f aca="false">SUMIFS(super1[Qtde],super1[Item],tab_higiene[[#This Row],[Item]],super1[Bairro],mercado10)+SUMIFS(supercb[Qtde],supercb[Item],tab_higiene[[#This Row],[Item]],supercb[Bairro],mercado10)</f>
        <v>0</v>
      </c>
      <c r="AU95" s="27" t="n">
        <f aca="false">SUMIFS(super1[Qtde],super1[Item],tab_higiene[[#This Row],[Item]],super1[Bairro],mercado11)+SUMIFS(supercb[Qtde],supercb[Item],tab_higiene[[#This Row],[Item]],supercb[Bairro],mercado11)</f>
        <v>0</v>
      </c>
      <c r="AV95" s="27" t="n">
        <f aca="false">SUMIFS(super1[Qtde],super1[Item],tab_higiene[[#This Row],[Item]],super1[Bairro],mercado12)+SUMIFS(supercb[Qtde],supercb[Item],tab_higiene[[#This Row],[Item]],supercb[Bairro],mercado12)</f>
        <v>0</v>
      </c>
      <c r="AW95" s="27" t="n">
        <f aca="false">SUMIFS(super1[Qtde],super1[Item],tab_higiene[[#This Row],[Item]],super1[Bairro],mercado13)+SUMIFS(supercb[Qtde],supercb[Item],tab_higiene[[#This Row],[Item]],supercb[Bairro],mercado13)</f>
        <v>0</v>
      </c>
      <c r="AX95" s="27" t="n">
        <f aca="false">SUMIFS(super1[Qtde],super1[Item],tab_higiene[[#This Row],[Item]],super1[Bairro],mercado14)+SUMIFS(supercb[Qtde],supercb[Item],tab_higiene[[#This Row],[Item]],supercb[Bairro],mercado14)</f>
        <v>0</v>
      </c>
      <c r="AY95" s="27" t="n">
        <f aca="false">SUMIFS(super1[Qtde],super1[Item],tab_higiene[[#This Row],[Item]],super1[Bairro],mercado15)+SUMIFS(supercb[Qtde],supercb[Item],tab_higiene[[#This Row],[Item]],supercb[Bairro],mercado15)</f>
        <v>0</v>
      </c>
      <c r="AZ95" s="27" t="n">
        <f aca="false">SUMIFS(super1[Qtde],super1[Item],tab_higiene[[#This Row],[Item]],super1[Bairro],mercado16)+SUMIFS(supercb[Qtde],supercb[Item],tab_higiene[[#This Row],[Item]],supercb[Bairro],mercado16)</f>
        <v>0</v>
      </c>
      <c r="BA95" s="27" t="n">
        <f aca="false">SUMIFS(super1[Qtde],super1[Item],tab_higiene[[#This Row],[Item]],super1[Bairro],mercado17)+SUMIFS(supercb[Qtde],supercb[Item],tab_higiene[[#This Row],[Item]],supercb[Bairro],mercado17)</f>
        <v>0</v>
      </c>
      <c r="BB95" s="27" t="n">
        <f aca="false">SUMIFS(super1[Qtde],super1[Item],tab_higiene[[#This Row],[Item]],super1[Bairro],mercado18)+SUMIFS(supercb[Qtde],supercb[Item],tab_higiene[[#This Row],[Item]],supercb[Bairro],mercado18)</f>
        <v>0</v>
      </c>
      <c r="BC95" s="27" t="n">
        <f aca="false">SUMIFS(super1[Qtde],super1[Item],tab_higiene[[#This Row],[Item]],super1[Bairro],extras)+SUMIFS(supercb[Qtde],supercb[Item],tab_higiene[[#This Row],[Item]],supercb[Bairro],extras)</f>
        <v>0</v>
      </c>
      <c r="BD95" s="27" t="n">
        <f aca="false">SUM(AK95:BB95)</f>
        <v>0</v>
      </c>
      <c r="BE95" s="27" t="n">
        <f aca="false">IFERROR(BD95*AJ95,0)</f>
        <v>0</v>
      </c>
      <c r="BF95" s="28" t="n">
        <f aca="false">IFERROR(AI95*BD95,0)</f>
        <v>0</v>
      </c>
      <c r="BI95" s="22" t="str">
        <f aca="false">tab_alimentos[[#This Row],[Item]]</f>
        <v>Cuscuz (500g)</v>
      </c>
      <c r="BJ95" s="22" t="n">
        <f aca="false">IFERROR(FIND(" (",BI95),0)</f>
        <v>7</v>
      </c>
      <c r="BK95" s="22" t="str">
        <f aca="false">IF(BJ95=0,BI95,LEFT(BI95,BJ95-1))</f>
        <v>Cuscuz</v>
      </c>
      <c r="BL95" s="22" t="n">
        <f aca="false">tab_alimentos[[#This Row],[kg]]</f>
        <v>0</v>
      </c>
      <c r="BN95" s="22" t="n">
        <f aca="false">SUMIF($BJ$5:$BJ$158,BM95,$BK$5:$BK$158)</f>
        <v>0</v>
      </c>
      <c r="BP95" s="22" t="str">
        <f aca="false">tab_higiene[[#This Row],[Item]]</f>
        <v>Fraldas Infantis (14un)</v>
      </c>
      <c r="BQ95" s="22" t="n">
        <f aca="false">IFERROR(FIND(" (",BP95),0)</f>
        <v>17</v>
      </c>
      <c r="BR95" s="22" t="str">
        <f aca="false">IF(BQ95=0,BP95,LEFT(BP95,BQ95-1))</f>
        <v>Fraldas Infantis</v>
      </c>
      <c r="BS95" s="22" t="n">
        <f aca="false">higiene[[#This Row],[Quantidade]]</f>
        <v>2</v>
      </c>
      <c r="BT95" s="22" t="n">
        <f aca="false">tab_higiene[Qtde (tot)]</f>
        <v>0</v>
      </c>
      <c r="BU95" s="22" t="n">
        <f aca="false">BS95*BT95</f>
        <v>0</v>
      </c>
      <c r="BW95" s="22" t="n">
        <f aca="false">SUMIF($BR$5:$BR$142,BV95,$BU$5:$BU$142)</f>
        <v>0</v>
      </c>
    </row>
    <row r="96" customFormat="false" ht="15" hidden="false" customHeight="false" outlineLevel="0" collapsed="false">
      <c r="I96" s="26" t="str">
        <f aca="false">alimentos[[#This Row],[Item]]</f>
        <v>D</v>
      </c>
      <c r="J96" s="27" t="n">
        <f aca="false">IFERROR(alimentos[[#This Row],[kg/embalagem]],0)</f>
        <v>0</v>
      </c>
      <c r="K96" s="27" t="n">
        <f aca="false">IFERROR(alimentos[[#This Row],[Preço]],0)</f>
        <v>0</v>
      </c>
      <c r="L96" s="27" t="n">
        <f aca="false">SUMIFS(super1[Qtde],super1[Item],tab_alimentos[[#This Row],[Item]],super1[Bairro],mercado1)+SUMIFS(supercb[Qtde],supercb[Item],tab_alimentos[[#This Row],[Item]],supercb[Bairro],mercado1)</f>
        <v>0</v>
      </c>
      <c r="M96" s="27" t="n">
        <f aca="false">SUMIFS(super1[Qtde],super1[Item],tab_alimentos[[#This Row],[Item]],super1[Bairro],mercado2)+SUMIFS(supercb[Qtde],supercb[Item],tab_alimentos[[#This Row],[Item]],supercb[Bairro],mercado2)</f>
        <v>0</v>
      </c>
      <c r="N96" s="27" t="n">
        <f aca="false">SUMIFS(super1[Qtde],super1[Item],tab_alimentos[[#This Row],[Item]],super1[Bairro],mercado3)+SUMIFS(supercb[Qtde],supercb[Item],tab_alimentos[[#This Row],[Item]],supercb[Bairro],mercado3)</f>
        <v>0</v>
      </c>
      <c r="O96" s="27" t="n">
        <f aca="false">SUMIFS(super1[Qtde],super1[Item],tab_alimentos[[#This Row],[Item]],super1[Bairro],mercado4)+SUMIFS(supercb[Qtde],supercb[Item],tab_alimentos[[#This Row],[Item]],supercb[Bairro],mercado4)</f>
        <v>0</v>
      </c>
      <c r="P96" s="27" t="n">
        <f aca="false">SUMIFS(super1[Qtde],super1[Item],tab_alimentos[[#This Row],[Item]],super1[Bairro],mercado5)+SUMIFS(supercb[Qtde],supercb[Item],tab_alimentos[[#This Row],[Item]],supercb[Bairro],mercado5)</f>
        <v>0</v>
      </c>
      <c r="Q96" s="27" t="n">
        <f aca="false">SUMIFS(super1[Qtde],super1[Item],tab_alimentos[[#This Row],[Item]],super1[Bairro],mercado6)+SUMIFS(supercb[Qtde],supercb[Item],tab_alimentos[[#This Row],[Item]],supercb[Bairro],mercado6)</f>
        <v>0</v>
      </c>
      <c r="R96" s="27" t="n">
        <f aca="false">SUMIFS(super1[Qtde],super1[Item],tab_alimentos[[#This Row],[Item]],super1[Bairro],mercado7)+SUMIFS(supercb[Qtde],supercb[Item],tab_alimentos[[#This Row],[Item]],supercb[Bairro],mercado7)</f>
        <v>0</v>
      </c>
      <c r="S96" s="27" t="n">
        <f aca="false">SUMIFS(super1[Qtde],super1[Item],tab_alimentos[[#This Row],[Item]],super1[Bairro],mercado8)+SUMIFS(supercb[Qtde],supercb[Item],tab_alimentos[[#This Row],[Item]],supercb[Bairro],mercado8)</f>
        <v>0</v>
      </c>
      <c r="T96" s="27" t="n">
        <f aca="false">SUMIFS(super1[Qtde],super1[Item],tab_alimentos[[#This Row],[Item]],super1[Bairro],mercado9)+SUMIFS(supercb[Qtde],supercb[Item],tab_alimentos[[#This Row],[Item]],supercb[Bairro],mercado9)</f>
        <v>0</v>
      </c>
      <c r="U96" s="27" t="n">
        <f aca="false">SUMIFS(super1[Qtde],super1[Item],tab_alimentos[[#This Row],[Item]],super1[Bairro],mercado10)+SUMIFS(supercb[Qtde],supercb[Item],tab_alimentos[[#This Row],[Item]],supercb[Bairro],mercado10)</f>
        <v>0</v>
      </c>
      <c r="V96" s="27" t="n">
        <f aca="false">SUMIFS(super1[Qtde],super1[Item],tab_alimentos[[#This Row],[Item]],super1[Bairro],mercado11)+SUMIFS(supercb[Qtde],supercb[Item],tab_alimentos[[#This Row],[Item]],supercb[Bairro],mercado11)</f>
        <v>0</v>
      </c>
      <c r="W96" s="27" t="n">
        <f aca="false">SUMIFS(super1[Qtde],super1[Item],tab_alimentos[[#This Row],[Item]],super1[Bairro],mercado12)+SUMIFS(supercb[Qtde],supercb[Item],tab_alimentos[[#This Row],[Item]],supercb[Bairro],mercado12)</f>
        <v>0</v>
      </c>
      <c r="X96" s="27" t="n">
        <f aca="false">SUMIFS(super1[Qtde],super1[Item],tab_alimentos[[#This Row],[Item]],super1[Bairro],mercado13)+SUMIFS(supercb[Qtde],supercb[Item],tab_alimentos[[#This Row],[Item]],supercb[Bairro],mercado13)</f>
        <v>0</v>
      </c>
      <c r="Y96" s="27" t="n">
        <f aca="false">SUMIFS(super1[Qtde],super1[Item],tab_alimentos[[#This Row],[Item]],super1[Bairro],mercado14)+SUMIFS(supercb[Qtde],supercb[Item],tab_alimentos[[#This Row],[Item]],supercb[Bairro],mercado14)</f>
        <v>0</v>
      </c>
      <c r="Z96" s="27" t="n">
        <f aca="false">SUMIFS(super1[Qtde],super1[Item],tab_alimentos[[#This Row],[Item]],super1[Bairro],mercado15)+SUMIFS(supercb[Qtde],supercb[Item],tab_alimentos[[#This Row],[Item]],supercb[Bairro],mercado15)</f>
        <v>0</v>
      </c>
      <c r="AA96" s="27" t="n">
        <f aca="false">SUMIFS(super1[Qtde],super1[Item],tab_alimentos[[#This Row],[Item]],super1[Bairro],mercado16)+SUMIFS(supercb[Qtde],supercb[Item],tab_alimentos[[#This Row],[Item]],supercb[Bairro],mercado16)</f>
        <v>0</v>
      </c>
      <c r="AB96" s="27" t="n">
        <f aca="false">SUMIFS(super1[Qtde],super1[Item],tab_alimentos[[#This Row],[Item]],super1[Bairro],mercado17)+SUMIFS(supercb[Qtde],supercb[Item],tab_alimentos[[#This Row],[Item]],supercb[Bairro],mercado17)</f>
        <v>0</v>
      </c>
      <c r="AC96" s="27" t="n">
        <f aca="false">SUMIFS(super1[Qtde],super1[Item],tab_alimentos[[#This Row],[Item]],super1[Bairro],mercado18)+SUMIFS(supercb[Qtde],supercb[Item],tab_alimentos[[#This Row],[Item]],supercb[Bairro],mercado18)</f>
        <v>0</v>
      </c>
      <c r="AD96" s="27" t="n">
        <f aca="false">SUMIFS(super1[Qtde],super1[Item],tab_alimentos[[#This Row],[Item]],super1[Bairro],extras)+SUMIFS(supercb[Qtde],supercb[Item],tab_alimentos[[#This Row],[Item]],supercb[Bairro],extras)</f>
        <v>0</v>
      </c>
      <c r="AE96" s="27" t="n">
        <f aca="false">SUM(L96:AC96)</f>
        <v>0</v>
      </c>
      <c r="AF96" s="27" t="n">
        <f aca="false">IFERROR(AE96*K96,0)</f>
        <v>0</v>
      </c>
      <c r="AG96" s="28" t="n">
        <f aca="false">IFERROR(J96*AE96,0)</f>
        <v>0</v>
      </c>
      <c r="AH96" s="26" t="str">
        <f aca="false">higiene[[#This Row],[Item]]</f>
        <v>Fraldas Infantis (16un)</v>
      </c>
      <c r="AI96" s="27" t="n">
        <f aca="false">IFERROR(higiene[[#This Row],[Kg equivalente]],0)</f>
        <v>7.63416432242556</v>
      </c>
      <c r="AJ96" s="27" t="n">
        <f aca="false">IFERROR(higiene[[#This Row],[Preço por produto]],0)</f>
        <v>25.2875</v>
      </c>
      <c r="AK96" s="27" t="n">
        <f aca="false">SUMIFS(super1[Qtde],super1[Item],tab_higiene[[#This Row],[Item]],super1[Bairro],mercado1)+SUMIFS(supercb[Qtde],supercb[Item],tab_higiene[[#This Row],[Item]],supercb[Bairro],mercado1)</f>
        <v>0</v>
      </c>
      <c r="AL96" s="27" t="n">
        <f aca="false">SUMIFS(super1[Qtde],super1[Item],tab_higiene[[#This Row],[Item]],super1[Bairro],mercado2)+SUMIFS(supercb[Qtde],supercb[Item],tab_higiene[[#This Row],[Item]],supercb[Bairro],mercado2)</f>
        <v>0</v>
      </c>
      <c r="AM96" s="27" t="n">
        <f aca="false">SUMIFS(super1[Qtde],super1[Item],tab_higiene[[#This Row],[Item]],super1[Bairro],mercado3)+SUMIFS(supercb[Qtde],supercb[Item],tab_higiene[[#This Row],[Item]],supercb[Bairro],mercado3)</f>
        <v>0</v>
      </c>
      <c r="AN96" s="27" t="n">
        <f aca="false">SUMIFS(super1[Qtde],super1[Item],tab_higiene[[#This Row],[Item]],super1[Bairro],mercado4)+SUMIFS(supercb[Qtde],supercb[Item],tab_higiene[[#This Row],[Item]],supercb[Bairro],mercado4)</f>
        <v>0</v>
      </c>
      <c r="AO96" s="27" t="n">
        <f aca="false">SUMIFS(super1[Qtde],super1[Item],tab_higiene[[#This Row],[Item]],super1[Bairro],mercado5)+SUMIFS(supercb[Qtde],supercb[Item],tab_higiene[[#This Row],[Item]],supercb[Bairro],mercado5)</f>
        <v>0</v>
      </c>
      <c r="AP96" s="27" t="n">
        <f aca="false">SUMIFS(super1[Qtde],super1[Item],tab_higiene[[#This Row],[Item]],super1[Bairro],mercado6)+SUMIFS(supercb[Qtde],supercb[Item],tab_higiene[[#This Row],[Item]],supercb[Bairro],mercado6)</f>
        <v>0</v>
      </c>
      <c r="AQ96" s="27" t="n">
        <f aca="false">SUMIFS(super1[Qtde],super1[Item],tab_higiene[[#This Row],[Item]],super1[Bairro],mercado7)+SUMIFS(supercb[Qtde],supercb[Item],tab_higiene[[#This Row],[Item]],supercb[Bairro],mercado7)</f>
        <v>0</v>
      </c>
      <c r="AR96" s="27" t="n">
        <f aca="false">SUMIFS(super1[Qtde],super1[Item],tab_higiene[[#This Row],[Item]],super1[Bairro],mercado8)+SUMIFS(supercb[Qtde],supercb[Item],tab_higiene[[#This Row],[Item]],supercb[Bairro],mercado8)</f>
        <v>0</v>
      </c>
      <c r="AS96" s="27" t="n">
        <f aca="false">SUMIFS(super1[Qtde],super1[Item],tab_higiene[[#This Row],[Item]],super1[Bairro],mercado9)+SUMIFS(supercb[Qtde],supercb[Item],tab_higiene[[#This Row],[Item]],supercb[Bairro],mercado9)</f>
        <v>0</v>
      </c>
      <c r="AT96" s="27" t="n">
        <f aca="false">SUMIFS(super1[Qtde],super1[Item],tab_higiene[[#This Row],[Item]],super1[Bairro],mercado10)+SUMIFS(supercb[Qtde],supercb[Item],tab_higiene[[#This Row],[Item]],supercb[Bairro],mercado10)</f>
        <v>0</v>
      </c>
      <c r="AU96" s="27" t="n">
        <f aca="false">SUMIFS(super1[Qtde],super1[Item],tab_higiene[[#This Row],[Item]],super1[Bairro],mercado11)+SUMIFS(supercb[Qtde],supercb[Item],tab_higiene[[#This Row],[Item]],supercb[Bairro],mercado11)</f>
        <v>0</v>
      </c>
      <c r="AV96" s="27" t="n">
        <f aca="false">SUMIFS(super1[Qtde],super1[Item],tab_higiene[[#This Row],[Item]],super1[Bairro],mercado12)+SUMIFS(supercb[Qtde],supercb[Item],tab_higiene[[#This Row],[Item]],supercb[Bairro],mercado12)</f>
        <v>0</v>
      </c>
      <c r="AW96" s="27" t="n">
        <f aca="false">SUMIFS(super1[Qtde],super1[Item],tab_higiene[[#This Row],[Item]],super1[Bairro],mercado13)+SUMIFS(supercb[Qtde],supercb[Item],tab_higiene[[#This Row],[Item]],supercb[Bairro],mercado13)</f>
        <v>0</v>
      </c>
      <c r="AX96" s="27" t="n">
        <f aca="false">SUMIFS(super1[Qtde],super1[Item],tab_higiene[[#This Row],[Item]],super1[Bairro],mercado14)+SUMIFS(supercb[Qtde],supercb[Item],tab_higiene[[#This Row],[Item]],supercb[Bairro],mercado14)</f>
        <v>0</v>
      </c>
      <c r="AY96" s="27" t="n">
        <f aca="false">SUMIFS(super1[Qtde],super1[Item],tab_higiene[[#This Row],[Item]],super1[Bairro],mercado15)+SUMIFS(supercb[Qtde],supercb[Item],tab_higiene[[#This Row],[Item]],supercb[Bairro],mercado15)</f>
        <v>0</v>
      </c>
      <c r="AZ96" s="27" t="n">
        <f aca="false">SUMIFS(super1[Qtde],super1[Item],tab_higiene[[#This Row],[Item]],super1[Bairro],mercado16)+SUMIFS(supercb[Qtde],supercb[Item],tab_higiene[[#This Row],[Item]],supercb[Bairro],mercado16)</f>
        <v>0</v>
      </c>
      <c r="BA96" s="27" t="n">
        <f aca="false">SUMIFS(super1[Qtde],super1[Item],tab_higiene[[#This Row],[Item]],super1[Bairro],mercado17)+SUMIFS(supercb[Qtde],supercb[Item],tab_higiene[[#This Row],[Item]],supercb[Bairro],mercado17)</f>
        <v>0</v>
      </c>
      <c r="BB96" s="27" t="n">
        <f aca="false">SUMIFS(super1[Qtde],super1[Item],tab_higiene[[#This Row],[Item]],super1[Bairro],mercado18)+SUMIFS(supercb[Qtde],supercb[Item],tab_higiene[[#This Row],[Item]],supercb[Bairro],mercado18)</f>
        <v>0</v>
      </c>
      <c r="BC96" s="27" t="n">
        <f aca="false">SUMIFS(super1[Qtde],super1[Item],tab_higiene[[#This Row],[Item]],super1[Bairro],extras)+SUMIFS(supercb[Qtde],supercb[Item],tab_higiene[[#This Row],[Item]],supercb[Bairro],extras)</f>
        <v>0</v>
      </c>
      <c r="BD96" s="27" t="n">
        <f aca="false">SUM(AK96:BB96)</f>
        <v>0</v>
      </c>
      <c r="BE96" s="27" t="n">
        <f aca="false">IFERROR(BD96*AJ96,0)</f>
        <v>0</v>
      </c>
      <c r="BF96" s="28" t="n">
        <f aca="false">IFERROR(AI96*BD96,0)</f>
        <v>0</v>
      </c>
      <c r="BI96" s="22" t="str">
        <f aca="false">tab_alimentos[[#This Row],[Item]]</f>
        <v>D</v>
      </c>
      <c r="BJ96" s="22" t="n">
        <f aca="false">IFERROR(FIND(" (",BI96),0)</f>
        <v>0</v>
      </c>
      <c r="BK96" s="22" t="str">
        <f aca="false">IF(BJ96=0,BI96,LEFT(BI96,BJ96-1))</f>
        <v>D</v>
      </c>
      <c r="BL96" s="22" t="n">
        <f aca="false">tab_alimentos[[#This Row],[kg]]</f>
        <v>0</v>
      </c>
      <c r="BN96" s="22" t="n">
        <f aca="false">SUMIF($BJ$5:$BJ$158,BM96,$BK$5:$BK$158)</f>
        <v>0</v>
      </c>
      <c r="BP96" s="22" t="str">
        <f aca="false">tab_higiene[[#This Row],[Item]]</f>
        <v>Fraldas Infantis (16un)</v>
      </c>
      <c r="BQ96" s="22" t="n">
        <f aca="false">IFERROR(FIND(" (",BP96),0)</f>
        <v>17</v>
      </c>
      <c r="BR96" s="22" t="str">
        <f aca="false">IF(BQ96=0,BP96,LEFT(BP96,BQ96-1))</f>
        <v>Fraldas Infantis</v>
      </c>
      <c r="BS96" s="22" t="n">
        <f aca="false">higiene[[#This Row],[Quantidade]]</f>
        <v>4</v>
      </c>
      <c r="BT96" s="22" t="n">
        <f aca="false">tab_higiene[Qtde (tot)]</f>
        <v>0</v>
      </c>
      <c r="BU96" s="22" t="n">
        <f aca="false">BS96*BT96</f>
        <v>0</v>
      </c>
      <c r="BW96" s="22" t="n">
        <f aca="false">SUMIF($BR$5:$BR$142,BV96,$BU$5:$BU$142)</f>
        <v>0</v>
      </c>
    </row>
    <row r="97" customFormat="false" ht="15" hidden="false" customHeight="false" outlineLevel="0" collapsed="false">
      <c r="I97" s="26" t="str">
        <f aca="false">alimentos[[#This Row],[Item]]</f>
        <v>Doce de Abóbora (220g)</v>
      </c>
      <c r="J97" s="27" t="n">
        <f aca="false">IFERROR(alimentos[[#This Row],[kg/embalagem]],0)</f>
        <v>0.22</v>
      </c>
      <c r="K97" s="27" t="n">
        <f aca="false">IFERROR(alimentos[[#This Row],[Preço]],0)</f>
        <v>8.56</v>
      </c>
      <c r="L97" s="27" t="n">
        <f aca="false">SUMIFS(super1[Qtde],super1[Item],tab_alimentos[[#This Row],[Item]],super1[Bairro],mercado1)+SUMIFS(supercb[Qtde],supercb[Item],tab_alimentos[[#This Row],[Item]],supercb[Bairro],mercado1)</f>
        <v>0</v>
      </c>
      <c r="M97" s="27" t="n">
        <f aca="false">SUMIFS(super1[Qtde],super1[Item],tab_alimentos[[#This Row],[Item]],super1[Bairro],mercado2)+SUMIFS(supercb[Qtde],supercb[Item],tab_alimentos[[#This Row],[Item]],supercb[Bairro],mercado2)</f>
        <v>0</v>
      </c>
      <c r="N97" s="27" t="n">
        <f aca="false">SUMIFS(super1[Qtde],super1[Item],tab_alimentos[[#This Row],[Item]],super1[Bairro],mercado3)+SUMIFS(supercb[Qtde],supercb[Item],tab_alimentos[[#This Row],[Item]],supercb[Bairro],mercado3)</f>
        <v>0</v>
      </c>
      <c r="O97" s="27" t="n">
        <f aca="false">SUMIFS(super1[Qtde],super1[Item],tab_alimentos[[#This Row],[Item]],super1[Bairro],mercado4)+SUMIFS(supercb[Qtde],supercb[Item],tab_alimentos[[#This Row],[Item]],supercb[Bairro],mercado4)</f>
        <v>0</v>
      </c>
      <c r="P97" s="27" t="n">
        <f aca="false">SUMIFS(super1[Qtde],super1[Item],tab_alimentos[[#This Row],[Item]],super1[Bairro],mercado5)+SUMIFS(supercb[Qtde],supercb[Item],tab_alimentos[[#This Row],[Item]],supercb[Bairro],mercado5)</f>
        <v>0</v>
      </c>
      <c r="Q97" s="27" t="n">
        <f aca="false">SUMIFS(super1[Qtde],super1[Item],tab_alimentos[[#This Row],[Item]],super1[Bairro],mercado6)+SUMIFS(supercb[Qtde],supercb[Item],tab_alimentos[[#This Row],[Item]],supercb[Bairro],mercado6)</f>
        <v>0</v>
      </c>
      <c r="R97" s="27" t="n">
        <f aca="false">SUMIFS(super1[Qtde],super1[Item],tab_alimentos[[#This Row],[Item]],super1[Bairro],mercado7)+SUMIFS(supercb[Qtde],supercb[Item],tab_alimentos[[#This Row],[Item]],supercb[Bairro],mercado7)</f>
        <v>0</v>
      </c>
      <c r="S97" s="27" t="n">
        <f aca="false">SUMIFS(super1[Qtde],super1[Item],tab_alimentos[[#This Row],[Item]],super1[Bairro],mercado8)+SUMIFS(supercb[Qtde],supercb[Item],tab_alimentos[[#This Row],[Item]],supercb[Bairro],mercado8)</f>
        <v>0</v>
      </c>
      <c r="T97" s="27" t="n">
        <f aca="false">SUMIFS(super1[Qtde],super1[Item],tab_alimentos[[#This Row],[Item]],super1[Bairro],mercado9)+SUMIFS(supercb[Qtde],supercb[Item],tab_alimentos[[#This Row],[Item]],supercb[Bairro],mercado9)</f>
        <v>0</v>
      </c>
      <c r="U97" s="27" t="n">
        <f aca="false">SUMIFS(super1[Qtde],super1[Item],tab_alimentos[[#This Row],[Item]],super1[Bairro],mercado10)+SUMIFS(supercb[Qtde],supercb[Item],tab_alimentos[[#This Row],[Item]],supercb[Bairro],mercado10)</f>
        <v>0</v>
      </c>
      <c r="V97" s="27" t="n">
        <f aca="false">SUMIFS(super1[Qtde],super1[Item],tab_alimentos[[#This Row],[Item]],super1[Bairro],mercado11)+SUMIFS(supercb[Qtde],supercb[Item],tab_alimentos[[#This Row],[Item]],supercb[Bairro],mercado11)</f>
        <v>0</v>
      </c>
      <c r="W97" s="27" t="n">
        <f aca="false">SUMIFS(super1[Qtde],super1[Item],tab_alimentos[[#This Row],[Item]],super1[Bairro],mercado12)+SUMIFS(supercb[Qtde],supercb[Item],tab_alimentos[[#This Row],[Item]],supercb[Bairro],mercado12)</f>
        <v>0</v>
      </c>
      <c r="X97" s="27" t="n">
        <f aca="false">SUMIFS(super1[Qtde],super1[Item],tab_alimentos[[#This Row],[Item]],super1[Bairro],mercado13)+SUMIFS(supercb[Qtde],supercb[Item],tab_alimentos[[#This Row],[Item]],supercb[Bairro],mercado13)</f>
        <v>0</v>
      </c>
      <c r="Y97" s="27" t="n">
        <f aca="false">SUMIFS(super1[Qtde],super1[Item],tab_alimentos[[#This Row],[Item]],super1[Bairro],mercado14)+SUMIFS(supercb[Qtde],supercb[Item],tab_alimentos[[#This Row],[Item]],supercb[Bairro],mercado14)</f>
        <v>0</v>
      </c>
      <c r="Z97" s="27" t="n">
        <f aca="false">SUMIFS(super1[Qtde],super1[Item],tab_alimentos[[#This Row],[Item]],super1[Bairro],mercado15)+SUMIFS(supercb[Qtde],supercb[Item],tab_alimentos[[#This Row],[Item]],supercb[Bairro],mercado15)</f>
        <v>0</v>
      </c>
      <c r="AA97" s="27" t="n">
        <f aca="false">SUMIFS(super1[Qtde],super1[Item],tab_alimentos[[#This Row],[Item]],super1[Bairro],mercado16)+SUMIFS(supercb[Qtde],supercb[Item],tab_alimentos[[#This Row],[Item]],supercb[Bairro],mercado16)</f>
        <v>0</v>
      </c>
      <c r="AB97" s="27" t="n">
        <f aca="false">SUMIFS(super1[Qtde],super1[Item],tab_alimentos[[#This Row],[Item]],super1[Bairro],mercado17)+SUMIFS(supercb[Qtde],supercb[Item],tab_alimentos[[#This Row],[Item]],supercb[Bairro],mercado17)</f>
        <v>0</v>
      </c>
      <c r="AC97" s="27" t="n">
        <f aca="false">SUMIFS(super1[Qtde],super1[Item],tab_alimentos[[#This Row],[Item]],super1[Bairro],mercado18)+SUMIFS(supercb[Qtde],supercb[Item],tab_alimentos[[#This Row],[Item]],supercb[Bairro],mercado18)</f>
        <v>0</v>
      </c>
      <c r="AD97" s="27" t="n">
        <f aca="false">SUMIFS(super1[Qtde],super1[Item],tab_alimentos[[#This Row],[Item]],super1[Bairro],extras)+SUMIFS(supercb[Qtde],supercb[Item],tab_alimentos[[#This Row],[Item]],supercb[Bairro],extras)</f>
        <v>0</v>
      </c>
      <c r="AE97" s="27" t="n">
        <f aca="false">SUM(L97:AC97)</f>
        <v>0</v>
      </c>
      <c r="AF97" s="27" t="n">
        <f aca="false">IFERROR(AE97*K97,0)</f>
        <v>0</v>
      </c>
      <c r="AG97" s="28" t="n">
        <f aca="false">IFERROR(J97*AE97,0)</f>
        <v>0</v>
      </c>
      <c r="AH97" s="26" t="str">
        <f aca="false">higiene[[#This Row],[Item]]</f>
        <v>Fraldas Infantis (18 un)</v>
      </c>
      <c r="AI97" s="27" t="n">
        <f aca="false">IFERROR(higiene[[#This Row],[Kg equivalente]],0)</f>
        <v>5.81222930766181</v>
      </c>
      <c r="AJ97" s="27" t="n">
        <f aca="false">IFERROR(higiene[[#This Row],[Preço por produto]],0)</f>
        <v>19.2525</v>
      </c>
      <c r="AK97" s="27" t="n">
        <f aca="false">SUMIFS(super1[Qtde],super1[Item],tab_higiene[[#This Row],[Item]],super1[Bairro],mercado1)+SUMIFS(supercb[Qtde],supercb[Item],tab_higiene[[#This Row],[Item]],supercb[Bairro],mercado1)</f>
        <v>0</v>
      </c>
      <c r="AL97" s="27" t="n">
        <f aca="false">SUMIFS(super1[Qtde],super1[Item],tab_higiene[[#This Row],[Item]],super1[Bairro],mercado2)+SUMIFS(supercb[Qtde],supercb[Item],tab_higiene[[#This Row],[Item]],supercb[Bairro],mercado2)</f>
        <v>0</v>
      </c>
      <c r="AM97" s="27" t="n">
        <f aca="false">SUMIFS(super1[Qtde],super1[Item],tab_higiene[[#This Row],[Item]],super1[Bairro],mercado3)+SUMIFS(supercb[Qtde],supercb[Item],tab_higiene[[#This Row],[Item]],supercb[Bairro],mercado3)</f>
        <v>0</v>
      </c>
      <c r="AN97" s="27" t="n">
        <f aca="false">SUMIFS(super1[Qtde],super1[Item],tab_higiene[[#This Row],[Item]],super1[Bairro],mercado4)+SUMIFS(supercb[Qtde],supercb[Item],tab_higiene[[#This Row],[Item]],supercb[Bairro],mercado4)</f>
        <v>0</v>
      </c>
      <c r="AO97" s="27" t="n">
        <f aca="false">SUMIFS(super1[Qtde],super1[Item],tab_higiene[[#This Row],[Item]],super1[Bairro],mercado5)+SUMIFS(supercb[Qtde],supercb[Item],tab_higiene[[#This Row],[Item]],supercb[Bairro],mercado5)</f>
        <v>0</v>
      </c>
      <c r="AP97" s="27" t="n">
        <f aca="false">SUMIFS(super1[Qtde],super1[Item],tab_higiene[[#This Row],[Item]],super1[Bairro],mercado6)+SUMIFS(supercb[Qtde],supercb[Item],tab_higiene[[#This Row],[Item]],supercb[Bairro],mercado6)</f>
        <v>0</v>
      </c>
      <c r="AQ97" s="27" t="n">
        <f aca="false">SUMIFS(super1[Qtde],super1[Item],tab_higiene[[#This Row],[Item]],super1[Bairro],mercado7)+SUMIFS(supercb[Qtde],supercb[Item],tab_higiene[[#This Row],[Item]],supercb[Bairro],mercado7)</f>
        <v>0</v>
      </c>
      <c r="AR97" s="27" t="n">
        <f aca="false">SUMIFS(super1[Qtde],super1[Item],tab_higiene[[#This Row],[Item]],super1[Bairro],mercado8)+SUMIFS(supercb[Qtde],supercb[Item],tab_higiene[[#This Row],[Item]],supercb[Bairro],mercado8)</f>
        <v>0</v>
      </c>
      <c r="AS97" s="27" t="n">
        <f aca="false">SUMIFS(super1[Qtde],super1[Item],tab_higiene[[#This Row],[Item]],super1[Bairro],mercado9)+SUMIFS(supercb[Qtde],supercb[Item],tab_higiene[[#This Row],[Item]],supercb[Bairro],mercado9)</f>
        <v>0</v>
      </c>
      <c r="AT97" s="27" t="n">
        <f aca="false">SUMIFS(super1[Qtde],super1[Item],tab_higiene[[#This Row],[Item]],super1[Bairro],mercado10)+SUMIFS(supercb[Qtde],supercb[Item],tab_higiene[[#This Row],[Item]],supercb[Bairro],mercado10)</f>
        <v>0</v>
      </c>
      <c r="AU97" s="27" t="n">
        <f aca="false">SUMIFS(super1[Qtde],super1[Item],tab_higiene[[#This Row],[Item]],super1[Bairro],mercado11)+SUMIFS(supercb[Qtde],supercb[Item],tab_higiene[[#This Row],[Item]],supercb[Bairro],mercado11)</f>
        <v>0</v>
      </c>
      <c r="AV97" s="27" t="n">
        <f aca="false">SUMIFS(super1[Qtde],super1[Item],tab_higiene[[#This Row],[Item]],super1[Bairro],mercado12)+SUMIFS(supercb[Qtde],supercb[Item],tab_higiene[[#This Row],[Item]],supercb[Bairro],mercado12)</f>
        <v>0</v>
      </c>
      <c r="AW97" s="27" t="n">
        <f aca="false">SUMIFS(super1[Qtde],super1[Item],tab_higiene[[#This Row],[Item]],super1[Bairro],mercado13)+SUMIFS(supercb[Qtde],supercb[Item],tab_higiene[[#This Row],[Item]],supercb[Bairro],mercado13)</f>
        <v>0</v>
      </c>
      <c r="AX97" s="27" t="n">
        <f aca="false">SUMIFS(super1[Qtde],super1[Item],tab_higiene[[#This Row],[Item]],super1[Bairro],mercado14)+SUMIFS(supercb[Qtde],supercb[Item],tab_higiene[[#This Row],[Item]],supercb[Bairro],mercado14)</f>
        <v>0</v>
      </c>
      <c r="AY97" s="27" t="n">
        <f aca="false">SUMIFS(super1[Qtde],super1[Item],tab_higiene[[#This Row],[Item]],super1[Bairro],mercado15)+SUMIFS(supercb[Qtde],supercb[Item],tab_higiene[[#This Row],[Item]],supercb[Bairro],mercado15)</f>
        <v>0</v>
      </c>
      <c r="AZ97" s="27" t="n">
        <f aca="false">SUMIFS(super1[Qtde],super1[Item],tab_higiene[[#This Row],[Item]],super1[Bairro],mercado16)+SUMIFS(supercb[Qtde],supercb[Item],tab_higiene[[#This Row],[Item]],supercb[Bairro],mercado16)</f>
        <v>0</v>
      </c>
      <c r="BA97" s="27" t="n">
        <f aca="false">SUMIFS(super1[Qtde],super1[Item],tab_higiene[[#This Row],[Item]],super1[Bairro],mercado17)+SUMIFS(supercb[Qtde],supercb[Item],tab_higiene[[#This Row],[Item]],supercb[Bairro],mercado17)</f>
        <v>0</v>
      </c>
      <c r="BB97" s="27" t="n">
        <f aca="false">SUMIFS(super1[Qtde],super1[Item],tab_higiene[[#This Row],[Item]],super1[Bairro],mercado18)+SUMIFS(supercb[Qtde],supercb[Item],tab_higiene[[#This Row],[Item]],supercb[Bairro],mercado18)</f>
        <v>0</v>
      </c>
      <c r="BC97" s="27" t="n">
        <f aca="false">SUMIFS(super1[Qtde],super1[Item],tab_higiene[[#This Row],[Item]],super1[Bairro],extras)+SUMIFS(supercb[Qtde],supercb[Item],tab_higiene[[#This Row],[Item]],supercb[Bairro],extras)</f>
        <v>0</v>
      </c>
      <c r="BD97" s="27" t="n">
        <f aca="false">SUM(AK97:BB97)</f>
        <v>0</v>
      </c>
      <c r="BE97" s="27" t="n">
        <f aca="false">IFERROR(BD97*AJ97,0)</f>
        <v>0</v>
      </c>
      <c r="BF97" s="28" t="n">
        <f aca="false">IFERROR(AI97*BD97,0)</f>
        <v>0</v>
      </c>
      <c r="BI97" s="22" t="str">
        <f aca="false">tab_alimentos[[#This Row],[Item]]</f>
        <v>Doce de Abóbora (220g)</v>
      </c>
      <c r="BJ97" s="22" t="n">
        <f aca="false">IFERROR(FIND(" (",BI97),0)</f>
        <v>16</v>
      </c>
      <c r="BK97" s="22" t="str">
        <f aca="false">IF(BJ97=0,BI97,LEFT(BI97,BJ97-1))</f>
        <v>Doce de Abóbora</v>
      </c>
      <c r="BL97" s="22" t="n">
        <f aca="false">tab_alimentos[[#This Row],[kg]]</f>
        <v>0</v>
      </c>
      <c r="BN97" s="22" t="n">
        <f aca="false">SUMIF($BJ$5:$BJ$158,BM97,$BK$5:$BK$158)</f>
        <v>0</v>
      </c>
      <c r="BP97" s="22" t="str">
        <f aca="false">tab_higiene[[#This Row],[Item]]</f>
        <v>Fraldas Infantis (18 un)</v>
      </c>
      <c r="BQ97" s="22" t="n">
        <f aca="false">IFERROR(FIND(" (",BP97),0)</f>
        <v>17</v>
      </c>
      <c r="BR97" s="22" t="str">
        <f aca="false">IF(BQ97=0,BP97,LEFT(BP97,BQ97-1))</f>
        <v>Fraldas Infantis</v>
      </c>
      <c r="BS97" s="22" t="n">
        <f aca="false">higiene[[#This Row],[Quantidade]]</f>
        <v>5</v>
      </c>
      <c r="BT97" s="22" t="n">
        <f aca="false">tab_higiene[Qtde (tot)]</f>
        <v>0</v>
      </c>
      <c r="BU97" s="22" t="n">
        <f aca="false">BS97*BT97</f>
        <v>0</v>
      </c>
      <c r="BW97" s="22" t="n">
        <f aca="false">SUMIF($BR$5:$BR$142,BV97,$BU$5:$BU$142)</f>
        <v>0</v>
      </c>
    </row>
    <row r="98" customFormat="false" ht="15" hidden="false" customHeight="false" outlineLevel="0" collapsed="false">
      <c r="I98" s="26" t="str">
        <f aca="false">alimentos[[#This Row],[Item]]</f>
        <v>Doces (bala - 150g)</v>
      </c>
      <c r="J98" s="27" t="n">
        <f aca="false">IFERROR(alimentos[[#This Row],[kg/embalagem]],0)</f>
        <v>0.15</v>
      </c>
      <c r="K98" s="27" t="n">
        <f aca="false">IFERROR(alimentos[[#This Row],[Preço]],0)</f>
        <v>3.666</v>
      </c>
      <c r="L98" s="27" t="n">
        <f aca="false">SUMIFS(super1[Qtde],super1[Item],tab_alimentos[[#This Row],[Item]],super1[Bairro],mercado1)+SUMIFS(supercb[Qtde],supercb[Item],tab_alimentos[[#This Row],[Item]],supercb[Bairro],mercado1)</f>
        <v>0</v>
      </c>
      <c r="M98" s="27" t="n">
        <f aca="false">SUMIFS(super1[Qtde],super1[Item],tab_alimentos[[#This Row],[Item]],super1[Bairro],mercado2)+SUMIFS(supercb[Qtde],supercb[Item],tab_alimentos[[#This Row],[Item]],supercb[Bairro],mercado2)</f>
        <v>0</v>
      </c>
      <c r="N98" s="27" t="n">
        <f aca="false">SUMIFS(super1[Qtde],super1[Item],tab_alimentos[[#This Row],[Item]],super1[Bairro],mercado3)+SUMIFS(supercb[Qtde],supercb[Item],tab_alimentos[[#This Row],[Item]],supercb[Bairro],mercado3)</f>
        <v>0</v>
      </c>
      <c r="O98" s="27" t="n">
        <f aca="false">SUMIFS(super1[Qtde],super1[Item],tab_alimentos[[#This Row],[Item]],super1[Bairro],mercado4)+SUMIFS(supercb[Qtde],supercb[Item],tab_alimentos[[#This Row],[Item]],supercb[Bairro],mercado4)</f>
        <v>0</v>
      </c>
      <c r="P98" s="27" t="n">
        <f aca="false">SUMIFS(super1[Qtde],super1[Item],tab_alimentos[[#This Row],[Item]],super1[Bairro],mercado5)+SUMIFS(supercb[Qtde],supercb[Item],tab_alimentos[[#This Row],[Item]],supercb[Bairro],mercado5)</f>
        <v>0</v>
      </c>
      <c r="Q98" s="27" t="n">
        <f aca="false">SUMIFS(super1[Qtde],super1[Item],tab_alimentos[[#This Row],[Item]],super1[Bairro],mercado6)+SUMIFS(supercb[Qtde],supercb[Item],tab_alimentos[[#This Row],[Item]],supercb[Bairro],mercado6)</f>
        <v>0</v>
      </c>
      <c r="R98" s="27" t="n">
        <f aca="false">SUMIFS(super1[Qtde],super1[Item],tab_alimentos[[#This Row],[Item]],super1[Bairro],mercado7)+SUMIFS(supercb[Qtde],supercb[Item],tab_alimentos[[#This Row],[Item]],supercb[Bairro],mercado7)</f>
        <v>0</v>
      </c>
      <c r="S98" s="27" t="n">
        <f aca="false">SUMIFS(super1[Qtde],super1[Item],tab_alimentos[[#This Row],[Item]],super1[Bairro],mercado8)+SUMIFS(supercb[Qtde],supercb[Item],tab_alimentos[[#This Row],[Item]],supercb[Bairro],mercado8)</f>
        <v>0</v>
      </c>
      <c r="T98" s="27" t="n">
        <f aca="false">SUMIFS(super1[Qtde],super1[Item],tab_alimentos[[#This Row],[Item]],super1[Bairro],mercado9)+SUMIFS(supercb[Qtde],supercb[Item],tab_alimentos[[#This Row],[Item]],supercb[Bairro],mercado9)</f>
        <v>0</v>
      </c>
      <c r="U98" s="27" t="n">
        <f aca="false">SUMIFS(super1[Qtde],super1[Item],tab_alimentos[[#This Row],[Item]],super1[Bairro],mercado10)+SUMIFS(supercb[Qtde],supercb[Item],tab_alimentos[[#This Row],[Item]],supercb[Bairro],mercado10)</f>
        <v>0</v>
      </c>
      <c r="V98" s="27" t="n">
        <f aca="false">SUMIFS(super1[Qtde],super1[Item],tab_alimentos[[#This Row],[Item]],super1[Bairro],mercado11)+SUMIFS(supercb[Qtde],supercb[Item],tab_alimentos[[#This Row],[Item]],supercb[Bairro],mercado11)</f>
        <v>0</v>
      </c>
      <c r="W98" s="27" t="n">
        <f aca="false">SUMIFS(super1[Qtde],super1[Item],tab_alimentos[[#This Row],[Item]],super1[Bairro],mercado12)+SUMIFS(supercb[Qtde],supercb[Item],tab_alimentos[[#This Row],[Item]],supercb[Bairro],mercado12)</f>
        <v>0</v>
      </c>
      <c r="X98" s="27" t="n">
        <f aca="false">SUMIFS(super1[Qtde],super1[Item],tab_alimentos[[#This Row],[Item]],super1[Bairro],mercado13)+SUMIFS(supercb[Qtde],supercb[Item],tab_alimentos[[#This Row],[Item]],supercb[Bairro],mercado13)</f>
        <v>0</v>
      </c>
      <c r="Y98" s="27" t="n">
        <f aca="false">SUMIFS(super1[Qtde],super1[Item],tab_alimentos[[#This Row],[Item]],super1[Bairro],mercado14)+SUMIFS(supercb[Qtde],supercb[Item],tab_alimentos[[#This Row],[Item]],supercb[Bairro],mercado14)</f>
        <v>0</v>
      </c>
      <c r="Z98" s="27" t="n">
        <f aca="false">SUMIFS(super1[Qtde],super1[Item],tab_alimentos[[#This Row],[Item]],super1[Bairro],mercado15)+SUMIFS(supercb[Qtde],supercb[Item],tab_alimentos[[#This Row],[Item]],supercb[Bairro],mercado15)</f>
        <v>0</v>
      </c>
      <c r="AA98" s="27" t="n">
        <f aca="false">SUMIFS(super1[Qtde],super1[Item],tab_alimentos[[#This Row],[Item]],super1[Bairro],mercado16)+SUMIFS(supercb[Qtde],supercb[Item],tab_alimentos[[#This Row],[Item]],supercb[Bairro],mercado16)</f>
        <v>0</v>
      </c>
      <c r="AB98" s="27" t="n">
        <f aca="false">SUMIFS(super1[Qtde],super1[Item],tab_alimentos[[#This Row],[Item]],super1[Bairro],mercado17)+SUMIFS(supercb[Qtde],supercb[Item],tab_alimentos[[#This Row],[Item]],supercb[Bairro],mercado17)</f>
        <v>0</v>
      </c>
      <c r="AC98" s="27" t="n">
        <f aca="false">SUMIFS(super1[Qtde],super1[Item],tab_alimentos[[#This Row],[Item]],super1[Bairro],mercado18)+SUMIFS(supercb[Qtde],supercb[Item],tab_alimentos[[#This Row],[Item]],supercb[Bairro],mercado18)</f>
        <v>0</v>
      </c>
      <c r="AD98" s="27" t="n">
        <f aca="false">SUMIFS(super1[Qtde],super1[Item],tab_alimentos[[#This Row],[Item]],super1[Bairro],extras)+SUMIFS(supercb[Qtde],supercb[Item],tab_alimentos[[#This Row],[Item]],supercb[Bairro],extras)</f>
        <v>0</v>
      </c>
      <c r="AE98" s="27" t="n">
        <f aca="false">SUM(L98:AC98)</f>
        <v>0</v>
      </c>
      <c r="AF98" s="27" t="n">
        <f aca="false">IFERROR(AE98*K98,0)</f>
        <v>0</v>
      </c>
      <c r="AG98" s="28" t="n">
        <f aca="false">IFERROR(J98*AE98,0)</f>
        <v>0</v>
      </c>
      <c r="AH98" s="26" t="str">
        <f aca="false">higiene[[#This Row],[Item]]</f>
        <v>Fraldas Infantis (20un)</v>
      </c>
      <c r="AI98" s="27" t="n">
        <f aca="false">IFERROR(higiene[[#This Row],[Kg equivalente]],0)</f>
        <v>4.49596805424509</v>
      </c>
      <c r="AJ98" s="27" t="n">
        <f aca="false">IFERROR(higiene[[#This Row],[Preço por produto]],0)</f>
        <v>14.8925</v>
      </c>
      <c r="AK98" s="27" t="n">
        <f aca="false">SUMIFS(super1[Qtde],super1[Item],tab_higiene[[#This Row],[Item]],super1[Bairro],mercado1)+SUMIFS(supercb[Qtde],supercb[Item],tab_higiene[[#This Row],[Item]],supercb[Bairro],mercado1)</f>
        <v>0</v>
      </c>
      <c r="AL98" s="27" t="n">
        <f aca="false">SUMIFS(super1[Qtde],super1[Item],tab_higiene[[#This Row],[Item]],super1[Bairro],mercado2)+SUMIFS(supercb[Qtde],supercb[Item],tab_higiene[[#This Row],[Item]],supercb[Bairro],mercado2)</f>
        <v>0</v>
      </c>
      <c r="AM98" s="27" t="n">
        <f aca="false">SUMIFS(super1[Qtde],super1[Item],tab_higiene[[#This Row],[Item]],super1[Bairro],mercado3)+SUMIFS(supercb[Qtde],supercb[Item],tab_higiene[[#This Row],[Item]],supercb[Bairro],mercado3)</f>
        <v>1</v>
      </c>
      <c r="AN98" s="27" t="n">
        <f aca="false">SUMIFS(super1[Qtde],super1[Item],tab_higiene[[#This Row],[Item]],super1[Bairro],mercado4)+SUMIFS(supercb[Qtde],supercb[Item],tab_higiene[[#This Row],[Item]],supercb[Bairro],mercado4)</f>
        <v>0</v>
      </c>
      <c r="AO98" s="27" t="n">
        <f aca="false">SUMIFS(super1[Qtde],super1[Item],tab_higiene[[#This Row],[Item]],super1[Bairro],mercado5)+SUMIFS(supercb[Qtde],supercb[Item],tab_higiene[[#This Row],[Item]],supercb[Bairro],mercado5)</f>
        <v>0</v>
      </c>
      <c r="AP98" s="27" t="n">
        <f aca="false">SUMIFS(super1[Qtde],super1[Item],tab_higiene[[#This Row],[Item]],super1[Bairro],mercado6)+SUMIFS(supercb[Qtde],supercb[Item],tab_higiene[[#This Row],[Item]],supercb[Bairro],mercado6)</f>
        <v>1</v>
      </c>
      <c r="AQ98" s="27" t="n">
        <f aca="false">SUMIFS(super1[Qtde],super1[Item],tab_higiene[[#This Row],[Item]],super1[Bairro],mercado7)+SUMIFS(supercb[Qtde],supercb[Item],tab_higiene[[#This Row],[Item]],supercb[Bairro],mercado7)</f>
        <v>0</v>
      </c>
      <c r="AR98" s="27" t="n">
        <f aca="false">SUMIFS(super1[Qtde],super1[Item],tab_higiene[[#This Row],[Item]],super1[Bairro],mercado8)+SUMIFS(supercb[Qtde],supercb[Item],tab_higiene[[#This Row],[Item]],supercb[Bairro],mercado8)</f>
        <v>0</v>
      </c>
      <c r="AS98" s="27" t="n">
        <f aca="false">SUMIFS(super1[Qtde],super1[Item],tab_higiene[[#This Row],[Item]],super1[Bairro],mercado9)+SUMIFS(supercb[Qtde],supercb[Item],tab_higiene[[#This Row],[Item]],supercb[Bairro],mercado9)</f>
        <v>1</v>
      </c>
      <c r="AT98" s="27" t="n">
        <f aca="false">SUMIFS(super1[Qtde],super1[Item],tab_higiene[[#This Row],[Item]],super1[Bairro],mercado10)+SUMIFS(supercb[Qtde],supercb[Item],tab_higiene[[#This Row],[Item]],supercb[Bairro],mercado10)</f>
        <v>5</v>
      </c>
      <c r="AU98" s="27" t="n">
        <f aca="false">SUMIFS(super1[Qtde],super1[Item],tab_higiene[[#This Row],[Item]],super1[Bairro],mercado11)+SUMIFS(supercb[Qtde],supercb[Item],tab_higiene[[#This Row],[Item]],supercb[Bairro],mercado11)</f>
        <v>0</v>
      </c>
      <c r="AV98" s="27" t="n">
        <f aca="false">SUMIFS(super1[Qtde],super1[Item],tab_higiene[[#This Row],[Item]],super1[Bairro],mercado12)+SUMIFS(supercb[Qtde],supercb[Item],tab_higiene[[#This Row],[Item]],supercb[Bairro],mercado12)</f>
        <v>0</v>
      </c>
      <c r="AW98" s="27" t="n">
        <f aca="false">SUMIFS(super1[Qtde],super1[Item],tab_higiene[[#This Row],[Item]],super1[Bairro],mercado13)+SUMIFS(supercb[Qtde],supercb[Item],tab_higiene[[#This Row],[Item]],supercb[Bairro],mercado13)</f>
        <v>0</v>
      </c>
      <c r="AX98" s="27" t="n">
        <f aca="false">SUMIFS(super1[Qtde],super1[Item],tab_higiene[[#This Row],[Item]],super1[Bairro],mercado14)+SUMIFS(supercb[Qtde],supercb[Item],tab_higiene[[#This Row],[Item]],supercb[Bairro],mercado14)</f>
        <v>0</v>
      </c>
      <c r="AY98" s="27" t="n">
        <f aca="false">SUMIFS(super1[Qtde],super1[Item],tab_higiene[[#This Row],[Item]],super1[Bairro],mercado15)+SUMIFS(supercb[Qtde],supercb[Item],tab_higiene[[#This Row],[Item]],supercb[Bairro],mercado15)</f>
        <v>0</v>
      </c>
      <c r="AZ98" s="27" t="n">
        <f aca="false">SUMIFS(super1[Qtde],super1[Item],tab_higiene[[#This Row],[Item]],super1[Bairro],mercado16)+SUMIFS(supercb[Qtde],supercb[Item],tab_higiene[[#This Row],[Item]],supercb[Bairro],mercado16)</f>
        <v>0</v>
      </c>
      <c r="BA98" s="27" t="n">
        <f aca="false">SUMIFS(super1[Qtde],super1[Item],tab_higiene[[#This Row],[Item]],super1[Bairro],mercado17)+SUMIFS(supercb[Qtde],supercb[Item],tab_higiene[[#This Row],[Item]],supercb[Bairro],mercado17)</f>
        <v>0</v>
      </c>
      <c r="BB98" s="27" t="n">
        <f aca="false">SUMIFS(super1[Qtde],super1[Item],tab_higiene[[#This Row],[Item]],super1[Bairro],mercado18)+SUMIFS(supercb[Qtde],supercb[Item],tab_higiene[[#This Row],[Item]],supercb[Bairro],mercado18)</f>
        <v>0</v>
      </c>
      <c r="BC98" s="27" t="n">
        <f aca="false">SUMIFS(super1[Qtde],super1[Item],tab_higiene[[#This Row],[Item]],super1[Bairro],extras)+SUMIFS(supercb[Qtde],supercb[Item],tab_higiene[[#This Row],[Item]],supercb[Bairro],extras)</f>
        <v>0</v>
      </c>
      <c r="BD98" s="27" t="n">
        <f aca="false">SUM(AK98:BB98)</f>
        <v>8</v>
      </c>
      <c r="BE98" s="27" t="n">
        <f aca="false">IFERROR(BD98*AJ98,0)</f>
        <v>119.14</v>
      </c>
      <c r="BF98" s="28" t="n">
        <f aca="false">IFERROR(AI98*BD98,0)</f>
        <v>35.9677444339607</v>
      </c>
      <c r="BI98" s="22" t="str">
        <f aca="false">tab_alimentos[[#This Row],[Item]]</f>
        <v>Doces (bala - 150g)</v>
      </c>
      <c r="BJ98" s="22" t="n">
        <f aca="false">IFERROR(FIND(" (",BI98),0)</f>
        <v>6</v>
      </c>
      <c r="BK98" s="22" t="str">
        <f aca="false">IF(BJ98=0,BI98,LEFT(BI98,BJ98-1))</f>
        <v>Doces</v>
      </c>
      <c r="BL98" s="22" t="n">
        <f aca="false">tab_alimentos[[#This Row],[kg]]</f>
        <v>0</v>
      </c>
      <c r="BN98" s="22" t="n">
        <f aca="false">SUMIF($BJ$5:$BJ$158,BM98,$BK$5:$BK$158)</f>
        <v>0</v>
      </c>
      <c r="BP98" s="22" t="str">
        <f aca="false">tab_higiene[[#This Row],[Item]]</f>
        <v>Fraldas Infantis (20un)</v>
      </c>
      <c r="BQ98" s="22" t="n">
        <f aca="false">IFERROR(FIND(" (",BP98),0)</f>
        <v>17</v>
      </c>
      <c r="BR98" s="22" t="str">
        <f aca="false">IF(BQ98=0,BP98,LEFT(BP98,BQ98-1))</f>
        <v>Fraldas Infantis</v>
      </c>
      <c r="BS98" s="22" t="n">
        <f aca="false">higiene[[#This Row],[Quantidade]]</f>
        <v>7</v>
      </c>
      <c r="BT98" s="22" t="n">
        <f aca="false">tab_higiene[Qtde (tot)]</f>
        <v>8</v>
      </c>
      <c r="BU98" s="22" t="n">
        <f aca="false">BS98*BT98</f>
        <v>56</v>
      </c>
      <c r="BW98" s="22" t="n">
        <f aca="false">SUMIF($BR$5:$BR$142,BV98,$BU$5:$BU$142)</f>
        <v>0</v>
      </c>
    </row>
    <row r="99" customFormat="false" ht="15" hidden="false" customHeight="false" outlineLevel="0" collapsed="false">
      <c r="I99" s="26" t="str">
        <f aca="false">alimentos[[#This Row],[Item]]</f>
        <v>Doces (bala - 200g)</v>
      </c>
      <c r="J99" s="27" t="n">
        <f aca="false">IFERROR(alimentos[[#This Row],[kg/embalagem]],0)</f>
        <v>0.2</v>
      </c>
      <c r="K99" s="27" t="n">
        <f aca="false">IFERROR(alimentos[[#This Row],[Preço]],0)</f>
        <v>5.18666666666667</v>
      </c>
      <c r="L99" s="27" t="n">
        <f aca="false">SUMIFS(super1[Qtde],super1[Item],tab_alimentos[[#This Row],[Item]],super1[Bairro],mercado1)+SUMIFS(supercb[Qtde],supercb[Item],tab_alimentos[[#This Row],[Item]],supercb[Bairro],mercado1)</f>
        <v>0</v>
      </c>
      <c r="M99" s="27" t="n">
        <f aca="false">SUMIFS(super1[Qtde],super1[Item],tab_alimentos[[#This Row],[Item]],super1[Bairro],mercado2)+SUMIFS(supercb[Qtde],supercb[Item],tab_alimentos[[#This Row],[Item]],supercb[Bairro],mercado2)</f>
        <v>0</v>
      </c>
      <c r="N99" s="27" t="n">
        <f aca="false">SUMIFS(super1[Qtde],super1[Item],tab_alimentos[[#This Row],[Item]],super1[Bairro],mercado3)+SUMIFS(supercb[Qtde],supercb[Item],tab_alimentos[[#This Row],[Item]],supercb[Bairro],mercado3)</f>
        <v>0</v>
      </c>
      <c r="O99" s="27" t="n">
        <f aca="false">SUMIFS(super1[Qtde],super1[Item],tab_alimentos[[#This Row],[Item]],super1[Bairro],mercado4)+SUMIFS(supercb[Qtde],supercb[Item],tab_alimentos[[#This Row],[Item]],supercb[Bairro],mercado4)</f>
        <v>0</v>
      </c>
      <c r="P99" s="27" t="n">
        <f aca="false">SUMIFS(super1[Qtde],super1[Item],tab_alimentos[[#This Row],[Item]],super1[Bairro],mercado5)+SUMIFS(supercb[Qtde],supercb[Item],tab_alimentos[[#This Row],[Item]],supercb[Bairro],mercado5)</f>
        <v>0</v>
      </c>
      <c r="Q99" s="27" t="n">
        <f aca="false">SUMIFS(super1[Qtde],super1[Item],tab_alimentos[[#This Row],[Item]],super1[Bairro],mercado6)+SUMIFS(supercb[Qtde],supercb[Item],tab_alimentos[[#This Row],[Item]],supercb[Bairro],mercado6)</f>
        <v>0</v>
      </c>
      <c r="R99" s="27" t="n">
        <f aca="false">SUMIFS(super1[Qtde],super1[Item],tab_alimentos[[#This Row],[Item]],super1[Bairro],mercado7)+SUMIFS(supercb[Qtde],supercb[Item],tab_alimentos[[#This Row],[Item]],supercb[Bairro],mercado7)</f>
        <v>0</v>
      </c>
      <c r="S99" s="27" t="n">
        <f aca="false">SUMIFS(super1[Qtde],super1[Item],tab_alimentos[[#This Row],[Item]],super1[Bairro],mercado8)+SUMIFS(supercb[Qtde],supercb[Item],tab_alimentos[[#This Row],[Item]],supercb[Bairro],mercado8)</f>
        <v>0</v>
      </c>
      <c r="T99" s="27" t="n">
        <f aca="false">SUMIFS(super1[Qtde],super1[Item],tab_alimentos[[#This Row],[Item]],super1[Bairro],mercado9)+SUMIFS(supercb[Qtde],supercb[Item],tab_alimentos[[#This Row],[Item]],supercb[Bairro],mercado9)</f>
        <v>0</v>
      </c>
      <c r="U99" s="27" t="n">
        <f aca="false">SUMIFS(super1[Qtde],super1[Item],tab_alimentos[[#This Row],[Item]],super1[Bairro],mercado10)+SUMIFS(supercb[Qtde],supercb[Item],tab_alimentos[[#This Row],[Item]],supercb[Bairro],mercado10)</f>
        <v>0</v>
      </c>
      <c r="V99" s="27" t="n">
        <f aca="false">SUMIFS(super1[Qtde],super1[Item],tab_alimentos[[#This Row],[Item]],super1[Bairro],mercado11)+SUMIFS(supercb[Qtde],supercb[Item],tab_alimentos[[#This Row],[Item]],supercb[Bairro],mercado11)</f>
        <v>0</v>
      </c>
      <c r="W99" s="27" t="n">
        <f aca="false">SUMIFS(super1[Qtde],super1[Item],tab_alimentos[[#This Row],[Item]],super1[Bairro],mercado12)+SUMIFS(supercb[Qtde],supercb[Item],tab_alimentos[[#This Row],[Item]],supercb[Bairro],mercado12)</f>
        <v>0</v>
      </c>
      <c r="X99" s="27" t="n">
        <f aca="false">SUMIFS(super1[Qtde],super1[Item],tab_alimentos[[#This Row],[Item]],super1[Bairro],mercado13)+SUMIFS(supercb[Qtde],supercb[Item],tab_alimentos[[#This Row],[Item]],supercb[Bairro],mercado13)</f>
        <v>0</v>
      </c>
      <c r="Y99" s="27" t="n">
        <f aca="false">SUMIFS(super1[Qtde],super1[Item],tab_alimentos[[#This Row],[Item]],super1[Bairro],mercado14)+SUMIFS(supercb[Qtde],supercb[Item],tab_alimentos[[#This Row],[Item]],supercb[Bairro],mercado14)</f>
        <v>0</v>
      </c>
      <c r="Z99" s="27" t="n">
        <f aca="false">SUMIFS(super1[Qtde],super1[Item],tab_alimentos[[#This Row],[Item]],super1[Bairro],mercado15)+SUMIFS(supercb[Qtde],supercb[Item],tab_alimentos[[#This Row],[Item]],supercb[Bairro],mercado15)</f>
        <v>0</v>
      </c>
      <c r="AA99" s="27" t="n">
        <f aca="false">SUMIFS(super1[Qtde],super1[Item],tab_alimentos[[#This Row],[Item]],super1[Bairro],mercado16)+SUMIFS(supercb[Qtde],supercb[Item],tab_alimentos[[#This Row],[Item]],supercb[Bairro],mercado16)</f>
        <v>0</v>
      </c>
      <c r="AB99" s="27" t="n">
        <f aca="false">SUMIFS(super1[Qtde],super1[Item],tab_alimentos[[#This Row],[Item]],super1[Bairro],mercado17)+SUMIFS(supercb[Qtde],supercb[Item],tab_alimentos[[#This Row],[Item]],supercb[Bairro],mercado17)</f>
        <v>0</v>
      </c>
      <c r="AC99" s="27" t="n">
        <f aca="false">SUMIFS(super1[Qtde],super1[Item],tab_alimentos[[#This Row],[Item]],super1[Bairro],mercado18)+SUMIFS(supercb[Qtde],supercb[Item],tab_alimentos[[#This Row],[Item]],supercb[Bairro],mercado18)</f>
        <v>0</v>
      </c>
      <c r="AD99" s="27" t="n">
        <f aca="false">SUMIFS(super1[Qtde],super1[Item],tab_alimentos[[#This Row],[Item]],super1[Bairro],extras)+SUMIFS(supercb[Qtde],supercb[Item],tab_alimentos[[#This Row],[Item]],supercb[Bairro],extras)</f>
        <v>0</v>
      </c>
      <c r="AE99" s="27" t="n">
        <f aca="false">SUM(L99:AC99)</f>
        <v>0</v>
      </c>
      <c r="AF99" s="27" t="n">
        <f aca="false">IFERROR(AE99*K99,0)</f>
        <v>0</v>
      </c>
      <c r="AG99" s="28" t="n">
        <f aca="false">IFERROR(J99*AE99,0)</f>
        <v>0</v>
      </c>
      <c r="AH99" s="26" t="str">
        <f aca="false">higiene[[#This Row],[Item]]</f>
        <v>Fraldas Infantis (22un)</v>
      </c>
      <c r="AI99" s="27" t="n">
        <f aca="false">IFERROR(higiene[[#This Row],[Kg equivalente]],0)</f>
        <v>5.97570533259877</v>
      </c>
      <c r="AJ99" s="27" t="n">
        <f aca="false">IFERROR(higiene[[#This Row],[Preço por produto]],0)</f>
        <v>19.794</v>
      </c>
      <c r="AK99" s="27" t="n">
        <f aca="false">SUMIFS(super1[Qtde],super1[Item],tab_higiene[[#This Row],[Item]],super1[Bairro],mercado1)+SUMIFS(supercb[Qtde],supercb[Item],tab_higiene[[#This Row],[Item]],supercb[Bairro],mercado1)</f>
        <v>0</v>
      </c>
      <c r="AL99" s="27" t="n">
        <f aca="false">SUMIFS(super1[Qtde],super1[Item],tab_higiene[[#This Row],[Item]],super1[Bairro],mercado2)+SUMIFS(supercb[Qtde],supercb[Item],tab_higiene[[#This Row],[Item]],supercb[Bairro],mercado2)</f>
        <v>0</v>
      </c>
      <c r="AM99" s="27" t="n">
        <f aca="false">SUMIFS(super1[Qtde],super1[Item],tab_higiene[[#This Row],[Item]],super1[Bairro],mercado3)+SUMIFS(supercb[Qtde],supercb[Item],tab_higiene[[#This Row],[Item]],supercb[Bairro],mercado3)</f>
        <v>0</v>
      </c>
      <c r="AN99" s="27" t="n">
        <f aca="false">SUMIFS(super1[Qtde],super1[Item],tab_higiene[[#This Row],[Item]],super1[Bairro],mercado4)+SUMIFS(supercb[Qtde],supercb[Item],tab_higiene[[#This Row],[Item]],supercb[Bairro],mercado4)</f>
        <v>0</v>
      </c>
      <c r="AO99" s="27" t="n">
        <f aca="false">SUMIFS(super1[Qtde],super1[Item],tab_higiene[[#This Row],[Item]],super1[Bairro],mercado5)+SUMIFS(supercb[Qtde],supercb[Item],tab_higiene[[#This Row],[Item]],supercb[Bairro],mercado5)</f>
        <v>5</v>
      </c>
      <c r="AP99" s="27" t="n">
        <f aca="false">SUMIFS(super1[Qtde],super1[Item],tab_higiene[[#This Row],[Item]],super1[Bairro],mercado6)+SUMIFS(supercb[Qtde],supercb[Item],tab_higiene[[#This Row],[Item]],supercb[Bairro],mercado6)</f>
        <v>1</v>
      </c>
      <c r="AQ99" s="27" t="n">
        <f aca="false">SUMIFS(super1[Qtde],super1[Item],tab_higiene[[#This Row],[Item]],super1[Bairro],mercado7)+SUMIFS(supercb[Qtde],supercb[Item],tab_higiene[[#This Row],[Item]],supercb[Bairro],mercado7)</f>
        <v>0</v>
      </c>
      <c r="AR99" s="27" t="n">
        <f aca="false">SUMIFS(super1[Qtde],super1[Item],tab_higiene[[#This Row],[Item]],super1[Bairro],mercado8)+SUMIFS(supercb[Qtde],supercb[Item],tab_higiene[[#This Row],[Item]],supercb[Bairro],mercado8)</f>
        <v>0</v>
      </c>
      <c r="AS99" s="27" t="n">
        <f aca="false">SUMIFS(super1[Qtde],super1[Item],tab_higiene[[#This Row],[Item]],super1[Bairro],mercado9)+SUMIFS(supercb[Qtde],supercb[Item],tab_higiene[[#This Row],[Item]],supercb[Bairro],mercado9)</f>
        <v>0</v>
      </c>
      <c r="AT99" s="27" t="n">
        <f aca="false">SUMIFS(super1[Qtde],super1[Item],tab_higiene[[#This Row],[Item]],super1[Bairro],mercado10)+SUMIFS(supercb[Qtde],supercb[Item],tab_higiene[[#This Row],[Item]],supercb[Bairro],mercado10)</f>
        <v>0</v>
      </c>
      <c r="AU99" s="27" t="n">
        <f aca="false">SUMIFS(super1[Qtde],super1[Item],tab_higiene[[#This Row],[Item]],super1[Bairro],mercado11)+SUMIFS(supercb[Qtde],supercb[Item],tab_higiene[[#This Row],[Item]],supercb[Bairro],mercado11)</f>
        <v>0</v>
      </c>
      <c r="AV99" s="27" t="n">
        <f aca="false">SUMIFS(super1[Qtde],super1[Item],tab_higiene[[#This Row],[Item]],super1[Bairro],mercado12)+SUMIFS(supercb[Qtde],supercb[Item],tab_higiene[[#This Row],[Item]],supercb[Bairro],mercado12)</f>
        <v>0</v>
      </c>
      <c r="AW99" s="27" t="n">
        <f aca="false">SUMIFS(super1[Qtde],super1[Item],tab_higiene[[#This Row],[Item]],super1[Bairro],mercado13)+SUMIFS(supercb[Qtde],supercb[Item],tab_higiene[[#This Row],[Item]],supercb[Bairro],mercado13)</f>
        <v>0</v>
      </c>
      <c r="AX99" s="27" t="n">
        <f aca="false">SUMIFS(super1[Qtde],super1[Item],tab_higiene[[#This Row],[Item]],super1[Bairro],mercado14)+SUMIFS(supercb[Qtde],supercb[Item],tab_higiene[[#This Row],[Item]],supercb[Bairro],mercado14)</f>
        <v>0</v>
      </c>
      <c r="AY99" s="27" t="n">
        <f aca="false">SUMIFS(super1[Qtde],super1[Item],tab_higiene[[#This Row],[Item]],super1[Bairro],mercado15)+SUMIFS(supercb[Qtde],supercb[Item],tab_higiene[[#This Row],[Item]],supercb[Bairro],mercado15)</f>
        <v>0</v>
      </c>
      <c r="AZ99" s="27" t="n">
        <f aca="false">SUMIFS(super1[Qtde],super1[Item],tab_higiene[[#This Row],[Item]],super1[Bairro],mercado16)+SUMIFS(supercb[Qtde],supercb[Item],tab_higiene[[#This Row],[Item]],supercb[Bairro],mercado16)</f>
        <v>0</v>
      </c>
      <c r="BA99" s="27" t="n">
        <f aca="false">SUMIFS(super1[Qtde],super1[Item],tab_higiene[[#This Row],[Item]],super1[Bairro],mercado17)+SUMIFS(supercb[Qtde],supercb[Item],tab_higiene[[#This Row],[Item]],supercb[Bairro],mercado17)</f>
        <v>0</v>
      </c>
      <c r="BB99" s="27" t="n">
        <f aca="false">SUMIFS(super1[Qtde],super1[Item],tab_higiene[[#This Row],[Item]],super1[Bairro],mercado18)+SUMIFS(supercb[Qtde],supercb[Item],tab_higiene[[#This Row],[Item]],supercb[Bairro],mercado18)</f>
        <v>0</v>
      </c>
      <c r="BC99" s="27" t="n">
        <f aca="false">SUMIFS(super1[Qtde],super1[Item],tab_higiene[[#This Row],[Item]],super1[Bairro],extras)+SUMIFS(supercb[Qtde],supercb[Item],tab_higiene[[#This Row],[Item]],supercb[Bairro],extras)</f>
        <v>0</v>
      </c>
      <c r="BD99" s="27" t="n">
        <f aca="false">SUM(AK99:BB99)</f>
        <v>6</v>
      </c>
      <c r="BE99" s="27" t="n">
        <f aca="false">IFERROR(BD99*AJ99,0)</f>
        <v>118.764</v>
      </c>
      <c r="BF99" s="28" t="n">
        <f aca="false">IFERROR(AI99*BD99,0)</f>
        <v>35.8542319955926</v>
      </c>
      <c r="BI99" s="22" t="str">
        <f aca="false">tab_alimentos[[#This Row],[Item]]</f>
        <v>Doces (bala - 200g)</v>
      </c>
      <c r="BJ99" s="22" t="n">
        <f aca="false">IFERROR(FIND(" (",BI99),0)</f>
        <v>6</v>
      </c>
      <c r="BK99" s="22" t="str">
        <f aca="false">IF(BJ99=0,BI99,LEFT(BI99,BJ99-1))</f>
        <v>Doces</v>
      </c>
      <c r="BL99" s="22" t="n">
        <f aca="false">tab_alimentos[[#This Row],[kg]]</f>
        <v>0</v>
      </c>
      <c r="BN99" s="22" t="n">
        <f aca="false">SUMIF($BJ$5:$BJ$158,BM99,$BK$5:$BK$158)</f>
        <v>0</v>
      </c>
      <c r="BP99" s="22" t="str">
        <f aca="false">tab_higiene[[#This Row],[Item]]</f>
        <v>Fraldas Infantis (22un)</v>
      </c>
      <c r="BQ99" s="22" t="n">
        <f aca="false">IFERROR(FIND(" (",BP99),0)</f>
        <v>17</v>
      </c>
      <c r="BR99" s="22" t="str">
        <f aca="false">IF(BQ99=0,BP99,LEFT(BP99,BQ99-1))</f>
        <v>Fraldas Infantis</v>
      </c>
      <c r="BS99" s="22" t="n">
        <f aca="false">higiene[[#This Row],[Quantidade]]</f>
        <v>8</v>
      </c>
      <c r="BT99" s="22" t="n">
        <f aca="false">tab_higiene[Qtde (tot)]</f>
        <v>6</v>
      </c>
      <c r="BU99" s="22" t="n">
        <f aca="false">BS99*BT99</f>
        <v>48</v>
      </c>
      <c r="BW99" s="22" t="n">
        <f aca="false">SUMIF($BR$5:$BR$142,BV99,$BU$5:$BU$142)</f>
        <v>0</v>
      </c>
    </row>
    <row r="100" customFormat="false" ht="15" hidden="false" customHeight="false" outlineLevel="0" collapsed="false">
      <c r="I100" s="26" t="str">
        <f aca="false">alimentos[[#This Row],[Item]]</f>
        <v>Doces (bala - 300g)</v>
      </c>
      <c r="J100" s="27" t="n">
        <f aca="false">IFERROR(alimentos[[#This Row],[kg/embalagem]],0)</f>
        <v>0.3</v>
      </c>
      <c r="K100" s="27" t="n">
        <f aca="false">IFERROR(alimentos[[#This Row],[Preço]],0)</f>
        <v>5.19</v>
      </c>
      <c r="L100" s="27" t="n">
        <f aca="false">SUMIFS(super1[Qtde],super1[Item],tab_alimentos[[#This Row],[Item]],super1[Bairro],mercado1)+SUMIFS(supercb[Qtde],supercb[Item],tab_alimentos[[#This Row],[Item]],supercb[Bairro],mercado1)</f>
        <v>0</v>
      </c>
      <c r="M100" s="27" t="n">
        <f aca="false">SUMIFS(super1[Qtde],super1[Item],tab_alimentos[[#This Row],[Item]],super1[Bairro],mercado2)+SUMIFS(supercb[Qtde],supercb[Item],tab_alimentos[[#This Row],[Item]],supercb[Bairro],mercado2)</f>
        <v>0</v>
      </c>
      <c r="N100" s="27" t="n">
        <f aca="false">SUMIFS(super1[Qtde],super1[Item],tab_alimentos[[#This Row],[Item]],super1[Bairro],mercado3)+SUMIFS(supercb[Qtde],supercb[Item],tab_alimentos[[#This Row],[Item]],supercb[Bairro],mercado3)</f>
        <v>0</v>
      </c>
      <c r="O100" s="27" t="n">
        <f aca="false">SUMIFS(super1[Qtde],super1[Item],tab_alimentos[[#This Row],[Item]],super1[Bairro],mercado4)+SUMIFS(supercb[Qtde],supercb[Item],tab_alimentos[[#This Row],[Item]],supercb[Bairro],mercado4)</f>
        <v>0</v>
      </c>
      <c r="P100" s="27" t="n">
        <f aca="false">SUMIFS(super1[Qtde],super1[Item],tab_alimentos[[#This Row],[Item]],super1[Bairro],mercado5)+SUMIFS(supercb[Qtde],supercb[Item],tab_alimentos[[#This Row],[Item]],supercb[Bairro],mercado5)</f>
        <v>0</v>
      </c>
      <c r="Q100" s="27" t="n">
        <f aca="false">SUMIFS(super1[Qtde],super1[Item],tab_alimentos[[#This Row],[Item]],super1[Bairro],mercado6)+SUMIFS(supercb[Qtde],supercb[Item],tab_alimentos[[#This Row],[Item]],supercb[Bairro],mercado6)</f>
        <v>0</v>
      </c>
      <c r="R100" s="27" t="n">
        <f aca="false">SUMIFS(super1[Qtde],super1[Item],tab_alimentos[[#This Row],[Item]],super1[Bairro],mercado7)+SUMIFS(supercb[Qtde],supercb[Item],tab_alimentos[[#This Row],[Item]],supercb[Bairro],mercado7)</f>
        <v>0</v>
      </c>
      <c r="S100" s="27" t="n">
        <f aca="false">SUMIFS(super1[Qtde],super1[Item],tab_alimentos[[#This Row],[Item]],super1[Bairro],mercado8)+SUMIFS(supercb[Qtde],supercb[Item],tab_alimentos[[#This Row],[Item]],supercb[Bairro],mercado8)</f>
        <v>0</v>
      </c>
      <c r="T100" s="27" t="n">
        <f aca="false">SUMIFS(super1[Qtde],super1[Item],tab_alimentos[[#This Row],[Item]],super1[Bairro],mercado9)+SUMIFS(supercb[Qtde],supercb[Item],tab_alimentos[[#This Row],[Item]],supercb[Bairro],mercado9)</f>
        <v>0</v>
      </c>
      <c r="U100" s="27" t="n">
        <f aca="false">SUMIFS(super1[Qtde],super1[Item],tab_alimentos[[#This Row],[Item]],super1[Bairro],mercado10)+SUMIFS(supercb[Qtde],supercb[Item],tab_alimentos[[#This Row],[Item]],supercb[Bairro],mercado10)</f>
        <v>0</v>
      </c>
      <c r="V100" s="27" t="n">
        <f aca="false">SUMIFS(super1[Qtde],super1[Item],tab_alimentos[[#This Row],[Item]],super1[Bairro],mercado11)+SUMIFS(supercb[Qtde],supercb[Item],tab_alimentos[[#This Row],[Item]],supercb[Bairro],mercado11)</f>
        <v>0</v>
      </c>
      <c r="W100" s="27" t="n">
        <f aca="false">SUMIFS(super1[Qtde],super1[Item],tab_alimentos[[#This Row],[Item]],super1[Bairro],mercado12)+SUMIFS(supercb[Qtde],supercb[Item],tab_alimentos[[#This Row],[Item]],supercb[Bairro],mercado12)</f>
        <v>0</v>
      </c>
      <c r="X100" s="27" t="n">
        <f aca="false">SUMIFS(super1[Qtde],super1[Item],tab_alimentos[[#This Row],[Item]],super1[Bairro],mercado13)+SUMIFS(supercb[Qtde],supercb[Item],tab_alimentos[[#This Row],[Item]],supercb[Bairro],mercado13)</f>
        <v>0</v>
      </c>
      <c r="Y100" s="27" t="n">
        <f aca="false">SUMIFS(super1[Qtde],super1[Item],tab_alimentos[[#This Row],[Item]],super1[Bairro],mercado14)+SUMIFS(supercb[Qtde],supercb[Item],tab_alimentos[[#This Row],[Item]],supercb[Bairro],mercado14)</f>
        <v>0</v>
      </c>
      <c r="Z100" s="27" t="n">
        <f aca="false">SUMIFS(super1[Qtde],super1[Item],tab_alimentos[[#This Row],[Item]],super1[Bairro],mercado15)+SUMIFS(supercb[Qtde],supercb[Item],tab_alimentos[[#This Row],[Item]],supercb[Bairro],mercado15)</f>
        <v>0</v>
      </c>
      <c r="AA100" s="27" t="n">
        <f aca="false">SUMIFS(super1[Qtde],super1[Item],tab_alimentos[[#This Row],[Item]],super1[Bairro],mercado16)+SUMIFS(supercb[Qtde],supercb[Item],tab_alimentos[[#This Row],[Item]],supercb[Bairro],mercado16)</f>
        <v>0</v>
      </c>
      <c r="AB100" s="27" t="n">
        <f aca="false">SUMIFS(super1[Qtde],super1[Item],tab_alimentos[[#This Row],[Item]],super1[Bairro],mercado17)+SUMIFS(supercb[Qtde],supercb[Item],tab_alimentos[[#This Row],[Item]],supercb[Bairro],mercado17)</f>
        <v>0</v>
      </c>
      <c r="AC100" s="27" t="n">
        <f aca="false">SUMIFS(super1[Qtde],super1[Item],tab_alimentos[[#This Row],[Item]],super1[Bairro],mercado18)+SUMIFS(supercb[Qtde],supercb[Item],tab_alimentos[[#This Row],[Item]],supercb[Bairro],mercado18)</f>
        <v>0</v>
      </c>
      <c r="AD100" s="27" t="n">
        <f aca="false">SUMIFS(super1[Qtde],super1[Item],tab_alimentos[[#This Row],[Item]],super1[Bairro],extras)+SUMIFS(supercb[Qtde],supercb[Item],tab_alimentos[[#This Row],[Item]],supercb[Bairro],extras)</f>
        <v>0</v>
      </c>
      <c r="AE100" s="27" t="n">
        <f aca="false">SUM(L100:AC100)</f>
        <v>0</v>
      </c>
      <c r="AF100" s="27" t="n">
        <f aca="false">IFERROR(AE100*K100,0)</f>
        <v>0</v>
      </c>
      <c r="AG100" s="28" t="n">
        <f aca="false">IFERROR(J100*AE100,0)</f>
        <v>0</v>
      </c>
      <c r="AH100" s="26" t="str">
        <f aca="false">higiene[[#This Row],[Item]]</f>
        <v>Fraldas Infantis (24un)</v>
      </c>
      <c r="AI100" s="27" t="n">
        <f aca="false">IFERROR(higiene[[#This Row],[Kg equivalente]],0)</f>
        <v>5.97525249042443</v>
      </c>
      <c r="AJ100" s="27" t="n">
        <f aca="false">IFERROR(higiene[[#This Row],[Preço por produto]],0)</f>
        <v>19.7925</v>
      </c>
      <c r="AK100" s="27" t="n">
        <f aca="false">SUMIFS(super1[Qtde],super1[Item],tab_higiene[[#This Row],[Item]],super1[Bairro],mercado1)+SUMIFS(supercb[Qtde],supercb[Item],tab_higiene[[#This Row],[Item]],supercb[Bairro],mercado1)</f>
        <v>0</v>
      </c>
      <c r="AL100" s="27" t="n">
        <f aca="false">SUMIFS(super1[Qtde],super1[Item],tab_higiene[[#This Row],[Item]],super1[Bairro],mercado2)+SUMIFS(supercb[Qtde],supercb[Item],tab_higiene[[#This Row],[Item]],supercb[Bairro],mercado2)</f>
        <v>0</v>
      </c>
      <c r="AM100" s="27" t="n">
        <f aca="false">SUMIFS(super1[Qtde],super1[Item],tab_higiene[[#This Row],[Item]],super1[Bairro],mercado3)+SUMIFS(supercb[Qtde],supercb[Item],tab_higiene[[#This Row],[Item]],supercb[Bairro],mercado3)</f>
        <v>0</v>
      </c>
      <c r="AN100" s="27" t="n">
        <f aca="false">SUMIFS(super1[Qtde],super1[Item],tab_higiene[[#This Row],[Item]],super1[Bairro],mercado4)+SUMIFS(supercb[Qtde],supercb[Item],tab_higiene[[#This Row],[Item]],supercb[Bairro],mercado4)</f>
        <v>0</v>
      </c>
      <c r="AO100" s="27" t="n">
        <f aca="false">SUMIFS(super1[Qtde],super1[Item],tab_higiene[[#This Row],[Item]],super1[Bairro],mercado5)+SUMIFS(supercb[Qtde],supercb[Item],tab_higiene[[#This Row],[Item]],supercb[Bairro],mercado5)</f>
        <v>0</v>
      </c>
      <c r="AP100" s="27" t="n">
        <f aca="false">SUMIFS(super1[Qtde],super1[Item],tab_higiene[[#This Row],[Item]],super1[Bairro],mercado6)+SUMIFS(supercb[Qtde],supercb[Item],tab_higiene[[#This Row],[Item]],supercb[Bairro],mercado6)</f>
        <v>0</v>
      </c>
      <c r="AQ100" s="27" t="n">
        <f aca="false">SUMIFS(super1[Qtde],super1[Item],tab_higiene[[#This Row],[Item]],super1[Bairro],mercado7)+SUMIFS(supercb[Qtde],supercb[Item],tab_higiene[[#This Row],[Item]],supercb[Bairro],mercado7)</f>
        <v>0</v>
      </c>
      <c r="AR100" s="27" t="n">
        <f aca="false">SUMIFS(super1[Qtde],super1[Item],tab_higiene[[#This Row],[Item]],super1[Bairro],mercado8)+SUMIFS(supercb[Qtde],supercb[Item],tab_higiene[[#This Row],[Item]],supercb[Bairro],mercado8)</f>
        <v>0</v>
      </c>
      <c r="AS100" s="27" t="n">
        <f aca="false">SUMIFS(super1[Qtde],super1[Item],tab_higiene[[#This Row],[Item]],super1[Bairro],mercado9)+SUMIFS(supercb[Qtde],supercb[Item],tab_higiene[[#This Row],[Item]],supercb[Bairro],mercado9)</f>
        <v>0</v>
      </c>
      <c r="AT100" s="27" t="n">
        <f aca="false">SUMIFS(super1[Qtde],super1[Item],tab_higiene[[#This Row],[Item]],super1[Bairro],mercado10)+SUMIFS(supercb[Qtde],supercb[Item],tab_higiene[[#This Row],[Item]],supercb[Bairro],mercado10)</f>
        <v>0</v>
      </c>
      <c r="AU100" s="27" t="n">
        <f aca="false">SUMIFS(super1[Qtde],super1[Item],tab_higiene[[#This Row],[Item]],super1[Bairro],mercado11)+SUMIFS(supercb[Qtde],supercb[Item],tab_higiene[[#This Row],[Item]],supercb[Bairro],mercado11)</f>
        <v>0</v>
      </c>
      <c r="AV100" s="27" t="n">
        <f aca="false">SUMIFS(super1[Qtde],super1[Item],tab_higiene[[#This Row],[Item]],super1[Bairro],mercado12)+SUMIFS(supercb[Qtde],supercb[Item],tab_higiene[[#This Row],[Item]],supercb[Bairro],mercado12)</f>
        <v>0</v>
      </c>
      <c r="AW100" s="27" t="n">
        <f aca="false">SUMIFS(super1[Qtde],super1[Item],tab_higiene[[#This Row],[Item]],super1[Bairro],mercado13)+SUMIFS(supercb[Qtde],supercb[Item],tab_higiene[[#This Row],[Item]],supercb[Bairro],mercado13)</f>
        <v>1</v>
      </c>
      <c r="AX100" s="27" t="n">
        <f aca="false">SUMIFS(super1[Qtde],super1[Item],tab_higiene[[#This Row],[Item]],super1[Bairro],mercado14)+SUMIFS(supercb[Qtde],supercb[Item],tab_higiene[[#This Row],[Item]],supercb[Bairro],mercado14)</f>
        <v>0</v>
      </c>
      <c r="AY100" s="27" t="n">
        <f aca="false">SUMIFS(super1[Qtde],super1[Item],tab_higiene[[#This Row],[Item]],super1[Bairro],mercado15)+SUMIFS(supercb[Qtde],supercb[Item],tab_higiene[[#This Row],[Item]],supercb[Bairro],mercado15)</f>
        <v>0</v>
      </c>
      <c r="AZ100" s="27" t="n">
        <f aca="false">SUMIFS(super1[Qtde],super1[Item],tab_higiene[[#This Row],[Item]],super1[Bairro],mercado16)+SUMIFS(supercb[Qtde],supercb[Item],tab_higiene[[#This Row],[Item]],supercb[Bairro],mercado16)</f>
        <v>0</v>
      </c>
      <c r="BA100" s="27" t="n">
        <f aca="false">SUMIFS(super1[Qtde],super1[Item],tab_higiene[[#This Row],[Item]],super1[Bairro],mercado17)+SUMIFS(supercb[Qtde],supercb[Item],tab_higiene[[#This Row],[Item]],supercb[Bairro],mercado17)</f>
        <v>0</v>
      </c>
      <c r="BB100" s="27" t="n">
        <f aca="false">SUMIFS(super1[Qtde],super1[Item],tab_higiene[[#This Row],[Item]],super1[Bairro],mercado18)+SUMIFS(supercb[Qtde],supercb[Item],tab_higiene[[#This Row],[Item]],supercb[Bairro],mercado18)</f>
        <v>0</v>
      </c>
      <c r="BC100" s="27" t="n">
        <f aca="false">SUMIFS(super1[Qtde],super1[Item],tab_higiene[[#This Row],[Item]],super1[Bairro],extras)+SUMIFS(supercb[Qtde],supercb[Item],tab_higiene[[#This Row],[Item]],supercb[Bairro],extras)</f>
        <v>0</v>
      </c>
      <c r="BD100" s="27" t="n">
        <f aca="false">SUM(AK100:BB100)</f>
        <v>1</v>
      </c>
      <c r="BE100" s="27" t="n">
        <f aca="false">IFERROR(BD100*AJ100,0)</f>
        <v>19.7925</v>
      </c>
      <c r="BF100" s="28" t="n">
        <f aca="false">IFERROR(AI100*BD100,0)</f>
        <v>5.97525249042443</v>
      </c>
      <c r="BI100" s="22" t="str">
        <f aca="false">tab_alimentos[[#This Row],[Item]]</f>
        <v>Doces (bala - 300g)</v>
      </c>
      <c r="BJ100" s="22" t="n">
        <f aca="false">IFERROR(FIND(" (",BI100),0)</f>
        <v>6</v>
      </c>
      <c r="BK100" s="22" t="str">
        <f aca="false">IF(BJ100=0,BI100,LEFT(BI100,BJ100-1))</f>
        <v>Doces</v>
      </c>
      <c r="BL100" s="22" t="n">
        <f aca="false">tab_alimentos[[#This Row],[kg]]</f>
        <v>0</v>
      </c>
      <c r="BN100" s="22" t="n">
        <f aca="false">SUMIF($BJ$5:$BJ$158,BM100,$BK$5:$BK$158)</f>
        <v>0</v>
      </c>
      <c r="BP100" s="22" t="str">
        <f aca="false">tab_higiene[[#This Row],[Item]]</f>
        <v>Fraldas Infantis (24un)</v>
      </c>
      <c r="BQ100" s="22" t="n">
        <f aca="false">IFERROR(FIND(" (",BP100),0)</f>
        <v>17</v>
      </c>
      <c r="BR100" s="22" t="str">
        <f aca="false">IF(BQ100=0,BP100,LEFT(BP100,BQ100-1))</f>
        <v>Fraldas Infantis</v>
      </c>
      <c r="BS100" s="22" t="n">
        <f aca="false">higiene[[#This Row],[Quantidade]]</f>
        <v>2</v>
      </c>
      <c r="BT100" s="22" t="n">
        <f aca="false">tab_higiene[Qtde (tot)]</f>
        <v>1</v>
      </c>
      <c r="BU100" s="22" t="n">
        <f aca="false">BS100*BT100</f>
        <v>2</v>
      </c>
      <c r="BW100" s="22" t="n">
        <f aca="false">SUMIF($BR$5:$BR$142,BV100,$BU$5:$BU$142)</f>
        <v>0</v>
      </c>
    </row>
    <row r="101" customFormat="false" ht="15" hidden="false" customHeight="false" outlineLevel="0" collapsed="false">
      <c r="I101" s="26" t="str">
        <f aca="false">alimentos[[#This Row],[Item]]</f>
        <v>Doces (bala - 600g)</v>
      </c>
      <c r="J101" s="27" t="n">
        <f aca="false">IFERROR(alimentos[[#This Row],[kg/embalagem]],0)</f>
        <v>0.6</v>
      </c>
      <c r="K101" s="27" t="n">
        <f aca="false">IFERROR(alimentos[[#This Row],[Preço]],0)</f>
        <v>9.6925</v>
      </c>
      <c r="L101" s="27" t="n">
        <f aca="false">SUMIFS(super1[Qtde],super1[Item],tab_alimentos[[#This Row],[Item]],super1[Bairro],mercado1)+SUMIFS(supercb[Qtde],supercb[Item],tab_alimentos[[#This Row],[Item]],supercb[Bairro],mercado1)</f>
        <v>0</v>
      </c>
      <c r="M101" s="27" t="n">
        <f aca="false">SUMIFS(super1[Qtde],super1[Item],tab_alimentos[[#This Row],[Item]],super1[Bairro],mercado2)+SUMIFS(supercb[Qtde],supercb[Item],tab_alimentos[[#This Row],[Item]],supercb[Bairro],mercado2)</f>
        <v>0</v>
      </c>
      <c r="N101" s="27" t="n">
        <f aca="false">SUMIFS(super1[Qtde],super1[Item],tab_alimentos[[#This Row],[Item]],super1[Bairro],mercado3)+SUMIFS(supercb[Qtde],supercb[Item],tab_alimentos[[#This Row],[Item]],supercb[Bairro],mercado3)</f>
        <v>0</v>
      </c>
      <c r="O101" s="27" t="n">
        <f aca="false">SUMIFS(super1[Qtde],super1[Item],tab_alimentos[[#This Row],[Item]],super1[Bairro],mercado4)+SUMIFS(supercb[Qtde],supercb[Item],tab_alimentos[[#This Row],[Item]],supercb[Bairro],mercado4)</f>
        <v>0</v>
      </c>
      <c r="P101" s="27" t="n">
        <f aca="false">SUMIFS(super1[Qtde],super1[Item],tab_alimentos[[#This Row],[Item]],super1[Bairro],mercado5)+SUMIFS(supercb[Qtde],supercb[Item],tab_alimentos[[#This Row],[Item]],supercb[Bairro],mercado5)</f>
        <v>0</v>
      </c>
      <c r="Q101" s="27" t="n">
        <f aca="false">SUMIFS(super1[Qtde],super1[Item],tab_alimentos[[#This Row],[Item]],super1[Bairro],mercado6)+SUMIFS(supercb[Qtde],supercb[Item],tab_alimentos[[#This Row],[Item]],supercb[Bairro],mercado6)</f>
        <v>0</v>
      </c>
      <c r="R101" s="27" t="n">
        <f aca="false">SUMIFS(super1[Qtde],super1[Item],tab_alimentos[[#This Row],[Item]],super1[Bairro],mercado7)+SUMIFS(supercb[Qtde],supercb[Item],tab_alimentos[[#This Row],[Item]],supercb[Bairro],mercado7)</f>
        <v>0</v>
      </c>
      <c r="S101" s="27" t="n">
        <f aca="false">SUMIFS(super1[Qtde],super1[Item],tab_alimentos[[#This Row],[Item]],super1[Bairro],mercado8)+SUMIFS(supercb[Qtde],supercb[Item],tab_alimentos[[#This Row],[Item]],supercb[Bairro],mercado8)</f>
        <v>0</v>
      </c>
      <c r="T101" s="27" t="n">
        <f aca="false">SUMIFS(super1[Qtde],super1[Item],tab_alimentos[[#This Row],[Item]],super1[Bairro],mercado9)+SUMIFS(supercb[Qtde],supercb[Item],tab_alimentos[[#This Row],[Item]],supercb[Bairro],mercado9)</f>
        <v>0</v>
      </c>
      <c r="U101" s="27" t="n">
        <f aca="false">SUMIFS(super1[Qtde],super1[Item],tab_alimentos[[#This Row],[Item]],super1[Bairro],mercado10)+SUMIFS(supercb[Qtde],supercb[Item],tab_alimentos[[#This Row],[Item]],supercb[Bairro],mercado10)</f>
        <v>0</v>
      </c>
      <c r="V101" s="27" t="n">
        <f aca="false">SUMIFS(super1[Qtde],super1[Item],tab_alimentos[[#This Row],[Item]],super1[Bairro],mercado11)+SUMIFS(supercb[Qtde],supercb[Item],tab_alimentos[[#This Row],[Item]],supercb[Bairro],mercado11)</f>
        <v>0</v>
      </c>
      <c r="W101" s="27" t="n">
        <f aca="false">SUMIFS(super1[Qtde],super1[Item],tab_alimentos[[#This Row],[Item]],super1[Bairro],mercado12)+SUMIFS(supercb[Qtde],supercb[Item],tab_alimentos[[#This Row],[Item]],supercb[Bairro],mercado12)</f>
        <v>0</v>
      </c>
      <c r="X101" s="27" t="n">
        <f aca="false">SUMIFS(super1[Qtde],super1[Item],tab_alimentos[[#This Row],[Item]],super1[Bairro],mercado13)+SUMIFS(supercb[Qtde],supercb[Item],tab_alimentos[[#This Row],[Item]],supercb[Bairro],mercado13)</f>
        <v>0</v>
      </c>
      <c r="Y101" s="27" t="n">
        <f aca="false">SUMIFS(super1[Qtde],super1[Item],tab_alimentos[[#This Row],[Item]],super1[Bairro],mercado14)+SUMIFS(supercb[Qtde],supercb[Item],tab_alimentos[[#This Row],[Item]],supercb[Bairro],mercado14)</f>
        <v>0</v>
      </c>
      <c r="Z101" s="27" t="n">
        <f aca="false">SUMIFS(super1[Qtde],super1[Item],tab_alimentos[[#This Row],[Item]],super1[Bairro],mercado15)+SUMIFS(supercb[Qtde],supercb[Item],tab_alimentos[[#This Row],[Item]],supercb[Bairro],mercado15)</f>
        <v>0</v>
      </c>
      <c r="AA101" s="27" t="n">
        <f aca="false">SUMIFS(super1[Qtde],super1[Item],tab_alimentos[[#This Row],[Item]],super1[Bairro],mercado16)+SUMIFS(supercb[Qtde],supercb[Item],tab_alimentos[[#This Row],[Item]],supercb[Bairro],mercado16)</f>
        <v>0</v>
      </c>
      <c r="AB101" s="27" t="n">
        <f aca="false">SUMIFS(super1[Qtde],super1[Item],tab_alimentos[[#This Row],[Item]],super1[Bairro],mercado17)+SUMIFS(supercb[Qtde],supercb[Item],tab_alimentos[[#This Row],[Item]],supercb[Bairro],mercado17)</f>
        <v>0</v>
      </c>
      <c r="AC101" s="27" t="n">
        <f aca="false">SUMIFS(super1[Qtde],super1[Item],tab_alimentos[[#This Row],[Item]],super1[Bairro],mercado18)+SUMIFS(supercb[Qtde],supercb[Item],tab_alimentos[[#This Row],[Item]],supercb[Bairro],mercado18)</f>
        <v>0</v>
      </c>
      <c r="AD101" s="27" t="n">
        <f aca="false">SUMIFS(super1[Qtde],super1[Item],tab_alimentos[[#This Row],[Item]],super1[Bairro],extras)+SUMIFS(supercb[Qtde],supercb[Item],tab_alimentos[[#This Row],[Item]],supercb[Bairro],extras)</f>
        <v>0</v>
      </c>
      <c r="AE101" s="27" t="n">
        <f aca="false">SUM(L101:AC101)</f>
        <v>0</v>
      </c>
      <c r="AF101" s="27" t="n">
        <f aca="false">IFERROR(AE101*K101,0)</f>
        <v>0</v>
      </c>
      <c r="AG101" s="28" t="n">
        <f aca="false">IFERROR(J101*AE101,0)</f>
        <v>0</v>
      </c>
      <c r="AH101" s="26" t="str">
        <f aca="false">higiene[[#This Row],[Item]]</f>
        <v>Fraldas Infantis (26un)</v>
      </c>
      <c r="AI101" s="27" t="n">
        <f aca="false">IFERROR(higiene[[#This Row],[Kg equivalente]],0)</f>
        <v>8.67796553428068</v>
      </c>
      <c r="AJ101" s="27" t="n">
        <f aca="false">IFERROR(higiene[[#This Row],[Preço por produto]],0)</f>
        <v>28.745</v>
      </c>
      <c r="AK101" s="27" t="n">
        <f aca="false">SUMIFS(super1[Qtde],super1[Item],tab_higiene[[#This Row],[Item]],super1[Bairro],mercado1)+SUMIFS(supercb[Qtde],supercb[Item],tab_higiene[[#This Row],[Item]],supercb[Bairro],mercado1)</f>
        <v>0</v>
      </c>
      <c r="AL101" s="27" t="n">
        <f aca="false">SUMIFS(super1[Qtde],super1[Item],tab_higiene[[#This Row],[Item]],super1[Bairro],mercado2)+SUMIFS(supercb[Qtde],supercb[Item],tab_higiene[[#This Row],[Item]],supercb[Bairro],mercado2)</f>
        <v>0</v>
      </c>
      <c r="AM101" s="27" t="n">
        <f aca="false">SUMIFS(super1[Qtde],super1[Item],tab_higiene[[#This Row],[Item]],super1[Bairro],mercado3)+SUMIFS(supercb[Qtde],supercb[Item],tab_higiene[[#This Row],[Item]],supercb[Bairro],mercado3)</f>
        <v>0</v>
      </c>
      <c r="AN101" s="27" t="n">
        <f aca="false">SUMIFS(super1[Qtde],super1[Item],tab_higiene[[#This Row],[Item]],super1[Bairro],mercado4)+SUMIFS(supercb[Qtde],supercb[Item],tab_higiene[[#This Row],[Item]],supercb[Bairro],mercado4)</f>
        <v>0</v>
      </c>
      <c r="AO101" s="27" t="n">
        <f aca="false">SUMIFS(super1[Qtde],super1[Item],tab_higiene[[#This Row],[Item]],super1[Bairro],mercado5)+SUMIFS(supercb[Qtde],supercb[Item],tab_higiene[[#This Row],[Item]],supercb[Bairro],mercado5)</f>
        <v>0</v>
      </c>
      <c r="AP101" s="27" t="n">
        <f aca="false">SUMIFS(super1[Qtde],super1[Item],tab_higiene[[#This Row],[Item]],super1[Bairro],mercado6)+SUMIFS(supercb[Qtde],supercb[Item],tab_higiene[[#This Row],[Item]],supercb[Bairro],mercado6)</f>
        <v>0</v>
      </c>
      <c r="AQ101" s="27" t="n">
        <f aca="false">SUMIFS(super1[Qtde],super1[Item],tab_higiene[[#This Row],[Item]],super1[Bairro],mercado7)+SUMIFS(supercb[Qtde],supercb[Item],tab_higiene[[#This Row],[Item]],supercb[Bairro],mercado7)</f>
        <v>0</v>
      </c>
      <c r="AR101" s="27" t="n">
        <f aca="false">SUMIFS(super1[Qtde],super1[Item],tab_higiene[[#This Row],[Item]],super1[Bairro],mercado8)+SUMIFS(supercb[Qtde],supercb[Item],tab_higiene[[#This Row],[Item]],supercb[Bairro],mercado8)</f>
        <v>0</v>
      </c>
      <c r="AS101" s="27" t="n">
        <f aca="false">SUMIFS(super1[Qtde],super1[Item],tab_higiene[[#This Row],[Item]],super1[Bairro],mercado9)+SUMIFS(supercb[Qtde],supercb[Item],tab_higiene[[#This Row],[Item]],supercb[Bairro],mercado9)</f>
        <v>0</v>
      </c>
      <c r="AT101" s="27" t="n">
        <f aca="false">SUMIFS(super1[Qtde],super1[Item],tab_higiene[[#This Row],[Item]],super1[Bairro],mercado10)+SUMIFS(supercb[Qtde],supercb[Item],tab_higiene[[#This Row],[Item]],supercb[Bairro],mercado10)</f>
        <v>0</v>
      </c>
      <c r="AU101" s="27" t="n">
        <f aca="false">SUMIFS(super1[Qtde],super1[Item],tab_higiene[[#This Row],[Item]],super1[Bairro],mercado11)+SUMIFS(supercb[Qtde],supercb[Item],tab_higiene[[#This Row],[Item]],supercb[Bairro],mercado11)</f>
        <v>0</v>
      </c>
      <c r="AV101" s="27" t="n">
        <f aca="false">SUMIFS(super1[Qtde],super1[Item],tab_higiene[[#This Row],[Item]],super1[Bairro],mercado12)+SUMIFS(supercb[Qtde],supercb[Item],tab_higiene[[#This Row],[Item]],supercb[Bairro],mercado12)</f>
        <v>0</v>
      </c>
      <c r="AW101" s="27" t="n">
        <f aca="false">SUMIFS(super1[Qtde],super1[Item],tab_higiene[[#This Row],[Item]],super1[Bairro],mercado13)+SUMIFS(supercb[Qtde],supercb[Item],tab_higiene[[#This Row],[Item]],supercb[Bairro],mercado13)</f>
        <v>0</v>
      </c>
      <c r="AX101" s="27" t="n">
        <f aca="false">SUMIFS(super1[Qtde],super1[Item],tab_higiene[[#This Row],[Item]],super1[Bairro],mercado14)+SUMIFS(supercb[Qtde],supercb[Item],tab_higiene[[#This Row],[Item]],supercb[Bairro],mercado14)</f>
        <v>0</v>
      </c>
      <c r="AY101" s="27" t="n">
        <f aca="false">SUMIFS(super1[Qtde],super1[Item],tab_higiene[[#This Row],[Item]],super1[Bairro],mercado15)+SUMIFS(supercb[Qtde],supercb[Item],tab_higiene[[#This Row],[Item]],supercb[Bairro],mercado15)</f>
        <v>0</v>
      </c>
      <c r="AZ101" s="27" t="n">
        <f aca="false">SUMIFS(super1[Qtde],super1[Item],tab_higiene[[#This Row],[Item]],super1[Bairro],mercado16)+SUMIFS(supercb[Qtde],supercb[Item],tab_higiene[[#This Row],[Item]],supercb[Bairro],mercado16)</f>
        <v>0</v>
      </c>
      <c r="BA101" s="27" t="n">
        <f aca="false">SUMIFS(super1[Qtde],super1[Item],tab_higiene[[#This Row],[Item]],super1[Bairro],mercado17)+SUMIFS(supercb[Qtde],supercb[Item],tab_higiene[[#This Row],[Item]],supercb[Bairro],mercado17)</f>
        <v>0</v>
      </c>
      <c r="BB101" s="27" t="n">
        <f aca="false">SUMIFS(super1[Qtde],super1[Item],tab_higiene[[#This Row],[Item]],super1[Bairro],mercado18)+SUMIFS(supercb[Qtde],supercb[Item],tab_higiene[[#This Row],[Item]],supercb[Bairro],mercado18)</f>
        <v>0</v>
      </c>
      <c r="BC101" s="27" t="n">
        <f aca="false">SUMIFS(super1[Qtde],super1[Item],tab_higiene[[#This Row],[Item]],super1[Bairro],extras)+SUMIFS(supercb[Qtde],supercb[Item],tab_higiene[[#This Row],[Item]],supercb[Bairro],extras)</f>
        <v>0</v>
      </c>
      <c r="BD101" s="27" t="n">
        <f aca="false">SUM(AK101:BB101)</f>
        <v>0</v>
      </c>
      <c r="BE101" s="27" t="n">
        <f aca="false">IFERROR(BD101*AJ101,0)</f>
        <v>0</v>
      </c>
      <c r="BF101" s="28" t="n">
        <f aca="false">IFERROR(AI101*BD101,0)</f>
        <v>0</v>
      </c>
      <c r="BI101" s="22" t="str">
        <f aca="false">tab_alimentos[[#This Row],[Item]]</f>
        <v>Doces (bala - 600g)</v>
      </c>
      <c r="BJ101" s="22" t="n">
        <f aca="false">IFERROR(FIND(" (",BI101),0)</f>
        <v>6</v>
      </c>
      <c r="BK101" s="22" t="str">
        <f aca="false">IF(BJ101=0,BI101,LEFT(BI101,BJ101-1))</f>
        <v>Doces</v>
      </c>
      <c r="BL101" s="22" t="n">
        <f aca="false">tab_alimentos[[#This Row],[kg]]</f>
        <v>0</v>
      </c>
      <c r="BN101" s="22" t="n">
        <f aca="false">SUMIF($BJ$5:$BJ$158,BM101,$BK$5:$BK$158)</f>
        <v>0</v>
      </c>
      <c r="BP101" s="22" t="str">
        <f aca="false">tab_higiene[[#This Row],[Item]]</f>
        <v>Fraldas Infantis (26un)</v>
      </c>
      <c r="BQ101" s="22" t="n">
        <f aca="false">IFERROR(FIND(" (",BP101),0)</f>
        <v>17</v>
      </c>
      <c r="BR101" s="22" t="str">
        <f aca="false">IF(BQ101=0,BP101,LEFT(BP101,BQ101-1))</f>
        <v>Fraldas Infantis</v>
      </c>
      <c r="BS101" s="22" t="n">
        <f aca="false">higiene[[#This Row],[Quantidade]]</f>
        <v>5</v>
      </c>
      <c r="BT101" s="22" t="n">
        <f aca="false">tab_higiene[Qtde (tot)]</f>
        <v>0</v>
      </c>
      <c r="BU101" s="22" t="n">
        <f aca="false">BS101*BT101</f>
        <v>0</v>
      </c>
      <c r="BW101" s="22" t="n">
        <f aca="false">SUMIF($BR$5:$BR$142,BV101,$BU$5:$BU$142)</f>
        <v>0</v>
      </c>
    </row>
    <row r="102" customFormat="false" ht="15" hidden="false" customHeight="false" outlineLevel="0" collapsed="false">
      <c r="I102" s="26" t="str">
        <f aca="false">alimentos[[#This Row],[Item]]</f>
        <v>Doces (bala - 70 g)</v>
      </c>
      <c r="J102" s="27" t="n">
        <f aca="false">IFERROR(alimentos[[#This Row],[kg/embalagem]],0)</f>
        <v>0.07</v>
      </c>
      <c r="K102" s="27" t="n">
        <f aca="false">IFERROR(alimentos[[#This Row],[Preço]],0)</f>
        <v>3.59</v>
      </c>
      <c r="L102" s="27" t="n">
        <f aca="false">SUMIFS(super1[Qtde],super1[Item],tab_alimentos[[#This Row],[Item]],super1[Bairro],mercado1)+SUMIFS(supercb[Qtde],supercb[Item],tab_alimentos[[#This Row],[Item]],supercb[Bairro],mercado1)</f>
        <v>0</v>
      </c>
      <c r="M102" s="27" t="n">
        <f aca="false">SUMIFS(super1[Qtde],super1[Item],tab_alimentos[[#This Row],[Item]],super1[Bairro],mercado2)+SUMIFS(supercb[Qtde],supercb[Item],tab_alimentos[[#This Row],[Item]],supercb[Bairro],mercado2)</f>
        <v>0</v>
      </c>
      <c r="N102" s="27" t="n">
        <f aca="false">SUMIFS(super1[Qtde],super1[Item],tab_alimentos[[#This Row],[Item]],super1[Bairro],mercado3)+SUMIFS(supercb[Qtde],supercb[Item],tab_alimentos[[#This Row],[Item]],supercb[Bairro],mercado3)</f>
        <v>0</v>
      </c>
      <c r="O102" s="27" t="n">
        <f aca="false">SUMIFS(super1[Qtde],super1[Item],tab_alimentos[[#This Row],[Item]],super1[Bairro],mercado4)+SUMIFS(supercb[Qtde],supercb[Item],tab_alimentos[[#This Row],[Item]],supercb[Bairro],mercado4)</f>
        <v>0</v>
      </c>
      <c r="P102" s="27" t="n">
        <f aca="false">SUMIFS(super1[Qtde],super1[Item],tab_alimentos[[#This Row],[Item]],super1[Bairro],mercado5)+SUMIFS(supercb[Qtde],supercb[Item],tab_alimentos[[#This Row],[Item]],supercb[Bairro],mercado5)</f>
        <v>0</v>
      </c>
      <c r="Q102" s="27" t="n">
        <f aca="false">SUMIFS(super1[Qtde],super1[Item],tab_alimentos[[#This Row],[Item]],super1[Bairro],mercado6)+SUMIFS(supercb[Qtde],supercb[Item],tab_alimentos[[#This Row],[Item]],supercb[Bairro],mercado6)</f>
        <v>0</v>
      </c>
      <c r="R102" s="27" t="n">
        <f aca="false">SUMIFS(super1[Qtde],super1[Item],tab_alimentos[[#This Row],[Item]],super1[Bairro],mercado7)+SUMIFS(supercb[Qtde],supercb[Item],tab_alimentos[[#This Row],[Item]],supercb[Bairro],mercado7)</f>
        <v>0</v>
      </c>
      <c r="S102" s="27" t="n">
        <f aca="false">SUMIFS(super1[Qtde],super1[Item],tab_alimentos[[#This Row],[Item]],super1[Bairro],mercado8)+SUMIFS(supercb[Qtde],supercb[Item],tab_alimentos[[#This Row],[Item]],supercb[Bairro],mercado8)</f>
        <v>0</v>
      </c>
      <c r="T102" s="27" t="n">
        <f aca="false">SUMIFS(super1[Qtde],super1[Item],tab_alimentos[[#This Row],[Item]],super1[Bairro],mercado9)+SUMIFS(supercb[Qtde],supercb[Item],tab_alimentos[[#This Row],[Item]],supercb[Bairro],mercado9)</f>
        <v>0</v>
      </c>
      <c r="U102" s="27" t="n">
        <f aca="false">SUMIFS(super1[Qtde],super1[Item],tab_alimentos[[#This Row],[Item]],super1[Bairro],mercado10)+SUMIFS(supercb[Qtde],supercb[Item],tab_alimentos[[#This Row],[Item]],supercb[Bairro],mercado10)</f>
        <v>0</v>
      </c>
      <c r="V102" s="27" t="n">
        <f aca="false">SUMIFS(super1[Qtde],super1[Item],tab_alimentos[[#This Row],[Item]],super1[Bairro],mercado11)+SUMIFS(supercb[Qtde],supercb[Item],tab_alimentos[[#This Row],[Item]],supercb[Bairro],mercado11)</f>
        <v>0</v>
      </c>
      <c r="W102" s="27" t="n">
        <f aca="false">SUMIFS(super1[Qtde],super1[Item],tab_alimentos[[#This Row],[Item]],super1[Bairro],mercado12)+SUMIFS(supercb[Qtde],supercb[Item],tab_alimentos[[#This Row],[Item]],supercb[Bairro],mercado12)</f>
        <v>0</v>
      </c>
      <c r="X102" s="27" t="n">
        <f aca="false">SUMIFS(super1[Qtde],super1[Item],tab_alimentos[[#This Row],[Item]],super1[Bairro],mercado13)+SUMIFS(supercb[Qtde],supercb[Item],tab_alimentos[[#This Row],[Item]],supercb[Bairro],mercado13)</f>
        <v>0</v>
      </c>
      <c r="Y102" s="27" t="n">
        <f aca="false">SUMIFS(super1[Qtde],super1[Item],tab_alimentos[[#This Row],[Item]],super1[Bairro],mercado14)+SUMIFS(supercb[Qtde],supercb[Item],tab_alimentos[[#This Row],[Item]],supercb[Bairro],mercado14)</f>
        <v>0</v>
      </c>
      <c r="Z102" s="27" t="n">
        <f aca="false">SUMIFS(super1[Qtde],super1[Item],tab_alimentos[[#This Row],[Item]],super1[Bairro],mercado15)+SUMIFS(supercb[Qtde],supercb[Item],tab_alimentos[[#This Row],[Item]],supercb[Bairro],mercado15)</f>
        <v>0</v>
      </c>
      <c r="AA102" s="27" t="n">
        <f aca="false">SUMIFS(super1[Qtde],super1[Item],tab_alimentos[[#This Row],[Item]],super1[Bairro],mercado16)+SUMIFS(supercb[Qtde],supercb[Item],tab_alimentos[[#This Row],[Item]],supercb[Bairro],mercado16)</f>
        <v>0</v>
      </c>
      <c r="AB102" s="27" t="n">
        <f aca="false">SUMIFS(super1[Qtde],super1[Item],tab_alimentos[[#This Row],[Item]],super1[Bairro],mercado17)+SUMIFS(supercb[Qtde],supercb[Item],tab_alimentos[[#This Row],[Item]],supercb[Bairro],mercado17)</f>
        <v>0</v>
      </c>
      <c r="AC102" s="27" t="n">
        <f aca="false">SUMIFS(super1[Qtde],super1[Item],tab_alimentos[[#This Row],[Item]],super1[Bairro],mercado18)+SUMIFS(supercb[Qtde],supercb[Item],tab_alimentos[[#This Row],[Item]],supercb[Bairro],mercado18)</f>
        <v>0</v>
      </c>
      <c r="AD102" s="27" t="n">
        <f aca="false">SUMIFS(super1[Qtde],super1[Item],tab_alimentos[[#This Row],[Item]],super1[Bairro],extras)+SUMIFS(supercb[Qtde],supercb[Item],tab_alimentos[[#This Row],[Item]],supercb[Bairro],extras)</f>
        <v>0</v>
      </c>
      <c r="AE102" s="27" t="n">
        <f aca="false">SUM(L102:AC102)</f>
        <v>0</v>
      </c>
      <c r="AF102" s="27" t="n">
        <f aca="false">IFERROR(AE102*K102,0)</f>
        <v>0</v>
      </c>
      <c r="AG102" s="28" t="n">
        <f aca="false">IFERROR(J102*AE102,0)</f>
        <v>0</v>
      </c>
      <c r="AH102" s="26" t="str">
        <f aca="false">higiene[[#This Row],[Item]]</f>
        <v>Fraldas Infantis (28un)</v>
      </c>
      <c r="AI102" s="27" t="n">
        <f aca="false">IFERROR(higiene[[#This Row],[Kg equivalente]],0)</f>
        <v>7.84322645957948</v>
      </c>
      <c r="AJ102" s="27" t="n">
        <f aca="false">IFERROR(higiene[[#This Row],[Preço por produto]],0)</f>
        <v>25.98</v>
      </c>
      <c r="AK102" s="27" t="n">
        <f aca="false">SUMIFS(super1[Qtde],super1[Item],tab_higiene[[#This Row],[Item]],super1[Bairro],mercado1)+SUMIFS(supercb[Qtde],supercb[Item],tab_higiene[[#This Row],[Item]],supercb[Bairro],mercado1)</f>
        <v>0</v>
      </c>
      <c r="AL102" s="27" t="n">
        <f aca="false">SUMIFS(super1[Qtde],super1[Item],tab_higiene[[#This Row],[Item]],super1[Bairro],mercado2)+SUMIFS(supercb[Qtde],supercb[Item],tab_higiene[[#This Row],[Item]],supercb[Bairro],mercado2)</f>
        <v>0</v>
      </c>
      <c r="AM102" s="27" t="n">
        <f aca="false">SUMIFS(super1[Qtde],super1[Item],tab_higiene[[#This Row],[Item]],super1[Bairro],mercado3)+SUMIFS(supercb[Qtde],supercb[Item],tab_higiene[[#This Row],[Item]],supercb[Bairro],mercado3)</f>
        <v>0</v>
      </c>
      <c r="AN102" s="27" t="n">
        <f aca="false">SUMIFS(super1[Qtde],super1[Item],tab_higiene[[#This Row],[Item]],super1[Bairro],mercado4)+SUMIFS(supercb[Qtde],supercb[Item],tab_higiene[[#This Row],[Item]],supercb[Bairro],mercado4)</f>
        <v>0</v>
      </c>
      <c r="AO102" s="27" t="n">
        <f aca="false">SUMIFS(super1[Qtde],super1[Item],tab_higiene[[#This Row],[Item]],super1[Bairro],mercado5)+SUMIFS(supercb[Qtde],supercb[Item],tab_higiene[[#This Row],[Item]],supercb[Bairro],mercado5)</f>
        <v>0</v>
      </c>
      <c r="AP102" s="27" t="n">
        <f aca="false">SUMIFS(super1[Qtde],super1[Item],tab_higiene[[#This Row],[Item]],super1[Bairro],mercado6)+SUMIFS(supercb[Qtde],supercb[Item],tab_higiene[[#This Row],[Item]],supercb[Bairro],mercado6)</f>
        <v>0</v>
      </c>
      <c r="AQ102" s="27" t="n">
        <f aca="false">SUMIFS(super1[Qtde],super1[Item],tab_higiene[[#This Row],[Item]],super1[Bairro],mercado7)+SUMIFS(supercb[Qtde],supercb[Item],tab_higiene[[#This Row],[Item]],supercb[Bairro],mercado7)</f>
        <v>0</v>
      </c>
      <c r="AR102" s="27" t="n">
        <f aca="false">SUMIFS(super1[Qtde],super1[Item],tab_higiene[[#This Row],[Item]],super1[Bairro],mercado8)+SUMIFS(supercb[Qtde],supercb[Item],tab_higiene[[#This Row],[Item]],supercb[Bairro],mercado8)</f>
        <v>0</v>
      </c>
      <c r="AS102" s="27" t="n">
        <f aca="false">SUMIFS(super1[Qtde],super1[Item],tab_higiene[[#This Row],[Item]],super1[Bairro],mercado9)+SUMIFS(supercb[Qtde],supercb[Item],tab_higiene[[#This Row],[Item]],supercb[Bairro],mercado9)</f>
        <v>0</v>
      </c>
      <c r="AT102" s="27" t="n">
        <f aca="false">SUMIFS(super1[Qtde],super1[Item],tab_higiene[[#This Row],[Item]],super1[Bairro],mercado10)+SUMIFS(supercb[Qtde],supercb[Item],tab_higiene[[#This Row],[Item]],supercb[Bairro],mercado10)</f>
        <v>0</v>
      </c>
      <c r="AU102" s="27" t="n">
        <f aca="false">SUMIFS(super1[Qtde],super1[Item],tab_higiene[[#This Row],[Item]],super1[Bairro],mercado11)+SUMIFS(supercb[Qtde],supercb[Item],tab_higiene[[#This Row],[Item]],supercb[Bairro],mercado11)</f>
        <v>0</v>
      </c>
      <c r="AV102" s="27" t="n">
        <f aca="false">SUMIFS(super1[Qtde],super1[Item],tab_higiene[[#This Row],[Item]],super1[Bairro],mercado12)+SUMIFS(supercb[Qtde],supercb[Item],tab_higiene[[#This Row],[Item]],supercb[Bairro],mercado12)</f>
        <v>0</v>
      </c>
      <c r="AW102" s="27" t="n">
        <f aca="false">SUMIFS(super1[Qtde],super1[Item],tab_higiene[[#This Row],[Item]],super1[Bairro],mercado13)+SUMIFS(supercb[Qtde],supercb[Item],tab_higiene[[#This Row],[Item]],supercb[Bairro],mercado13)</f>
        <v>0</v>
      </c>
      <c r="AX102" s="27" t="n">
        <f aca="false">SUMIFS(super1[Qtde],super1[Item],tab_higiene[[#This Row],[Item]],super1[Bairro],mercado14)+SUMIFS(supercb[Qtde],supercb[Item],tab_higiene[[#This Row],[Item]],supercb[Bairro],mercado14)</f>
        <v>0</v>
      </c>
      <c r="AY102" s="27" t="n">
        <f aca="false">SUMIFS(super1[Qtde],super1[Item],tab_higiene[[#This Row],[Item]],super1[Bairro],mercado15)+SUMIFS(supercb[Qtde],supercb[Item],tab_higiene[[#This Row],[Item]],supercb[Bairro],mercado15)</f>
        <v>0</v>
      </c>
      <c r="AZ102" s="27" t="n">
        <f aca="false">SUMIFS(super1[Qtde],super1[Item],tab_higiene[[#This Row],[Item]],super1[Bairro],mercado16)+SUMIFS(supercb[Qtde],supercb[Item],tab_higiene[[#This Row],[Item]],supercb[Bairro],mercado16)</f>
        <v>0</v>
      </c>
      <c r="BA102" s="27" t="n">
        <f aca="false">SUMIFS(super1[Qtde],super1[Item],tab_higiene[[#This Row],[Item]],super1[Bairro],mercado17)+SUMIFS(supercb[Qtde],supercb[Item],tab_higiene[[#This Row],[Item]],supercb[Bairro],mercado17)</f>
        <v>0</v>
      </c>
      <c r="BB102" s="27" t="n">
        <f aca="false">SUMIFS(super1[Qtde],super1[Item],tab_higiene[[#This Row],[Item]],super1[Bairro],mercado18)+SUMIFS(supercb[Qtde],supercb[Item],tab_higiene[[#This Row],[Item]],supercb[Bairro],mercado18)</f>
        <v>0</v>
      </c>
      <c r="BC102" s="27" t="n">
        <f aca="false">SUMIFS(super1[Qtde],super1[Item],tab_higiene[[#This Row],[Item]],super1[Bairro],extras)+SUMIFS(supercb[Qtde],supercb[Item],tab_higiene[[#This Row],[Item]],supercb[Bairro],extras)</f>
        <v>0</v>
      </c>
      <c r="BD102" s="27" t="n">
        <f aca="false">SUM(AK102:BB102)</f>
        <v>0</v>
      </c>
      <c r="BE102" s="27" t="n">
        <f aca="false">IFERROR(BD102*AJ102,0)</f>
        <v>0</v>
      </c>
      <c r="BF102" s="28" t="n">
        <f aca="false">IFERROR(AI102*BD102,0)</f>
        <v>0</v>
      </c>
      <c r="BI102" s="22" t="str">
        <f aca="false">tab_alimentos[[#This Row],[Item]]</f>
        <v>Doces (bala - 70 g)</v>
      </c>
      <c r="BJ102" s="22" t="n">
        <f aca="false">IFERROR(FIND(" (",BI102),0)</f>
        <v>6</v>
      </c>
      <c r="BK102" s="22" t="str">
        <f aca="false">IF(BJ102=0,BI102,LEFT(BI102,BJ102-1))</f>
        <v>Doces</v>
      </c>
      <c r="BL102" s="22" t="n">
        <f aca="false">tab_alimentos[[#This Row],[kg]]</f>
        <v>0</v>
      </c>
      <c r="BN102" s="22" t="n">
        <f aca="false">SUMIF($BJ$5:$BJ$158,BM102,$BK$5:$BK$158)</f>
        <v>0</v>
      </c>
      <c r="BP102" s="22" t="str">
        <f aca="false">tab_higiene[[#This Row],[Item]]</f>
        <v>Fraldas Infantis (28un)</v>
      </c>
      <c r="BQ102" s="22" t="n">
        <f aca="false">IFERROR(FIND(" (",BP102),0)</f>
        <v>17</v>
      </c>
      <c r="BR102" s="22" t="str">
        <f aca="false">IF(BQ102=0,BP102,LEFT(BP102,BQ102-1))</f>
        <v>Fraldas Infantis</v>
      </c>
      <c r="BS102" s="22" t="n">
        <f aca="false">higiene[[#This Row],[Quantidade]]</f>
        <v>1</v>
      </c>
      <c r="BT102" s="22" t="n">
        <f aca="false">tab_higiene[Qtde (tot)]</f>
        <v>0</v>
      </c>
      <c r="BU102" s="22" t="n">
        <f aca="false">BS102*BT102</f>
        <v>0</v>
      </c>
      <c r="BW102" s="22" t="n">
        <f aca="false">SUMIF($BR$5:$BR$142,BV102,$BU$5:$BU$142)</f>
        <v>0</v>
      </c>
    </row>
    <row r="103" customFormat="false" ht="15" hidden="false" customHeight="false" outlineLevel="0" collapsed="false">
      <c r="I103" s="26" t="str">
        <f aca="false">alimentos[[#This Row],[Item]]</f>
        <v>E</v>
      </c>
      <c r="J103" s="27" t="n">
        <f aca="false">IFERROR(alimentos[[#This Row],[kg/embalagem]],0)</f>
        <v>0</v>
      </c>
      <c r="K103" s="27" t="n">
        <f aca="false">IFERROR(alimentos[[#This Row],[Preço]],0)</f>
        <v>0</v>
      </c>
      <c r="L103" s="27" t="n">
        <f aca="false">SUMIFS(super1[Qtde],super1[Item],tab_alimentos[[#This Row],[Item]],super1[Bairro],mercado1)+SUMIFS(supercb[Qtde],supercb[Item],tab_alimentos[[#This Row],[Item]],supercb[Bairro],mercado1)</f>
        <v>0</v>
      </c>
      <c r="M103" s="27" t="n">
        <f aca="false">SUMIFS(super1[Qtde],super1[Item],tab_alimentos[[#This Row],[Item]],super1[Bairro],mercado2)+SUMIFS(supercb[Qtde],supercb[Item],tab_alimentos[[#This Row],[Item]],supercb[Bairro],mercado2)</f>
        <v>0</v>
      </c>
      <c r="N103" s="27" t="n">
        <f aca="false">SUMIFS(super1[Qtde],super1[Item],tab_alimentos[[#This Row],[Item]],super1[Bairro],mercado3)+SUMIFS(supercb[Qtde],supercb[Item],tab_alimentos[[#This Row],[Item]],supercb[Bairro],mercado3)</f>
        <v>0</v>
      </c>
      <c r="O103" s="27" t="n">
        <f aca="false">SUMIFS(super1[Qtde],super1[Item],tab_alimentos[[#This Row],[Item]],super1[Bairro],mercado4)+SUMIFS(supercb[Qtde],supercb[Item],tab_alimentos[[#This Row],[Item]],supercb[Bairro],mercado4)</f>
        <v>0</v>
      </c>
      <c r="P103" s="27" t="n">
        <f aca="false">SUMIFS(super1[Qtde],super1[Item],tab_alimentos[[#This Row],[Item]],super1[Bairro],mercado5)+SUMIFS(supercb[Qtde],supercb[Item],tab_alimentos[[#This Row],[Item]],supercb[Bairro],mercado5)</f>
        <v>0</v>
      </c>
      <c r="Q103" s="27" t="n">
        <f aca="false">SUMIFS(super1[Qtde],super1[Item],tab_alimentos[[#This Row],[Item]],super1[Bairro],mercado6)+SUMIFS(supercb[Qtde],supercb[Item],tab_alimentos[[#This Row],[Item]],supercb[Bairro],mercado6)</f>
        <v>0</v>
      </c>
      <c r="R103" s="27" t="n">
        <f aca="false">SUMIFS(super1[Qtde],super1[Item],tab_alimentos[[#This Row],[Item]],super1[Bairro],mercado7)+SUMIFS(supercb[Qtde],supercb[Item],tab_alimentos[[#This Row],[Item]],supercb[Bairro],mercado7)</f>
        <v>0</v>
      </c>
      <c r="S103" s="27" t="n">
        <f aca="false">SUMIFS(super1[Qtde],super1[Item],tab_alimentos[[#This Row],[Item]],super1[Bairro],mercado8)+SUMIFS(supercb[Qtde],supercb[Item],tab_alimentos[[#This Row],[Item]],supercb[Bairro],mercado8)</f>
        <v>0</v>
      </c>
      <c r="T103" s="27" t="n">
        <f aca="false">SUMIFS(super1[Qtde],super1[Item],tab_alimentos[[#This Row],[Item]],super1[Bairro],mercado9)+SUMIFS(supercb[Qtde],supercb[Item],tab_alimentos[[#This Row],[Item]],supercb[Bairro],mercado9)</f>
        <v>0</v>
      </c>
      <c r="U103" s="27" t="n">
        <f aca="false">SUMIFS(super1[Qtde],super1[Item],tab_alimentos[[#This Row],[Item]],super1[Bairro],mercado10)+SUMIFS(supercb[Qtde],supercb[Item],tab_alimentos[[#This Row],[Item]],supercb[Bairro],mercado10)</f>
        <v>0</v>
      </c>
      <c r="V103" s="27" t="n">
        <f aca="false">SUMIFS(super1[Qtde],super1[Item],tab_alimentos[[#This Row],[Item]],super1[Bairro],mercado11)+SUMIFS(supercb[Qtde],supercb[Item],tab_alimentos[[#This Row],[Item]],supercb[Bairro],mercado11)</f>
        <v>0</v>
      </c>
      <c r="W103" s="27" t="n">
        <f aca="false">SUMIFS(super1[Qtde],super1[Item],tab_alimentos[[#This Row],[Item]],super1[Bairro],mercado12)+SUMIFS(supercb[Qtde],supercb[Item],tab_alimentos[[#This Row],[Item]],supercb[Bairro],mercado12)</f>
        <v>0</v>
      </c>
      <c r="X103" s="27" t="n">
        <f aca="false">SUMIFS(super1[Qtde],super1[Item],tab_alimentos[[#This Row],[Item]],super1[Bairro],mercado13)+SUMIFS(supercb[Qtde],supercb[Item],tab_alimentos[[#This Row],[Item]],supercb[Bairro],mercado13)</f>
        <v>0</v>
      </c>
      <c r="Y103" s="27" t="n">
        <f aca="false">SUMIFS(super1[Qtde],super1[Item],tab_alimentos[[#This Row],[Item]],super1[Bairro],mercado14)+SUMIFS(supercb[Qtde],supercb[Item],tab_alimentos[[#This Row],[Item]],supercb[Bairro],mercado14)</f>
        <v>0</v>
      </c>
      <c r="Z103" s="27" t="n">
        <f aca="false">SUMIFS(super1[Qtde],super1[Item],tab_alimentos[[#This Row],[Item]],super1[Bairro],mercado15)+SUMIFS(supercb[Qtde],supercb[Item],tab_alimentos[[#This Row],[Item]],supercb[Bairro],mercado15)</f>
        <v>0</v>
      </c>
      <c r="AA103" s="27" t="n">
        <f aca="false">SUMIFS(super1[Qtde],super1[Item],tab_alimentos[[#This Row],[Item]],super1[Bairro],mercado16)+SUMIFS(supercb[Qtde],supercb[Item],tab_alimentos[[#This Row],[Item]],supercb[Bairro],mercado16)</f>
        <v>0</v>
      </c>
      <c r="AB103" s="27" t="n">
        <f aca="false">SUMIFS(super1[Qtde],super1[Item],tab_alimentos[[#This Row],[Item]],super1[Bairro],mercado17)+SUMIFS(supercb[Qtde],supercb[Item],tab_alimentos[[#This Row],[Item]],supercb[Bairro],mercado17)</f>
        <v>0</v>
      </c>
      <c r="AC103" s="27" t="n">
        <f aca="false">SUMIFS(super1[Qtde],super1[Item],tab_alimentos[[#This Row],[Item]],super1[Bairro],mercado18)+SUMIFS(supercb[Qtde],supercb[Item],tab_alimentos[[#This Row],[Item]],supercb[Bairro],mercado18)</f>
        <v>0</v>
      </c>
      <c r="AD103" s="27" t="n">
        <f aca="false">SUMIFS(super1[Qtde],super1[Item],tab_alimentos[[#This Row],[Item]],super1[Bairro],extras)+SUMIFS(supercb[Qtde],supercb[Item],tab_alimentos[[#This Row],[Item]],supercb[Bairro],extras)</f>
        <v>0</v>
      </c>
      <c r="AE103" s="27" t="n">
        <f aca="false">SUM(L103:AC103)</f>
        <v>0</v>
      </c>
      <c r="AF103" s="27" t="n">
        <f aca="false">IFERROR(AE103*K103,0)</f>
        <v>0</v>
      </c>
      <c r="AG103" s="28" t="n">
        <f aca="false">IFERROR(J103*AE103,0)</f>
        <v>0</v>
      </c>
      <c r="AH103" s="26" t="str">
        <f aca="false">higiene[[#This Row],[Item]]</f>
        <v>Fraldas Infantis (30un)</v>
      </c>
      <c r="AI103" s="27" t="n">
        <f aca="false">IFERROR(higiene[[#This Row],[Kg equivalente]],0)</f>
        <v>11.4757754347485</v>
      </c>
      <c r="AJ103" s="27" t="n">
        <f aca="false">IFERROR(higiene[[#This Row],[Preço por produto]],0)</f>
        <v>38.0125</v>
      </c>
      <c r="AK103" s="27" t="n">
        <f aca="false">SUMIFS(super1[Qtde],super1[Item],tab_higiene[[#This Row],[Item]],super1[Bairro],mercado1)+SUMIFS(supercb[Qtde],supercb[Item],tab_higiene[[#This Row],[Item]],supercb[Bairro],mercado1)</f>
        <v>0</v>
      </c>
      <c r="AL103" s="27" t="n">
        <f aca="false">SUMIFS(super1[Qtde],super1[Item],tab_higiene[[#This Row],[Item]],super1[Bairro],mercado2)+SUMIFS(supercb[Qtde],supercb[Item],tab_higiene[[#This Row],[Item]],supercb[Bairro],mercado2)</f>
        <v>0</v>
      </c>
      <c r="AM103" s="27" t="n">
        <f aca="false">SUMIFS(super1[Qtde],super1[Item],tab_higiene[[#This Row],[Item]],super1[Bairro],mercado3)+SUMIFS(supercb[Qtde],supercb[Item],tab_higiene[[#This Row],[Item]],supercb[Bairro],mercado3)</f>
        <v>0</v>
      </c>
      <c r="AN103" s="27" t="n">
        <f aca="false">SUMIFS(super1[Qtde],super1[Item],tab_higiene[[#This Row],[Item]],super1[Bairro],mercado4)+SUMIFS(supercb[Qtde],supercb[Item],tab_higiene[[#This Row],[Item]],supercb[Bairro],mercado4)</f>
        <v>0</v>
      </c>
      <c r="AO103" s="27" t="n">
        <f aca="false">SUMIFS(super1[Qtde],super1[Item],tab_higiene[[#This Row],[Item]],super1[Bairro],mercado5)+SUMIFS(supercb[Qtde],supercb[Item],tab_higiene[[#This Row],[Item]],supercb[Bairro],mercado5)</f>
        <v>0</v>
      </c>
      <c r="AP103" s="27" t="n">
        <f aca="false">SUMIFS(super1[Qtde],super1[Item],tab_higiene[[#This Row],[Item]],super1[Bairro],mercado6)+SUMIFS(supercb[Qtde],supercb[Item],tab_higiene[[#This Row],[Item]],supercb[Bairro],mercado6)</f>
        <v>0</v>
      </c>
      <c r="AQ103" s="27" t="n">
        <f aca="false">SUMIFS(super1[Qtde],super1[Item],tab_higiene[[#This Row],[Item]],super1[Bairro],mercado7)+SUMIFS(supercb[Qtde],supercb[Item],tab_higiene[[#This Row],[Item]],supercb[Bairro],mercado7)</f>
        <v>0</v>
      </c>
      <c r="AR103" s="27" t="n">
        <f aca="false">SUMIFS(super1[Qtde],super1[Item],tab_higiene[[#This Row],[Item]],super1[Bairro],mercado8)+SUMIFS(supercb[Qtde],supercb[Item],tab_higiene[[#This Row],[Item]],supercb[Bairro],mercado8)</f>
        <v>0</v>
      </c>
      <c r="AS103" s="27" t="n">
        <f aca="false">SUMIFS(super1[Qtde],super1[Item],tab_higiene[[#This Row],[Item]],super1[Bairro],mercado9)+SUMIFS(supercb[Qtde],supercb[Item],tab_higiene[[#This Row],[Item]],supercb[Bairro],mercado9)</f>
        <v>0</v>
      </c>
      <c r="AT103" s="27" t="n">
        <f aca="false">SUMIFS(super1[Qtde],super1[Item],tab_higiene[[#This Row],[Item]],super1[Bairro],mercado10)+SUMIFS(supercb[Qtde],supercb[Item],tab_higiene[[#This Row],[Item]],supercb[Bairro],mercado10)</f>
        <v>0</v>
      </c>
      <c r="AU103" s="27" t="n">
        <f aca="false">SUMIFS(super1[Qtde],super1[Item],tab_higiene[[#This Row],[Item]],super1[Bairro],mercado11)+SUMIFS(supercb[Qtde],supercb[Item],tab_higiene[[#This Row],[Item]],supercb[Bairro],mercado11)</f>
        <v>0</v>
      </c>
      <c r="AV103" s="27" t="n">
        <f aca="false">SUMIFS(super1[Qtde],super1[Item],tab_higiene[[#This Row],[Item]],super1[Bairro],mercado12)+SUMIFS(supercb[Qtde],supercb[Item],tab_higiene[[#This Row],[Item]],supercb[Bairro],mercado12)</f>
        <v>0</v>
      </c>
      <c r="AW103" s="27" t="n">
        <f aca="false">SUMIFS(super1[Qtde],super1[Item],tab_higiene[[#This Row],[Item]],super1[Bairro],mercado13)+SUMIFS(supercb[Qtde],supercb[Item],tab_higiene[[#This Row],[Item]],supercb[Bairro],mercado13)</f>
        <v>0</v>
      </c>
      <c r="AX103" s="27" t="n">
        <f aca="false">SUMIFS(super1[Qtde],super1[Item],tab_higiene[[#This Row],[Item]],super1[Bairro],mercado14)+SUMIFS(supercb[Qtde],supercb[Item],tab_higiene[[#This Row],[Item]],supercb[Bairro],mercado14)</f>
        <v>0</v>
      </c>
      <c r="AY103" s="27" t="n">
        <f aca="false">SUMIFS(super1[Qtde],super1[Item],tab_higiene[[#This Row],[Item]],super1[Bairro],mercado15)+SUMIFS(supercb[Qtde],supercb[Item],tab_higiene[[#This Row],[Item]],supercb[Bairro],mercado15)</f>
        <v>0</v>
      </c>
      <c r="AZ103" s="27" t="n">
        <f aca="false">SUMIFS(super1[Qtde],super1[Item],tab_higiene[[#This Row],[Item]],super1[Bairro],mercado16)+SUMIFS(supercb[Qtde],supercb[Item],tab_higiene[[#This Row],[Item]],supercb[Bairro],mercado16)</f>
        <v>0</v>
      </c>
      <c r="BA103" s="27" t="n">
        <f aca="false">SUMIFS(super1[Qtde],super1[Item],tab_higiene[[#This Row],[Item]],super1[Bairro],mercado17)+SUMIFS(supercb[Qtde],supercb[Item],tab_higiene[[#This Row],[Item]],supercb[Bairro],mercado17)</f>
        <v>0</v>
      </c>
      <c r="BB103" s="27" t="n">
        <f aca="false">SUMIFS(super1[Qtde],super1[Item],tab_higiene[[#This Row],[Item]],super1[Bairro],mercado18)+SUMIFS(supercb[Qtde],supercb[Item],tab_higiene[[#This Row],[Item]],supercb[Bairro],mercado18)</f>
        <v>0</v>
      </c>
      <c r="BC103" s="27" t="n">
        <f aca="false">SUMIFS(super1[Qtde],super1[Item],tab_higiene[[#This Row],[Item]],super1[Bairro],extras)+SUMIFS(supercb[Qtde],supercb[Item],tab_higiene[[#This Row],[Item]],supercb[Bairro],extras)</f>
        <v>0</v>
      </c>
      <c r="BD103" s="27" t="n">
        <f aca="false">SUM(AK103:BB103)</f>
        <v>0</v>
      </c>
      <c r="BE103" s="27" t="n">
        <f aca="false">IFERROR(BD103*AJ103,0)</f>
        <v>0</v>
      </c>
      <c r="BF103" s="28" t="n">
        <f aca="false">IFERROR(AI103*BD103,0)</f>
        <v>0</v>
      </c>
      <c r="BI103" s="22" t="str">
        <f aca="false">tab_alimentos[[#This Row],[Item]]</f>
        <v>E</v>
      </c>
      <c r="BJ103" s="22" t="n">
        <f aca="false">IFERROR(FIND(" (",BI103),0)</f>
        <v>0</v>
      </c>
      <c r="BK103" s="22" t="str">
        <f aca="false">IF(BJ103=0,BI103,LEFT(BI103,BJ103-1))</f>
        <v>E</v>
      </c>
      <c r="BL103" s="22" t="n">
        <f aca="false">tab_alimentos[[#This Row],[kg]]</f>
        <v>0</v>
      </c>
      <c r="BN103" s="22" t="n">
        <f aca="false">SUMIF($BJ$5:$BJ$158,BM103,$BK$5:$BK$158)</f>
        <v>0</v>
      </c>
      <c r="BP103" s="22" t="str">
        <f aca="false">tab_higiene[[#This Row],[Item]]</f>
        <v>Fraldas Infantis (30un)</v>
      </c>
      <c r="BQ103" s="22" t="n">
        <f aca="false">IFERROR(FIND(" (",BP103),0)</f>
        <v>17</v>
      </c>
      <c r="BR103" s="22" t="str">
        <f aca="false">IF(BQ103=0,BP103,LEFT(BP103,BQ103-1))</f>
        <v>Fraldas Infantis</v>
      </c>
      <c r="BS103" s="22" t="n">
        <f aca="false">higiene[[#This Row],[Quantidade]]</f>
        <v>1</v>
      </c>
      <c r="BT103" s="22" t="n">
        <f aca="false">tab_higiene[Qtde (tot)]</f>
        <v>0</v>
      </c>
      <c r="BU103" s="22" t="n">
        <f aca="false">BS103*BT103</f>
        <v>0</v>
      </c>
      <c r="BW103" s="22" t="n">
        <f aca="false">SUMIF($BR$5:$BR$142,BV103,$BU$5:$BU$142)</f>
        <v>0</v>
      </c>
    </row>
    <row r="104" customFormat="false" ht="15" hidden="false" customHeight="false" outlineLevel="0" collapsed="false">
      <c r="I104" s="26" t="str">
        <f aca="false">alimentos[[#This Row],[Item]]</f>
        <v>Ervilha (Sachê)</v>
      </c>
      <c r="J104" s="27" t="n">
        <f aca="false">IFERROR(alimentos[[#This Row],[kg/embalagem]],0)</f>
        <v>0.3</v>
      </c>
      <c r="K104" s="27" t="n">
        <f aca="false">IFERROR(alimentos[[#This Row],[Preço]],0)</f>
        <v>1.69</v>
      </c>
      <c r="L104" s="27" t="n">
        <f aca="false">SUMIFS(super1[Qtde],super1[Item],tab_alimentos[[#This Row],[Item]],super1[Bairro],mercado1)+SUMIFS(supercb[Qtde],supercb[Item],tab_alimentos[[#This Row],[Item]],supercb[Bairro],mercado1)</f>
        <v>0</v>
      </c>
      <c r="M104" s="27" t="n">
        <f aca="false">SUMIFS(super1[Qtde],super1[Item],tab_alimentos[[#This Row],[Item]],super1[Bairro],mercado2)+SUMIFS(supercb[Qtde],supercb[Item],tab_alimentos[[#This Row],[Item]],supercb[Bairro],mercado2)</f>
        <v>0</v>
      </c>
      <c r="N104" s="27" t="n">
        <f aca="false">SUMIFS(super1[Qtde],super1[Item],tab_alimentos[[#This Row],[Item]],super1[Bairro],mercado3)+SUMIFS(supercb[Qtde],supercb[Item],tab_alimentos[[#This Row],[Item]],supercb[Bairro],mercado3)</f>
        <v>0</v>
      </c>
      <c r="O104" s="27" t="n">
        <f aca="false">SUMIFS(super1[Qtde],super1[Item],tab_alimentos[[#This Row],[Item]],super1[Bairro],mercado4)+SUMIFS(supercb[Qtde],supercb[Item],tab_alimentos[[#This Row],[Item]],supercb[Bairro],mercado4)</f>
        <v>0</v>
      </c>
      <c r="P104" s="27" t="n">
        <f aca="false">SUMIFS(super1[Qtde],super1[Item],tab_alimentos[[#This Row],[Item]],super1[Bairro],mercado5)+SUMIFS(supercb[Qtde],supercb[Item],tab_alimentos[[#This Row],[Item]],supercb[Bairro],mercado5)</f>
        <v>0</v>
      </c>
      <c r="Q104" s="27" t="n">
        <f aca="false">SUMIFS(super1[Qtde],super1[Item],tab_alimentos[[#This Row],[Item]],super1[Bairro],mercado6)+SUMIFS(supercb[Qtde],supercb[Item],tab_alimentos[[#This Row],[Item]],supercb[Bairro],mercado6)</f>
        <v>0</v>
      </c>
      <c r="R104" s="27" t="n">
        <f aca="false">SUMIFS(super1[Qtde],super1[Item],tab_alimentos[[#This Row],[Item]],super1[Bairro],mercado7)+SUMIFS(supercb[Qtde],supercb[Item],tab_alimentos[[#This Row],[Item]],supercb[Bairro],mercado7)</f>
        <v>0</v>
      </c>
      <c r="S104" s="27" t="n">
        <f aca="false">SUMIFS(super1[Qtde],super1[Item],tab_alimentos[[#This Row],[Item]],super1[Bairro],mercado8)+SUMIFS(supercb[Qtde],supercb[Item],tab_alimentos[[#This Row],[Item]],supercb[Bairro],mercado8)</f>
        <v>0</v>
      </c>
      <c r="T104" s="27" t="n">
        <f aca="false">SUMIFS(super1[Qtde],super1[Item],tab_alimentos[[#This Row],[Item]],super1[Bairro],mercado9)+SUMIFS(supercb[Qtde],supercb[Item],tab_alimentos[[#This Row],[Item]],supercb[Bairro],mercado9)</f>
        <v>0</v>
      </c>
      <c r="U104" s="27" t="n">
        <f aca="false">SUMIFS(super1[Qtde],super1[Item],tab_alimentos[[#This Row],[Item]],super1[Bairro],mercado10)+SUMIFS(supercb[Qtde],supercb[Item],tab_alimentos[[#This Row],[Item]],supercb[Bairro],mercado10)</f>
        <v>0</v>
      </c>
      <c r="V104" s="27" t="n">
        <f aca="false">SUMIFS(super1[Qtde],super1[Item],tab_alimentos[[#This Row],[Item]],super1[Bairro],mercado11)+SUMIFS(supercb[Qtde],supercb[Item],tab_alimentos[[#This Row],[Item]],supercb[Bairro],mercado11)</f>
        <v>0</v>
      </c>
      <c r="W104" s="27" t="n">
        <f aca="false">SUMIFS(super1[Qtde],super1[Item],tab_alimentos[[#This Row],[Item]],super1[Bairro],mercado12)+SUMIFS(supercb[Qtde],supercb[Item],tab_alimentos[[#This Row],[Item]],supercb[Bairro],mercado12)</f>
        <v>0</v>
      </c>
      <c r="X104" s="27" t="n">
        <f aca="false">SUMIFS(super1[Qtde],super1[Item],tab_alimentos[[#This Row],[Item]],super1[Bairro],mercado13)+SUMIFS(supercb[Qtde],supercb[Item],tab_alimentos[[#This Row],[Item]],supercb[Bairro],mercado13)</f>
        <v>0</v>
      </c>
      <c r="Y104" s="27" t="n">
        <f aca="false">SUMIFS(super1[Qtde],super1[Item],tab_alimentos[[#This Row],[Item]],super1[Bairro],mercado14)+SUMIFS(supercb[Qtde],supercb[Item],tab_alimentos[[#This Row],[Item]],supercb[Bairro],mercado14)</f>
        <v>0</v>
      </c>
      <c r="Z104" s="27" t="n">
        <f aca="false">SUMIFS(super1[Qtde],super1[Item],tab_alimentos[[#This Row],[Item]],super1[Bairro],mercado15)+SUMIFS(supercb[Qtde],supercb[Item],tab_alimentos[[#This Row],[Item]],supercb[Bairro],mercado15)</f>
        <v>0</v>
      </c>
      <c r="AA104" s="27" t="n">
        <f aca="false">SUMIFS(super1[Qtde],super1[Item],tab_alimentos[[#This Row],[Item]],super1[Bairro],mercado16)+SUMIFS(supercb[Qtde],supercb[Item],tab_alimentos[[#This Row],[Item]],supercb[Bairro],mercado16)</f>
        <v>0</v>
      </c>
      <c r="AB104" s="27" t="n">
        <f aca="false">SUMIFS(super1[Qtde],super1[Item],tab_alimentos[[#This Row],[Item]],super1[Bairro],mercado17)+SUMIFS(supercb[Qtde],supercb[Item],tab_alimentos[[#This Row],[Item]],supercb[Bairro],mercado17)</f>
        <v>0</v>
      </c>
      <c r="AC104" s="27" t="n">
        <f aca="false">SUMIFS(super1[Qtde],super1[Item],tab_alimentos[[#This Row],[Item]],super1[Bairro],mercado18)+SUMIFS(supercb[Qtde],supercb[Item],tab_alimentos[[#This Row],[Item]],supercb[Bairro],mercado18)</f>
        <v>0</v>
      </c>
      <c r="AD104" s="27" t="n">
        <f aca="false">SUMIFS(super1[Qtde],super1[Item],tab_alimentos[[#This Row],[Item]],super1[Bairro],extras)+SUMIFS(supercb[Qtde],supercb[Item],tab_alimentos[[#This Row],[Item]],supercb[Bairro],extras)</f>
        <v>0</v>
      </c>
      <c r="AE104" s="27" t="n">
        <f aca="false">SUM(L104:AC104)</f>
        <v>0</v>
      </c>
      <c r="AF104" s="27" t="n">
        <f aca="false">IFERROR(AE104*K104,0)</f>
        <v>0</v>
      </c>
      <c r="AG104" s="28" t="n">
        <f aca="false">IFERROR(J104*AE104,0)</f>
        <v>0</v>
      </c>
      <c r="AH104" s="26" t="str">
        <f aca="false">higiene[[#This Row],[Item]]</f>
        <v>Fraldas Infantis (32un)</v>
      </c>
      <c r="AI104" s="27" t="n">
        <f aca="false">IFERROR(higiene[[#This Row],[Kg equivalente]],0)</f>
        <v>11.3859617368376</v>
      </c>
      <c r="AJ104" s="27" t="n">
        <f aca="false">IFERROR(higiene[[#This Row],[Preço por produto]],0)</f>
        <v>37.715</v>
      </c>
      <c r="AK104" s="27" t="n">
        <f aca="false">SUMIFS(super1[Qtde],super1[Item],tab_higiene[[#This Row],[Item]],super1[Bairro],mercado1)+SUMIFS(supercb[Qtde],supercb[Item],tab_higiene[[#This Row],[Item]],supercb[Bairro],mercado1)</f>
        <v>0</v>
      </c>
      <c r="AL104" s="27" t="n">
        <f aca="false">SUMIFS(super1[Qtde],super1[Item],tab_higiene[[#This Row],[Item]],super1[Bairro],mercado2)+SUMIFS(supercb[Qtde],supercb[Item],tab_higiene[[#This Row],[Item]],supercb[Bairro],mercado2)</f>
        <v>0</v>
      </c>
      <c r="AM104" s="27" t="n">
        <f aca="false">SUMIFS(super1[Qtde],super1[Item],tab_higiene[[#This Row],[Item]],super1[Bairro],mercado3)+SUMIFS(supercb[Qtde],supercb[Item],tab_higiene[[#This Row],[Item]],supercb[Bairro],mercado3)</f>
        <v>0</v>
      </c>
      <c r="AN104" s="27" t="n">
        <f aca="false">SUMIFS(super1[Qtde],super1[Item],tab_higiene[[#This Row],[Item]],super1[Bairro],mercado4)+SUMIFS(supercb[Qtde],supercb[Item],tab_higiene[[#This Row],[Item]],supercb[Bairro],mercado4)</f>
        <v>0</v>
      </c>
      <c r="AO104" s="27" t="n">
        <f aca="false">SUMIFS(super1[Qtde],super1[Item],tab_higiene[[#This Row],[Item]],super1[Bairro],mercado5)+SUMIFS(supercb[Qtde],supercb[Item],tab_higiene[[#This Row],[Item]],supercb[Bairro],mercado5)</f>
        <v>0</v>
      </c>
      <c r="AP104" s="27" t="n">
        <f aca="false">SUMIFS(super1[Qtde],super1[Item],tab_higiene[[#This Row],[Item]],super1[Bairro],mercado6)+SUMIFS(supercb[Qtde],supercb[Item],tab_higiene[[#This Row],[Item]],supercb[Bairro],mercado6)</f>
        <v>0</v>
      </c>
      <c r="AQ104" s="27" t="n">
        <f aca="false">SUMIFS(super1[Qtde],super1[Item],tab_higiene[[#This Row],[Item]],super1[Bairro],mercado7)+SUMIFS(supercb[Qtde],supercb[Item],tab_higiene[[#This Row],[Item]],supercb[Bairro],mercado7)</f>
        <v>0</v>
      </c>
      <c r="AR104" s="27" t="n">
        <f aca="false">SUMIFS(super1[Qtde],super1[Item],tab_higiene[[#This Row],[Item]],super1[Bairro],mercado8)+SUMIFS(supercb[Qtde],supercb[Item],tab_higiene[[#This Row],[Item]],supercb[Bairro],mercado8)</f>
        <v>0</v>
      </c>
      <c r="AS104" s="27" t="n">
        <f aca="false">SUMIFS(super1[Qtde],super1[Item],tab_higiene[[#This Row],[Item]],super1[Bairro],mercado9)+SUMIFS(supercb[Qtde],supercb[Item],tab_higiene[[#This Row],[Item]],supercb[Bairro],mercado9)</f>
        <v>0</v>
      </c>
      <c r="AT104" s="27" t="n">
        <f aca="false">SUMIFS(super1[Qtde],super1[Item],tab_higiene[[#This Row],[Item]],super1[Bairro],mercado10)+SUMIFS(supercb[Qtde],supercb[Item],tab_higiene[[#This Row],[Item]],supercb[Bairro],mercado10)</f>
        <v>1</v>
      </c>
      <c r="AU104" s="27" t="n">
        <f aca="false">SUMIFS(super1[Qtde],super1[Item],tab_higiene[[#This Row],[Item]],super1[Bairro],mercado11)+SUMIFS(supercb[Qtde],supercb[Item],tab_higiene[[#This Row],[Item]],supercb[Bairro],mercado11)</f>
        <v>0</v>
      </c>
      <c r="AV104" s="27" t="n">
        <f aca="false">SUMIFS(super1[Qtde],super1[Item],tab_higiene[[#This Row],[Item]],super1[Bairro],mercado12)+SUMIFS(supercb[Qtde],supercb[Item],tab_higiene[[#This Row],[Item]],supercb[Bairro],mercado12)</f>
        <v>0</v>
      </c>
      <c r="AW104" s="27" t="n">
        <f aca="false">SUMIFS(super1[Qtde],super1[Item],tab_higiene[[#This Row],[Item]],super1[Bairro],mercado13)+SUMIFS(supercb[Qtde],supercb[Item],tab_higiene[[#This Row],[Item]],supercb[Bairro],mercado13)</f>
        <v>0</v>
      </c>
      <c r="AX104" s="27" t="n">
        <f aca="false">SUMIFS(super1[Qtde],super1[Item],tab_higiene[[#This Row],[Item]],super1[Bairro],mercado14)+SUMIFS(supercb[Qtde],supercb[Item],tab_higiene[[#This Row],[Item]],supercb[Bairro],mercado14)</f>
        <v>0</v>
      </c>
      <c r="AY104" s="27" t="n">
        <f aca="false">SUMIFS(super1[Qtde],super1[Item],tab_higiene[[#This Row],[Item]],super1[Bairro],mercado15)+SUMIFS(supercb[Qtde],supercb[Item],tab_higiene[[#This Row],[Item]],supercb[Bairro],mercado15)</f>
        <v>0</v>
      </c>
      <c r="AZ104" s="27" t="n">
        <f aca="false">SUMIFS(super1[Qtde],super1[Item],tab_higiene[[#This Row],[Item]],super1[Bairro],mercado16)+SUMIFS(supercb[Qtde],supercb[Item],tab_higiene[[#This Row],[Item]],supercb[Bairro],mercado16)</f>
        <v>0</v>
      </c>
      <c r="BA104" s="27" t="n">
        <f aca="false">SUMIFS(super1[Qtde],super1[Item],tab_higiene[[#This Row],[Item]],super1[Bairro],mercado17)+SUMIFS(supercb[Qtde],supercb[Item],tab_higiene[[#This Row],[Item]],supercb[Bairro],mercado17)</f>
        <v>0</v>
      </c>
      <c r="BB104" s="27" t="n">
        <f aca="false">SUMIFS(super1[Qtde],super1[Item],tab_higiene[[#This Row],[Item]],super1[Bairro],mercado18)+SUMIFS(supercb[Qtde],supercb[Item],tab_higiene[[#This Row],[Item]],supercb[Bairro],mercado18)</f>
        <v>0</v>
      </c>
      <c r="BC104" s="27" t="n">
        <f aca="false">SUMIFS(super1[Qtde],super1[Item],tab_higiene[[#This Row],[Item]],super1[Bairro],extras)+SUMIFS(supercb[Qtde],supercb[Item],tab_higiene[[#This Row],[Item]],supercb[Bairro],extras)</f>
        <v>0</v>
      </c>
      <c r="BD104" s="27" t="n">
        <f aca="false">SUM(AK104:BB104)</f>
        <v>1</v>
      </c>
      <c r="BE104" s="27" t="n">
        <f aca="false">IFERROR(BD104*AJ104,0)</f>
        <v>37.715</v>
      </c>
      <c r="BF104" s="28" t="n">
        <f aca="false">IFERROR(AI104*BD104,0)</f>
        <v>11.3859617368376</v>
      </c>
      <c r="BI104" s="22" t="str">
        <f aca="false">tab_alimentos[[#This Row],[Item]]</f>
        <v>Ervilha (Sachê)</v>
      </c>
      <c r="BJ104" s="22" t="n">
        <f aca="false">IFERROR(FIND(" (",BI104),0)</f>
        <v>8</v>
      </c>
      <c r="BK104" s="22" t="str">
        <f aca="false">IF(BJ104=0,BI104,LEFT(BI104,BJ104-1))</f>
        <v>Ervilha</v>
      </c>
      <c r="BL104" s="22" t="n">
        <f aca="false">tab_alimentos[[#This Row],[kg]]</f>
        <v>0</v>
      </c>
      <c r="BN104" s="22" t="n">
        <f aca="false">SUMIF($BJ$5:$BJ$158,BM104,$BK$5:$BK$158)</f>
        <v>0</v>
      </c>
      <c r="BP104" s="22" t="str">
        <f aca="false">tab_higiene[[#This Row],[Item]]</f>
        <v>Fraldas Infantis (32un)</v>
      </c>
      <c r="BQ104" s="22" t="n">
        <f aca="false">IFERROR(FIND(" (",BP104),0)</f>
        <v>17</v>
      </c>
      <c r="BR104" s="22" t="str">
        <f aca="false">IF(BQ104=0,BP104,LEFT(BP104,BQ104-1))</f>
        <v>Fraldas Infantis</v>
      </c>
      <c r="BS104" s="22" t="n">
        <f aca="false">higiene[[#This Row],[Quantidade]]</f>
        <v>0</v>
      </c>
      <c r="BT104" s="22" t="n">
        <f aca="false">tab_higiene[Qtde (tot)]</f>
        <v>1</v>
      </c>
      <c r="BU104" s="22" t="n">
        <f aca="false">BS104*BT104</f>
        <v>0</v>
      </c>
      <c r="BW104" s="22" t="n">
        <f aca="false">SUMIF($BR$5:$BR$142,BV104,$BU$5:$BU$142)</f>
        <v>0</v>
      </c>
    </row>
    <row r="105" customFormat="false" ht="15" hidden="false" customHeight="false" outlineLevel="0" collapsed="false">
      <c r="I105" s="26" t="str">
        <f aca="false">alimentos[[#This Row],[Item]]</f>
        <v>Ervilha conserva (Lata)</v>
      </c>
      <c r="J105" s="27" t="n">
        <f aca="false">IFERROR(alimentos[[#This Row],[kg/embalagem]],0)</f>
        <v>0.3</v>
      </c>
      <c r="K105" s="27" t="n">
        <f aca="false">IFERROR(alimentos[[#This Row],[Preço]],0)</f>
        <v>1.50166666666667</v>
      </c>
      <c r="L105" s="27" t="n">
        <f aca="false">SUMIFS(super1[Qtde],super1[Item],tab_alimentos[[#This Row],[Item]],super1[Bairro],mercado1)+SUMIFS(supercb[Qtde],supercb[Item],tab_alimentos[[#This Row],[Item]],supercb[Bairro],mercado1)</f>
        <v>2</v>
      </c>
      <c r="M105" s="27" t="n">
        <f aca="false">SUMIFS(super1[Qtde],super1[Item],tab_alimentos[[#This Row],[Item]],super1[Bairro],mercado2)+SUMIFS(supercb[Qtde],supercb[Item],tab_alimentos[[#This Row],[Item]],supercb[Bairro],mercado2)</f>
        <v>0</v>
      </c>
      <c r="N105" s="27" t="n">
        <f aca="false">SUMIFS(super1[Qtde],super1[Item],tab_alimentos[[#This Row],[Item]],super1[Bairro],mercado3)+SUMIFS(supercb[Qtde],supercb[Item],tab_alimentos[[#This Row],[Item]],supercb[Bairro],mercado3)</f>
        <v>1</v>
      </c>
      <c r="O105" s="27" t="n">
        <f aca="false">SUMIFS(super1[Qtde],super1[Item],tab_alimentos[[#This Row],[Item]],super1[Bairro],mercado4)+SUMIFS(supercb[Qtde],supercb[Item],tab_alimentos[[#This Row],[Item]],supercb[Bairro],mercado4)</f>
        <v>0</v>
      </c>
      <c r="P105" s="27" t="n">
        <f aca="false">SUMIFS(super1[Qtde],super1[Item],tab_alimentos[[#This Row],[Item]],super1[Bairro],mercado5)+SUMIFS(supercb[Qtde],supercb[Item],tab_alimentos[[#This Row],[Item]],supercb[Bairro],mercado5)</f>
        <v>1</v>
      </c>
      <c r="Q105" s="27" t="n">
        <f aca="false">SUMIFS(super1[Qtde],super1[Item],tab_alimentos[[#This Row],[Item]],super1[Bairro],mercado6)+SUMIFS(supercb[Qtde],supercb[Item],tab_alimentos[[#This Row],[Item]],supercb[Bairro],mercado6)</f>
        <v>0</v>
      </c>
      <c r="R105" s="27" t="n">
        <f aca="false">SUMIFS(super1[Qtde],super1[Item],tab_alimentos[[#This Row],[Item]],super1[Bairro],mercado7)+SUMIFS(supercb[Qtde],supercb[Item],tab_alimentos[[#This Row],[Item]],supercb[Bairro],mercado7)</f>
        <v>1</v>
      </c>
      <c r="S105" s="27" t="n">
        <f aca="false">SUMIFS(super1[Qtde],super1[Item],tab_alimentos[[#This Row],[Item]],super1[Bairro],mercado8)+SUMIFS(supercb[Qtde],supercb[Item],tab_alimentos[[#This Row],[Item]],supercb[Bairro],mercado8)</f>
        <v>0</v>
      </c>
      <c r="T105" s="27" t="n">
        <f aca="false">SUMIFS(super1[Qtde],super1[Item],tab_alimentos[[#This Row],[Item]],super1[Bairro],mercado9)+SUMIFS(supercb[Qtde],supercb[Item],tab_alimentos[[#This Row],[Item]],supercb[Bairro],mercado9)</f>
        <v>0</v>
      </c>
      <c r="U105" s="27" t="n">
        <f aca="false">SUMIFS(super1[Qtde],super1[Item],tab_alimentos[[#This Row],[Item]],super1[Bairro],mercado10)+SUMIFS(supercb[Qtde],supercb[Item],tab_alimentos[[#This Row],[Item]],supercb[Bairro],mercado10)</f>
        <v>2</v>
      </c>
      <c r="V105" s="27" t="n">
        <f aca="false">SUMIFS(super1[Qtde],super1[Item],tab_alimentos[[#This Row],[Item]],super1[Bairro],mercado11)+SUMIFS(supercb[Qtde],supercb[Item],tab_alimentos[[#This Row],[Item]],supercb[Bairro],mercado11)</f>
        <v>1</v>
      </c>
      <c r="W105" s="27" t="n">
        <f aca="false">SUMIFS(super1[Qtde],super1[Item],tab_alimentos[[#This Row],[Item]],super1[Bairro],mercado12)+SUMIFS(supercb[Qtde],supercb[Item],tab_alimentos[[#This Row],[Item]],supercb[Bairro],mercado12)</f>
        <v>0</v>
      </c>
      <c r="X105" s="27" t="n">
        <f aca="false">SUMIFS(super1[Qtde],super1[Item],tab_alimentos[[#This Row],[Item]],super1[Bairro],mercado13)+SUMIFS(supercb[Qtde],supercb[Item],tab_alimentos[[#This Row],[Item]],supercb[Bairro],mercado13)</f>
        <v>0</v>
      </c>
      <c r="Y105" s="27" t="n">
        <f aca="false">SUMIFS(super1[Qtde],super1[Item],tab_alimentos[[#This Row],[Item]],super1[Bairro],mercado14)+SUMIFS(supercb[Qtde],supercb[Item],tab_alimentos[[#This Row],[Item]],supercb[Bairro],mercado14)</f>
        <v>0</v>
      </c>
      <c r="Z105" s="27" t="n">
        <f aca="false">SUMIFS(super1[Qtde],super1[Item],tab_alimentos[[#This Row],[Item]],super1[Bairro],mercado15)+SUMIFS(supercb[Qtde],supercb[Item],tab_alimentos[[#This Row],[Item]],supercb[Bairro],mercado15)</f>
        <v>0</v>
      </c>
      <c r="AA105" s="27" t="n">
        <f aca="false">SUMIFS(super1[Qtde],super1[Item],tab_alimentos[[#This Row],[Item]],super1[Bairro],mercado16)+SUMIFS(supercb[Qtde],supercb[Item],tab_alimentos[[#This Row],[Item]],supercb[Bairro],mercado16)</f>
        <v>0</v>
      </c>
      <c r="AB105" s="27" t="n">
        <f aca="false">SUMIFS(super1[Qtde],super1[Item],tab_alimentos[[#This Row],[Item]],super1[Bairro],mercado17)+SUMIFS(supercb[Qtde],supercb[Item],tab_alimentos[[#This Row],[Item]],supercb[Bairro],mercado17)</f>
        <v>0</v>
      </c>
      <c r="AC105" s="27" t="n">
        <f aca="false">SUMIFS(super1[Qtde],super1[Item],tab_alimentos[[#This Row],[Item]],super1[Bairro],mercado18)+SUMIFS(supercb[Qtde],supercb[Item],tab_alimentos[[#This Row],[Item]],supercb[Bairro],mercado18)</f>
        <v>0</v>
      </c>
      <c r="AD105" s="27" t="n">
        <f aca="false">SUMIFS(super1[Qtde],super1[Item],tab_alimentos[[#This Row],[Item]],super1[Bairro],extras)+SUMIFS(supercb[Qtde],supercb[Item],tab_alimentos[[#This Row],[Item]],supercb[Bairro],extras)</f>
        <v>0</v>
      </c>
      <c r="AE105" s="27" t="n">
        <f aca="false">SUM(L105:AC105)</f>
        <v>8</v>
      </c>
      <c r="AF105" s="27" t="n">
        <f aca="false">IFERROR(AE105*K105,0)</f>
        <v>12.0133333333333</v>
      </c>
      <c r="AG105" s="28" t="n">
        <f aca="false">IFERROR(J105*AE105,0)</f>
        <v>2.4</v>
      </c>
      <c r="AH105" s="26" t="str">
        <f aca="false">higiene[[#This Row],[Item]]</f>
        <v>Fraldas Infantis (34un)</v>
      </c>
      <c r="AI105" s="27" t="n">
        <f aca="false">IFERROR(higiene[[#This Row],[Kg equivalente]],0)</f>
        <v>8.29380442304839</v>
      </c>
      <c r="AJ105" s="27" t="n">
        <f aca="false">IFERROR(higiene[[#This Row],[Preço por produto]],0)</f>
        <v>27.4725</v>
      </c>
      <c r="AK105" s="27" t="n">
        <f aca="false">SUMIFS(super1[Qtde],super1[Item],tab_higiene[[#This Row],[Item]],super1[Bairro],mercado1)+SUMIFS(supercb[Qtde],supercb[Item],tab_higiene[[#This Row],[Item]],supercb[Bairro],mercado1)</f>
        <v>0</v>
      </c>
      <c r="AL105" s="27" t="n">
        <f aca="false">SUMIFS(super1[Qtde],super1[Item],tab_higiene[[#This Row],[Item]],super1[Bairro],mercado2)+SUMIFS(supercb[Qtde],supercb[Item],tab_higiene[[#This Row],[Item]],supercb[Bairro],mercado2)</f>
        <v>0</v>
      </c>
      <c r="AM105" s="27" t="n">
        <f aca="false">SUMIFS(super1[Qtde],super1[Item],tab_higiene[[#This Row],[Item]],super1[Bairro],mercado3)+SUMIFS(supercb[Qtde],supercb[Item],tab_higiene[[#This Row],[Item]],supercb[Bairro],mercado3)</f>
        <v>0</v>
      </c>
      <c r="AN105" s="27" t="n">
        <f aca="false">SUMIFS(super1[Qtde],super1[Item],tab_higiene[[#This Row],[Item]],super1[Bairro],mercado4)+SUMIFS(supercb[Qtde],supercb[Item],tab_higiene[[#This Row],[Item]],supercb[Bairro],mercado4)</f>
        <v>0</v>
      </c>
      <c r="AO105" s="27" t="n">
        <f aca="false">SUMIFS(super1[Qtde],super1[Item],tab_higiene[[#This Row],[Item]],super1[Bairro],mercado5)+SUMIFS(supercb[Qtde],supercb[Item],tab_higiene[[#This Row],[Item]],supercb[Bairro],mercado5)</f>
        <v>0</v>
      </c>
      <c r="AP105" s="27" t="n">
        <f aca="false">SUMIFS(super1[Qtde],super1[Item],tab_higiene[[#This Row],[Item]],super1[Bairro],mercado6)+SUMIFS(supercb[Qtde],supercb[Item],tab_higiene[[#This Row],[Item]],supercb[Bairro],mercado6)</f>
        <v>0</v>
      </c>
      <c r="AQ105" s="27" t="n">
        <f aca="false">SUMIFS(super1[Qtde],super1[Item],tab_higiene[[#This Row],[Item]],super1[Bairro],mercado7)+SUMIFS(supercb[Qtde],supercb[Item],tab_higiene[[#This Row],[Item]],supercb[Bairro],mercado7)</f>
        <v>0</v>
      </c>
      <c r="AR105" s="27" t="n">
        <f aca="false">SUMIFS(super1[Qtde],super1[Item],tab_higiene[[#This Row],[Item]],super1[Bairro],mercado8)+SUMIFS(supercb[Qtde],supercb[Item],tab_higiene[[#This Row],[Item]],supercb[Bairro],mercado8)</f>
        <v>0</v>
      </c>
      <c r="AS105" s="27" t="n">
        <f aca="false">SUMIFS(super1[Qtde],super1[Item],tab_higiene[[#This Row],[Item]],super1[Bairro],mercado9)+SUMIFS(supercb[Qtde],supercb[Item],tab_higiene[[#This Row],[Item]],supercb[Bairro],mercado9)</f>
        <v>0</v>
      </c>
      <c r="AT105" s="27" t="n">
        <f aca="false">SUMIFS(super1[Qtde],super1[Item],tab_higiene[[#This Row],[Item]],super1[Bairro],mercado10)+SUMIFS(supercb[Qtde],supercb[Item],tab_higiene[[#This Row],[Item]],supercb[Bairro],mercado10)</f>
        <v>0</v>
      </c>
      <c r="AU105" s="27" t="n">
        <f aca="false">SUMIFS(super1[Qtde],super1[Item],tab_higiene[[#This Row],[Item]],super1[Bairro],mercado11)+SUMIFS(supercb[Qtde],supercb[Item],tab_higiene[[#This Row],[Item]],supercb[Bairro],mercado11)</f>
        <v>0</v>
      </c>
      <c r="AV105" s="27" t="n">
        <f aca="false">SUMIFS(super1[Qtde],super1[Item],tab_higiene[[#This Row],[Item]],super1[Bairro],mercado12)+SUMIFS(supercb[Qtde],supercb[Item],tab_higiene[[#This Row],[Item]],supercb[Bairro],mercado12)</f>
        <v>0</v>
      </c>
      <c r="AW105" s="27" t="n">
        <f aca="false">SUMIFS(super1[Qtde],super1[Item],tab_higiene[[#This Row],[Item]],super1[Bairro],mercado13)+SUMIFS(supercb[Qtde],supercb[Item],tab_higiene[[#This Row],[Item]],supercb[Bairro],mercado13)</f>
        <v>0</v>
      </c>
      <c r="AX105" s="27" t="n">
        <f aca="false">SUMIFS(super1[Qtde],super1[Item],tab_higiene[[#This Row],[Item]],super1[Bairro],mercado14)+SUMIFS(supercb[Qtde],supercb[Item],tab_higiene[[#This Row],[Item]],supercb[Bairro],mercado14)</f>
        <v>0</v>
      </c>
      <c r="AY105" s="27" t="n">
        <f aca="false">SUMIFS(super1[Qtde],super1[Item],tab_higiene[[#This Row],[Item]],super1[Bairro],mercado15)+SUMIFS(supercb[Qtde],supercb[Item],tab_higiene[[#This Row],[Item]],supercb[Bairro],mercado15)</f>
        <v>0</v>
      </c>
      <c r="AZ105" s="27" t="n">
        <f aca="false">SUMIFS(super1[Qtde],super1[Item],tab_higiene[[#This Row],[Item]],super1[Bairro],mercado16)+SUMIFS(supercb[Qtde],supercb[Item],tab_higiene[[#This Row],[Item]],supercb[Bairro],mercado16)</f>
        <v>0</v>
      </c>
      <c r="BA105" s="27" t="n">
        <f aca="false">SUMIFS(super1[Qtde],super1[Item],tab_higiene[[#This Row],[Item]],super1[Bairro],mercado17)+SUMIFS(supercb[Qtde],supercb[Item],tab_higiene[[#This Row],[Item]],supercb[Bairro],mercado17)</f>
        <v>0</v>
      </c>
      <c r="BB105" s="27" t="n">
        <f aca="false">SUMIFS(super1[Qtde],super1[Item],tab_higiene[[#This Row],[Item]],super1[Bairro],mercado18)+SUMIFS(supercb[Qtde],supercb[Item],tab_higiene[[#This Row],[Item]],supercb[Bairro],mercado18)</f>
        <v>0</v>
      </c>
      <c r="BC105" s="27" t="n">
        <f aca="false">SUMIFS(super1[Qtde],super1[Item],tab_higiene[[#This Row],[Item]],super1[Bairro],extras)+SUMIFS(supercb[Qtde],supercb[Item],tab_higiene[[#This Row],[Item]],supercb[Bairro],extras)</f>
        <v>0</v>
      </c>
      <c r="BD105" s="27" t="n">
        <f aca="false">SUM(AK105:BB105)</f>
        <v>0</v>
      </c>
      <c r="BE105" s="27" t="n">
        <f aca="false">IFERROR(BD105*AJ105,0)</f>
        <v>0</v>
      </c>
      <c r="BF105" s="28" t="n">
        <f aca="false">IFERROR(AI105*BD105,0)</f>
        <v>0</v>
      </c>
      <c r="BI105" s="22" t="str">
        <f aca="false">tab_alimentos[[#This Row],[Item]]</f>
        <v>Ervilha conserva (Lata)</v>
      </c>
      <c r="BJ105" s="22" t="n">
        <f aca="false">IFERROR(FIND(" (",BI105),0)</f>
        <v>17</v>
      </c>
      <c r="BK105" s="22" t="str">
        <f aca="false">IF(BJ105=0,BI105,LEFT(BI105,BJ105-1))</f>
        <v>Ervilha conserva</v>
      </c>
      <c r="BL105" s="22" t="n">
        <f aca="false">tab_alimentos[[#This Row],[kg]]</f>
        <v>2.4</v>
      </c>
      <c r="BN105" s="22" t="n">
        <f aca="false">SUMIF($BJ$5:$BJ$158,BM105,$BK$5:$BK$158)</f>
        <v>0</v>
      </c>
      <c r="BP105" s="22" t="str">
        <f aca="false">tab_higiene[[#This Row],[Item]]</f>
        <v>Fraldas Infantis (34un)</v>
      </c>
      <c r="BQ105" s="22" t="n">
        <f aca="false">IFERROR(FIND(" (",BP105),0)</f>
        <v>17</v>
      </c>
      <c r="BR105" s="22" t="str">
        <f aca="false">IF(BQ105=0,BP105,LEFT(BP105,BQ105-1))</f>
        <v>Fraldas Infantis</v>
      </c>
      <c r="BS105" s="22" t="n">
        <f aca="false">higiene[[#This Row],[Quantidade]]</f>
        <v>1</v>
      </c>
      <c r="BT105" s="22" t="n">
        <f aca="false">tab_higiene[Qtde (tot)]</f>
        <v>0</v>
      </c>
      <c r="BU105" s="22" t="n">
        <f aca="false">BS105*BT105</f>
        <v>0</v>
      </c>
      <c r="BW105" s="22" t="n">
        <f aca="false">SUMIF($BR$5:$BR$142,BV105,$BU$5:$BU$142)</f>
        <v>0</v>
      </c>
    </row>
    <row r="106" customFormat="false" ht="15" hidden="false" customHeight="false" outlineLevel="0" collapsed="false">
      <c r="I106" s="26" t="str">
        <f aca="false">alimentos[[#This Row],[Item]]</f>
        <v>Ervilha Seca (500g)</v>
      </c>
      <c r="J106" s="27" t="n">
        <f aca="false">IFERROR(alimentos[[#This Row],[kg/embalagem]],0)</f>
        <v>0.5</v>
      </c>
      <c r="K106" s="27" t="n">
        <f aca="false">IFERROR(alimentos[[#This Row],[Preço]],0)</f>
        <v>7.04</v>
      </c>
      <c r="L106" s="27" t="n">
        <f aca="false">SUMIFS(super1[Qtde],super1[Item],tab_alimentos[[#This Row],[Item]],super1[Bairro],mercado1)+SUMIFS(supercb[Qtde],supercb[Item],tab_alimentos[[#This Row],[Item]],supercb[Bairro],mercado1)</f>
        <v>0</v>
      </c>
      <c r="M106" s="27" t="n">
        <f aca="false">SUMIFS(super1[Qtde],super1[Item],tab_alimentos[[#This Row],[Item]],super1[Bairro],mercado2)+SUMIFS(supercb[Qtde],supercb[Item],tab_alimentos[[#This Row],[Item]],supercb[Bairro],mercado2)</f>
        <v>0</v>
      </c>
      <c r="N106" s="27" t="n">
        <f aca="false">SUMIFS(super1[Qtde],super1[Item],tab_alimentos[[#This Row],[Item]],super1[Bairro],mercado3)+SUMIFS(supercb[Qtde],supercb[Item],tab_alimentos[[#This Row],[Item]],supercb[Bairro],mercado3)</f>
        <v>0</v>
      </c>
      <c r="O106" s="27" t="n">
        <f aca="false">SUMIFS(super1[Qtde],super1[Item],tab_alimentos[[#This Row],[Item]],super1[Bairro],mercado4)+SUMIFS(supercb[Qtde],supercb[Item],tab_alimentos[[#This Row],[Item]],supercb[Bairro],mercado4)</f>
        <v>0</v>
      </c>
      <c r="P106" s="27" t="n">
        <f aca="false">SUMIFS(super1[Qtde],super1[Item],tab_alimentos[[#This Row],[Item]],super1[Bairro],mercado5)+SUMIFS(supercb[Qtde],supercb[Item],tab_alimentos[[#This Row],[Item]],supercb[Bairro],mercado5)</f>
        <v>0</v>
      </c>
      <c r="Q106" s="27" t="n">
        <f aca="false">SUMIFS(super1[Qtde],super1[Item],tab_alimentos[[#This Row],[Item]],super1[Bairro],mercado6)+SUMIFS(supercb[Qtde],supercb[Item],tab_alimentos[[#This Row],[Item]],supercb[Bairro],mercado6)</f>
        <v>0</v>
      </c>
      <c r="R106" s="27" t="n">
        <f aca="false">SUMIFS(super1[Qtde],super1[Item],tab_alimentos[[#This Row],[Item]],super1[Bairro],mercado7)+SUMIFS(supercb[Qtde],supercb[Item],tab_alimentos[[#This Row],[Item]],supercb[Bairro],mercado7)</f>
        <v>0</v>
      </c>
      <c r="S106" s="27" t="n">
        <f aca="false">SUMIFS(super1[Qtde],super1[Item],tab_alimentos[[#This Row],[Item]],super1[Bairro],mercado8)+SUMIFS(supercb[Qtde],supercb[Item],tab_alimentos[[#This Row],[Item]],supercb[Bairro],mercado8)</f>
        <v>0</v>
      </c>
      <c r="T106" s="27" t="n">
        <f aca="false">SUMIFS(super1[Qtde],super1[Item],tab_alimentos[[#This Row],[Item]],super1[Bairro],mercado9)+SUMIFS(supercb[Qtde],supercb[Item],tab_alimentos[[#This Row],[Item]],supercb[Bairro],mercado9)</f>
        <v>0</v>
      </c>
      <c r="U106" s="27" t="n">
        <f aca="false">SUMIFS(super1[Qtde],super1[Item],tab_alimentos[[#This Row],[Item]],super1[Bairro],mercado10)+SUMIFS(supercb[Qtde],supercb[Item],tab_alimentos[[#This Row],[Item]],supercb[Bairro],mercado10)</f>
        <v>0</v>
      </c>
      <c r="V106" s="27" t="n">
        <f aca="false">SUMIFS(super1[Qtde],super1[Item],tab_alimentos[[#This Row],[Item]],super1[Bairro],mercado11)+SUMIFS(supercb[Qtde],supercb[Item],tab_alimentos[[#This Row],[Item]],supercb[Bairro],mercado11)</f>
        <v>0</v>
      </c>
      <c r="W106" s="27" t="n">
        <f aca="false">SUMIFS(super1[Qtde],super1[Item],tab_alimentos[[#This Row],[Item]],super1[Bairro],mercado12)+SUMIFS(supercb[Qtde],supercb[Item],tab_alimentos[[#This Row],[Item]],supercb[Bairro],mercado12)</f>
        <v>0</v>
      </c>
      <c r="X106" s="27" t="n">
        <f aca="false">SUMIFS(super1[Qtde],super1[Item],tab_alimentos[[#This Row],[Item]],super1[Bairro],mercado13)+SUMIFS(supercb[Qtde],supercb[Item],tab_alimentos[[#This Row],[Item]],supercb[Bairro],mercado13)</f>
        <v>0</v>
      </c>
      <c r="Y106" s="27" t="n">
        <f aca="false">SUMIFS(super1[Qtde],super1[Item],tab_alimentos[[#This Row],[Item]],super1[Bairro],mercado14)+SUMIFS(supercb[Qtde],supercb[Item],tab_alimentos[[#This Row],[Item]],supercb[Bairro],mercado14)</f>
        <v>0</v>
      </c>
      <c r="Z106" s="27" t="n">
        <f aca="false">SUMIFS(super1[Qtde],super1[Item],tab_alimentos[[#This Row],[Item]],super1[Bairro],mercado15)+SUMIFS(supercb[Qtde],supercb[Item],tab_alimentos[[#This Row],[Item]],supercb[Bairro],mercado15)</f>
        <v>0</v>
      </c>
      <c r="AA106" s="27" t="n">
        <f aca="false">SUMIFS(super1[Qtde],super1[Item],tab_alimentos[[#This Row],[Item]],super1[Bairro],mercado16)+SUMIFS(supercb[Qtde],supercb[Item],tab_alimentos[[#This Row],[Item]],supercb[Bairro],mercado16)</f>
        <v>0</v>
      </c>
      <c r="AB106" s="27" t="n">
        <f aca="false">SUMIFS(super1[Qtde],super1[Item],tab_alimentos[[#This Row],[Item]],super1[Bairro],mercado17)+SUMIFS(supercb[Qtde],supercb[Item],tab_alimentos[[#This Row],[Item]],supercb[Bairro],mercado17)</f>
        <v>0</v>
      </c>
      <c r="AC106" s="27" t="n">
        <f aca="false">SUMIFS(super1[Qtde],super1[Item],tab_alimentos[[#This Row],[Item]],super1[Bairro],mercado18)+SUMIFS(supercb[Qtde],supercb[Item],tab_alimentos[[#This Row],[Item]],supercb[Bairro],mercado18)</f>
        <v>0</v>
      </c>
      <c r="AD106" s="27" t="n">
        <f aca="false">SUMIFS(super1[Qtde],super1[Item],tab_alimentos[[#This Row],[Item]],super1[Bairro],extras)+SUMIFS(supercb[Qtde],supercb[Item],tab_alimentos[[#This Row],[Item]],supercb[Bairro],extras)</f>
        <v>0</v>
      </c>
      <c r="AE106" s="27" t="n">
        <f aca="false">SUM(L106:AC106)</f>
        <v>0</v>
      </c>
      <c r="AF106" s="27" t="n">
        <f aca="false">IFERROR(AE106*K106,0)</f>
        <v>0</v>
      </c>
      <c r="AG106" s="28" t="n">
        <f aca="false">IFERROR(J106*AE106,0)</f>
        <v>0</v>
      </c>
      <c r="AH106" s="26" t="str">
        <f aca="false">higiene[[#This Row],[Item]]</f>
        <v>Fraldas Infantis (36un)</v>
      </c>
      <c r="AI106" s="27" t="n">
        <f aca="false">IFERROR(higiene[[#This Row],[Kg equivalente]],0)</f>
        <v>7.21528531116049</v>
      </c>
      <c r="AJ106" s="27" t="n">
        <f aca="false">IFERROR(higiene[[#This Row],[Preço por produto]],0)</f>
        <v>23.9</v>
      </c>
      <c r="AK106" s="27" t="n">
        <f aca="false">SUMIFS(super1[Qtde],super1[Item],tab_higiene[[#This Row],[Item]],super1[Bairro],mercado1)+SUMIFS(supercb[Qtde],supercb[Item],tab_higiene[[#This Row],[Item]],supercb[Bairro],mercado1)</f>
        <v>0</v>
      </c>
      <c r="AL106" s="27" t="n">
        <f aca="false">SUMIFS(super1[Qtde],super1[Item],tab_higiene[[#This Row],[Item]],super1[Bairro],mercado2)+SUMIFS(supercb[Qtde],supercb[Item],tab_higiene[[#This Row],[Item]],supercb[Bairro],mercado2)</f>
        <v>0</v>
      </c>
      <c r="AM106" s="27" t="n">
        <f aca="false">SUMIFS(super1[Qtde],super1[Item],tab_higiene[[#This Row],[Item]],super1[Bairro],mercado3)+SUMIFS(supercb[Qtde],supercb[Item],tab_higiene[[#This Row],[Item]],supercb[Bairro],mercado3)</f>
        <v>0</v>
      </c>
      <c r="AN106" s="27" t="n">
        <f aca="false">SUMIFS(super1[Qtde],super1[Item],tab_higiene[[#This Row],[Item]],super1[Bairro],mercado4)+SUMIFS(supercb[Qtde],supercb[Item],tab_higiene[[#This Row],[Item]],supercb[Bairro],mercado4)</f>
        <v>0</v>
      </c>
      <c r="AO106" s="27" t="n">
        <f aca="false">SUMIFS(super1[Qtde],super1[Item],tab_higiene[[#This Row],[Item]],super1[Bairro],mercado5)+SUMIFS(supercb[Qtde],supercb[Item],tab_higiene[[#This Row],[Item]],supercb[Bairro],mercado5)</f>
        <v>0</v>
      </c>
      <c r="AP106" s="27" t="n">
        <f aca="false">SUMIFS(super1[Qtde],super1[Item],tab_higiene[[#This Row],[Item]],super1[Bairro],mercado6)+SUMIFS(supercb[Qtde],supercb[Item],tab_higiene[[#This Row],[Item]],supercb[Bairro],mercado6)</f>
        <v>0</v>
      </c>
      <c r="AQ106" s="27" t="n">
        <f aca="false">SUMIFS(super1[Qtde],super1[Item],tab_higiene[[#This Row],[Item]],super1[Bairro],mercado7)+SUMIFS(supercb[Qtde],supercb[Item],tab_higiene[[#This Row],[Item]],supercb[Bairro],mercado7)</f>
        <v>0</v>
      </c>
      <c r="AR106" s="27" t="n">
        <f aca="false">SUMIFS(super1[Qtde],super1[Item],tab_higiene[[#This Row],[Item]],super1[Bairro],mercado8)+SUMIFS(supercb[Qtde],supercb[Item],tab_higiene[[#This Row],[Item]],supercb[Bairro],mercado8)</f>
        <v>0</v>
      </c>
      <c r="AS106" s="27" t="n">
        <f aca="false">SUMIFS(super1[Qtde],super1[Item],tab_higiene[[#This Row],[Item]],super1[Bairro],mercado9)+SUMIFS(supercb[Qtde],supercb[Item],tab_higiene[[#This Row],[Item]],supercb[Bairro],mercado9)</f>
        <v>0</v>
      </c>
      <c r="AT106" s="27" t="n">
        <f aca="false">SUMIFS(super1[Qtde],super1[Item],tab_higiene[[#This Row],[Item]],super1[Bairro],mercado10)+SUMIFS(supercb[Qtde],supercb[Item],tab_higiene[[#This Row],[Item]],supercb[Bairro],mercado10)</f>
        <v>1</v>
      </c>
      <c r="AU106" s="27" t="n">
        <f aca="false">SUMIFS(super1[Qtde],super1[Item],tab_higiene[[#This Row],[Item]],super1[Bairro],mercado11)+SUMIFS(supercb[Qtde],supercb[Item],tab_higiene[[#This Row],[Item]],supercb[Bairro],mercado11)</f>
        <v>0</v>
      </c>
      <c r="AV106" s="27" t="n">
        <f aca="false">SUMIFS(super1[Qtde],super1[Item],tab_higiene[[#This Row],[Item]],super1[Bairro],mercado12)+SUMIFS(supercb[Qtde],supercb[Item],tab_higiene[[#This Row],[Item]],supercb[Bairro],mercado12)</f>
        <v>0</v>
      </c>
      <c r="AW106" s="27" t="n">
        <f aca="false">SUMIFS(super1[Qtde],super1[Item],tab_higiene[[#This Row],[Item]],super1[Bairro],mercado13)+SUMIFS(supercb[Qtde],supercb[Item],tab_higiene[[#This Row],[Item]],supercb[Bairro],mercado13)</f>
        <v>0</v>
      </c>
      <c r="AX106" s="27" t="n">
        <f aca="false">SUMIFS(super1[Qtde],super1[Item],tab_higiene[[#This Row],[Item]],super1[Bairro],mercado14)+SUMIFS(supercb[Qtde],supercb[Item],tab_higiene[[#This Row],[Item]],supercb[Bairro],mercado14)</f>
        <v>0</v>
      </c>
      <c r="AY106" s="27" t="n">
        <f aca="false">SUMIFS(super1[Qtde],super1[Item],tab_higiene[[#This Row],[Item]],super1[Bairro],mercado15)+SUMIFS(supercb[Qtde],supercb[Item],tab_higiene[[#This Row],[Item]],supercb[Bairro],mercado15)</f>
        <v>0</v>
      </c>
      <c r="AZ106" s="27" t="n">
        <f aca="false">SUMIFS(super1[Qtde],super1[Item],tab_higiene[[#This Row],[Item]],super1[Bairro],mercado16)+SUMIFS(supercb[Qtde],supercb[Item],tab_higiene[[#This Row],[Item]],supercb[Bairro],mercado16)</f>
        <v>0</v>
      </c>
      <c r="BA106" s="27" t="n">
        <f aca="false">SUMIFS(super1[Qtde],super1[Item],tab_higiene[[#This Row],[Item]],super1[Bairro],mercado17)+SUMIFS(supercb[Qtde],supercb[Item],tab_higiene[[#This Row],[Item]],supercb[Bairro],mercado17)</f>
        <v>0</v>
      </c>
      <c r="BB106" s="27" t="n">
        <f aca="false">SUMIFS(super1[Qtde],super1[Item],tab_higiene[[#This Row],[Item]],super1[Bairro],mercado18)+SUMIFS(supercb[Qtde],supercb[Item],tab_higiene[[#This Row],[Item]],supercb[Bairro],mercado18)</f>
        <v>0</v>
      </c>
      <c r="BC106" s="27" t="n">
        <f aca="false">SUMIFS(super1[Qtde],super1[Item],tab_higiene[[#This Row],[Item]],super1[Bairro],extras)+SUMIFS(supercb[Qtde],supercb[Item],tab_higiene[[#This Row],[Item]],supercb[Bairro],extras)</f>
        <v>0</v>
      </c>
      <c r="BD106" s="27" t="n">
        <f aca="false">SUM(AK106:BB106)</f>
        <v>1</v>
      </c>
      <c r="BE106" s="27" t="n">
        <f aca="false">IFERROR(BD106*AJ106,0)</f>
        <v>23.9</v>
      </c>
      <c r="BF106" s="28" t="n">
        <f aca="false">IFERROR(AI106*BD106,0)</f>
        <v>7.21528531116049</v>
      </c>
      <c r="BI106" s="22" t="str">
        <f aca="false">tab_alimentos[[#This Row],[Item]]</f>
        <v>Ervilha Seca (500g)</v>
      </c>
      <c r="BJ106" s="22" t="n">
        <f aca="false">IFERROR(FIND(" (",BI106),0)</f>
        <v>13</v>
      </c>
      <c r="BK106" s="22" t="str">
        <f aca="false">IF(BJ106=0,BI106,LEFT(BI106,BJ106-1))</f>
        <v>Ervilha Seca</v>
      </c>
      <c r="BL106" s="22" t="n">
        <f aca="false">tab_alimentos[[#This Row],[kg]]</f>
        <v>0</v>
      </c>
      <c r="BN106" s="22" t="n">
        <f aca="false">SUMIF($BJ$5:$BJ$158,BM106,$BK$5:$BK$158)</f>
        <v>0</v>
      </c>
      <c r="BP106" s="22" t="str">
        <f aca="false">tab_higiene[[#This Row],[Item]]</f>
        <v>Fraldas Infantis (36un)</v>
      </c>
      <c r="BQ106" s="22" t="n">
        <f aca="false">IFERROR(FIND(" (",BP106),0)</f>
        <v>17</v>
      </c>
      <c r="BR106" s="22" t="str">
        <f aca="false">IF(BQ106=0,BP106,LEFT(BP106,BQ106-1))</f>
        <v>Fraldas Infantis</v>
      </c>
      <c r="BS106" s="22" t="n">
        <f aca="false">higiene[[#This Row],[Quantidade]]</f>
        <v>1</v>
      </c>
      <c r="BT106" s="22" t="n">
        <f aca="false">tab_higiene[Qtde (tot)]</f>
        <v>1</v>
      </c>
      <c r="BU106" s="22" t="n">
        <f aca="false">BS106*BT106</f>
        <v>1</v>
      </c>
      <c r="BW106" s="22" t="n">
        <f aca="false">SUMIF($BR$5:$BR$142,BV106,$BU$5:$BU$142)</f>
        <v>0</v>
      </c>
    </row>
    <row r="107" customFormat="false" ht="15" hidden="false" customHeight="false" outlineLevel="0" collapsed="false">
      <c r="I107" s="26" t="str">
        <f aca="false">alimentos[[#This Row],[Item]]</f>
        <v>Extrato de tomate (130g)</v>
      </c>
      <c r="J107" s="27" t="n">
        <f aca="false">IFERROR(alimentos[[#This Row],[kg/embalagem]],0)</f>
        <v>0.13</v>
      </c>
      <c r="K107" s="27" t="n">
        <f aca="false">IFERROR(alimentos[[#This Row],[Preço]],0)</f>
        <v>1.98166666666667</v>
      </c>
      <c r="L107" s="27" t="n">
        <f aca="false">SUMIFS(super1[Qtde],super1[Item],tab_alimentos[[#This Row],[Item]],super1[Bairro],mercado1)+SUMIFS(supercb[Qtde],supercb[Item],tab_alimentos[[#This Row],[Item]],supercb[Bairro],mercado1)</f>
        <v>0</v>
      </c>
      <c r="M107" s="27" t="n">
        <f aca="false">SUMIFS(super1[Qtde],super1[Item],tab_alimentos[[#This Row],[Item]],super1[Bairro],mercado2)+SUMIFS(supercb[Qtde],supercb[Item],tab_alimentos[[#This Row],[Item]],supercb[Bairro],mercado2)</f>
        <v>0</v>
      </c>
      <c r="N107" s="27" t="n">
        <f aca="false">SUMIFS(super1[Qtde],super1[Item],tab_alimentos[[#This Row],[Item]],super1[Bairro],mercado3)+SUMIFS(supercb[Qtde],supercb[Item],tab_alimentos[[#This Row],[Item]],supercb[Bairro],mercado3)</f>
        <v>0</v>
      </c>
      <c r="O107" s="27" t="n">
        <f aca="false">SUMIFS(super1[Qtde],super1[Item],tab_alimentos[[#This Row],[Item]],super1[Bairro],mercado4)+SUMIFS(supercb[Qtde],supercb[Item],tab_alimentos[[#This Row],[Item]],supercb[Bairro],mercado4)</f>
        <v>0</v>
      </c>
      <c r="P107" s="27" t="n">
        <f aca="false">SUMIFS(super1[Qtde],super1[Item],tab_alimentos[[#This Row],[Item]],super1[Bairro],mercado5)+SUMIFS(supercb[Qtde],supercb[Item],tab_alimentos[[#This Row],[Item]],supercb[Bairro],mercado5)</f>
        <v>0</v>
      </c>
      <c r="Q107" s="27" t="n">
        <f aca="false">SUMIFS(super1[Qtde],super1[Item],tab_alimentos[[#This Row],[Item]],super1[Bairro],mercado6)+SUMIFS(supercb[Qtde],supercb[Item],tab_alimentos[[#This Row],[Item]],supercb[Bairro],mercado6)</f>
        <v>0</v>
      </c>
      <c r="R107" s="27" t="n">
        <f aca="false">SUMIFS(super1[Qtde],super1[Item],tab_alimentos[[#This Row],[Item]],super1[Bairro],mercado7)+SUMIFS(supercb[Qtde],supercb[Item],tab_alimentos[[#This Row],[Item]],supercb[Bairro],mercado7)</f>
        <v>2</v>
      </c>
      <c r="S107" s="27" t="n">
        <f aca="false">SUMIFS(super1[Qtde],super1[Item],tab_alimentos[[#This Row],[Item]],super1[Bairro],mercado8)+SUMIFS(supercb[Qtde],supercb[Item],tab_alimentos[[#This Row],[Item]],supercb[Bairro],mercado8)</f>
        <v>0</v>
      </c>
      <c r="T107" s="27" t="n">
        <f aca="false">SUMIFS(super1[Qtde],super1[Item],tab_alimentos[[#This Row],[Item]],super1[Bairro],mercado9)+SUMIFS(supercb[Qtde],supercb[Item],tab_alimentos[[#This Row],[Item]],supercb[Bairro],mercado9)</f>
        <v>0</v>
      </c>
      <c r="U107" s="27" t="n">
        <f aca="false">SUMIFS(super1[Qtde],super1[Item],tab_alimentos[[#This Row],[Item]],super1[Bairro],mercado10)+SUMIFS(supercb[Qtde],supercb[Item],tab_alimentos[[#This Row],[Item]],supercb[Bairro],mercado10)</f>
        <v>0</v>
      </c>
      <c r="V107" s="27" t="n">
        <f aca="false">SUMIFS(super1[Qtde],super1[Item],tab_alimentos[[#This Row],[Item]],super1[Bairro],mercado11)+SUMIFS(supercb[Qtde],supercb[Item],tab_alimentos[[#This Row],[Item]],supercb[Bairro],mercado11)</f>
        <v>0</v>
      </c>
      <c r="W107" s="27" t="n">
        <f aca="false">SUMIFS(super1[Qtde],super1[Item],tab_alimentos[[#This Row],[Item]],super1[Bairro],mercado12)+SUMIFS(supercb[Qtde],supercb[Item],tab_alimentos[[#This Row],[Item]],supercb[Bairro],mercado12)</f>
        <v>0</v>
      </c>
      <c r="X107" s="27" t="n">
        <f aca="false">SUMIFS(super1[Qtde],super1[Item],tab_alimentos[[#This Row],[Item]],super1[Bairro],mercado13)+SUMIFS(supercb[Qtde],supercb[Item],tab_alimentos[[#This Row],[Item]],supercb[Bairro],mercado13)</f>
        <v>0</v>
      </c>
      <c r="Y107" s="27" t="n">
        <f aca="false">SUMIFS(super1[Qtde],super1[Item],tab_alimentos[[#This Row],[Item]],super1[Bairro],mercado14)+SUMIFS(supercb[Qtde],supercb[Item],tab_alimentos[[#This Row],[Item]],supercb[Bairro],mercado14)</f>
        <v>0</v>
      </c>
      <c r="Z107" s="27" t="n">
        <f aca="false">SUMIFS(super1[Qtde],super1[Item],tab_alimentos[[#This Row],[Item]],super1[Bairro],mercado15)+SUMIFS(supercb[Qtde],supercb[Item],tab_alimentos[[#This Row],[Item]],supercb[Bairro],mercado15)</f>
        <v>0</v>
      </c>
      <c r="AA107" s="27" t="n">
        <f aca="false">SUMIFS(super1[Qtde],super1[Item],tab_alimentos[[#This Row],[Item]],super1[Bairro],mercado16)+SUMIFS(supercb[Qtde],supercb[Item],tab_alimentos[[#This Row],[Item]],supercb[Bairro],mercado16)</f>
        <v>0</v>
      </c>
      <c r="AB107" s="27" t="n">
        <f aca="false">SUMIFS(super1[Qtde],super1[Item],tab_alimentos[[#This Row],[Item]],super1[Bairro],mercado17)+SUMIFS(supercb[Qtde],supercb[Item],tab_alimentos[[#This Row],[Item]],supercb[Bairro],mercado17)</f>
        <v>0</v>
      </c>
      <c r="AC107" s="27" t="n">
        <f aca="false">SUMIFS(super1[Qtde],super1[Item],tab_alimentos[[#This Row],[Item]],super1[Bairro],mercado18)+SUMIFS(supercb[Qtde],supercb[Item],tab_alimentos[[#This Row],[Item]],supercb[Bairro],mercado18)</f>
        <v>0</v>
      </c>
      <c r="AD107" s="27" t="n">
        <f aca="false">SUMIFS(super1[Qtde],super1[Item],tab_alimentos[[#This Row],[Item]],super1[Bairro],extras)+SUMIFS(supercb[Qtde],supercb[Item],tab_alimentos[[#This Row],[Item]],supercb[Bairro],extras)</f>
        <v>0</v>
      </c>
      <c r="AE107" s="27" t="n">
        <f aca="false">SUM(L107:AC107)</f>
        <v>2</v>
      </c>
      <c r="AF107" s="27" t="n">
        <f aca="false">IFERROR(AE107*K107,0)</f>
        <v>3.96333333333333</v>
      </c>
      <c r="AG107" s="28" t="n">
        <f aca="false">IFERROR(J107*AE107,0)</f>
        <v>0.26</v>
      </c>
      <c r="AH107" s="26" t="str">
        <f aca="false">higiene[[#This Row],[Item]]</f>
        <v>Fraldas Infantis (38un)</v>
      </c>
      <c r="AI107" s="27" t="n">
        <f aca="false">IFERROR(higiene[[#This Row],[Kg equivalente]],0)</f>
        <v>13.8811221174544</v>
      </c>
      <c r="AJ107" s="27" t="n">
        <f aca="false">IFERROR(higiene[[#This Row],[Preço por produto]],0)</f>
        <v>45.98</v>
      </c>
      <c r="AK107" s="27" t="n">
        <f aca="false">SUMIFS(super1[Qtde],super1[Item],tab_higiene[[#This Row],[Item]],super1[Bairro],mercado1)+SUMIFS(supercb[Qtde],supercb[Item],tab_higiene[[#This Row],[Item]],supercb[Bairro],mercado1)</f>
        <v>0</v>
      </c>
      <c r="AL107" s="27" t="n">
        <f aca="false">SUMIFS(super1[Qtde],super1[Item],tab_higiene[[#This Row],[Item]],super1[Bairro],mercado2)+SUMIFS(supercb[Qtde],supercb[Item],tab_higiene[[#This Row],[Item]],supercb[Bairro],mercado2)</f>
        <v>0</v>
      </c>
      <c r="AM107" s="27" t="n">
        <f aca="false">SUMIFS(super1[Qtde],super1[Item],tab_higiene[[#This Row],[Item]],super1[Bairro],mercado3)+SUMIFS(supercb[Qtde],supercb[Item],tab_higiene[[#This Row],[Item]],supercb[Bairro],mercado3)</f>
        <v>0</v>
      </c>
      <c r="AN107" s="27" t="n">
        <f aca="false">SUMIFS(super1[Qtde],super1[Item],tab_higiene[[#This Row],[Item]],super1[Bairro],mercado4)+SUMIFS(supercb[Qtde],supercb[Item],tab_higiene[[#This Row],[Item]],supercb[Bairro],mercado4)</f>
        <v>0</v>
      </c>
      <c r="AO107" s="27" t="n">
        <f aca="false">SUMIFS(super1[Qtde],super1[Item],tab_higiene[[#This Row],[Item]],super1[Bairro],mercado5)+SUMIFS(supercb[Qtde],supercb[Item],tab_higiene[[#This Row],[Item]],supercb[Bairro],mercado5)</f>
        <v>0</v>
      </c>
      <c r="AP107" s="27" t="n">
        <f aca="false">SUMIFS(super1[Qtde],super1[Item],tab_higiene[[#This Row],[Item]],super1[Bairro],mercado6)+SUMIFS(supercb[Qtde],supercb[Item],tab_higiene[[#This Row],[Item]],supercb[Bairro],mercado6)</f>
        <v>0</v>
      </c>
      <c r="AQ107" s="27" t="n">
        <f aca="false">SUMIFS(super1[Qtde],super1[Item],tab_higiene[[#This Row],[Item]],super1[Bairro],mercado7)+SUMIFS(supercb[Qtde],supercb[Item],tab_higiene[[#This Row],[Item]],supercb[Bairro],mercado7)</f>
        <v>0</v>
      </c>
      <c r="AR107" s="27" t="n">
        <f aca="false">SUMIFS(super1[Qtde],super1[Item],tab_higiene[[#This Row],[Item]],super1[Bairro],mercado8)+SUMIFS(supercb[Qtde],supercb[Item],tab_higiene[[#This Row],[Item]],supercb[Bairro],mercado8)</f>
        <v>0</v>
      </c>
      <c r="AS107" s="27" t="n">
        <f aca="false">SUMIFS(super1[Qtde],super1[Item],tab_higiene[[#This Row],[Item]],super1[Bairro],mercado9)+SUMIFS(supercb[Qtde],supercb[Item],tab_higiene[[#This Row],[Item]],supercb[Bairro],mercado9)</f>
        <v>0</v>
      </c>
      <c r="AT107" s="27" t="n">
        <f aca="false">SUMIFS(super1[Qtde],super1[Item],tab_higiene[[#This Row],[Item]],super1[Bairro],mercado10)+SUMIFS(supercb[Qtde],supercb[Item],tab_higiene[[#This Row],[Item]],supercb[Bairro],mercado10)</f>
        <v>0</v>
      </c>
      <c r="AU107" s="27" t="n">
        <f aca="false">SUMIFS(super1[Qtde],super1[Item],tab_higiene[[#This Row],[Item]],super1[Bairro],mercado11)+SUMIFS(supercb[Qtde],supercb[Item],tab_higiene[[#This Row],[Item]],supercb[Bairro],mercado11)</f>
        <v>0</v>
      </c>
      <c r="AV107" s="27" t="n">
        <f aca="false">SUMIFS(super1[Qtde],super1[Item],tab_higiene[[#This Row],[Item]],super1[Bairro],mercado12)+SUMIFS(supercb[Qtde],supercb[Item],tab_higiene[[#This Row],[Item]],supercb[Bairro],mercado12)</f>
        <v>0</v>
      </c>
      <c r="AW107" s="27" t="n">
        <f aca="false">SUMIFS(super1[Qtde],super1[Item],tab_higiene[[#This Row],[Item]],super1[Bairro],mercado13)+SUMIFS(supercb[Qtde],supercb[Item],tab_higiene[[#This Row],[Item]],supercb[Bairro],mercado13)</f>
        <v>0</v>
      </c>
      <c r="AX107" s="27" t="n">
        <f aca="false">SUMIFS(super1[Qtde],super1[Item],tab_higiene[[#This Row],[Item]],super1[Bairro],mercado14)+SUMIFS(supercb[Qtde],supercb[Item],tab_higiene[[#This Row],[Item]],supercb[Bairro],mercado14)</f>
        <v>0</v>
      </c>
      <c r="AY107" s="27" t="n">
        <f aca="false">SUMIFS(super1[Qtde],super1[Item],tab_higiene[[#This Row],[Item]],super1[Bairro],mercado15)+SUMIFS(supercb[Qtde],supercb[Item],tab_higiene[[#This Row],[Item]],supercb[Bairro],mercado15)</f>
        <v>0</v>
      </c>
      <c r="AZ107" s="27" t="n">
        <f aca="false">SUMIFS(super1[Qtde],super1[Item],tab_higiene[[#This Row],[Item]],super1[Bairro],mercado16)+SUMIFS(supercb[Qtde],supercb[Item],tab_higiene[[#This Row],[Item]],supercb[Bairro],mercado16)</f>
        <v>0</v>
      </c>
      <c r="BA107" s="27" t="n">
        <f aca="false">SUMIFS(super1[Qtde],super1[Item],tab_higiene[[#This Row],[Item]],super1[Bairro],mercado17)+SUMIFS(supercb[Qtde],supercb[Item],tab_higiene[[#This Row],[Item]],supercb[Bairro],mercado17)</f>
        <v>0</v>
      </c>
      <c r="BB107" s="27" t="n">
        <f aca="false">SUMIFS(super1[Qtde],super1[Item],tab_higiene[[#This Row],[Item]],super1[Bairro],mercado18)+SUMIFS(supercb[Qtde],supercb[Item],tab_higiene[[#This Row],[Item]],supercb[Bairro],mercado18)</f>
        <v>0</v>
      </c>
      <c r="BC107" s="27" t="n">
        <f aca="false">SUMIFS(super1[Qtde],super1[Item],tab_higiene[[#This Row],[Item]],super1[Bairro],extras)+SUMIFS(supercb[Qtde],supercb[Item],tab_higiene[[#This Row],[Item]],supercb[Bairro],extras)</f>
        <v>0</v>
      </c>
      <c r="BD107" s="27" t="n">
        <f aca="false">SUM(AK107:BB107)</f>
        <v>0</v>
      </c>
      <c r="BE107" s="27" t="n">
        <f aca="false">IFERROR(BD107*AJ107,0)</f>
        <v>0</v>
      </c>
      <c r="BF107" s="28" t="n">
        <f aca="false">IFERROR(AI107*BD107,0)</f>
        <v>0</v>
      </c>
      <c r="BI107" s="22" t="str">
        <f aca="false">tab_alimentos[[#This Row],[Item]]</f>
        <v>Extrato de tomate (130g)</v>
      </c>
      <c r="BJ107" s="22" t="n">
        <f aca="false">IFERROR(FIND(" (",BI107),0)</f>
        <v>18</v>
      </c>
      <c r="BK107" s="22" t="str">
        <f aca="false">IF(BJ107=0,BI107,LEFT(BI107,BJ107-1))</f>
        <v>Extrato de tomate</v>
      </c>
      <c r="BL107" s="22" t="n">
        <f aca="false">tab_alimentos[[#This Row],[kg]]</f>
        <v>0.26</v>
      </c>
      <c r="BN107" s="22" t="n">
        <f aca="false">SUMIF($BJ$5:$BJ$158,BM107,$BK$5:$BK$158)</f>
        <v>0</v>
      </c>
      <c r="BP107" s="22" t="str">
        <f aca="false">tab_higiene[[#This Row],[Item]]</f>
        <v>Fraldas Infantis (38un)</v>
      </c>
      <c r="BQ107" s="22" t="n">
        <f aca="false">IFERROR(FIND(" (",BP107),0)</f>
        <v>17</v>
      </c>
      <c r="BR107" s="22" t="str">
        <f aca="false">IF(BQ107=0,BP107,LEFT(BP107,BQ107-1))</f>
        <v>Fraldas Infantis</v>
      </c>
      <c r="BS107" s="22" t="n">
        <f aca="false">higiene[[#This Row],[Quantidade]]</f>
        <v>0.2</v>
      </c>
      <c r="BT107" s="22" t="n">
        <f aca="false">tab_higiene[Qtde (tot)]</f>
        <v>0</v>
      </c>
      <c r="BU107" s="22" t="n">
        <f aca="false">BS107*BT107</f>
        <v>0</v>
      </c>
      <c r="BW107" s="22" t="n">
        <f aca="false">SUMIF($BR$5:$BR$142,BV107,$BU$5:$BU$142)</f>
        <v>0</v>
      </c>
    </row>
    <row r="108" customFormat="false" ht="15" hidden="false" customHeight="false" outlineLevel="0" collapsed="false">
      <c r="I108" s="26" t="str">
        <f aca="false">alimentos[[#This Row],[Item]]</f>
        <v>Extrato de tomate (280g)</v>
      </c>
      <c r="J108" s="27" t="n">
        <f aca="false">IFERROR(alimentos[[#This Row],[kg/embalagem]],0)</f>
        <v>0.28</v>
      </c>
      <c r="K108" s="27" t="n">
        <f aca="false">IFERROR(alimentos[[#This Row],[Preço]],0)</f>
        <v>4.235</v>
      </c>
      <c r="L108" s="27" t="n">
        <f aca="false">SUMIFS(super1[Qtde],super1[Item],tab_alimentos[[#This Row],[Item]],super1[Bairro],mercado1)+SUMIFS(supercb[Qtde],supercb[Item],tab_alimentos[[#This Row],[Item]],supercb[Bairro],mercado1)</f>
        <v>0</v>
      </c>
      <c r="M108" s="27" t="n">
        <f aca="false">SUMIFS(super1[Qtde],super1[Item],tab_alimentos[[#This Row],[Item]],super1[Bairro],mercado2)+SUMIFS(supercb[Qtde],supercb[Item],tab_alimentos[[#This Row],[Item]],supercb[Bairro],mercado2)</f>
        <v>0</v>
      </c>
      <c r="N108" s="27" t="n">
        <f aca="false">SUMIFS(super1[Qtde],super1[Item],tab_alimentos[[#This Row],[Item]],super1[Bairro],mercado3)+SUMIFS(supercb[Qtde],supercb[Item],tab_alimentos[[#This Row],[Item]],supercb[Bairro],mercado3)</f>
        <v>0</v>
      </c>
      <c r="O108" s="27" t="n">
        <f aca="false">SUMIFS(super1[Qtde],super1[Item],tab_alimentos[[#This Row],[Item]],super1[Bairro],mercado4)+SUMIFS(supercb[Qtde],supercb[Item],tab_alimentos[[#This Row],[Item]],supercb[Bairro],mercado4)</f>
        <v>0</v>
      </c>
      <c r="P108" s="27" t="n">
        <f aca="false">SUMIFS(super1[Qtde],super1[Item],tab_alimentos[[#This Row],[Item]],super1[Bairro],mercado5)+SUMIFS(supercb[Qtde],supercb[Item],tab_alimentos[[#This Row],[Item]],supercb[Bairro],mercado5)</f>
        <v>0</v>
      </c>
      <c r="Q108" s="27" t="n">
        <f aca="false">SUMIFS(super1[Qtde],super1[Item],tab_alimentos[[#This Row],[Item]],super1[Bairro],mercado6)+SUMIFS(supercb[Qtde],supercb[Item],tab_alimentos[[#This Row],[Item]],supercb[Bairro],mercado6)</f>
        <v>0</v>
      </c>
      <c r="R108" s="27" t="n">
        <f aca="false">SUMIFS(super1[Qtde],super1[Item],tab_alimentos[[#This Row],[Item]],super1[Bairro],mercado7)+SUMIFS(supercb[Qtde],supercb[Item],tab_alimentos[[#This Row],[Item]],supercb[Bairro],mercado7)</f>
        <v>0</v>
      </c>
      <c r="S108" s="27" t="n">
        <f aca="false">SUMIFS(super1[Qtde],super1[Item],tab_alimentos[[#This Row],[Item]],super1[Bairro],mercado8)+SUMIFS(supercb[Qtde],supercb[Item],tab_alimentos[[#This Row],[Item]],supercb[Bairro],mercado8)</f>
        <v>0</v>
      </c>
      <c r="T108" s="27" t="n">
        <f aca="false">SUMIFS(super1[Qtde],super1[Item],tab_alimentos[[#This Row],[Item]],super1[Bairro],mercado9)+SUMIFS(supercb[Qtde],supercb[Item],tab_alimentos[[#This Row],[Item]],supercb[Bairro],mercado9)</f>
        <v>0</v>
      </c>
      <c r="U108" s="27" t="n">
        <f aca="false">SUMIFS(super1[Qtde],super1[Item],tab_alimentos[[#This Row],[Item]],super1[Bairro],mercado10)+SUMIFS(supercb[Qtde],supercb[Item],tab_alimentos[[#This Row],[Item]],supercb[Bairro],mercado10)</f>
        <v>0</v>
      </c>
      <c r="V108" s="27" t="n">
        <f aca="false">SUMIFS(super1[Qtde],super1[Item],tab_alimentos[[#This Row],[Item]],super1[Bairro],mercado11)+SUMIFS(supercb[Qtde],supercb[Item],tab_alimentos[[#This Row],[Item]],supercb[Bairro],mercado11)</f>
        <v>0</v>
      </c>
      <c r="W108" s="27" t="n">
        <f aca="false">SUMIFS(super1[Qtde],super1[Item],tab_alimentos[[#This Row],[Item]],super1[Bairro],mercado12)+SUMIFS(supercb[Qtde],supercb[Item],tab_alimentos[[#This Row],[Item]],supercb[Bairro],mercado12)</f>
        <v>0</v>
      </c>
      <c r="X108" s="27" t="n">
        <f aca="false">SUMIFS(super1[Qtde],super1[Item],tab_alimentos[[#This Row],[Item]],super1[Bairro],mercado13)+SUMIFS(supercb[Qtde],supercb[Item],tab_alimentos[[#This Row],[Item]],supercb[Bairro],mercado13)</f>
        <v>0</v>
      </c>
      <c r="Y108" s="27" t="n">
        <f aca="false">SUMIFS(super1[Qtde],super1[Item],tab_alimentos[[#This Row],[Item]],super1[Bairro],mercado14)+SUMIFS(supercb[Qtde],supercb[Item],tab_alimentos[[#This Row],[Item]],supercb[Bairro],mercado14)</f>
        <v>0</v>
      </c>
      <c r="Z108" s="27" t="n">
        <f aca="false">SUMIFS(super1[Qtde],super1[Item],tab_alimentos[[#This Row],[Item]],super1[Bairro],mercado15)+SUMIFS(supercb[Qtde],supercb[Item],tab_alimentos[[#This Row],[Item]],supercb[Bairro],mercado15)</f>
        <v>0</v>
      </c>
      <c r="AA108" s="27" t="n">
        <f aca="false">SUMIFS(super1[Qtde],super1[Item],tab_alimentos[[#This Row],[Item]],super1[Bairro],mercado16)+SUMIFS(supercb[Qtde],supercb[Item],tab_alimentos[[#This Row],[Item]],supercb[Bairro],mercado16)</f>
        <v>0</v>
      </c>
      <c r="AB108" s="27" t="n">
        <f aca="false">SUMIFS(super1[Qtde],super1[Item],tab_alimentos[[#This Row],[Item]],super1[Bairro],mercado17)+SUMIFS(supercb[Qtde],supercb[Item],tab_alimentos[[#This Row],[Item]],supercb[Bairro],mercado17)</f>
        <v>0</v>
      </c>
      <c r="AC108" s="27" t="n">
        <f aca="false">SUMIFS(super1[Qtde],super1[Item],tab_alimentos[[#This Row],[Item]],super1[Bairro],mercado18)+SUMIFS(supercb[Qtde],supercb[Item],tab_alimentos[[#This Row],[Item]],supercb[Bairro],mercado18)</f>
        <v>0</v>
      </c>
      <c r="AD108" s="27" t="n">
        <f aca="false">SUMIFS(super1[Qtde],super1[Item],tab_alimentos[[#This Row],[Item]],super1[Bairro],extras)+SUMIFS(supercb[Qtde],supercb[Item],tab_alimentos[[#This Row],[Item]],supercb[Bairro],extras)</f>
        <v>0</v>
      </c>
      <c r="AE108" s="27" t="n">
        <f aca="false">SUM(L108:AC108)</f>
        <v>0</v>
      </c>
      <c r="AF108" s="27" t="n">
        <f aca="false">IFERROR(AE108*K108,0)</f>
        <v>0</v>
      </c>
      <c r="AG108" s="28" t="n">
        <f aca="false">IFERROR(J108*AE108,0)</f>
        <v>0</v>
      </c>
      <c r="AH108" s="26" t="str">
        <f aca="false">higiene[[#This Row],[Item]]</f>
        <v>Fraldas Infantis (40un)</v>
      </c>
      <c r="AI108" s="27" t="n">
        <f aca="false">IFERROR(higiene[[#This Row],[Kg equivalente]],0)</f>
        <v>10.2030373458656</v>
      </c>
      <c r="AJ108" s="27" t="n">
        <f aca="false">IFERROR(higiene[[#This Row],[Preço por produto]],0)</f>
        <v>33.7966666666667</v>
      </c>
      <c r="AK108" s="27" t="n">
        <f aca="false">SUMIFS(super1[Qtde],super1[Item],tab_higiene[[#This Row],[Item]],super1[Bairro],mercado1)+SUMIFS(supercb[Qtde],supercb[Item],tab_higiene[[#This Row],[Item]],supercb[Bairro],mercado1)</f>
        <v>0</v>
      </c>
      <c r="AL108" s="27" t="n">
        <f aca="false">SUMIFS(super1[Qtde],super1[Item],tab_higiene[[#This Row],[Item]],super1[Bairro],mercado2)+SUMIFS(supercb[Qtde],supercb[Item],tab_higiene[[#This Row],[Item]],supercb[Bairro],mercado2)</f>
        <v>0</v>
      </c>
      <c r="AM108" s="27" t="n">
        <f aca="false">SUMIFS(super1[Qtde],super1[Item],tab_higiene[[#This Row],[Item]],super1[Bairro],mercado3)+SUMIFS(supercb[Qtde],supercb[Item],tab_higiene[[#This Row],[Item]],supercb[Bairro],mercado3)</f>
        <v>0</v>
      </c>
      <c r="AN108" s="27" t="n">
        <f aca="false">SUMIFS(super1[Qtde],super1[Item],tab_higiene[[#This Row],[Item]],super1[Bairro],mercado4)+SUMIFS(supercb[Qtde],supercb[Item],tab_higiene[[#This Row],[Item]],supercb[Bairro],mercado4)</f>
        <v>0</v>
      </c>
      <c r="AO108" s="27" t="n">
        <f aca="false">SUMIFS(super1[Qtde],super1[Item],tab_higiene[[#This Row],[Item]],super1[Bairro],mercado5)+SUMIFS(supercb[Qtde],supercb[Item],tab_higiene[[#This Row],[Item]],supercb[Bairro],mercado5)</f>
        <v>0</v>
      </c>
      <c r="AP108" s="27" t="n">
        <f aca="false">SUMIFS(super1[Qtde],super1[Item],tab_higiene[[#This Row],[Item]],super1[Bairro],mercado6)+SUMIFS(supercb[Qtde],supercb[Item],tab_higiene[[#This Row],[Item]],supercb[Bairro],mercado6)</f>
        <v>0</v>
      </c>
      <c r="AQ108" s="27" t="n">
        <f aca="false">SUMIFS(super1[Qtde],super1[Item],tab_higiene[[#This Row],[Item]],super1[Bairro],mercado7)+SUMIFS(supercb[Qtde],supercb[Item],tab_higiene[[#This Row],[Item]],supercb[Bairro],mercado7)</f>
        <v>0</v>
      </c>
      <c r="AR108" s="27" t="n">
        <f aca="false">SUMIFS(super1[Qtde],super1[Item],tab_higiene[[#This Row],[Item]],super1[Bairro],mercado8)+SUMIFS(supercb[Qtde],supercb[Item],tab_higiene[[#This Row],[Item]],supercb[Bairro],mercado8)</f>
        <v>0</v>
      </c>
      <c r="AS108" s="27" t="n">
        <f aca="false">SUMIFS(super1[Qtde],super1[Item],tab_higiene[[#This Row],[Item]],super1[Bairro],mercado9)+SUMIFS(supercb[Qtde],supercb[Item],tab_higiene[[#This Row],[Item]],supercb[Bairro],mercado9)</f>
        <v>0</v>
      </c>
      <c r="AT108" s="27" t="n">
        <f aca="false">SUMIFS(super1[Qtde],super1[Item],tab_higiene[[#This Row],[Item]],super1[Bairro],mercado10)+SUMIFS(supercb[Qtde],supercb[Item],tab_higiene[[#This Row],[Item]],supercb[Bairro],mercado10)</f>
        <v>2</v>
      </c>
      <c r="AU108" s="27" t="n">
        <f aca="false">SUMIFS(super1[Qtde],super1[Item],tab_higiene[[#This Row],[Item]],super1[Bairro],mercado11)+SUMIFS(supercb[Qtde],supercb[Item],tab_higiene[[#This Row],[Item]],supercb[Bairro],mercado11)</f>
        <v>0</v>
      </c>
      <c r="AV108" s="27" t="n">
        <f aca="false">SUMIFS(super1[Qtde],super1[Item],tab_higiene[[#This Row],[Item]],super1[Bairro],mercado12)+SUMIFS(supercb[Qtde],supercb[Item],tab_higiene[[#This Row],[Item]],supercb[Bairro],mercado12)</f>
        <v>0</v>
      </c>
      <c r="AW108" s="27" t="n">
        <f aca="false">SUMIFS(super1[Qtde],super1[Item],tab_higiene[[#This Row],[Item]],super1[Bairro],mercado13)+SUMIFS(supercb[Qtde],supercb[Item],tab_higiene[[#This Row],[Item]],supercb[Bairro],mercado13)</f>
        <v>0</v>
      </c>
      <c r="AX108" s="27" t="n">
        <f aca="false">SUMIFS(super1[Qtde],super1[Item],tab_higiene[[#This Row],[Item]],super1[Bairro],mercado14)+SUMIFS(supercb[Qtde],supercb[Item],tab_higiene[[#This Row],[Item]],supercb[Bairro],mercado14)</f>
        <v>0</v>
      </c>
      <c r="AY108" s="27" t="n">
        <f aca="false">SUMIFS(super1[Qtde],super1[Item],tab_higiene[[#This Row],[Item]],super1[Bairro],mercado15)+SUMIFS(supercb[Qtde],supercb[Item],tab_higiene[[#This Row],[Item]],supercb[Bairro],mercado15)</f>
        <v>0</v>
      </c>
      <c r="AZ108" s="27" t="n">
        <f aca="false">SUMIFS(super1[Qtde],super1[Item],tab_higiene[[#This Row],[Item]],super1[Bairro],mercado16)+SUMIFS(supercb[Qtde],supercb[Item],tab_higiene[[#This Row],[Item]],supercb[Bairro],mercado16)</f>
        <v>0</v>
      </c>
      <c r="BA108" s="27" t="n">
        <f aca="false">SUMIFS(super1[Qtde],super1[Item],tab_higiene[[#This Row],[Item]],super1[Bairro],mercado17)+SUMIFS(supercb[Qtde],supercb[Item],tab_higiene[[#This Row],[Item]],supercb[Bairro],mercado17)</f>
        <v>0</v>
      </c>
      <c r="BB108" s="27" t="n">
        <f aca="false">SUMIFS(super1[Qtde],super1[Item],tab_higiene[[#This Row],[Item]],super1[Bairro],mercado18)+SUMIFS(supercb[Qtde],supercb[Item],tab_higiene[[#This Row],[Item]],supercb[Bairro],mercado18)</f>
        <v>0</v>
      </c>
      <c r="BC108" s="27" t="n">
        <f aca="false">SUMIFS(super1[Qtde],super1[Item],tab_higiene[[#This Row],[Item]],super1[Bairro],extras)+SUMIFS(supercb[Qtde],supercb[Item],tab_higiene[[#This Row],[Item]],supercb[Bairro],extras)</f>
        <v>0</v>
      </c>
      <c r="BD108" s="27" t="n">
        <f aca="false">SUM(AK108:BB108)</f>
        <v>2</v>
      </c>
      <c r="BE108" s="27" t="n">
        <f aca="false">IFERROR(BD108*AJ108,0)</f>
        <v>67.5933333333334</v>
      </c>
      <c r="BF108" s="28" t="n">
        <f aca="false">IFERROR(AI108*BD108,0)</f>
        <v>20.4060746917312</v>
      </c>
      <c r="BI108" s="22" t="str">
        <f aca="false">tab_alimentos[[#This Row],[Item]]</f>
        <v>Extrato de tomate (280g)</v>
      </c>
      <c r="BJ108" s="22" t="n">
        <f aca="false">IFERROR(FIND(" (",BI108),0)</f>
        <v>18</v>
      </c>
      <c r="BK108" s="22" t="str">
        <f aca="false">IF(BJ108=0,BI108,LEFT(BI108,BJ108-1))</f>
        <v>Extrato de tomate</v>
      </c>
      <c r="BL108" s="22" t="n">
        <f aca="false">tab_alimentos[[#This Row],[kg]]</f>
        <v>0</v>
      </c>
      <c r="BN108" s="22" t="n">
        <f aca="false">SUMIF($BJ$5:$BJ$158,BM108,$BK$5:$BK$158)</f>
        <v>0</v>
      </c>
      <c r="BP108" s="22" t="str">
        <f aca="false">tab_higiene[[#This Row],[Item]]</f>
        <v>Fraldas Infantis (40un)</v>
      </c>
      <c r="BQ108" s="22" t="n">
        <f aca="false">IFERROR(FIND(" (",BP108),0)</f>
        <v>17</v>
      </c>
      <c r="BR108" s="22" t="str">
        <f aca="false">IF(BQ108=0,BP108,LEFT(BP108,BQ108-1))</f>
        <v>Fraldas Infantis</v>
      </c>
      <c r="BS108" s="22" t="n">
        <f aca="false">higiene[[#This Row],[Quantidade]]</f>
        <v>0.5</v>
      </c>
      <c r="BT108" s="22" t="n">
        <f aca="false">tab_higiene[Qtde (tot)]</f>
        <v>2</v>
      </c>
      <c r="BU108" s="22" t="n">
        <f aca="false">BS108*BT108</f>
        <v>1</v>
      </c>
      <c r="BW108" s="22" t="n">
        <f aca="false">SUMIF($BR$5:$BR$142,BV108,$BU$5:$BU$142)</f>
        <v>0</v>
      </c>
    </row>
    <row r="109" customFormat="false" ht="15" hidden="false" customHeight="false" outlineLevel="0" collapsed="false">
      <c r="I109" s="26" t="str">
        <f aca="false">alimentos[[#This Row],[Item]]</f>
        <v>Extrato de tomate (320g)</v>
      </c>
      <c r="J109" s="27" t="n">
        <f aca="false">IFERROR(alimentos[[#This Row],[kg/embalagem]],0)</f>
        <v>0.32</v>
      </c>
      <c r="K109" s="27" t="n">
        <f aca="false">IFERROR(alimentos[[#This Row],[Preço]],0)</f>
        <v>3.07</v>
      </c>
      <c r="L109" s="27" t="n">
        <f aca="false">SUMIFS(super1[Qtde],super1[Item],tab_alimentos[[#This Row],[Item]],super1[Bairro],mercado1)+SUMIFS(supercb[Qtde],supercb[Item],tab_alimentos[[#This Row],[Item]],supercb[Bairro],mercado1)</f>
        <v>0</v>
      </c>
      <c r="M109" s="27" t="n">
        <f aca="false">SUMIFS(super1[Qtde],super1[Item],tab_alimentos[[#This Row],[Item]],super1[Bairro],mercado2)+SUMIFS(supercb[Qtde],supercb[Item],tab_alimentos[[#This Row],[Item]],supercb[Bairro],mercado2)</f>
        <v>0</v>
      </c>
      <c r="N109" s="27" t="n">
        <f aca="false">SUMIFS(super1[Qtde],super1[Item],tab_alimentos[[#This Row],[Item]],super1[Bairro],mercado3)+SUMIFS(supercb[Qtde],supercb[Item],tab_alimentos[[#This Row],[Item]],supercb[Bairro],mercado3)</f>
        <v>0</v>
      </c>
      <c r="O109" s="27" t="n">
        <f aca="false">SUMIFS(super1[Qtde],super1[Item],tab_alimentos[[#This Row],[Item]],super1[Bairro],mercado4)+SUMIFS(supercb[Qtde],supercb[Item],tab_alimentos[[#This Row],[Item]],supercb[Bairro],mercado4)</f>
        <v>0</v>
      </c>
      <c r="P109" s="27" t="n">
        <f aca="false">SUMIFS(super1[Qtde],super1[Item],tab_alimentos[[#This Row],[Item]],super1[Bairro],mercado5)+SUMIFS(supercb[Qtde],supercb[Item],tab_alimentos[[#This Row],[Item]],supercb[Bairro],mercado5)</f>
        <v>0</v>
      </c>
      <c r="Q109" s="27" t="n">
        <f aca="false">SUMIFS(super1[Qtde],super1[Item],tab_alimentos[[#This Row],[Item]],super1[Bairro],mercado6)+SUMIFS(supercb[Qtde],supercb[Item],tab_alimentos[[#This Row],[Item]],supercb[Bairro],mercado6)</f>
        <v>0</v>
      </c>
      <c r="R109" s="27" t="n">
        <f aca="false">SUMIFS(super1[Qtde],super1[Item],tab_alimentos[[#This Row],[Item]],super1[Bairro],mercado7)+SUMIFS(supercb[Qtde],supercb[Item],tab_alimentos[[#This Row],[Item]],supercb[Bairro],mercado7)</f>
        <v>0</v>
      </c>
      <c r="S109" s="27" t="n">
        <f aca="false">SUMIFS(super1[Qtde],super1[Item],tab_alimentos[[#This Row],[Item]],super1[Bairro],mercado8)+SUMIFS(supercb[Qtde],supercb[Item],tab_alimentos[[#This Row],[Item]],supercb[Bairro],mercado8)</f>
        <v>0</v>
      </c>
      <c r="T109" s="27" t="n">
        <f aca="false">SUMIFS(super1[Qtde],super1[Item],tab_alimentos[[#This Row],[Item]],super1[Bairro],mercado9)+SUMIFS(supercb[Qtde],supercb[Item],tab_alimentos[[#This Row],[Item]],supercb[Bairro],mercado9)</f>
        <v>0</v>
      </c>
      <c r="U109" s="27" t="n">
        <f aca="false">SUMIFS(super1[Qtde],super1[Item],tab_alimentos[[#This Row],[Item]],super1[Bairro],mercado10)+SUMIFS(supercb[Qtde],supercb[Item],tab_alimentos[[#This Row],[Item]],supercb[Bairro],mercado10)</f>
        <v>0</v>
      </c>
      <c r="V109" s="27" t="n">
        <f aca="false">SUMIFS(super1[Qtde],super1[Item],tab_alimentos[[#This Row],[Item]],super1[Bairro],mercado11)+SUMIFS(supercb[Qtde],supercb[Item],tab_alimentos[[#This Row],[Item]],supercb[Bairro],mercado11)</f>
        <v>0</v>
      </c>
      <c r="W109" s="27" t="n">
        <f aca="false">SUMIFS(super1[Qtde],super1[Item],tab_alimentos[[#This Row],[Item]],super1[Bairro],mercado12)+SUMIFS(supercb[Qtde],supercb[Item],tab_alimentos[[#This Row],[Item]],supercb[Bairro],mercado12)</f>
        <v>0</v>
      </c>
      <c r="X109" s="27" t="n">
        <f aca="false">SUMIFS(super1[Qtde],super1[Item],tab_alimentos[[#This Row],[Item]],super1[Bairro],mercado13)+SUMIFS(supercb[Qtde],supercb[Item],tab_alimentos[[#This Row],[Item]],supercb[Bairro],mercado13)</f>
        <v>0</v>
      </c>
      <c r="Y109" s="27" t="n">
        <f aca="false">SUMIFS(super1[Qtde],super1[Item],tab_alimentos[[#This Row],[Item]],super1[Bairro],mercado14)+SUMIFS(supercb[Qtde],supercb[Item],tab_alimentos[[#This Row],[Item]],supercb[Bairro],mercado14)</f>
        <v>0</v>
      </c>
      <c r="Z109" s="27" t="n">
        <f aca="false">SUMIFS(super1[Qtde],super1[Item],tab_alimentos[[#This Row],[Item]],super1[Bairro],mercado15)+SUMIFS(supercb[Qtde],supercb[Item],tab_alimentos[[#This Row],[Item]],supercb[Bairro],mercado15)</f>
        <v>0</v>
      </c>
      <c r="AA109" s="27" t="n">
        <f aca="false">SUMIFS(super1[Qtde],super1[Item],tab_alimentos[[#This Row],[Item]],super1[Bairro],mercado16)+SUMIFS(supercb[Qtde],supercb[Item],tab_alimentos[[#This Row],[Item]],supercb[Bairro],mercado16)</f>
        <v>0</v>
      </c>
      <c r="AB109" s="27" t="n">
        <f aca="false">SUMIFS(super1[Qtde],super1[Item],tab_alimentos[[#This Row],[Item]],super1[Bairro],mercado17)+SUMIFS(supercb[Qtde],supercb[Item],tab_alimentos[[#This Row],[Item]],supercb[Bairro],mercado17)</f>
        <v>0</v>
      </c>
      <c r="AC109" s="27" t="n">
        <f aca="false">SUMIFS(super1[Qtde],super1[Item],tab_alimentos[[#This Row],[Item]],super1[Bairro],mercado18)+SUMIFS(supercb[Qtde],supercb[Item],tab_alimentos[[#This Row],[Item]],supercb[Bairro],mercado18)</f>
        <v>0</v>
      </c>
      <c r="AD109" s="27" t="n">
        <f aca="false">SUMIFS(super1[Qtde],super1[Item],tab_alimentos[[#This Row],[Item]],super1[Bairro],extras)+SUMIFS(supercb[Qtde],supercb[Item],tab_alimentos[[#This Row],[Item]],supercb[Bairro],extras)</f>
        <v>0</v>
      </c>
      <c r="AE109" s="27" t="n">
        <f aca="false">SUM(L109:AC109)</f>
        <v>0</v>
      </c>
      <c r="AF109" s="27" t="n">
        <f aca="false">IFERROR(AE109*K109,0)</f>
        <v>0</v>
      </c>
      <c r="AG109" s="28" t="n">
        <f aca="false">IFERROR(J109*AE109,0)</f>
        <v>0</v>
      </c>
      <c r="AH109" s="26" t="str">
        <f aca="false">higiene[[#This Row],[Item]]</f>
        <v>Fraldas Infantis (44un)</v>
      </c>
      <c r="AI109" s="27" t="n">
        <f aca="false">IFERROR(higiene[[#This Row],[Kg equivalente]],0)</f>
        <v>13.8811221174544</v>
      </c>
      <c r="AJ109" s="27" t="n">
        <f aca="false">IFERROR(higiene[[#This Row],[Preço por produto]],0)</f>
        <v>45.98</v>
      </c>
      <c r="AK109" s="27" t="n">
        <f aca="false">SUMIFS(super1[Qtde],super1[Item],tab_higiene[[#This Row],[Item]],super1[Bairro],mercado1)+SUMIFS(supercb[Qtde],supercb[Item],tab_higiene[[#This Row],[Item]],supercb[Bairro],mercado1)</f>
        <v>0</v>
      </c>
      <c r="AL109" s="27" t="n">
        <f aca="false">SUMIFS(super1[Qtde],super1[Item],tab_higiene[[#This Row],[Item]],super1[Bairro],mercado2)+SUMIFS(supercb[Qtde],supercb[Item],tab_higiene[[#This Row],[Item]],supercb[Bairro],mercado2)</f>
        <v>0</v>
      </c>
      <c r="AM109" s="27" t="n">
        <f aca="false">SUMIFS(super1[Qtde],super1[Item],tab_higiene[[#This Row],[Item]],super1[Bairro],mercado3)+SUMIFS(supercb[Qtde],supercb[Item],tab_higiene[[#This Row],[Item]],supercb[Bairro],mercado3)</f>
        <v>0</v>
      </c>
      <c r="AN109" s="27" t="n">
        <f aca="false">SUMIFS(super1[Qtde],super1[Item],tab_higiene[[#This Row],[Item]],super1[Bairro],mercado4)+SUMIFS(supercb[Qtde],supercb[Item],tab_higiene[[#This Row],[Item]],supercb[Bairro],mercado4)</f>
        <v>0</v>
      </c>
      <c r="AO109" s="27" t="n">
        <f aca="false">SUMIFS(super1[Qtde],super1[Item],tab_higiene[[#This Row],[Item]],super1[Bairro],mercado5)+SUMIFS(supercb[Qtde],supercb[Item],tab_higiene[[#This Row],[Item]],supercb[Bairro],mercado5)</f>
        <v>0</v>
      </c>
      <c r="AP109" s="27" t="n">
        <f aca="false">SUMIFS(super1[Qtde],super1[Item],tab_higiene[[#This Row],[Item]],super1[Bairro],mercado6)+SUMIFS(supercb[Qtde],supercb[Item],tab_higiene[[#This Row],[Item]],supercb[Bairro],mercado6)</f>
        <v>0</v>
      </c>
      <c r="AQ109" s="27" t="n">
        <f aca="false">SUMIFS(super1[Qtde],super1[Item],tab_higiene[[#This Row],[Item]],super1[Bairro],mercado7)+SUMIFS(supercb[Qtde],supercb[Item],tab_higiene[[#This Row],[Item]],supercb[Bairro],mercado7)</f>
        <v>0</v>
      </c>
      <c r="AR109" s="27" t="n">
        <f aca="false">SUMIFS(super1[Qtde],super1[Item],tab_higiene[[#This Row],[Item]],super1[Bairro],mercado8)+SUMIFS(supercb[Qtde],supercb[Item],tab_higiene[[#This Row],[Item]],supercb[Bairro],mercado8)</f>
        <v>0</v>
      </c>
      <c r="AS109" s="27" t="n">
        <f aca="false">SUMIFS(super1[Qtde],super1[Item],tab_higiene[[#This Row],[Item]],super1[Bairro],mercado9)+SUMIFS(supercb[Qtde],supercb[Item],tab_higiene[[#This Row],[Item]],supercb[Bairro],mercado9)</f>
        <v>0</v>
      </c>
      <c r="AT109" s="27" t="n">
        <f aca="false">SUMIFS(super1[Qtde],super1[Item],tab_higiene[[#This Row],[Item]],super1[Bairro],mercado10)+SUMIFS(supercb[Qtde],supercb[Item],tab_higiene[[#This Row],[Item]],supercb[Bairro],mercado10)</f>
        <v>1</v>
      </c>
      <c r="AU109" s="27" t="n">
        <f aca="false">SUMIFS(super1[Qtde],super1[Item],tab_higiene[[#This Row],[Item]],super1[Bairro],mercado11)+SUMIFS(supercb[Qtde],supercb[Item],tab_higiene[[#This Row],[Item]],supercb[Bairro],mercado11)</f>
        <v>0</v>
      </c>
      <c r="AV109" s="27" t="n">
        <f aca="false">SUMIFS(super1[Qtde],super1[Item],tab_higiene[[#This Row],[Item]],super1[Bairro],mercado12)+SUMIFS(supercb[Qtde],supercb[Item],tab_higiene[[#This Row],[Item]],supercb[Bairro],mercado12)</f>
        <v>0</v>
      </c>
      <c r="AW109" s="27" t="n">
        <f aca="false">SUMIFS(super1[Qtde],super1[Item],tab_higiene[[#This Row],[Item]],super1[Bairro],mercado13)+SUMIFS(supercb[Qtde],supercb[Item],tab_higiene[[#This Row],[Item]],supercb[Bairro],mercado13)</f>
        <v>0</v>
      </c>
      <c r="AX109" s="27" t="n">
        <f aca="false">SUMIFS(super1[Qtde],super1[Item],tab_higiene[[#This Row],[Item]],super1[Bairro],mercado14)+SUMIFS(supercb[Qtde],supercb[Item],tab_higiene[[#This Row],[Item]],supercb[Bairro],mercado14)</f>
        <v>0</v>
      </c>
      <c r="AY109" s="27" t="n">
        <f aca="false">SUMIFS(super1[Qtde],super1[Item],tab_higiene[[#This Row],[Item]],super1[Bairro],mercado15)+SUMIFS(supercb[Qtde],supercb[Item],tab_higiene[[#This Row],[Item]],supercb[Bairro],mercado15)</f>
        <v>0</v>
      </c>
      <c r="AZ109" s="27" t="n">
        <f aca="false">SUMIFS(super1[Qtde],super1[Item],tab_higiene[[#This Row],[Item]],super1[Bairro],mercado16)+SUMIFS(supercb[Qtde],supercb[Item],tab_higiene[[#This Row],[Item]],supercb[Bairro],mercado16)</f>
        <v>0</v>
      </c>
      <c r="BA109" s="27" t="n">
        <f aca="false">SUMIFS(super1[Qtde],super1[Item],tab_higiene[[#This Row],[Item]],super1[Bairro],mercado17)+SUMIFS(supercb[Qtde],supercb[Item],tab_higiene[[#This Row],[Item]],supercb[Bairro],mercado17)</f>
        <v>0</v>
      </c>
      <c r="BB109" s="27" t="n">
        <f aca="false">SUMIFS(super1[Qtde],super1[Item],tab_higiene[[#This Row],[Item]],super1[Bairro],mercado18)+SUMIFS(supercb[Qtde],supercb[Item],tab_higiene[[#This Row],[Item]],supercb[Bairro],mercado18)</f>
        <v>0</v>
      </c>
      <c r="BC109" s="27" t="n">
        <f aca="false">SUMIFS(super1[Qtde],super1[Item],tab_higiene[[#This Row],[Item]],super1[Bairro],extras)+SUMIFS(supercb[Qtde],supercb[Item],tab_higiene[[#This Row],[Item]],supercb[Bairro],extras)</f>
        <v>0</v>
      </c>
      <c r="BD109" s="27" t="n">
        <f aca="false">SUM(AK109:BB109)</f>
        <v>1</v>
      </c>
      <c r="BE109" s="27" t="n">
        <f aca="false">IFERROR(BD109*AJ109,0)</f>
        <v>45.98</v>
      </c>
      <c r="BF109" s="28" t="n">
        <f aca="false">IFERROR(AI109*BD109,0)</f>
        <v>13.8811221174544</v>
      </c>
      <c r="BI109" s="22" t="str">
        <f aca="false">tab_alimentos[[#This Row],[Item]]</f>
        <v>Extrato de tomate (320g)</v>
      </c>
      <c r="BJ109" s="22" t="n">
        <f aca="false">IFERROR(FIND(" (",BI109),0)</f>
        <v>18</v>
      </c>
      <c r="BK109" s="22" t="str">
        <f aca="false">IF(BJ109=0,BI109,LEFT(BI109,BJ109-1))</f>
        <v>Extrato de tomate</v>
      </c>
      <c r="BL109" s="22" t="n">
        <f aca="false">tab_alimentos[[#This Row],[kg]]</f>
        <v>0</v>
      </c>
      <c r="BN109" s="22" t="n">
        <f aca="false">SUMIF($BJ$5:$BJ$158,BM109,$BK$5:$BK$158)</f>
        <v>0</v>
      </c>
      <c r="BP109" s="22" t="str">
        <f aca="false">tab_higiene[[#This Row],[Item]]</f>
        <v>Fraldas Infantis (44un)</v>
      </c>
      <c r="BQ109" s="22" t="n">
        <f aca="false">IFERROR(FIND(" (",BP109),0)</f>
        <v>17</v>
      </c>
      <c r="BR109" s="22" t="str">
        <f aca="false">IF(BQ109=0,BP109,LEFT(BP109,BQ109-1))</f>
        <v>Fraldas Infantis</v>
      </c>
      <c r="BS109" s="22" t="n">
        <f aca="false">higiene[[#This Row],[Quantidade]]</f>
        <v>0.75</v>
      </c>
      <c r="BT109" s="22" t="n">
        <f aca="false">tab_higiene[Qtde (tot)]</f>
        <v>1</v>
      </c>
      <c r="BU109" s="22" t="n">
        <f aca="false">BS109*BT109</f>
        <v>0.75</v>
      </c>
      <c r="BW109" s="22" t="n">
        <f aca="false">SUMIF($BR$5:$BR$142,BV109,$BU$5:$BU$142)</f>
        <v>0</v>
      </c>
    </row>
    <row r="110" customFormat="false" ht="15" hidden="false" customHeight="false" outlineLevel="0" collapsed="false">
      <c r="I110" s="26" t="str">
        <f aca="false">alimentos[[#This Row],[Item]]</f>
        <v>Extrato de tomate (340g)</v>
      </c>
      <c r="J110" s="27" t="n">
        <f aca="false">IFERROR(alimentos[[#This Row],[kg/embalagem]],0)</f>
        <v>0.34</v>
      </c>
      <c r="K110" s="27" t="n">
        <f aca="false">IFERROR(alimentos[[#This Row],[Preço]],0)</f>
        <v>3.17333333333333</v>
      </c>
      <c r="L110" s="27" t="n">
        <f aca="false">SUMIFS(super1[Qtde],super1[Item],tab_alimentos[[#This Row],[Item]],super1[Bairro],mercado1)+SUMIFS(supercb[Qtde],supercb[Item],tab_alimentos[[#This Row],[Item]],supercb[Bairro],mercado1)</f>
        <v>0</v>
      </c>
      <c r="M110" s="27" t="n">
        <f aca="false">SUMIFS(super1[Qtde],super1[Item],tab_alimentos[[#This Row],[Item]],super1[Bairro],mercado2)+SUMIFS(supercb[Qtde],supercb[Item],tab_alimentos[[#This Row],[Item]],supercb[Bairro],mercado2)</f>
        <v>1</v>
      </c>
      <c r="N110" s="27" t="n">
        <f aca="false">SUMIFS(super1[Qtde],super1[Item],tab_alimentos[[#This Row],[Item]],super1[Bairro],mercado3)+SUMIFS(supercb[Qtde],supercb[Item],tab_alimentos[[#This Row],[Item]],supercb[Bairro],mercado3)</f>
        <v>0</v>
      </c>
      <c r="O110" s="27" t="n">
        <f aca="false">SUMIFS(super1[Qtde],super1[Item],tab_alimentos[[#This Row],[Item]],super1[Bairro],mercado4)+SUMIFS(supercb[Qtde],supercb[Item],tab_alimentos[[#This Row],[Item]],supercb[Bairro],mercado4)</f>
        <v>0</v>
      </c>
      <c r="P110" s="27" t="n">
        <f aca="false">SUMIFS(super1[Qtde],super1[Item],tab_alimentos[[#This Row],[Item]],super1[Bairro],mercado5)+SUMIFS(supercb[Qtde],supercb[Item],tab_alimentos[[#This Row],[Item]],supercb[Bairro],mercado5)</f>
        <v>1</v>
      </c>
      <c r="Q110" s="27" t="n">
        <f aca="false">SUMIFS(super1[Qtde],super1[Item],tab_alimentos[[#This Row],[Item]],super1[Bairro],mercado6)+SUMIFS(supercb[Qtde],supercb[Item],tab_alimentos[[#This Row],[Item]],supercb[Bairro],mercado6)</f>
        <v>0</v>
      </c>
      <c r="R110" s="27" t="n">
        <f aca="false">SUMIFS(super1[Qtde],super1[Item],tab_alimentos[[#This Row],[Item]],super1[Bairro],mercado7)+SUMIFS(supercb[Qtde],supercb[Item],tab_alimentos[[#This Row],[Item]],supercb[Bairro],mercado7)</f>
        <v>0</v>
      </c>
      <c r="S110" s="27" t="n">
        <f aca="false">SUMIFS(super1[Qtde],super1[Item],tab_alimentos[[#This Row],[Item]],super1[Bairro],mercado8)+SUMIFS(supercb[Qtde],supercb[Item],tab_alimentos[[#This Row],[Item]],supercb[Bairro],mercado8)</f>
        <v>0</v>
      </c>
      <c r="T110" s="27" t="n">
        <f aca="false">SUMIFS(super1[Qtde],super1[Item],tab_alimentos[[#This Row],[Item]],super1[Bairro],mercado9)+SUMIFS(supercb[Qtde],supercb[Item],tab_alimentos[[#This Row],[Item]],supercb[Bairro],mercado9)</f>
        <v>0</v>
      </c>
      <c r="U110" s="27" t="n">
        <f aca="false">SUMIFS(super1[Qtde],super1[Item],tab_alimentos[[#This Row],[Item]],super1[Bairro],mercado10)+SUMIFS(supercb[Qtde],supercb[Item],tab_alimentos[[#This Row],[Item]],supercb[Bairro],mercado10)</f>
        <v>0</v>
      </c>
      <c r="V110" s="27" t="n">
        <f aca="false">SUMIFS(super1[Qtde],super1[Item],tab_alimentos[[#This Row],[Item]],super1[Bairro],mercado11)+SUMIFS(supercb[Qtde],supercb[Item],tab_alimentos[[#This Row],[Item]],supercb[Bairro],mercado11)</f>
        <v>1</v>
      </c>
      <c r="W110" s="27" t="n">
        <f aca="false">SUMIFS(super1[Qtde],super1[Item],tab_alimentos[[#This Row],[Item]],super1[Bairro],mercado12)+SUMIFS(supercb[Qtde],supercb[Item],tab_alimentos[[#This Row],[Item]],supercb[Bairro],mercado12)</f>
        <v>0</v>
      </c>
      <c r="X110" s="27" t="n">
        <f aca="false">SUMIFS(super1[Qtde],super1[Item],tab_alimentos[[#This Row],[Item]],super1[Bairro],mercado13)+SUMIFS(supercb[Qtde],supercb[Item],tab_alimentos[[#This Row],[Item]],supercb[Bairro],mercado13)</f>
        <v>0</v>
      </c>
      <c r="Y110" s="27" t="n">
        <f aca="false">SUMIFS(super1[Qtde],super1[Item],tab_alimentos[[#This Row],[Item]],super1[Bairro],mercado14)+SUMIFS(supercb[Qtde],supercb[Item],tab_alimentos[[#This Row],[Item]],supercb[Bairro],mercado14)</f>
        <v>0</v>
      </c>
      <c r="Z110" s="27" t="n">
        <f aca="false">SUMIFS(super1[Qtde],super1[Item],tab_alimentos[[#This Row],[Item]],super1[Bairro],mercado15)+SUMIFS(supercb[Qtde],supercb[Item],tab_alimentos[[#This Row],[Item]],supercb[Bairro],mercado15)</f>
        <v>0</v>
      </c>
      <c r="AA110" s="27" t="n">
        <f aca="false">SUMIFS(super1[Qtde],super1[Item],tab_alimentos[[#This Row],[Item]],super1[Bairro],mercado16)+SUMIFS(supercb[Qtde],supercb[Item],tab_alimentos[[#This Row],[Item]],supercb[Bairro],mercado16)</f>
        <v>0</v>
      </c>
      <c r="AB110" s="27" t="n">
        <f aca="false">SUMIFS(super1[Qtde],super1[Item],tab_alimentos[[#This Row],[Item]],super1[Bairro],mercado17)+SUMIFS(supercb[Qtde],supercb[Item],tab_alimentos[[#This Row],[Item]],supercb[Bairro],mercado17)</f>
        <v>0</v>
      </c>
      <c r="AC110" s="27" t="n">
        <f aca="false">SUMIFS(super1[Qtde],super1[Item],tab_alimentos[[#This Row],[Item]],super1[Bairro],mercado18)+SUMIFS(supercb[Qtde],supercb[Item],tab_alimentos[[#This Row],[Item]],supercb[Bairro],mercado18)</f>
        <v>0</v>
      </c>
      <c r="AD110" s="27" t="n">
        <f aca="false">SUMIFS(super1[Qtde],super1[Item],tab_alimentos[[#This Row],[Item]],super1[Bairro],extras)+SUMIFS(supercb[Qtde],supercb[Item],tab_alimentos[[#This Row],[Item]],supercb[Bairro],extras)</f>
        <v>0</v>
      </c>
      <c r="AE110" s="27" t="n">
        <f aca="false">SUM(L110:AC110)</f>
        <v>3</v>
      </c>
      <c r="AF110" s="27" t="n">
        <f aca="false">IFERROR(AE110*K110,0)</f>
        <v>9.52</v>
      </c>
      <c r="AG110" s="28" t="n">
        <f aca="false">IFERROR(J110*AE110,0)</f>
        <v>1.02</v>
      </c>
      <c r="AH110" s="26" t="str">
        <f aca="false">higiene[[#This Row],[Item]]</f>
        <v>Fraldas Infantis (46un)</v>
      </c>
      <c r="AI110" s="27" t="n">
        <f aca="false">IFERROR(higiene[[#This Row],[Kg equivalente]],0)</f>
        <v>9.79769328403358</v>
      </c>
      <c r="AJ110" s="27" t="n">
        <f aca="false">IFERROR(higiene[[#This Row],[Preço por produto]],0)</f>
        <v>32.454</v>
      </c>
      <c r="AK110" s="27" t="n">
        <f aca="false">SUMIFS(super1[Qtde],super1[Item],tab_higiene[[#This Row],[Item]],super1[Bairro],mercado1)+SUMIFS(supercb[Qtde],supercb[Item],tab_higiene[[#This Row],[Item]],supercb[Bairro],mercado1)</f>
        <v>0</v>
      </c>
      <c r="AL110" s="27" t="n">
        <f aca="false">SUMIFS(super1[Qtde],super1[Item],tab_higiene[[#This Row],[Item]],super1[Bairro],mercado2)+SUMIFS(supercb[Qtde],supercb[Item],tab_higiene[[#This Row],[Item]],supercb[Bairro],mercado2)</f>
        <v>0</v>
      </c>
      <c r="AM110" s="27" t="n">
        <f aca="false">SUMIFS(super1[Qtde],super1[Item],tab_higiene[[#This Row],[Item]],super1[Bairro],mercado3)+SUMIFS(supercb[Qtde],supercb[Item],tab_higiene[[#This Row],[Item]],supercb[Bairro],mercado3)</f>
        <v>0</v>
      </c>
      <c r="AN110" s="27" t="n">
        <f aca="false">SUMIFS(super1[Qtde],super1[Item],tab_higiene[[#This Row],[Item]],super1[Bairro],mercado4)+SUMIFS(supercb[Qtde],supercb[Item],tab_higiene[[#This Row],[Item]],supercb[Bairro],mercado4)</f>
        <v>0</v>
      </c>
      <c r="AO110" s="27" t="n">
        <f aca="false">SUMIFS(super1[Qtde],super1[Item],tab_higiene[[#This Row],[Item]],super1[Bairro],mercado5)+SUMIFS(supercb[Qtde],supercb[Item],tab_higiene[[#This Row],[Item]],supercb[Bairro],mercado5)</f>
        <v>0</v>
      </c>
      <c r="AP110" s="27" t="n">
        <f aca="false">SUMIFS(super1[Qtde],super1[Item],tab_higiene[[#This Row],[Item]],super1[Bairro],mercado6)+SUMIFS(supercb[Qtde],supercb[Item],tab_higiene[[#This Row],[Item]],supercb[Bairro],mercado6)</f>
        <v>0</v>
      </c>
      <c r="AQ110" s="27" t="n">
        <f aca="false">SUMIFS(super1[Qtde],super1[Item],tab_higiene[[#This Row],[Item]],super1[Bairro],mercado7)+SUMIFS(supercb[Qtde],supercb[Item],tab_higiene[[#This Row],[Item]],supercb[Bairro],mercado7)</f>
        <v>0</v>
      </c>
      <c r="AR110" s="27" t="n">
        <f aca="false">SUMIFS(super1[Qtde],super1[Item],tab_higiene[[#This Row],[Item]],super1[Bairro],mercado8)+SUMIFS(supercb[Qtde],supercb[Item],tab_higiene[[#This Row],[Item]],supercb[Bairro],mercado8)</f>
        <v>0</v>
      </c>
      <c r="AS110" s="27" t="n">
        <f aca="false">SUMIFS(super1[Qtde],super1[Item],tab_higiene[[#This Row],[Item]],super1[Bairro],mercado9)+SUMIFS(supercb[Qtde],supercb[Item],tab_higiene[[#This Row],[Item]],supercb[Bairro],mercado9)</f>
        <v>0</v>
      </c>
      <c r="AT110" s="27" t="n">
        <f aca="false">SUMIFS(super1[Qtde],super1[Item],tab_higiene[[#This Row],[Item]],super1[Bairro],mercado10)+SUMIFS(supercb[Qtde],supercb[Item],tab_higiene[[#This Row],[Item]],supercb[Bairro],mercado10)</f>
        <v>0</v>
      </c>
      <c r="AU110" s="27" t="n">
        <f aca="false">SUMIFS(super1[Qtde],super1[Item],tab_higiene[[#This Row],[Item]],super1[Bairro],mercado11)+SUMIFS(supercb[Qtde],supercb[Item],tab_higiene[[#This Row],[Item]],supercb[Bairro],mercado11)</f>
        <v>0</v>
      </c>
      <c r="AV110" s="27" t="n">
        <f aca="false">SUMIFS(super1[Qtde],super1[Item],tab_higiene[[#This Row],[Item]],super1[Bairro],mercado12)+SUMIFS(supercb[Qtde],supercb[Item],tab_higiene[[#This Row],[Item]],supercb[Bairro],mercado12)</f>
        <v>0</v>
      </c>
      <c r="AW110" s="27" t="n">
        <f aca="false">SUMIFS(super1[Qtde],super1[Item],tab_higiene[[#This Row],[Item]],super1[Bairro],mercado13)+SUMIFS(supercb[Qtde],supercb[Item],tab_higiene[[#This Row],[Item]],supercb[Bairro],mercado13)</f>
        <v>0</v>
      </c>
      <c r="AX110" s="27" t="n">
        <f aca="false">SUMIFS(super1[Qtde],super1[Item],tab_higiene[[#This Row],[Item]],super1[Bairro],mercado14)+SUMIFS(supercb[Qtde],supercb[Item],tab_higiene[[#This Row],[Item]],supercb[Bairro],mercado14)</f>
        <v>0</v>
      </c>
      <c r="AY110" s="27" t="n">
        <f aca="false">SUMIFS(super1[Qtde],super1[Item],tab_higiene[[#This Row],[Item]],super1[Bairro],mercado15)+SUMIFS(supercb[Qtde],supercb[Item],tab_higiene[[#This Row],[Item]],supercb[Bairro],mercado15)</f>
        <v>0</v>
      </c>
      <c r="AZ110" s="27" t="n">
        <f aca="false">SUMIFS(super1[Qtde],super1[Item],tab_higiene[[#This Row],[Item]],super1[Bairro],mercado16)+SUMIFS(supercb[Qtde],supercb[Item],tab_higiene[[#This Row],[Item]],supercb[Bairro],mercado16)</f>
        <v>0</v>
      </c>
      <c r="BA110" s="27" t="n">
        <f aca="false">SUMIFS(super1[Qtde],super1[Item],tab_higiene[[#This Row],[Item]],super1[Bairro],mercado17)+SUMIFS(supercb[Qtde],supercb[Item],tab_higiene[[#This Row],[Item]],supercb[Bairro],mercado17)</f>
        <v>0</v>
      </c>
      <c r="BB110" s="27" t="n">
        <f aca="false">SUMIFS(super1[Qtde],super1[Item],tab_higiene[[#This Row],[Item]],super1[Bairro],mercado18)+SUMIFS(supercb[Qtde],supercb[Item],tab_higiene[[#This Row],[Item]],supercb[Bairro],mercado18)</f>
        <v>0</v>
      </c>
      <c r="BC110" s="27" t="n">
        <f aca="false">SUMIFS(super1[Qtde],super1[Item],tab_higiene[[#This Row],[Item]],super1[Bairro],extras)+SUMIFS(supercb[Qtde],supercb[Item],tab_higiene[[#This Row],[Item]],supercb[Bairro],extras)</f>
        <v>0</v>
      </c>
      <c r="BD110" s="27" t="n">
        <f aca="false">SUM(AK110:BB110)</f>
        <v>0</v>
      </c>
      <c r="BE110" s="27" t="n">
        <f aca="false">IFERROR(BD110*AJ110,0)</f>
        <v>0</v>
      </c>
      <c r="BF110" s="28" t="n">
        <f aca="false">IFERROR(AI110*BD110,0)</f>
        <v>0</v>
      </c>
      <c r="BI110" s="22" t="str">
        <f aca="false">tab_alimentos[[#This Row],[Item]]</f>
        <v>Extrato de tomate (340g)</v>
      </c>
      <c r="BJ110" s="22" t="n">
        <f aca="false">IFERROR(FIND(" (",BI110),0)</f>
        <v>18</v>
      </c>
      <c r="BK110" s="22" t="str">
        <f aca="false">IF(BJ110=0,BI110,LEFT(BI110,BJ110-1))</f>
        <v>Extrato de tomate</v>
      </c>
      <c r="BL110" s="22" t="n">
        <f aca="false">tab_alimentos[[#This Row],[kg]]</f>
        <v>1.02</v>
      </c>
      <c r="BN110" s="22" t="n">
        <f aca="false">SUMIF($BJ$5:$BJ$158,BM110,$BK$5:$BK$158)</f>
        <v>0</v>
      </c>
      <c r="BP110" s="22" t="str">
        <f aca="false">tab_higiene[[#This Row],[Item]]</f>
        <v>Fraldas Infantis (46un)</v>
      </c>
      <c r="BQ110" s="22" t="n">
        <f aca="false">IFERROR(FIND(" (",BP110),0)</f>
        <v>17</v>
      </c>
      <c r="BR110" s="22" t="str">
        <f aca="false">IF(BQ110=0,BP110,LEFT(BP110,BQ110-1))</f>
        <v>Fraldas Infantis</v>
      </c>
      <c r="BS110" s="22" t="n">
        <f aca="false">higiene[[#This Row],[Quantidade]]</f>
        <v>3</v>
      </c>
      <c r="BT110" s="22" t="n">
        <f aca="false">tab_higiene[Qtde (tot)]</f>
        <v>0</v>
      </c>
      <c r="BU110" s="22" t="n">
        <f aca="false">BS110*BT110</f>
        <v>0</v>
      </c>
      <c r="BW110" s="22" t="n">
        <f aca="false">SUMIF($BR$5:$BR$142,BV110,$BU$5:$BU$142)</f>
        <v>0</v>
      </c>
    </row>
    <row r="111" customFormat="false" ht="15" hidden="false" customHeight="false" outlineLevel="0" collapsed="false">
      <c r="I111" s="26" t="str">
        <f aca="false">alimentos[[#This Row],[Item]]</f>
        <v>Extrato de tomate (400g)</v>
      </c>
      <c r="J111" s="27" t="n">
        <f aca="false">IFERROR(alimentos[[#This Row],[kg/embalagem]],0)</f>
        <v>0.4</v>
      </c>
      <c r="K111" s="27" t="n">
        <f aca="false">IFERROR(alimentos[[#This Row],[Preço]],0)</f>
        <v>3.335</v>
      </c>
      <c r="L111" s="27" t="n">
        <f aca="false">SUMIFS(super1[Qtde],super1[Item],tab_alimentos[[#This Row],[Item]],super1[Bairro],mercado1)+SUMIFS(supercb[Qtde],supercb[Item],tab_alimentos[[#This Row],[Item]],supercb[Bairro],mercado1)</f>
        <v>0</v>
      </c>
      <c r="M111" s="27" t="n">
        <f aca="false">SUMIFS(super1[Qtde],super1[Item],tab_alimentos[[#This Row],[Item]],super1[Bairro],mercado2)+SUMIFS(supercb[Qtde],supercb[Item],tab_alimentos[[#This Row],[Item]],supercb[Bairro],mercado2)</f>
        <v>0</v>
      </c>
      <c r="N111" s="27" t="n">
        <f aca="false">SUMIFS(super1[Qtde],super1[Item],tab_alimentos[[#This Row],[Item]],super1[Bairro],mercado3)+SUMIFS(supercb[Qtde],supercb[Item],tab_alimentos[[#This Row],[Item]],supercb[Bairro],mercado3)</f>
        <v>0</v>
      </c>
      <c r="O111" s="27" t="n">
        <f aca="false">SUMIFS(super1[Qtde],super1[Item],tab_alimentos[[#This Row],[Item]],super1[Bairro],mercado4)+SUMIFS(supercb[Qtde],supercb[Item],tab_alimentos[[#This Row],[Item]],supercb[Bairro],mercado4)</f>
        <v>0</v>
      </c>
      <c r="P111" s="27" t="n">
        <f aca="false">SUMIFS(super1[Qtde],super1[Item],tab_alimentos[[#This Row],[Item]],super1[Bairro],mercado5)+SUMIFS(supercb[Qtde],supercb[Item],tab_alimentos[[#This Row],[Item]],supercb[Bairro],mercado5)</f>
        <v>0</v>
      </c>
      <c r="Q111" s="27" t="n">
        <f aca="false">SUMIFS(super1[Qtde],super1[Item],tab_alimentos[[#This Row],[Item]],super1[Bairro],mercado6)+SUMIFS(supercb[Qtde],supercb[Item],tab_alimentos[[#This Row],[Item]],supercb[Bairro],mercado6)</f>
        <v>0</v>
      </c>
      <c r="R111" s="27" t="n">
        <f aca="false">SUMIFS(super1[Qtde],super1[Item],tab_alimentos[[#This Row],[Item]],super1[Bairro],mercado7)+SUMIFS(supercb[Qtde],supercb[Item],tab_alimentos[[#This Row],[Item]],supercb[Bairro],mercado7)</f>
        <v>0</v>
      </c>
      <c r="S111" s="27" t="n">
        <f aca="false">SUMIFS(super1[Qtde],super1[Item],tab_alimentos[[#This Row],[Item]],super1[Bairro],mercado8)+SUMIFS(supercb[Qtde],supercb[Item],tab_alimentos[[#This Row],[Item]],supercb[Bairro],mercado8)</f>
        <v>0</v>
      </c>
      <c r="T111" s="27" t="n">
        <f aca="false">SUMIFS(super1[Qtde],super1[Item],tab_alimentos[[#This Row],[Item]],super1[Bairro],mercado9)+SUMIFS(supercb[Qtde],supercb[Item],tab_alimentos[[#This Row],[Item]],supercb[Bairro],mercado9)</f>
        <v>0</v>
      </c>
      <c r="U111" s="27" t="n">
        <f aca="false">SUMIFS(super1[Qtde],super1[Item],tab_alimentos[[#This Row],[Item]],super1[Bairro],mercado10)+SUMIFS(supercb[Qtde],supercb[Item],tab_alimentos[[#This Row],[Item]],supercb[Bairro],mercado10)</f>
        <v>0</v>
      </c>
      <c r="V111" s="27" t="n">
        <f aca="false">SUMIFS(super1[Qtde],super1[Item],tab_alimentos[[#This Row],[Item]],super1[Bairro],mercado11)+SUMIFS(supercb[Qtde],supercb[Item],tab_alimentos[[#This Row],[Item]],supercb[Bairro],mercado11)</f>
        <v>0</v>
      </c>
      <c r="W111" s="27" t="n">
        <f aca="false">SUMIFS(super1[Qtde],super1[Item],tab_alimentos[[#This Row],[Item]],super1[Bairro],mercado12)+SUMIFS(supercb[Qtde],supercb[Item],tab_alimentos[[#This Row],[Item]],supercb[Bairro],mercado12)</f>
        <v>0</v>
      </c>
      <c r="X111" s="27" t="n">
        <f aca="false">SUMIFS(super1[Qtde],super1[Item],tab_alimentos[[#This Row],[Item]],super1[Bairro],mercado13)+SUMIFS(supercb[Qtde],supercb[Item],tab_alimentos[[#This Row],[Item]],supercb[Bairro],mercado13)</f>
        <v>0</v>
      </c>
      <c r="Y111" s="27" t="n">
        <f aca="false">SUMIFS(super1[Qtde],super1[Item],tab_alimentos[[#This Row],[Item]],super1[Bairro],mercado14)+SUMIFS(supercb[Qtde],supercb[Item],tab_alimentos[[#This Row],[Item]],supercb[Bairro],mercado14)</f>
        <v>0</v>
      </c>
      <c r="Z111" s="27" t="n">
        <f aca="false">SUMIFS(super1[Qtde],super1[Item],tab_alimentos[[#This Row],[Item]],super1[Bairro],mercado15)+SUMIFS(supercb[Qtde],supercb[Item],tab_alimentos[[#This Row],[Item]],supercb[Bairro],mercado15)</f>
        <v>0</v>
      </c>
      <c r="AA111" s="27" t="n">
        <f aca="false">SUMIFS(super1[Qtde],super1[Item],tab_alimentos[[#This Row],[Item]],super1[Bairro],mercado16)+SUMIFS(supercb[Qtde],supercb[Item],tab_alimentos[[#This Row],[Item]],supercb[Bairro],mercado16)</f>
        <v>0</v>
      </c>
      <c r="AB111" s="27" t="n">
        <f aca="false">SUMIFS(super1[Qtde],super1[Item],tab_alimentos[[#This Row],[Item]],super1[Bairro],mercado17)+SUMIFS(supercb[Qtde],supercb[Item],tab_alimentos[[#This Row],[Item]],supercb[Bairro],mercado17)</f>
        <v>0</v>
      </c>
      <c r="AC111" s="27" t="n">
        <f aca="false">SUMIFS(super1[Qtde],super1[Item],tab_alimentos[[#This Row],[Item]],super1[Bairro],mercado18)+SUMIFS(supercb[Qtde],supercb[Item],tab_alimentos[[#This Row],[Item]],supercb[Bairro],mercado18)</f>
        <v>0</v>
      </c>
      <c r="AD111" s="27" t="n">
        <f aca="false">SUMIFS(super1[Qtde],super1[Item],tab_alimentos[[#This Row],[Item]],super1[Bairro],extras)+SUMIFS(supercb[Qtde],supercb[Item],tab_alimentos[[#This Row],[Item]],supercb[Bairro],extras)</f>
        <v>0</v>
      </c>
      <c r="AE111" s="27" t="n">
        <f aca="false">SUM(L111:AC111)</f>
        <v>0</v>
      </c>
      <c r="AF111" s="27" t="n">
        <f aca="false">IFERROR(AE111*K111,0)</f>
        <v>0</v>
      </c>
      <c r="AG111" s="28" t="n">
        <f aca="false">IFERROR(J111*AE111,0)</f>
        <v>0</v>
      </c>
      <c r="AH111" s="26" t="str">
        <f aca="false">higiene[[#This Row],[Item]]</f>
        <v>Fraldas Infantis (48un)</v>
      </c>
      <c r="AI111" s="27" t="n">
        <f aca="false">IFERROR(higiene[[#This Row],[Kg equivalente]],0)</f>
        <v>10.5361279229917</v>
      </c>
      <c r="AJ111" s="27" t="n">
        <f aca="false">IFERROR(higiene[[#This Row],[Preço por produto]],0)</f>
        <v>34.9</v>
      </c>
      <c r="AK111" s="27" t="n">
        <f aca="false">SUMIFS(super1[Qtde],super1[Item],tab_higiene[[#This Row],[Item]],super1[Bairro],mercado1)+SUMIFS(supercb[Qtde],supercb[Item],tab_higiene[[#This Row],[Item]],supercb[Bairro],mercado1)</f>
        <v>0</v>
      </c>
      <c r="AL111" s="27" t="n">
        <f aca="false">SUMIFS(super1[Qtde],super1[Item],tab_higiene[[#This Row],[Item]],super1[Bairro],mercado2)+SUMIFS(supercb[Qtde],supercb[Item],tab_higiene[[#This Row],[Item]],supercb[Bairro],mercado2)</f>
        <v>0</v>
      </c>
      <c r="AM111" s="27" t="n">
        <f aca="false">SUMIFS(super1[Qtde],super1[Item],tab_higiene[[#This Row],[Item]],super1[Bairro],mercado3)+SUMIFS(supercb[Qtde],supercb[Item],tab_higiene[[#This Row],[Item]],supercb[Bairro],mercado3)</f>
        <v>0</v>
      </c>
      <c r="AN111" s="27" t="n">
        <f aca="false">SUMIFS(super1[Qtde],super1[Item],tab_higiene[[#This Row],[Item]],super1[Bairro],mercado4)+SUMIFS(supercb[Qtde],supercb[Item],tab_higiene[[#This Row],[Item]],supercb[Bairro],mercado4)</f>
        <v>0</v>
      </c>
      <c r="AO111" s="27" t="n">
        <f aca="false">SUMIFS(super1[Qtde],super1[Item],tab_higiene[[#This Row],[Item]],super1[Bairro],mercado5)+SUMIFS(supercb[Qtde],supercb[Item],tab_higiene[[#This Row],[Item]],supercb[Bairro],mercado5)</f>
        <v>1</v>
      </c>
      <c r="AP111" s="27" t="n">
        <f aca="false">SUMIFS(super1[Qtde],super1[Item],tab_higiene[[#This Row],[Item]],super1[Bairro],mercado6)+SUMIFS(supercb[Qtde],supercb[Item],tab_higiene[[#This Row],[Item]],supercb[Bairro],mercado6)</f>
        <v>0</v>
      </c>
      <c r="AQ111" s="27" t="n">
        <f aca="false">SUMIFS(super1[Qtde],super1[Item],tab_higiene[[#This Row],[Item]],super1[Bairro],mercado7)+SUMIFS(supercb[Qtde],supercb[Item],tab_higiene[[#This Row],[Item]],supercb[Bairro],mercado7)</f>
        <v>0</v>
      </c>
      <c r="AR111" s="27" t="n">
        <f aca="false">SUMIFS(super1[Qtde],super1[Item],tab_higiene[[#This Row],[Item]],super1[Bairro],mercado8)+SUMIFS(supercb[Qtde],supercb[Item],tab_higiene[[#This Row],[Item]],supercb[Bairro],mercado8)</f>
        <v>0</v>
      </c>
      <c r="AS111" s="27" t="n">
        <f aca="false">SUMIFS(super1[Qtde],super1[Item],tab_higiene[[#This Row],[Item]],super1[Bairro],mercado9)+SUMIFS(supercb[Qtde],supercb[Item],tab_higiene[[#This Row],[Item]],supercb[Bairro],mercado9)</f>
        <v>0</v>
      </c>
      <c r="AT111" s="27" t="n">
        <f aca="false">SUMIFS(super1[Qtde],super1[Item],tab_higiene[[#This Row],[Item]],super1[Bairro],mercado10)+SUMIFS(supercb[Qtde],supercb[Item],tab_higiene[[#This Row],[Item]],supercb[Bairro],mercado10)</f>
        <v>0</v>
      </c>
      <c r="AU111" s="27" t="n">
        <f aca="false">SUMIFS(super1[Qtde],super1[Item],tab_higiene[[#This Row],[Item]],super1[Bairro],mercado11)+SUMIFS(supercb[Qtde],supercb[Item],tab_higiene[[#This Row],[Item]],supercb[Bairro],mercado11)</f>
        <v>0</v>
      </c>
      <c r="AV111" s="27" t="n">
        <f aca="false">SUMIFS(super1[Qtde],super1[Item],tab_higiene[[#This Row],[Item]],super1[Bairro],mercado12)+SUMIFS(supercb[Qtde],supercb[Item],tab_higiene[[#This Row],[Item]],supercb[Bairro],mercado12)</f>
        <v>0</v>
      </c>
      <c r="AW111" s="27" t="n">
        <f aca="false">SUMIFS(super1[Qtde],super1[Item],tab_higiene[[#This Row],[Item]],super1[Bairro],mercado13)+SUMIFS(supercb[Qtde],supercb[Item],tab_higiene[[#This Row],[Item]],supercb[Bairro],mercado13)</f>
        <v>1</v>
      </c>
      <c r="AX111" s="27" t="n">
        <f aca="false">SUMIFS(super1[Qtde],super1[Item],tab_higiene[[#This Row],[Item]],super1[Bairro],mercado14)+SUMIFS(supercb[Qtde],supercb[Item],tab_higiene[[#This Row],[Item]],supercb[Bairro],mercado14)</f>
        <v>0</v>
      </c>
      <c r="AY111" s="27" t="n">
        <f aca="false">SUMIFS(super1[Qtde],super1[Item],tab_higiene[[#This Row],[Item]],super1[Bairro],mercado15)+SUMIFS(supercb[Qtde],supercb[Item],tab_higiene[[#This Row],[Item]],supercb[Bairro],mercado15)</f>
        <v>0</v>
      </c>
      <c r="AZ111" s="27" t="n">
        <f aca="false">SUMIFS(super1[Qtde],super1[Item],tab_higiene[[#This Row],[Item]],super1[Bairro],mercado16)+SUMIFS(supercb[Qtde],supercb[Item],tab_higiene[[#This Row],[Item]],supercb[Bairro],mercado16)</f>
        <v>0</v>
      </c>
      <c r="BA111" s="27" t="n">
        <f aca="false">SUMIFS(super1[Qtde],super1[Item],tab_higiene[[#This Row],[Item]],super1[Bairro],mercado17)+SUMIFS(supercb[Qtde],supercb[Item],tab_higiene[[#This Row],[Item]],supercb[Bairro],mercado17)</f>
        <v>0</v>
      </c>
      <c r="BB111" s="27" t="n">
        <f aca="false">SUMIFS(super1[Qtde],super1[Item],tab_higiene[[#This Row],[Item]],super1[Bairro],mercado18)+SUMIFS(supercb[Qtde],supercb[Item],tab_higiene[[#This Row],[Item]],supercb[Bairro],mercado18)</f>
        <v>0</v>
      </c>
      <c r="BC111" s="27" t="n">
        <f aca="false">SUMIFS(super1[Qtde],super1[Item],tab_higiene[[#This Row],[Item]],super1[Bairro],extras)+SUMIFS(supercb[Qtde],supercb[Item],tab_higiene[[#This Row],[Item]],supercb[Bairro],extras)</f>
        <v>0</v>
      </c>
      <c r="BD111" s="27" t="n">
        <f aca="false">SUM(AK111:BB111)</f>
        <v>2</v>
      </c>
      <c r="BE111" s="27" t="n">
        <f aca="false">IFERROR(BD111*AJ111,0)</f>
        <v>69.8</v>
      </c>
      <c r="BF111" s="28" t="n">
        <f aca="false">IFERROR(AI111*BD111,0)</f>
        <v>21.0722558459833</v>
      </c>
      <c r="BI111" s="22" t="str">
        <f aca="false">tab_alimentos[[#This Row],[Item]]</f>
        <v>Extrato de tomate (400g)</v>
      </c>
      <c r="BJ111" s="22" t="n">
        <f aca="false">IFERROR(FIND(" (",BI111),0)</f>
        <v>18</v>
      </c>
      <c r="BK111" s="22" t="str">
        <f aca="false">IF(BJ111=0,BI111,LEFT(BI111,BJ111-1))</f>
        <v>Extrato de tomate</v>
      </c>
      <c r="BL111" s="22" t="n">
        <f aca="false">tab_alimentos[[#This Row],[kg]]</f>
        <v>0</v>
      </c>
      <c r="BN111" s="22" t="n">
        <f aca="false">SUMIF($BJ$5:$BJ$158,BM111,$BK$5:$BK$158)</f>
        <v>0</v>
      </c>
      <c r="BP111" s="22" t="str">
        <f aca="false">tab_higiene[[#This Row],[Item]]</f>
        <v>Fraldas Infantis (48un)</v>
      </c>
      <c r="BQ111" s="22" t="n">
        <f aca="false">IFERROR(FIND(" (",BP111),0)</f>
        <v>17</v>
      </c>
      <c r="BR111" s="22" t="str">
        <f aca="false">IF(BQ111=0,BP111,LEFT(BP111,BQ111-1))</f>
        <v>Fraldas Infantis</v>
      </c>
      <c r="BS111" s="22" t="n">
        <f aca="false">higiene[[#This Row],[Quantidade]]</f>
        <v>0</v>
      </c>
      <c r="BT111" s="22" t="n">
        <f aca="false">tab_higiene[Qtde (tot)]</f>
        <v>2</v>
      </c>
      <c r="BU111" s="22" t="n">
        <f aca="false">BS111*BT111</f>
        <v>0</v>
      </c>
      <c r="BW111" s="22" t="n">
        <f aca="false">SUMIF($BR$5:$BR$142,BV111,$BU$5:$BU$142)</f>
        <v>0</v>
      </c>
    </row>
    <row r="112" customFormat="false" ht="15" hidden="false" customHeight="false" outlineLevel="0" collapsed="false">
      <c r="I112" s="26" t="str">
        <f aca="false">alimentos[[#This Row],[Item]]</f>
        <v>Extrato de tomate (520g)</v>
      </c>
      <c r="J112" s="27" t="n">
        <f aca="false">IFERROR(alimentos[[#This Row],[kg/embalagem]],0)</f>
        <v>0.52</v>
      </c>
      <c r="K112" s="27" t="n">
        <f aca="false">IFERROR(alimentos[[#This Row],[Preço]],0)</f>
        <v>2.72</v>
      </c>
      <c r="L112" s="27" t="n">
        <f aca="false">SUMIFS(super1[Qtde],super1[Item],tab_alimentos[[#This Row],[Item]],super1[Bairro],mercado1)+SUMIFS(supercb[Qtde],supercb[Item],tab_alimentos[[#This Row],[Item]],supercb[Bairro],mercado1)</f>
        <v>0</v>
      </c>
      <c r="M112" s="27" t="n">
        <f aca="false">SUMIFS(super1[Qtde],super1[Item],tab_alimentos[[#This Row],[Item]],super1[Bairro],mercado2)+SUMIFS(supercb[Qtde],supercb[Item],tab_alimentos[[#This Row],[Item]],supercb[Bairro],mercado2)</f>
        <v>0</v>
      </c>
      <c r="N112" s="27" t="n">
        <f aca="false">SUMIFS(super1[Qtde],super1[Item],tab_alimentos[[#This Row],[Item]],super1[Bairro],mercado3)+SUMIFS(supercb[Qtde],supercb[Item],tab_alimentos[[#This Row],[Item]],supercb[Bairro],mercado3)</f>
        <v>0</v>
      </c>
      <c r="O112" s="27" t="n">
        <f aca="false">SUMIFS(super1[Qtde],super1[Item],tab_alimentos[[#This Row],[Item]],super1[Bairro],mercado4)+SUMIFS(supercb[Qtde],supercb[Item],tab_alimentos[[#This Row],[Item]],supercb[Bairro],mercado4)</f>
        <v>0</v>
      </c>
      <c r="P112" s="27" t="n">
        <f aca="false">SUMIFS(super1[Qtde],super1[Item],tab_alimentos[[#This Row],[Item]],super1[Bairro],mercado5)+SUMIFS(supercb[Qtde],supercb[Item],tab_alimentos[[#This Row],[Item]],supercb[Bairro],mercado5)</f>
        <v>0</v>
      </c>
      <c r="Q112" s="27" t="n">
        <f aca="false">SUMIFS(super1[Qtde],super1[Item],tab_alimentos[[#This Row],[Item]],super1[Bairro],mercado6)+SUMIFS(supercb[Qtde],supercb[Item],tab_alimentos[[#This Row],[Item]],supercb[Bairro],mercado6)</f>
        <v>0</v>
      </c>
      <c r="R112" s="27" t="n">
        <f aca="false">SUMIFS(super1[Qtde],super1[Item],tab_alimentos[[#This Row],[Item]],super1[Bairro],mercado7)+SUMIFS(supercb[Qtde],supercb[Item],tab_alimentos[[#This Row],[Item]],supercb[Bairro],mercado7)</f>
        <v>0</v>
      </c>
      <c r="S112" s="27" t="n">
        <f aca="false">SUMIFS(super1[Qtde],super1[Item],tab_alimentos[[#This Row],[Item]],super1[Bairro],mercado8)+SUMIFS(supercb[Qtde],supercb[Item],tab_alimentos[[#This Row],[Item]],supercb[Bairro],mercado8)</f>
        <v>0</v>
      </c>
      <c r="T112" s="27" t="n">
        <f aca="false">SUMIFS(super1[Qtde],super1[Item],tab_alimentos[[#This Row],[Item]],super1[Bairro],mercado9)+SUMIFS(supercb[Qtde],supercb[Item],tab_alimentos[[#This Row],[Item]],supercb[Bairro],mercado9)</f>
        <v>0</v>
      </c>
      <c r="U112" s="27" t="n">
        <f aca="false">SUMIFS(super1[Qtde],super1[Item],tab_alimentos[[#This Row],[Item]],super1[Bairro],mercado10)+SUMIFS(supercb[Qtde],supercb[Item],tab_alimentos[[#This Row],[Item]],supercb[Bairro],mercado10)</f>
        <v>0</v>
      </c>
      <c r="V112" s="27" t="n">
        <f aca="false">SUMIFS(super1[Qtde],super1[Item],tab_alimentos[[#This Row],[Item]],super1[Bairro],mercado11)+SUMIFS(supercb[Qtde],supercb[Item],tab_alimentos[[#This Row],[Item]],supercb[Bairro],mercado11)</f>
        <v>0</v>
      </c>
      <c r="W112" s="27" t="n">
        <f aca="false">SUMIFS(super1[Qtde],super1[Item],tab_alimentos[[#This Row],[Item]],super1[Bairro],mercado12)+SUMIFS(supercb[Qtde],supercb[Item],tab_alimentos[[#This Row],[Item]],supercb[Bairro],mercado12)</f>
        <v>0</v>
      </c>
      <c r="X112" s="27" t="n">
        <f aca="false">SUMIFS(super1[Qtde],super1[Item],tab_alimentos[[#This Row],[Item]],super1[Bairro],mercado13)+SUMIFS(supercb[Qtde],supercb[Item],tab_alimentos[[#This Row],[Item]],supercb[Bairro],mercado13)</f>
        <v>0</v>
      </c>
      <c r="Y112" s="27" t="n">
        <f aca="false">SUMIFS(super1[Qtde],super1[Item],tab_alimentos[[#This Row],[Item]],super1[Bairro],mercado14)+SUMIFS(supercb[Qtde],supercb[Item],tab_alimentos[[#This Row],[Item]],supercb[Bairro],mercado14)</f>
        <v>0</v>
      </c>
      <c r="Z112" s="27" t="n">
        <f aca="false">SUMIFS(super1[Qtde],super1[Item],tab_alimentos[[#This Row],[Item]],super1[Bairro],mercado15)+SUMIFS(supercb[Qtde],supercb[Item],tab_alimentos[[#This Row],[Item]],supercb[Bairro],mercado15)</f>
        <v>0</v>
      </c>
      <c r="AA112" s="27" t="n">
        <f aca="false">SUMIFS(super1[Qtde],super1[Item],tab_alimentos[[#This Row],[Item]],super1[Bairro],mercado16)+SUMIFS(supercb[Qtde],supercb[Item],tab_alimentos[[#This Row],[Item]],supercb[Bairro],mercado16)</f>
        <v>0</v>
      </c>
      <c r="AB112" s="27" t="n">
        <f aca="false">SUMIFS(super1[Qtde],super1[Item],tab_alimentos[[#This Row],[Item]],super1[Bairro],mercado17)+SUMIFS(supercb[Qtde],supercb[Item],tab_alimentos[[#This Row],[Item]],supercb[Bairro],mercado17)</f>
        <v>0</v>
      </c>
      <c r="AC112" s="27" t="n">
        <f aca="false">SUMIFS(super1[Qtde],super1[Item],tab_alimentos[[#This Row],[Item]],super1[Bairro],mercado18)+SUMIFS(supercb[Qtde],supercb[Item],tab_alimentos[[#This Row],[Item]],supercb[Bairro],mercado18)</f>
        <v>0</v>
      </c>
      <c r="AD112" s="27" t="n">
        <f aca="false">SUMIFS(super1[Qtde],super1[Item],tab_alimentos[[#This Row],[Item]],super1[Bairro],extras)+SUMIFS(supercb[Qtde],supercb[Item],tab_alimentos[[#This Row],[Item]],supercb[Bairro],extras)</f>
        <v>0</v>
      </c>
      <c r="AE112" s="27" t="n">
        <f aca="false">SUM(L112:AC112)</f>
        <v>0</v>
      </c>
      <c r="AF112" s="27" t="n">
        <f aca="false">IFERROR(AE112*K112,0)</f>
        <v>0</v>
      </c>
      <c r="AG112" s="28" t="n">
        <f aca="false">IFERROR(J112*AE112,0)</f>
        <v>0</v>
      </c>
      <c r="AH112" s="26" t="str">
        <f aca="false">higiene[[#This Row],[Item]]</f>
        <v>Fraldas Infantis (50un)</v>
      </c>
      <c r="AI112" s="27" t="n">
        <f aca="false">IFERROR(higiene[[#This Row],[Kg equivalente]],0)</f>
        <v>9.99815141987502</v>
      </c>
      <c r="AJ112" s="27" t="n">
        <f aca="false">IFERROR(higiene[[#This Row],[Preço por produto]],0)</f>
        <v>33.118</v>
      </c>
      <c r="AK112" s="27" t="n">
        <f aca="false">SUMIFS(super1[Qtde],super1[Item],tab_higiene[[#This Row],[Item]],super1[Bairro],mercado1)+SUMIFS(supercb[Qtde],supercb[Item],tab_higiene[[#This Row],[Item]],supercb[Bairro],mercado1)</f>
        <v>0</v>
      </c>
      <c r="AL112" s="27" t="n">
        <f aca="false">SUMIFS(super1[Qtde],super1[Item],tab_higiene[[#This Row],[Item]],super1[Bairro],mercado2)+SUMIFS(supercb[Qtde],supercb[Item],tab_higiene[[#This Row],[Item]],supercb[Bairro],mercado2)</f>
        <v>0</v>
      </c>
      <c r="AM112" s="27" t="n">
        <f aca="false">SUMIFS(super1[Qtde],super1[Item],tab_higiene[[#This Row],[Item]],super1[Bairro],mercado3)+SUMIFS(supercb[Qtde],supercb[Item],tab_higiene[[#This Row],[Item]],supercb[Bairro],mercado3)</f>
        <v>0</v>
      </c>
      <c r="AN112" s="27" t="n">
        <f aca="false">SUMIFS(super1[Qtde],super1[Item],tab_higiene[[#This Row],[Item]],super1[Bairro],mercado4)+SUMIFS(supercb[Qtde],supercb[Item],tab_higiene[[#This Row],[Item]],supercb[Bairro],mercado4)</f>
        <v>0</v>
      </c>
      <c r="AO112" s="27" t="n">
        <f aca="false">SUMIFS(super1[Qtde],super1[Item],tab_higiene[[#This Row],[Item]],super1[Bairro],mercado5)+SUMIFS(supercb[Qtde],supercb[Item],tab_higiene[[#This Row],[Item]],supercb[Bairro],mercado5)</f>
        <v>0</v>
      </c>
      <c r="AP112" s="27" t="n">
        <f aca="false">SUMIFS(super1[Qtde],super1[Item],tab_higiene[[#This Row],[Item]],super1[Bairro],mercado6)+SUMIFS(supercb[Qtde],supercb[Item],tab_higiene[[#This Row],[Item]],supercb[Bairro],mercado6)</f>
        <v>0</v>
      </c>
      <c r="AQ112" s="27" t="n">
        <f aca="false">SUMIFS(super1[Qtde],super1[Item],tab_higiene[[#This Row],[Item]],super1[Bairro],mercado7)+SUMIFS(supercb[Qtde],supercb[Item],tab_higiene[[#This Row],[Item]],supercb[Bairro],mercado7)</f>
        <v>0</v>
      </c>
      <c r="AR112" s="27" t="n">
        <f aca="false">SUMIFS(super1[Qtde],super1[Item],tab_higiene[[#This Row],[Item]],super1[Bairro],mercado8)+SUMIFS(supercb[Qtde],supercb[Item],tab_higiene[[#This Row],[Item]],supercb[Bairro],mercado8)</f>
        <v>0</v>
      </c>
      <c r="AS112" s="27" t="n">
        <f aca="false">SUMIFS(super1[Qtde],super1[Item],tab_higiene[[#This Row],[Item]],super1[Bairro],mercado9)+SUMIFS(supercb[Qtde],supercb[Item],tab_higiene[[#This Row],[Item]],supercb[Bairro],mercado9)</f>
        <v>0</v>
      </c>
      <c r="AT112" s="27" t="n">
        <f aca="false">SUMIFS(super1[Qtde],super1[Item],tab_higiene[[#This Row],[Item]],super1[Bairro],mercado10)+SUMIFS(supercb[Qtde],supercb[Item],tab_higiene[[#This Row],[Item]],supercb[Bairro],mercado10)</f>
        <v>0</v>
      </c>
      <c r="AU112" s="27" t="n">
        <f aca="false">SUMIFS(super1[Qtde],super1[Item],tab_higiene[[#This Row],[Item]],super1[Bairro],mercado11)+SUMIFS(supercb[Qtde],supercb[Item],tab_higiene[[#This Row],[Item]],supercb[Bairro],mercado11)</f>
        <v>0</v>
      </c>
      <c r="AV112" s="27" t="n">
        <f aca="false">SUMIFS(super1[Qtde],super1[Item],tab_higiene[[#This Row],[Item]],super1[Bairro],mercado12)+SUMIFS(supercb[Qtde],supercb[Item],tab_higiene[[#This Row],[Item]],supercb[Bairro],mercado12)</f>
        <v>0</v>
      </c>
      <c r="AW112" s="27" t="n">
        <f aca="false">SUMIFS(super1[Qtde],super1[Item],tab_higiene[[#This Row],[Item]],super1[Bairro],mercado13)+SUMIFS(supercb[Qtde],supercb[Item],tab_higiene[[#This Row],[Item]],supercb[Bairro],mercado13)</f>
        <v>1</v>
      </c>
      <c r="AX112" s="27" t="n">
        <f aca="false">SUMIFS(super1[Qtde],super1[Item],tab_higiene[[#This Row],[Item]],super1[Bairro],mercado14)+SUMIFS(supercb[Qtde],supercb[Item],tab_higiene[[#This Row],[Item]],supercb[Bairro],mercado14)</f>
        <v>0</v>
      </c>
      <c r="AY112" s="27" t="n">
        <f aca="false">SUMIFS(super1[Qtde],super1[Item],tab_higiene[[#This Row],[Item]],super1[Bairro],mercado15)+SUMIFS(supercb[Qtde],supercb[Item],tab_higiene[[#This Row],[Item]],supercb[Bairro],mercado15)</f>
        <v>0</v>
      </c>
      <c r="AZ112" s="27" t="n">
        <f aca="false">SUMIFS(super1[Qtde],super1[Item],tab_higiene[[#This Row],[Item]],super1[Bairro],mercado16)+SUMIFS(supercb[Qtde],supercb[Item],tab_higiene[[#This Row],[Item]],supercb[Bairro],mercado16)</f>
        <v>0</v>
      </c>
      <c r="BA112" s="27" t="n">
        <f aca="false">SUMIFS(super1[Qtde],super1[Item],tab_higiene[[#This Row],[Item]],super1[Bairro],mercado17)+SUMIFS(supercb[Qtde],supercb[Item],tab_higiene[[#This Row],[Item]],supercb[Bairro],mercado17)</f>
        <v>0</v>
      </c>
      <c r="BB112" s="27" t="n">
        <f aca="false">SUMIFS(super1[Qtde],super1[Item],tab_higiene[[#This Row],[Item]],super1[Bairro],mercado18)+SUMIFS(supercb[Qtde],supercb[Item],tab_higiene[[#This Row],[Item]],supercb[Bairro],mercado18)</f>
        <v>0</v>
      </c>
      <c r="BC112" s="27" t="n">
        <f aca="false">SUMIFS(super1[Qtde],super1[Item],tab_higiene[[#This Row],[Item]],super1[Bairro],extras)+SUMIFS(supercb[Qtde],supercb[Item],tab_higiene[[#This Row],[Item]],supercb[Bairro],extras)</f>
        <v>0</v>
      </c>
      <c r="BD112" s="27" t="n">
        <f aca="false">SUM(AK112:BB112)</f>
        <v>1</v>
      </c>
      <c r="BE112" s="27" t="n">
        <f aca="false">IFERROR(BD112*AJ112,0)</f>
        <v>33.118</v>
      </c>
      <c r="BF112" s="28" t="n">
        <f aca="false">IFERROR(AI112*BD112,0)</f>
        <v>9.99815141987502</v>
      </c>
      <c r="BI112" s="22" t="str">
        <f aca="false">tab_alimentos[[#This Row],[Item]]</f>
        <v>Extrato de tomate (520g)</v>
      </c>
      <c r="BJ112" s="22" t="n">
        <f aca="false">IFERROR(FIND(" (",BI112),0)</f>
        <v>18</v>
      </c>
      <c r="BK112" s="22" t="str">
        <f aca="false">IF(BJ112=0,BI112,LEFT(BI112,BJ112-1))</f>
        <v>Extrato de tomate</v>
      </c>
      <c r="BL112" s="22" t="n">
        <f aca="false">tab_alimentos[[#This Row],[kg]]</f>
        <v>0</v>
      </c>
      <c r="BN112" s="22" t="n">
        <f aca="false">SUMIF($BJ$5:$BJ$158,BM112,$BK$5:$BK$158)</f>
        <v>0</v>
      </c>
      <c r="BP112" s="22" t="str">
        <f aca="false">tab_higiene[[#This Row],[Item]]</f>
        <v>Fraldas Infantis (50un)</v>
      </c>
      <c r="BQ112" s="22" t="n">
        <f aca="false">IFERROR(FIND(" (",BP112),0)</f>
        <v>17</v>
      </c>
      <c r="BR112" s="22" t="str">
        <f aca="false">IF(BQ112=0,BP112,LEFT(BP112,BQ112-1))</f>
        <v>Fraldas Infantis</v>
      </c>
      <c r="BS112" s="22" t="n">
        <f aca="false">higiene[[#This Row],[Quantidade]]</f>
        <v>0</v>
      </c>
      <c r="BT112" s="22" t="n">
        <f aca="false">tab_higiene[Qtde (tot)]</f>
        <v>1</v>
      </c>
      <c r="BU112" s="22" t="n">
        <f aca="false">BS112*BT112</f>
        <v>0</v>
      </c>
      <c r="BW112" s="22" t="n">
        <f aca="false">SUMIF($BR$5:$BR$142,BV112,$BU$5:$BU$142)</f>
        <v>0</v>
      </c>
    </row>
    <row r="113" customFormat="false" ht="15" hidden="false" customHeight="false" outlineLevel="0" collapsed="false">
      <c r="I113" s="26" t="str">
        <f aca="false">alimentos[[#This Row],[Item]]</f>
        <v>F</v>
      </c>
      <c r="J113" s="27" t="n">
        <f aca="false">IFERROR(alimentos[[#This Row],[kg/embalagem]],0)</f>
        <v>0</v>
      </c>
      <c r="K113" s="27" t="n">
        <f aca="false">IFERROR(alimentos[[#This Row],[Preço]],0)</f>
        <v>0</v>
      </c>
      <c r="L113" s="27" t="n">
        <f aca="false">SUMIFS(super1[Qtde],super1[Item],tab_alimentos[[#This Row],[Item]],super1[Bairro],mercado1)+SUMIFS(supercb[Qtde],supercb[Item],tab_alimentos[[#This Row],[Item]],supercb[Bairro],mercado1)</f>
        <v>0</v>
      </c>
      <c r="M113" s="27" t="n">
        <f aca="false">SUMIFS(super1[Qtde],super1[Item],tab_alimentos[[#This Row],[Item]],super1[Bairro],mercado2)+SUMIFS(supercb[Qtde],supercb[Item],tab_alimentos[[#This Row],[Item]],supercb[Bairro],mercado2)</f>
        <v>0</v>
      </c>
      <c r="N113" s="27" t="n">
        <f aca="false">SUMIFS(super1[Qtde],super1[Item],tab_alimentos[[#This Row],[Item]],super1[Bairro],mercado3)+SUMIFS(supercb[Qtde],supercb[Item],tab_alimentos[[#This Row],[Item]],supercb[Bairro],mercado3)</f>
        <v>0</v>
      </c>
      <c r="O113" s="27" t="n">
        <f aca="false">SUMIFS(super1[Qtde],super1[Item],tab_alimentos[[#This Row],[Item]],super1[Bairro],mercado4)+SUMIFS(supercb[Qtde],supercb[Item],tab_alimentos[[#This Row],[Item]],supercb[Bairro],mercado4)</f>
        <v>0</v>
      </c>
      <c r="P113" s="27" t="n">
        <f aca="false">SUMIFS(super1[Qtde],super1[Item],tab_alimentos[[#This Row],[Item]],super1[Bairro],mercado5)+SUMIFS(supercb[Qtde],supercb[Item],tab_alimentos[[#This Row],[Item]],supercb[Bairro],mercado5)</f>
        <v>0</v>
      </c>
      <c r="Q113" s="27" t="n">
        <f aca="false">SUMIFS(super1[Qtde],super1[Item],tab_alimentos[[#This Row],[Item]],super1[Bairro],mercado6)+SUMIFS(supercb[Qtde],supercb[Item],tab_alimentos[[#This Row],[Item]],supercb[Bairro],mercado6)</f>
        <v>0</v>
      </c>
      <c r="R113" s="27" t="n">
        <f aca="false">SUMIFS(super1[Qtde],super1[Item],tab_alimentos[[#This Row],[Item]],super1[Bairro],mercado7)+SUMIFS(supercb[Qtde],supercb[Item],tab_alimentos[[#This Row],[Item]],supercb[Bairro],mercado7)</f>
        <v>0</v>
      </c>
      <c r="S113" s="27" t="n">
        <f aca="false">SUMIFS(super1[Qtde],super1[Item],tab_alimentos[[#This Row],[Item]],super1[Bairro],mercado8)+SUMIFS(supercb[Qtde],supercb[Item],tab_alimentos[[#This Row],[Item]],supercb[Bairro],mercado8)</f>
        <v>0</v>
      </c>
      <c r="T113" s="27" t="n">
        <f aca="false">SUMIFS(super1[Qtde],super1[Item],tab_alimentos[[#This Row],[Item]],super1[Bairro],mercado9)+SUMIFS(supercb[Qtde],supercb[Item],tab_alimentos[[#This Row],[Item]],supercb[Bairro],mercado9)</f>
        <v>0</v>
      </c>
      <c r="U113" s="27" t="n">
        <f aca="false">SUMIFS(super1[Qtde],super1[Item],tab_alimentos[[#This Row],[Item]],super1[Bairro],mercado10)+SUMIFS(supercb[Qtde],supercb[Item],tab_alimentos[[#This Row],[Item]],supercb[Bairro],mercado10)</f>
        <v>0</v>
      </c>
      <c r="V113" s="27" t="n">
        <f aca="false">SUMIFS(super1[Qtde],super1[Item],tab_alimentos[[#This Row],[Item]],super1[Bairro],mercado11)+SUMIFS(supercb[Qtde],supercb[Item],tab_alimentos[[#This Row],[Item]],supercb[Bairro],mercado11)</f>
        <v>0</v>
      </c>
      <c r="W113" s="27" t="n">
        <f aca="false">SUMIFS(super1[Qtde],super1[Item],tab_alimentos[[#This Row],[Item]],super1[Bairro],mercado12)+SUMIFS(supercb[Qtde],supercb[Item],tab_alimentos[[#This Row],[Item]],supercb[Bairro],mercado12)</f>
        <v>0</v>
      </c>
      <c r="X113" s="27" t="n">
        <f aca="false">SUMIFS(super1[Qtde],super1[Item],tab_alimentos[[#This Row],[Item]],super1[Bairro],mercado13)+SUMIFS(supercb[Qtde],supercb[Item],tab_alimentos[[#This Row],[Item]],supercb[Bairro],mercado13)</f>
        <v>0</v>
      </c>
      <c r="Y113" s="27" t="n">
        <f aca="false">SUMIFS(super1[Qtde],super1[Item],tab_alimentos[[#This Row],[Item]],super1[Bairro],mercado14)+SUMIFS(supercb[Qtde],supercb[Item],tab_alimentos[[#This Row],[Item]],supercb[Bairro],mercado14)</f>
        <v>0</v>
      </c>
      <c r="Z113" s="27" t="n">
        <f aca="false">SUMIFS(super1[Qtde],super1[Item],tab_alimentos[[#This Row],[Item]],super1[Bairro],mercado15)+SUMIFS(supercb[Qtde],supercb[Item],tab_alimentos[[#This Row],[Item]],supercb[Bairro],mercado15)</f>
        <v>0</v>
      </c>
      <c r="AA113" s="27" t="n">
        <f aca="false">SUMIFS(super1[Qtde],super1[Item],tab_alimentos[[#This Row],[Item]],super1[Bairro],mercado16)+SUMIFS(supercb[Qtde],supercb[Item],tab_alimentos[[#This Row],[Item]],supercb[Bairro],mercado16)</f>
        <v>0</v>
      </c>
      <c r="AB113" s="27" t="n">
        <f aca="false">SUMIFS(super1[Qtde],super1[Item],tab_alimentos[[#This Row],[Item]],super1[Bairro],mercado17)+SUMIFS(supercb[Qtde],supercb[Item],tab_alimentos[[#This Row],[Item]],supercb[Bairro],mercado17)</f>
        <v>0</v>
      </c>
      <c r="AC113" s="27" t="n">
        <f aca="false">SUMIFS(super1[Qtde],super1[Item],tab_alimentos[[#This Row],[Item]],super1[Bairro],mercado18)+SUMIFS(supercb[Qtde],supercb[Item],tab_alimentos[[#This Row],[Item]],supercb[Bairro],mercado18)</f>
        <v>0</v>
      </c>
      <c r="AD113" s="27" t="n">
        <f aca="false">SUMIFS(super1[Qtde],super1[Item],tab_alimentos[[#This Row],[Item]],super1[Bairro],extras)+SUMIFS(supercb[Qtde],supercb[Item],tab_alimentos[[#This Row],[Item]],supercb[Bairro],extras)</f>
        <v>0</v>
      </c>
      <c r="AE113" s="27" t="n">
        <f aca="false">SUM(L113:AC113)</f>
        <v>0</v>
      </c>
      <c r="AF113" s="27" t="n">
        <f aca="false">IFERROR(AE113*K113,0)</f>
        <v>0</v>
      </c>
      <c r="AG113" s="28" t="n">
        <f aca="false">IFERROR(J113*AE113,0)</f>
        <v>0</v>
      </c>
      <c r="AH113" s="26" t="str">
        <f aca="false">higiene[[#This Row],[Item]]</f>
        <v>Fraldas Infantis (52un)</v>
      </c>
      <c r="AI113" s="27" t="n">
        <f aca="false">IFERROR(higiene[[#This Row],[Kg equivalente]],0)</f>
        <v>13.2773325516669</v>
      </c>
      <c r="AJ113" s="27" t="n">
        <f aca="false">IFERROR(higiene[[#This Row],[Preço por produto]],0)</f>
        <v>43.98</v>
      </c>
      <c r="AK113" s="27" t="n">
        <f aca="false">SUMIFS(super1[Qtde],super1[Item],tab_higiene[[#This Row],[Item]],super1[Bairro],mercado1)+SUMIFS(supercb[Qtde],supercb[Item],tab_higiene[[#This Row],[Item]],supercb[Bairro],mercado1)</f>
        <v>0</v>
      </c>
      <c r="AL113" s="27" t="n">
        <f aca="false">SUMIFS(super1[Qtde],super1[Item],tab_higiene[[#This Row],[Item]],super1[Bairro],mercado2)+SUMIFS(supercb[Qtde],supercb[Item],tab_higiene[[#This Row],[Item]],supercb[Bairro],mercado2)</f>
        <v>0</v>
      </c>
      <c r="AM113" s="27" t="n">
        <f aca="false">SUMIFS(super1[Qtde],super1[Item],tab_higiene[[#This Row],[Item]],super1[Bairro],mercado3)+SUMIFS(supercb[Qtde],supercb[Item],tab_higiene[[#This Row],[Item]],supercb[Bairro],mercado3)</f>
        <v>0</v>
      </c>
      <c r="AN113" s="27" t="n">
        <f aca="false">SUMIFS(super1[Qtde],super1[Item],tab_higiene[[#This Row],[Item]],super1[Bairro],mercado4)+SUMIFS(supercb[Qtde],supercb[Item],tab_higiene[[#This Row],[Item]],supercb[Bairro],mercado4)</f>
        <v>0</v>
      </c>
      <c r="AO113" s="27" t="n">
        <f aca="false">SUMIFS(super1[Qtde],super1[Item],tab_higiene[[#This Row],[Item]],super1[Bairro],mercado5)+SUMIFS(supercb[Qtde],supercb[Item],tab_higiene[[#This Row],[Item]],supercb[Bairro],mercado5)</f>
        <v>0</v>
      </c>
      <c r="AP113" s="27" t="n">
        <f aca="false">SUMIFS(super1[Qtde],super1[Item],tab_higiene[[#This Row],[Item]],super1[Bairro],mercado6)+SUMIFS(supercb[Qtde],supercb[Item],tab_higiene[[#This Row],[Item]],supercb[Bairro],mercado6)</f>
        <v>0</v>
      </c>
      <c r="AQ113" s="27" t="n">
        <f aca="false">SUMIFS(super1[Qtde],super1[Item],tab_higiene[[#This Row],[Item]],super1[Bairro],mercado7)+SUMIFS(supercb[Qtde],supercb[Item],tab_higiene[[#This Row],[Item]],supercb[Bairro],mercado7)</f>
        <v>0</v>
      </c>
      <c r="AR113" s="27" t="n">
        <f aca="false">SUMIFS(super1[Qtde],super1[Item],tab_higiene[[#This Row],[Item]],super1[Bairro],mercado8)+SUMIFS(supercb[Qtde],supercb[Item],tab_higiene[[#This Row],[Item]],supercb[Bairro],mercado8)</f>
        <v>0</v>
      </c>
      <c r="AS113" s="27" t="n">
        <f aca="false">SUMIFS(super1[Qtde],super1[Item],tab_higiene[[#This Row],[Item]],super1[Bairro],mercado9)+SUMIFS(supercb[Qtde],supercb[Item],tab_higiene[[#This Row],[Item]],supercb[Bairro],mercado9)</f>
        <v>0</v>
      </c>
      <c r="AT113" s="27" t="n">
        <f aca="false">SUMIFS(super1[Qtde],super1[Item],tab_higiene[[#This Row],[Item]],super1[Bairro],mercado10)+SUMIFS(supercb[Qtde],supercb[Item],tab_higiene[[#This Row],[Item]],supercb[Bairro],mercado10)</f>
        <v>0</v>
      </c>
      <c r="AU113" s="27" t="n">
        <f aca="false">SUMIFS(super1[Qtde],super1[Item],tab_higiene[[#This Row],[Item]],super1[Bairro],mercado11)+SUMIFS(supercb[Qtde],supercb[Item],tab_higiene[[#This Row],[Item]],supercb[Bairro],mercado11)</f>
        <v>0</v>
      </c>
      <c r="AV113" s="27" t="n">
        <f aca="false">SUMIFS(super1[Qtde],super1[Item],tab_higiene[[#This Row],[Item]],super1[Bairro],mercado12)+SUMIFS(supercb[Qtde],supercb[Item],tab_higiene[[#This Row],[Item]],supercb[Bairro],mercado12)</f>
        <v>0</v>
      </c>
      <c r="AW113" s="27" t="n">
        <f aca="false">SUMIFS(super1[Qtde],super1[Item],tab_higiene[[#This Row],[Item]],super1[Bairro],mercado13)+SUMIFS(supercb[Qtde],supercb[Item],tab_higiene[[#This Row],[Item]],supercb[Bairro],mercado13)</f>
        <v>0</v>
      </c>
      <c r="AX113" s="27" t="n">
        <f aca="false">SUMIFS(super1[Qtde],super1[Item],tab_higiene[[#This Row],[Item]],super1[Bairro],mercado14)+SUMIFS(supercb[Qtde],supercb[Item],tab_higiene[[#This Row],[Item]],supercb[Bairro],mercado14)</f>
        <v>0</v>
      </c>
      <c r="AY113" s="27" t="n">
        <f aca="false">SUMIFS(super1[Qtde],super1[Item],tab_higiene[[#This Row],[Item]],super1[Bairro],mercado15)+SUMIFS(supercb[Qtde],supercb[Item],tab_higiene[[#This Row],[Item]],supercb[Bairro],mercado15)</f>
        <v>0</v>
      </c>
      <c r="AZ113" s="27" t="n">
        <f aca="false">SUMIFS(super1[Qtde],super1[Item],tab_higiene[[#This Row],[Item]],super1[Bairro],mercado16)+SUMIFS(supercb[Qtde],supercb[Item],tab_higiene[[#This Row],[Item]],supercb[Bairro],mercado16)</f>
        <v>0</v>
      </c>
      <c r="BA113" s="27" t="n">
        <f aca="false">SUMIFS(super1[Qtde],super1[Item],tab_higiene[[#This Row],[Item]],super1[Bairro],mercado17)+SUMIFS(supercb[Qtde],supercb[Item],tab_higiene[[#This Row],[Item]],supercb[Bairro],mercado17)</f>
        <v>0</v>
      </c>
      <c r="BB113" s="27" t="n">
        <f aca="false">SUMIFS(super1[Qtde],super1[Item],tab_higiene[[#This Row],[Item]],super1[Bairro],mercado18)+SUMIFS(supercb[Qtde],supercb[Item],tab_higiene[[#This Row],[Item]],supercb[Bairro],mercado18)</f>
        <v>0</v>
      </c>
      <c r="BC113" s="27" t="n">
        <f aca="false">SUMIFS(super1[Qtde],super1[Item],tab_higiene[[#This Row],[Item]],super1[Bairro],extras)+SUMIFS(supercb[Qtde],supercb[Item],tab_higiene[[#This Row],[Item]],supercb[Bairro],extras)</f>
        <v>0</v>
      </c>
      <c r="BD113" s="27" t="n">
        <f aca="false">SUM(AK113:BB113)</f>
        <v>0</v>
      </c>
      <c r="BE113" s="27" t="n">
        <f aca="false">IFERROR(BD113*AJ113,0)</f>
        <v>0</v>
      </c>
      <c r="BF113" s="28" t="n">
        <f aca="false">IFERROR(AI113*BD113,0)</f>
        <v>0</v>
      </c>
      <c r="BI113" s="22" t="str">
        <f aca="false">tab_alimentos[[#This Row],[Item]]</f>
        <v>F</v>
      </c>
      <c r="BJ113" s="22" t="n">
        <f aca="false">IFERROR(FIND(" (",BI113),0)</f>
        <v>0</v>
      </c>
      <c r="BK113" s="22" t="str">
        <f aca="false">IF(BJ113=0,BI113,LEFT(BI113,BJ113-1))</f>
        <v>F</v>
      </c>
      <c r="BL113" s="22" t="n">
        <f aca="false">tab_alimentos[[#This Row],[kg]]</f>
        <v>0</v>
      </c>
      <c r="BN113" s="22" t="n">
        <f aca="false">SUMIF($BJ$5:$BJ$158,BM113,$BK$5:$BK$158)</f>
        <v>0</v>
      </c>
      <c r="BP113" s="22" t="str">
        <f aca="false">tab_higiene[[#This Row],[Item]]</f>
        <v>Fraldas Infantis (52un)</v>
      </c>
      <c r="BQ113" s="22" t="n">
        <f aca="false">IFERROR(FIND(" (",BP113),0)</f>
        <v>17</v>
      </c>
      <c r="BR113" s="22" t="str">
        <f aca="false">IF(BQ113=0,BP113,LEFT(BP113,BQ113-1))</f>
        <v>Fraldas Infantis</v>
      </c>
      <c r="BS113" s="22" t="n">
        <f aca="false">higiene[[#This Row],[Quantidade]]</f>
        <v>0</v>
      </c>
      <c r="BT113" s="22" t="n">
        <f aca="false">tab_higiene[Qtde (tot)]</f>
        <v>0</v>
      </c>
      <c r="BU113" s="22" t="n">
        <f aca="false">BS113*BT113</f>
        <v>0</v>
      </c>
      <c r="BW113" s="22" t="n">
        <f aca="false">SUMIF($BR$5:$BR$142,BV113,$BU$5:$BU$142)</f>
        <v>0</v>
      </c>
    </row>
    <row r="114" customFormat="false" ht="15" hidden="false" customHeight="false" outlineLevel="0" collapsed="false">
      <c r="I114" s="26" t="str">
        <f aca="false">alimentos[[#This Row],[Item]]</f>
        <v>Farinha de Kibe (500g)</v>
      </c>
      <c r="J114" s="27" t="n">
        <f aca="false">IFERROR(alimentos[[#This Row],[kg/embalagem]],0)</f>
        <v>0.5</v>
      </c>
      <c r="K114" s="27" t="n">
        <f aca="false">IFERROR(alimentos[[#This Row],[Preço]],0)</f>
        <v>3.89</v>
      </c>
      <c r="L114" s="27" t="n">
        <f aca="false">SUMIFS(super1[Qtde],super1[Item],tab_alimentos[[#This Row],[Item]],super1[Bairro],mercado1)+SUMIFS(supercb[Qtde],supercb[Item],tab_alimentos[[#This Row],[Item]],supercb[Bairro],mercado1)</f>
        <v>0</v>
      </c>
      <c r="M114" s="27" t="n">
        <f aca="false">SUMIFS(super1[Qtde],super1[Item],tab_alimentos[[#This Row],[Item]],super1[Bairro],mercado2)+SUMIFS(supercb[Qtde],supercb[Item],tab_alimentos[[#This Row],[Item]],supercb[Bairro],mercado2)</f>
        <v>0</v>
      </c>
      <c r="N114" s="27" t="n">
        <f aca="false">SUMIFS(super1[Qtde],super1[Item],tab_alimentos[[#This Row],[Item]],super1[Bairro],mercado3)+SUMIFS(supercb[Qtde],supercb[Item],tab_alimentos[[#This Row],[Item]],supercb[Bairro],mercado3)</f>
        <v>0</v>
      </c>
      <c r="O114" s="27" t="n">
        <f aca="false">SUMIFS(super1[Qtde],super1[Item],tab_alimentos[[#This Row],[Item]],super1[Bairro],mercado4)+SUMIFS(supercb[Qtde],supercb[Item],tab_alimentos[[#This Row],[Item]],supercb[Bairro],mercado4)</f>
        <v>0</v>
      </c>
      <c r="P114" s="27" t="n">
        <f aca="false">SUMIFS(super1[Qtde],super1[Item],tab_alimentos[[#This Row],[Item]],super1[Bairro],mercado5)+SUMIFS(supercb[Qtde],supercb[Item],tab_alimentos[[#This Row],[Item]],supercb[Bairro],mercado5)</f>
        <v>0</v>
      </c>
      <c r="Q114" s="27" t="n">
        <f aca="false">SUMIFS(super1[Qtde],super1[Item],tab_alimentos[[#This Row],[Item]],super1[Bairro],mercado6)+SUMIFS(supercb[Qtde],supercb[Item],tab_alimentos[[#This Row],[Item]],supercb[Bairro],mercado6)</f>
        <v>0</v>
      </c>
      <c r="R114" s="27" t="n">
        <f aca="false">SUMIFS(super1[Qtde],super1[Item],tab_alimentos[[#This Row],[Item]],super1[Bairro],mercado7)+SUMIFS(supercb[Qtde],supercb[Item],tab_alimentos[[#This Row],[Item]],supercb[Bairro],mercado7)</f>
        <v>0</v>
      </c>
      <c r="S114" s="27" t="n">
        <f aca="false">SUMIFS(super1[Qtde],super1[Item],tab_alimentos[[#This Row],[Item]],super1[Bairro],mercado8)+SUMIFS(supercb[Qtde],supercb[Item],tab_alimentos[[#This Row],[Item]],supercb[Bairro],mercado8)</f>
        <v>0</v>
      </c>
      <c r="T114" s="27" t="n">
        <f aca="false">SUMIFS(super1[Qtde],super1[Item],tab_alimentos[[#This Row],[Item]],super1[Bairro],mercado9)+SUMIFS(supercb[Qtde],supercb[Item],tab_alimentos[[#This Row],[Item]],supercb[Bairro],mercado9)</f>
        <v>0</v>
      </c>
      <c r="U114" s="27" t="n">
        <f aca="false">SUMIFS(super1[Qtde],super1[Item],tab_alimentos[[#This Row],[Item]],super1[Bairro],mercado10)+SUMIFS(supercb[Qtde],supercb[Item],tab_alimentos[[#This Row],[Item]],supercb[Bairro],mercado10)</f>
        <v>0</v>
      </c>
      <c r="V114" s="27" t="n">
        <f aca="false">SUMIFS(super1[Qtde],super1[Item],tab_alimentos[[#This Row],[Item]],super1[Bairro],mercado11)+SUMIFS(supercb[Qtde],supercb[Item],tab_alimentos[[#This Row],[Item]],supercb[Bairro],mercado11)</f>
        <v>0</v>
      </c>
      <c r="W114" s="27" t="n">
        <f aca="false">SUMIFS(super1[Qtde],super1[Item],tab_alimentos[[#This Row],[Item]],super1[Bairro],mercado12)+SUMIFS(supercb[Qtde],supercb[Item],tab_alimentos[[#This Row],[Item]],supercb[Bairro],mercado12)</f>
        <v>0</v>
      </c>
      <c r="X114" s="27" t="n">
        <f aca="false">SUMIFS(super1[Qtde],super1[Item],tab_alimentos[[#This Row],[Item]],super1[Bairro],mercado13)+SUMIFS(supercb[Qtde],supercb[Item],tab_alimentos[[#This Row],[Item]],supercb[Bairro],mercado13)</f>
        <v>0</v>
      </c>
      <c r="Y114" s="27" t="n">
        <f aca="false">SUMIFS(super1[Qtde],super1[Item],tab_alimentos[[#This Row],[Item]],super1[Bairro],mercado14)+SUMIFS(supercb[Qtde],supercb[Item],tab_alimentos[[#This Row],[Item]],supercb[Bairro],mercado14)</f>
        <v>0</v>
      </c>
      <c r="Z114" s="27" t="n">
        <f aca="false">SUMIFS(super1[Qtde],super1[Item],tab_alimentos[[#This Row],[Item]],super1[Bairro],mercado15)+SUMIFS(supercb[Qtde],supercb[Item],tab_alimentos[[#This Row],[Item]],supercb[Bairro],mercado15)</f>
        <v>0</v>
      </c>
      <c r="AA114" s="27" t="n">
        <f aca="false">SUMIFS(super1[Qtde],super1[Item],tab_alimentos[[#This Row],[Item]],super1[Bairro],mercado16)+SUMIFS(supercb[Qtde],supercb[Item],tab_alimentos[[#This Row],[Item]],supercb[Bairro],mercado16)</f>
        <v>0</v>
      </c>
      <c r="AB114" s="27" t="n">
        <f aca="false">SUMIFS(super1[Qtde],super1[Item],tab_alimentos[[#This Row],[Item]],super1[Bairro],mercado17)+SUMIFS(supercb[Qtde],supercb[Item],tab_alimentos[[#This Row],[Item]],supercb[Bairro],mercado17)</f>
        <v>0</v>
      </c>
      <c r="AC114" s="27" t="n">
        <f aca="false">SUMIFS(super1[Qtde],super1[Item],tab_alimentos[[#This Row],[Item]],super1[Bairro],mercado18)+SUMIFS(supercb[Qtde],supercb[Item],tab_alimentos[[#This Row],[Item]],supercb[Bairro],mercado18)</f>
        <v>0</v>
      </c>
      <c r="AD114" s="27" t="n">
        <f aca="false">SUMIFS(super1[Qtde],super1[Item],tab_alimentos[[#This Row],[Item]],super1[Bairro],extras)+SUMIFS(supercb[Qtde],supercb[Item],tab_alimentos[[#This Row],[Item]],supercb[Bairro],extras)</f>
        <v>0</v>
      </c>
      <c r="AE114" s="27" t="n">
        <f aca="false">SUM(L114:AC114)</f>
        <v>0</v>
      </c>
      <c r="AF114" s="27" t="n">
        <f aca="false">IFERROR(AE114*K114,0)</f>
        <v>0</v>
      </c>
      <c r="AG114" s="28" t="n">
        <f aca="false">IFERROR(J114*AE114,0)</f>
        <v>0</v>
      </c>
      <c r="AH114" s="26" t="str">
        <f aca="false">higiene[[#This Row],[Item]]</f>
        <v>Fraldas Infantis (58un)</v>
      </c>
      <c r="AI114" s="27" t="n">
        <f aca="false">IFERROR(higiene[[#This Row],[Kg equivalente]],0)</f>
        <v>13.2773325516669</v>
      </c>
      <c r="AJ114" s="27" t="n">
        <f aca="false">IFERROR(higiene[[#This Row],[Preço por produto]],0)</f>
        <v>43.98</v>
      </c>
      <c r="AK114" s="27" t="n">
        <f aca="false">SUMIFS(super1[Qtde],super1[Item],tab_higiene[[#This Row],[Item]],super1[Bairro],mercado1)+SUMIFS(supercb[Qtde],supercb[Item],tab_higiene[[#This Row],[Item]],supercb[Bairro],mercado1)</f>
        <v>0</v>
      </c>
      <c r="AL114" s="27" t="n">
        <f aca="false">SUMIFS(super1[Qtde],super1[Item],tab_higiene[[#This Row],[Item]],super1[Bairro],mercado2)+SUMIFS(supercb[Qtde],supercb[Item],tab_higiene[[#This Row],[Item]],supercb[Bairro],mercado2)</f>
        <v>0</v>
      </c>
      <c r="AM114" s="27" t="n">
        <f aca="false">SUMIFS(super1[Qtde],super1[Item],tab_higiene[[#This Row],[Item]],super1[Bairro],mercado3)+SUMIFS(supercb[Qtde],supercb[Item],tab_higiene[[#This Row],[Item]],supercb[Bairro],mercado3)</f>
        <v>0</v>
      </c>
      <c r="AN114" s="27" t="n">
        <f aca="false">SUMIFS(super1[Qtde],super1[Item],tab_higiene[[#This Row],[Item]],super1[Bairro],mercado4)+SUMIFS(supercb[Qtde],supercb[Item],tab_higiene[[#This Row],[Item]],supercb[Bairro],mercado4)</f>
        <v>0</v>
      </c>
      <c r="AO114" s="27" t="n">
        <f aca="false">SUMIFS(super1[Qtde],super1[Item],tab_higiene[[#This Row],[Item]],super1[Bairro],mercado5)+SUMIFS(supercb[Qtde],supercb[Item],tab_higiene[[#This Row],[Item]],supercb[Bairro],mercado5)</f>
        <v>0</v>
      </c>
      <c r="AP114" s="27" t="n">
        <f aca="false">SUMIFS(super1[Qtde],super1[Item],tab_higiene[[#This Row],[Item]],super1[Bairro],mercado6)+SUMIFS(supercb[Qtde],supercb[Item],tab_higiene[[#This Row],[Item]],supercb[Bairro],mercado6)</f>
        <v>0</v>
      </c>
      <c r="AQ114" s="27" t="n">
        <f aca="false">SUMIFS(super1[Qtde],super1[Item],tab_higiene[[#This Row],[Item]],super1[Bairro],mercado7)+SUMIFS(supercb[Qtde],supercb[Item],tab_higiene[[#This Row],[Item]],supercb[Bairro],mercado7)</f>
        <v>0</v>
      </c>
      <c r="AR114" s="27" t="n">
        <f aca="false">SUMIFS(super1[Qtde],super1[Item],tab_higiene[[#This Row],[Item]],super1[Bairro],mercado8)+SUMIFS(supercb[Qtde],supercb[Item],tab_higiene[[#This Row],[Item]],supercb[Bairro],mercado8)</f>
        <v>0</v>
      </c>
      <c r="AS114" s="27" t="n">
        <f aca="false">SUMIFS(super1[Qtde],super1[Item],tab_higiene[[#This Row],[Item]],super1[Bairro],mercado9)+SUMIFS(supercb[Qtde],supercb[Item],tab_higiene[[#This Row],[Item]],supercb[Bairro],mercado9)</f>
        <v>0</v>
      </c>
      <c r="AT114" s="27" t="n">
        <f aca="false">SUMIFS(super1[Qtde],super1[Item],tab_higiene[[#This Row],[Item]],super1[Bairro],mercado10)+SUMIFS(supercb[Qtde],supercb[Item],tab_higiene[[#This Row],[Item]],supercb[Bairro],mercado10)</f>
        <v>0</v>
      </c>
      <c r="AU114" s="27" t="n">
        <f aca="false">SUMIFS(super1[Qtde],super1[Item],tab_higiene[[#This Row],[Item]],super1[Bairro],mercado11)+SUMIFS(supercb[Qtde],supercb[Item],tab_higiene[[#This Row],[Item]],supercb[Bairro],mercado11)</f>
        <v>0</v>
      </c>
      <c r="AV114" s="27" t="n">
        <f aca="false">SUMIFS(super1[Qtde],super1[Item],tab_higiene[[#This Row],[Item]],super1[Bairro],mercado12)+SUMIFS(supercb[Qtde],supercb[Item],tab_higiene[[#This Row],[Item]],supercb[Bairro],mercado12)</f>
        <v>0</v>
      </c>
      <c r="AW114" s="27" t="n">
        <f aca="false">SUMIFS(super1[Qtde],super1[Item],tab_higiene[[#This Row],[Item]],super1[Bairro],mercado13)+SUMIFS(supercb[Qtde],supercb[Item],tab_higiene[[#This Row],[Item]],supercb[Bairro],mercado13)</f>
        <v>0</v>
      </c>
      <c r="AX114" s="27" t="n">
        <f aca="false">SUMIFS(super1[Qtde],super1[Item],tab_higiene[[#This Row],[Item]],super1[Bairro],mercado14)+SUMIFS(supercb[Qtde],supercb[Item],tab_higiene[[#This Row],[Item]],supercb[Bairro],mercado14)</f>
        <v>0</v>
      </c>
      <c r="AY114" s="27" t="n">
        <f aca="false">SUMIFS(super1[Qtde],super1[Item],tab_higiene[[#This Row],[Item]],super1[Bairro],mercado15)+SUMIFS(supercb[Qtde],supercb[Item],tab_higiene[[#This Row],[Item]],supercb[Bairro],mercado15)</f>
        <v>0</v>
      </c>
      <c r="AZ114" s="27" t="n">
        <f aca="false">SUMIFS(super1[Qtde],super1[Item],tab_higiene[[#This Row],[Item]],super1[Bairro],mercado16)+SUMIFS(supercb[Qtde],supercb[Item],tab_higiene[[#This Row],[Item]],supercb[Bairro],mercado16)</f>
        <v>0</v>
      </c>
      <c r="BA114" s="27" t="n">
        <f aca="false">SUMIFS(super1[Qtde],super1[Item],tab_higiene[[#This Row],[Item]],super1[Bairro],mercado17)+SUMIFS(supercb[Qtde],supercb[Item],tab_higiene[[#This Row],[Item]],supercb[Bairro],mercado17)</f>
        <v>0</v>
      </c>
      <c r="BB114" s="27" t="n">
        <f aca="false">SUMIFS(super1[Qtde],super1[Item],tab_higiene[[#This Row],[Item]],super1[Bairro],mercado18)+SUMIFS(supercb[Qtde],supercb[Item],tab_higiene[[#This Row],[Item]],supercb[Bairro],mercado18)</f>
        <v>0</v>
      </c>
      <c r="BC114" s="27" t="n">
        <f aca="false">SUMIFS(super1[Qtde],super1[Item],tab_higiene[[#This Row],[Item]],super1[Bairro],extras)+SUMIFS(supercb[Qtde],supercb[Item],tab_higiene[[#This Row],[Item]],supercb[Bairro],extras)</f>
        <v>0</v>
      </c>
      <c r="BD114" s="27" t="n">
        <f aca="false">SUM(AK114:BB114)</f>
        <v>0</v>
      </c>
      <c r="BE114" s="27" t="n">
        <f aca="false">IFERROR(BD114*AJ114,0)</f>
        <v>0</v>
      </c>
      <c r="BF114" s="28" t="n">
        <f aca="false">IFERROR(AI114*BD114,0)</f>
        <v>0</v>
      </c>
      <c r="BI114" s="22" t="str">
        <f aca="false">tab_alimentos[[#This Row],[Item]]</f>
        <v>Farinha de Kibe (500g)</v>
      </c>
      <c r="BJ114" s="22" t="n">
        <f aca="false">IFERROR(FIND(" (",BI114),0)</f>
        <v>16</v>
      </c>
      <c r="BK114" s="22" t="str">
        <f aca="false">IF(BJ114=0,BI114,LEFT(BI114,BJ114-1))</f>
        <v>Farinha de Kibe</v>
      </c>
      <c r="BL114" s="22" t="n">
        <f aca="false">tab_alimentos[[#This Row],[kg]]</f>
        <v>0</v>
      </c>
      <c r="BN114" s="22" t="n">
        <f aca="false">SUMIF($BJ$5:$BJ$158,BM114,$BK$5:$BK$158)</f>
        <v>0</v>
      </c>
      <c r="BP114" s="22" t="str">
        <f aca="false">tab_higiene[[#This Row],[Item]]</f>
        <v>Fraldas Infantis (58un)</v>
      </c>
      <c r="BQ114" s="22" t="n">
        <f aca="false">IFERROR(FIND(" (",BP114),0)</f>
        <v>17</v>
      </c>
      <c r="BR114" s="22" t="str">
        <f aca="false">IF(BQ114=0,BP114,LEFT(BP114,BQ114-1))</f>
        <v>Fraldas Infantis</v>
      </c>
      <c r="BS114" s="22" t="n">
        <f aca="false">higiene[[#This Row],[Quantidade]]</f>
        <v>4</v>
      </c>
      <c r="BT114" s="22" t="n">
        <f aca="false">tab_higiene[Qtde (tot)]</f>
        <v>0</v>
      </c>
      <c r="BU114" s="22" t="n">
        <f aca="false">BS114*BT114</f>
        <v>0</v>
      </c>
      <c r="BW114" s="22" t="n">
        <f aca="false">SUMIF($BR$5:$BR$142,BV114,$BU$5:$BU$142)</f>
        <v>0</v>
      </c>
    </row>
    <row r="115" customFormat="false" ht="15" hidden="false" customHeight="false" outlineLevel="0" collapsed="false">
      <c r="I115" s="26" t="str">
        <f aca="false">alimentos[[#This Row],[Item]]</f>
        <v>Farinha de Mandioca (1kg)</v>
      </c>
      <c r="J115" s="27" t="n">
        <f aca="false">IFERROR(alimentos[[#This Row],[kg/embalagem]],0)</f>
        <v>1</v>
      </c>
      <c r="K115" s="27" t="n">
        <f aca="false">IFERROR(alimentos[[#This Row],[Preço]],0)</f>
        <v>7.99</v>
      </c>
      <c r="L115" s="27" t="n">
        <f aca="false">SUMIFS(super1[Qtde],super1[Item],tab_alimentos[[#This Row],[Item]],super1[Bairro],mercado1)+SUMIFS(supercb[Qtde],supercb[Item],tab_alimentos[[#This Row],[Item]],supercb[Bairro],mercado1)</f>
        <v>0</v>
      </c>
      <c r="M115" s="27" t="n">
        <f aca="false">SUMIFS(super1[Qtde],super1[Item],tab_alimentos[[#This Row],[Item]],super1[Bairro],mercado2)+SUMIFS(supercb[Qtde],supercb[Item],tab_alimentos[[#This Row],[Item]],supercb[Bairro],mercado2)</f>
        <v>0</v>
      </c>
      <c r="N115" s="27" t="n">
        <f aca="false">SUMIFS(super1[Qtde],super1[Item],tab_alimentos[[#This Row],[Item]],super1[Bairro],mercado3)+SUMIFS(supercb[Qtde],supercb[Item],tab_alimentos[[#This Row],[Item]],supercb[Bairro],mercado3)</f>
        <v>0</v>
      </c>
      <c r="O115" s="27" t="n">
        <f aca="false">SUMIFS(super1[Qtde],super1[Item],tab_alimentos[[#This Row],[Item]],super1[Bairro],mercado4)+SUMIFS(supercb[Qtde],supercb[Item],tab_alimentos[[#This Row],[Item]],supercb[Bairro],mercado4)</f>
        <v>0</v>
      </c>
      <c r="P115" s="27" t="n">
        <f aca="false">SUMIFS(super1[Qtde],super1[Item],tab_alimentos[[#This Row],[Item]],super1[Bairro],mercado5)+SUMIFS(supercb[Qtde],supercb[Item],tab_alimentos[[#This Row],[Item]],supercb[Bairro],mercado5)</f>
        <v>0</v>
      </c>
      <c r="Q115" s="27" t="n">
        <f aca="false">SUMIFS(super1[Qtde],super1[Item],tab_alimentos[[#This Row],[Item]],super1[Bairro],mercado6)+SUMIFS(supercb[Qtde],supercb[Item],tab_alimentos[[#This Row],[Item]],supercb[Bairro],mercado6)</f>
        <v>0</v>
      </c>
      <c r="R115" s="27" t="n">
        <f aca="false">SUMIFS(super1[Qtde],super1[Item],tab_alimentos[[#This Row],[Item]],super1[Bairro],mercado7)+SUMIFS(supercb[Qtde],supercb[Item],tab_alimentos[[#This Row],[Item]],supercb[Bairro],mercado7)</f>
        <v>0</v>
      </c>
      <c r="S115" s="27" t="n">
        <f aca="false">SUMIFS(super1[Qtde],super1[Item],tab_alimentos[[#This Row],[Item]],super1[Bairro],mercado8)+SUMIFS(supercb[Qtde],supercb[Item],tab_alimentos[[#This Row],[Item]],supercb[Bairro],mercado8)</f>
        <v>0</v>
      </c>
      <c r="T115" s="27" t="n">
        <f aca="false">SUMIFS(super1[Qtde],super1[Item],tab_alimentos[[#This Row],[Item]],super1[Bairro],mercado9)+SUMIFS(supercb[Qtde],supercb[Item],tab_alimentos[[#This Row],[Item]],supercb[Bairro],mercado9)</f>
        <v>0</v>
      </c>
      <c r="U115" s="27" t="n">
        <f aca="false">SUMIFS(super1[Qtde],super1[Item],tab_alimentos[[#This Row],[Item]],super1[Bairro],mercado10)+SUMIFS(supercb[Qtde],supercb[Item],tab_alimentos[[#This Row],[Item]],supercb[Bairro],mercado10)</f>
        <v>0</v>
      </c>
      <c r="V115" s="27" t="n">
        <f aca="false">SUMIFS(super1[Qtde],super1[Item],tab_alimentos[[#This Row],[Item]],super1[Bairro],mercado11)+SUMIFS(supercb[Qtde],supercb[Item],tab_alimentos[[#This Row],[Item]],supercb[Bairro],mercado11)</f>
        <v>0</v>
      </c>
      <c r="W115" s="27" t="n">
        <f aca="false">SUMIFS(super1[Qtde],super1[Item],tab_alimentos[[#This Row],[Item]],super1[Bairro],mercado12)+SUMIFS(supercb[Qtde],supercb[Item],tab_alimentos[[#This Row],[Item]],supercb[Bairro],mercado12)</f>
        <v>0</v>
      </c>
      <c r="X115" s="27" t="n">
        <f aca="false">SUMIFS(super1[Qtde],super1[Item],tab_alimentos[[#This Row],[Item]],super1[Bairro],mercado13)+SUMIFS(supercb[Qtde],supercb[Item],tab_alimentos[[#This Row],[Item]],supercb[Bairro],mercado13)</f>
        <v>0</v>
      </c>
      <c r="Y115" s="27" t="n">
        <f aca="false">SUMIFS(super1[Qtde],super1[Item],tab_alimentos[[#This Row],[Item]],super1[Bairro],mercado14)+SUMIFS(supercb[Qtde],supercb[Item],tab_alimentos[[#This Row],[Item]],supercb[Bairro],mercado14)</f>
        <v>0</v>
      </c>
      <c r="Z115" s="27" t="n">
        <f aca="false">SUMIFS(super1[Qtde],super1[Item],tab_alimentos[[#This Row],[Item]],super1[Bairro],mercado15)+SUMIFS(supercb[Qtde],supercb[Item],tab_alimentos[[#This Row],[Item]],supercb[Bairro],mercado15)</f>
        <v>0</v>
      </c>
      <c r="AA115" s="27" t="n">
        <f aca="false">SUMIFS(super1[Qtde],super1[Item],tab_alimentos[[#This Row],[Item]],super1[Bairro],mercado16)+SUMIFS(supercb[Qtde],supercb[Item],tab_alimentos[[#This Row],[Item]],supercb[Bairro],mercado16)</f>
        <v>0</v>
      </c>
      <c r="AB115" s="27" t="n">
        <f aca="false">SUMIFS(super1[Qtde],super1[Item],tab_alimentos[[#This Row],[Item]],super1[Bairro],mercado17)+SUMIFS(supercb[Qtde],supercb[Item],tab_alimentos[[#This Row],[Item]],supercb[Bairro],mercado17)</f>
        <v>0</v>
      </c>
      <c r="AC115" s="27" t="n">
        <f aca="false">SUMIFS(super1[Qtde],super1[Item],tab_alimentos[[#This Row],[Item]],super1[Bairro],mercado18)+SUMIFS(supercb[Qtde],supercb[Item],tab_alimentos[[#This Row],[Item]],supercb[Bairro],mercado18)</f>
        <v>0</v>
      </c>
      <c r="AD115" s="27" t="n">
        <f aca="false">SUMIFS(super1[Qtde],super1[Item],tab_alimentos[[#This Row],[Item]],super1[Bairro],extras)+SUMIFS(supercb[Qtde],supercb[Item],tab_alimentos[[#This Row],[Item]],supercb[Bairro],extras)</f>
        <v>0</v>
      </c>
      <c r="AE115" s="27" t="n">
        <f aca="false">SUM(L115:AC115)</f>
        <v>0</v>
      </c>
      <c r="AF115" s="27" t="n">
        <f aca="false">IFERROR(AE115*K115,0)</f>
        <v>0</v>
      </c>
      <c r="AG115" s="28" t="n">
        <f aca="false">IFERROR(J115*AE115,0)</f>
        <v>0</v>
      </c>
      <c r="AH115" s="26" t="str">
        <f aca="false">higiene[[#This Row],[Item]]</f>
        <v>Fraldas Infantis (60un)</v>
      </c>
      <c r="AI115" s="27" t="n">
        <f aca="false">IFERROR(higiene[[#This Row],[Kg equivalente]],0)</f>
        <v>13.2773325516669</v>
      </c>
      <c r="AJ115" s="27" t="n">
        <f aca="false">IFERROR(higiene[[#This Row],[Preço por produto]],0)</f>
        <v>43.98</v>
      </c>
      <c r="AK115" s="27" t="n">
        <f aca="false">SUMIFS(super1[Qtde],super1[Item],tab_higiene[[#This Row],[Item]],super1[Bairro],mercado1)+SUMIFS(supercb[Qtde],supercb[Item],tab_higiene[[#This Row],[Item]],supercb[Bairro],mercado1)</f>
        <v>0</v>
      </c>
      <c r="AL115" s="27" t="n">
        <f aca="false">SUMIFS(super1[Qtde],super1[Item],tab_higiene[[#This Row],[Item]],super1[Bairro],mercado2)+SUMIFS(supercb[Qtde],supercb[Item],tab_higiene[[#This Row],[Item]],supercb[Bairro],mercado2)</f>
        <v>0</v>
      </c>
      <c r="AM115" s="27" t="n">
        <f aca="false">SUMIFS(super1[Qtde],super1[Item],tab_higiene[[#This Row],[Item]],super1[Bairro],mercado3)+SUMIFS(supercb[Qtde],supercb[Item],tab_higiene[[#This Row],[Item]],supercb[Bairro],mercado3)</f>
        <v>0</v>
      </c>
      <c r="AN115" s="27" t="n">
        <f aca="false">SUMIFS(super1[Qtde],super1[Item],tab_higiene[[#This Row],[Item]],super1[Bairro],mercado4)+SUMIFS(supercb[Qtde],supercb[Item],tab_higiene[[#This Row],[Item]],supercb[Bairro],mercado4)</f>
        <v>0</v>
      </c>
      <c r="AO115" s="27" t="n">
        <f aca="false">SUMIFS(super1[Qtde],super1[Item],tab_higiene[[#This Row],[Item]],super1[Bairro],mercado5)+SUMIFS(supercb[Qtde],supercb[Item],tab_higiene[[#This Row],[Item]],supercb[Bairro],mercado5)</f>
        <v>0</v>
      </c>
      <c r="AP115" s="27" t="n">
        <f aca="false">SUMIFS(super1[Qtde],super1[Item],tab_higiene[[#This Row],[Item]],super1[Bairro],mercado6)+SUMIFS(supercb[Qtde],supercb[Item],tab_higiene[[#This Row],[Item]],supercb[Bairro],mercado6)</f>
        <v>0</v>
      </c>
      <c r="AQ115" s="27" t="n">
        <f aca="false">SUMIFS(super1[Qtde],super1[Item],tab_higiene[[#This Row],[Item]],super1[Bairro],mercado7)+SUMIFS(supercb[Qtde],supercb[Item],tab_higiene[[#This Row],[Item]],supercb[Bairro],mercado7)</f>
        <v>0</v>
      </c>
      <c r="AR115" s="27" t="n">
        <f aca="false">SUMIFS(super1[Qtde],super1[Item],tab_higiene[[#This Row],[Item]],super1[Bairro],mercado8)+SUMIFS(supercb[Qtde],supercb[Item],tab_higiene[[#This Row],[Item]],supercb[Bairro],mercado8)</f>
        <v>0</v>
      </c>
      <c r="AS115" s="27" t="n">
        <f aca="false">SUMIFS(super1[Qtde],super1[Item],tab_higiene[[#This Row],[Item]],super1[Bairro],mercado9)+SUMIFS(supercb[Qtde],supercb[Item],tab_higiene[[#This Row],[Item]],supercb[Bairro],mercado9)</f>
        <v>0</v>
      </c>
      <c r="AT115" s="27" t="n">
        <f aca="false">SUMIFS(super1[Qtde],super1[Item],tab_higiene[[#This Row],[Item]],super1[Bairro],mercado10)+SUMIFS(supercb[Qtde],supercb[Item],tab_higiene[[#This Row],[Item]],supercb[Bairro],mercado10)</f>
        <v>0</v>
      </c>
      <c r="AU115" s="27" t="n">
        <f aca="false">SUMIFS(super1[Qtde],super1[Item],tab_higiene[[#This Row],[Item]],super1[Bairro],mercado11)+SUMIFS(supercb[Qtde],supercb[Item],tab_higiene[[#This Row],[Item]],supercb[Bairro],mercado11)</f>
        <v>0</v>
      </c>
      <c r="AV115" s="27" t="n">
        <f aca="false">SUMIFS(super1[Qtde],super1[Item],tab_higiene[[#This Row],[Item]],super1[Bairro],mercado12)+SUMIFS(supercb[Qtde],supercb[Item],tab_higiene[[#This Row],[Item]],supercb[Bairro],mercado12)</f>
        <v>0</v>
      </c>
      <c r="AW115" s="27" t="n">
        <f aca="false">SUMIFS(super1[Qtde],super1[Item],tab_higiene[[#This Row],[Item]],super1[Bairro],mercado13)+SUMIFS(supercb[Qtde],supercb[Item],tab_higiene[[#This Row],[Item]],supercb[Bairro],mercado13)</f>
        <v>0</v>
      </c>
      <c r="AX115" s="27" t="n">
        <f aca="false">SUMIFS(super1[Qtde],super1[Item],tab_higiene[[#This Row],[Item]],super1[Bairro],mercado14)+SUMIFS(supercb[Qtde],supercb[Item],tab_higiene[[#This Row],[Item]],supercb[Bairro],mercado14)</f>
        <v>0</v>
      </c>
      <c r="AY115" s="27" t="n">
        <f aca="false">SUMIFS(super1[Qtde],super1[Item],tab_higiene[[#This Row],[Item]],super1[Bairro],mercado15)+SUMIFS(supercb[Qtde],supercb[Item],tab_higiene[[#This Row],[Item]],supercb[Bairro],mercado15)</f>
        <v>0</v>
      </c>
      <c r="AZ115" s="27" t="n">
        <f aca="false">SUMIFS(super1[Qtde],super1[Item],tab_higiene[[#This Row],[Item]],super1[Bairro],mercado16)+SUMIFS(supercb[Qtde],supercb[Item],tab_higiene[[#This Row],[Item]],supercb[Bairro],mercado16)</f>
        <v>0</v>
      </c>
      <c r="BA115" s="27" t="n">
        <f aca="false">SUMIFS(super1[Qtde],super1[Item],tab_higiene[[#This Row],[Item]],super1[Bairro],mercado17)+SUMIFS(supercb[Qtde],supercb[Item],tab_higiene[[#This Row],[Item]],supercb[Bairro],mercado17)</f>
        <v>0</v>
      </c>
      <c r="BB115" s="27" t="n">
        <f aca="false">SUMIFS(super1[Qtde],super1[Item],tab_higiene[[#This Row],[Item]],super1[Bairro],mercado18)+SUMIFS(supercb[Qtde],supercb[Item],tab_higiene[[#This Row],[Item]],supercb[Bairro],mercado18)</f>
        <v>0</v>
      </c>
      <c r="BC115" s="27" t="n">
        <f aca="false">SUMIFS(super1[Qtde],super1[Item],tab_higiene[[#This Row],[Item]],super1[Bairro],extras)+SUMIFS(supercb[Qtde],supercb[Item],tab_higiene[[#This Row],[Item]],supercb[Bairro],extras)</f>
        <v>0</v>
      </c>
      <c r="BD115" s="27" t="n">
        <f aca="false">SUM(AK115:BB115)</f>
        <v>0</v>
      </c>
      <c r="BE115" s="27" t="n">
        <f aca="false">IFERROR(BD115*AJ115,0)</f>
        <v>0</v>
      </c>
      <c r="BF115" s="28" t="n">
        <f aca="false">IFERROR(AI115*BD115,0)</f>
        <v>0</v>
      </c>
      <c r="BI115" s="22" t="str">
        <f aca="false">tab_alimentos[[#This Row],[Item]]</f>
        <v>Farinha de Mandioca (1kg)</v>
      </c>
      <c r="BJ115" s="22" t="n">
        <f aca="false">IFERROR(FIND(" (",BI115),0)</f>
        <v>20</v>
      </c>
      <c r="BK115" s="22" t="str">
        <f aca="false">IF(BJ115=0,BI115,LEFT(BI115,BJ115-1))</f>
        <v>Farinha de Mandioca</v>
      </c>
      <c r="BL115" s="22" t="n">
        <f aca="false">tab_alimentos[[#This Row],[kg]]</f>
        <v>0</v>
      </c>
      <c r="BN115" s="22" t="n">
        <f aca="false">SUMIF($BJ$5:$BJ$158,BM115,$BK$5:$BK$158)</f>
        <v>0</v>
      </c>
      <c r="BP115" s="22" t="str">
        <f aca="false">tab_higiene[[#This Row],[Item]]</f>
        <v>Fraldas Infantis (60un)</v>
      </c>
      <c r="BQ115" s="22" t="n">
        <f aca="false">IFERROR(FIND(" (",BP115),0)</f>
        <v>17</v>
      </c>
      <c r="BR115" s="22" t="str">
        <f aca="false">IF(BQ115=0,BP115,LEFT(BP115,BQ115-1))</f>
        <v>Fraldas Infantis</v>
      </c>
      <c r="BS115" s="22" t="n">
        <f aca="false">higiene[[#This Row],[Quantidade]]</f>
        <v>8</v>
      </c>
      <c r="BT115" s="22" t="n">
        <f aca="false">tab_higiene[Qtde (tot)]</f>
        <v>0</v>
      </c>
      <c r="BU115" s="22" t="n">
        <f aca="false">BS115*BT115</f>
        <v>0</v>
      </c>
      <c r="BW115" s="22" t="n">
        <f aca="false">SUMIF($BR$5:$BR$142,BV115,$BU$5:$BU$142)</f>
        <v>0</v>
      </c>
    </row>
    <row r="116" customFormat="false" ht="15" hidden="false" customHeight="false" outlineLevel="0" collapsed="false">
      <c r="I116" s="26" t="str">
        <f aca="false">alimentos[[#This Row],[Item]]</f>
        <v>Farinha de mandioca (500g)</v>
      </c>
      <c r="J116" s="27" t="n">
        <f aca="false">IFERROR(alimentos[[#This Row],[kg/embalagem]],0)</f>
        <v>0.5</v>
      </c>
      <c r="K116" s="27" t="n">
        <f aca="false">IFERROR(alimentos[[#This Row],[Preço]],0)</f>
        <v>4.06833333333333</v>
      </c>
      <c r="L116" s="27" t="n">
        <f aca="false">SUMIFS(super1[Qtde],super1[Item],tab_alimentos[[#This Row],[Item]],super1[Bairro],mercado1)+SUMIFS(supercb[Qtde],supercb[Item],tab_alimentos[[#This Row],[Item]],supercb[Bairro],mercado1)</f>
        <v>0</v>
      </c>
      <c r="M116" s="27" t="n">
        <f aca="false">SUMIFS(super1[Qtde],super1[Item],tab_alimentos[[#This Row],[Item]],super1[Bairro],mercado2)+SUMIFS(supercb[Qtde],supercb[Item],tab_alimentos[[#This Row],[Item]],supercb[Bairro],mercado2)</f>
        <v>0</v>
      </c>
      <c r="N116" s="27" t="n">
        <f aca="false">SUMIFS(super1[Qtde],super1[Item],tab_alimentos[[#This Row],[Item]],super1[Bairro],mercado3)+SUMIFS(supercb[Qtde],supercb[Item],tab_alimentos[[#This Row],[Item]],supercb[Bairro],mercado3)</f>
        <v>1</v>
      </c>
      <c r="O116" s="27" t="n">
        <f aca="false">SUMIFS(super1[Qtde],super1[Item],tab_alimentos[[#This Row],[Item]],super1[Bairro],mercado4)+SUMIFS(supercb[Qtde],supercb[Item],tab_alimentos[[#This Row],[Item]],supercb[Bairro],mercado4)</f>
        <v>0</v>
      </c>
      <c r="P116" s="27" t="n">
        <f aca="false">SUMIFS(super1[Qtde],super1[Item],tab_alimentos[[#This Row],[Item]],super1[Bairro],mercado5)+SUMIFS(supercb[Qtde],supercb[Item],tab_alimentos[[#This Row],[Item]],supercb[Bairro],mercado5)</f>
        <v>2</v>
      </c>
      <c r="Q116" s="27" t="n">
        <f aca="false">SUMIFS(super1[Qtde],super1[Item],tab_alimentos[[#This Row],[Item]],super1[Bairro],mercado6)+SUMIFS(supercb[Qtde],supercb[Item],tab_alimentos[[#This Row],[Item]],supercb[Bairro],mercado6)</f>
        <v>0</v>
      </c>
      <c r="R116" s="27" t="n">
        <f aca="false">SUMIFS(super1[Qtde],super1[Item],tab_alimentos[[#This Row],[Item]],super1[Bairro],mercado7)+SUMIFS(supercb[Qtde],supercb[Item],tab_alimentos[[#This Row],[Item]],supercb[Bairro],mercado7)</f>
        <v>0</v>
      </c>
      <c r="S116" s="27" t="n">
        <f aca="false">SUMIFS(super1[Qtde],super1[Item],tab_alimentos[[#This Row],[Item]],super1[Bairro],mercado8)+SUMIFS(supercb[Qtde],supercb[Item],tab_alimentos[[#This Row],[Item]],supercb[Bairro],mercado8)</f>
        <v>0</v>
      </c>
      <c r="T116" s="27" t="n">
        <f aca="false">SUMIFS(super1[Qtde],super1[Item],tab_alimentos[[#This Row],[Item]],super1[Bairro],mercado9)+SUMIFS(supercb[Qtde],supercb[Item],tab_alimentos[[#This Row],[Item]],supercb[Bairro],mercado9)</f>
        <v>0</v>
      </c>
      <c r="U116" s="27" t="n">
        <f aca="false">SUMIFS(super1[Qtde],super1[Item],tab_alimentos[[#This Row],[Item]],super1[Bairro],mercado10)+SUMIFS(supercb[Qtde],supercb[Item],tab_alimentos[[#This Row],[Item]],supercb[Bairro],mercado10)</f>
        <v>0</v>
      </c>
      <c r="V116" s="27" t="n">
        <f aca="false">SUMIFS(super1[Qtde],super1[Item],tab_alimentos[[#This Row],[Item]],super1[Bairro],mercado11)+SUMIFS(supercb[Qtde],supercb[Item],tab_alimentos[[#This Row],[Item]],supercb[Bairro],mercado11)</f>
        <v>0</v>
      </c>
      <c r="W116" s="27" t="n">
        <f aca="false">SUMIFS(super1[Qtde],super1[Item],tab_alimentos[[#This Row],[Item]],super1[Bairro],mercado12)+SUMIFS(supercb[Qtde],supercb[Item],tab_alimentos[[#This Row],[Item]],supercb[Bairro],mercado12)</f>
        <v>0</v>
      </c>
      <c r="X116" s="27" t="n">
        <f aca="false">SUMIFS(super1[Qtde],super1[Item],tab_alimentos[[#This Row],[Item]],super1[Bairro],mercado13)+SUMIFS(supercb[Qtde],supercb[Item],tab_alimentos[[#This Row],[Item]],supercb[Bairro],mercado13)</f>
        <v>0</v>
      </c>
      <c r="Y116" s="27" t="n">
        <f aca="false">SUMIFS(super1[Qtde],super1[Item],tab_alimentos[[#This Row],[Item]],super1[Bairro],mercado14)+SUMIFS(supercb[Qtde],supercb[Item],tab_alimentos[[#This Row],[Item]],supercb[Bairro],mercado14)</f>
        <v>0</v>
      </c>
      <c r="Z116" s="27" t="n">
        <f aca="false">SUMIFS(super1[Qtde],super1[Item],tab_alimentos[[#This Row],[Item]],super1[Bairro],mercado15)+SUMIFS(supercb[Qtde],supercb[Item],tab_alimentos[[#This Row],[Item]],supercb[Bairro],mercado15)</f>
        <v>0</v>
      </c>
      <c r="AA116" s="27" t="n">
        <f aca="false">SUMIFS(super1[Qtde],super1[Item],tab_alimentos[[#This Row],[Item]],super1[Bairro],mercado16)+SUMIFS(supercb[Qtde],supercb[Item],tab_alimentos[[#This Row],[Item]],supercb[Bairro],mercado16)</f>
        <v>0</v>
      </c>
      <c r="AB116" s="27" t="n">
        <f aca="false">SUMIFS(super1[Qtde],super1[Item],tab_alimentos[[#This Row],[Item]],super1[Bairro],mercado17)+SUMIFS(supercb[Qtde],supercb[Item],tab_alimentos[[#This Row],[Item]],supercb[Bairro],mercado17)</f>
        <v>0</v>
      </c>
      <c r="AC116" s="27" t="n">
        <f aca="false">SUMIFS(super1[Qtde],super1[Item],tab_alimentos[[#This Row],[Item]],super1[Bairro],mercado18)+SUMIFS(supercb[Qtde],supercb[Item],tab_alimentos[[#This Row],[Item]],supercb[Bairro],mercado18)</f>
        <v>0</v>
      </c>
      <c r="AD116" s="27" t="n">
        <f aca="false">SUMIFS(super1[Qtde],super1[Item],tab_alimentos[[#This Row],[Item]],super1[Bairro],extras)+SUMIFS(supercb[Qtde],supercb[Item],tab_alimentos[[#This Row],[Item]],supercb[Bairro],extras)</f>
        <v>0</v>
      </c>
      <c r="AE116" s="27" t="n">
        <f aca="false">SUM(L116:AC116)</f>
        <v>3</v>
      </c>
      <c r="AF116" s="27" t="n">
        <f aca="false">IFERROR(AE116*K116,0)</f>
        <v>12.205</v>
      </c>
      <c r="AG116" s="28" t="n">
        <f aca="false">IFERROR(J116*AE116,0)</f>
        <v>1.5</v>
      </c>
      <c r="AH116" s="26" t="str">
        <f aca="false">higiene[[#This Row],[Item]]</f>
        <v>G</v>
      </c>
      <c r="AI116" s="27" t="n">
        <f aca="false">IFERROR(higiene[[#This Row],[Kg equivalente]],0)</f>
        <v>0</v>
      </c>
      <c r="AJ116" s="27" t="n">
        <f aca="false">IFERROR(higiene[[#This Row],[Preço por produto]],0)</f>
        <v>0</v>
      </c>
      <c r="AK116" s="27" t="n">
        <f aca="false">SUMIFS(super1[Qtde],super1[Item],tab_higiene[[#This Row],[Item]],super1[Bairro],mercado1)+SUMIFS(supercb[Qtde],supercb[Item],tab_higiene[[#This Row],[Item]],supercb[Bairro],mercado1)</f>
        <v>0</v>
      </c>
      <c r="AL116" s="27" t="n">
        <f aca="false">SUMIFS(super1[Qtde],super1[Item],tab_higiene[[#This Row],[Item]],super1[Bairro],mercado2)+SUMIFS(supercb[Qtde],supercb[Item],tab_higiene[[#This Row],[Item]],supercb[Bairro],mercado2)</f>
        <v>0</v>
      </c>
      <c r="AM116" s="27" t="n">
        <f aca="false">SUMIFS(super1[Qtde],super1[Item],tab_higiene[[#This Row],[Item]],super1[Bairro],mercado3)+SUMIFS(supercb[Qtde],supercb[Item],tab_higiene[[#This Row],[Item]],supercb[Bairro],mercado3)</f>
        <v>0</v>
      </c>
      <c r="AN116" s="27" t="n">
        <f aca="false">SUMIFS(super1[Qtde],super1[Item],tab_higiene[[#This Row],[Item]],super1[Bairro],mercado4)+SUMIFS(supercb[Qtde],supercb[Item],tab_higiene[[#This Row],[Item]],supercb[Bairro],mercado4)</f>
        <v>0</v>
      </c>
      <c r="AO116" s="27" t="n">
        <f aca="false">SUMIFS(super1[Qtde],super1[Item],tab_higiene[[#This Row],[Item]],super1[Bairro],mercado5)+SUMIFS(supercb[Qtde],supercb[Item],tab_higiene[[#This Row],[Item]],supercb[Bairro],mercado5)</f>
        <v>0</v>
      </c>
      <c r="AP116" s="27" t="n">
        <f aca="false">SUMIFS(super1[Qtde],super1[Item],tab_higiene[[#This Row],[Item]],super1[Bairro],mercado6)+SUMIFS(supercb[Qtde],supercb[Item],tab_higiene[[#This Row],[Item]],supercb[Bairro],mercado6)</f>
        <v>0</v>
      </c>
      <c r="AQ116" s="27" t="n">
        <f aca="false">SUMIFS(super1[Qtde],super1[Item],tab_higiene[[#This Row],[Item]],super1[Bairro],mercado7)+SUMIFS(supercb[Qtde],supercb[Item],tab_higiene[[#This Row],[Item]],supercb[Bairro],mercado7)</f>
        <v>0</v>
      </c>
      <c r="AR116" s="27" t="n">
        <f aca="false">SUMIFS(super1[Qtde],super1[Item],tab_higiene[[#This Row],[Item]],super1[Bairro],mercado8)+SUMIFS(supercb[Qtde],supercb[Item],tab_higiene[[#This Row],[Item]],supercb[Bairro],mercado8)</f>
        <v>0</v>
      </c>
      <c r="AS116" s="27" t="n">
        <f aca="false">SUMIFS(super1[Qtde],super1[Item],tab_higiene[[#This Row],[Item]],super1[Bairro],mercado9)+SUMIFS(supercb[Qtde],supercb[Item],tab_higiene[[#This Row],[Item]],supercb[Bairro],mercado9)</f>
        <v>0</v>
      </c>
      <c r="AT116" s="27" t="n">
        <f aca="false">SUMIFS(super1[Qtde],super1[Item],tab_higiene[[#This Row],[Item]],super1[Bairro],mercado10)+SUMIFS(supercb[Qtde],supercb[Item],tab_higiene[[#This Row],[Item]],supercb[Bairro],mercado10)</f>
        <v>0</v>
      </c>
      <c r="AU116" s="27" t="n">
        <f aca="false">SUMIFS(super1[Qtde],super1[Item],tab_higiene[[#This Row],[Item]],super1[Bairro],mercado11)+SUMIFS(supercb[Qtde],supercb[Item],tab_higiene[[#This Row],[Item]],supercb[Bairro],mercado11)</f>
        <v>0</v>
      </c>
      <c r="AV116" s="27" t="n">
        <f aca="false">SUMIFS(super1[Qtde],super1[Item],tab_higiene[[#This Row],[Item]],super1[Bairro],mercado12)+SUMIFS(supercb[Qtde],supercb[Item],tab_higiene[[#This Row],[Item]],supercb[Bairro],mercado12)</f>
        <v>0</v>
      </c>
      <c r="AW116" s="27" t="n">
        <f aca="false">SUMIFS(super1[Qtde],super1[Item],tab_higiene[[#This Row],[Item]],super1[Bairro],mercado13)+SUMIFS(supercb[Qtde],supercb[Item],tab_higiene[[#This Row],[Item]],supercb[Bairro],mercado13)</f>
        <v>0</v>
      </c>
      <c r="AX116" s="27" t="n">
        <f aca="false">SUMIFS(super1[Qtde],super1[Item],tab_higiene[[#This Row],[Item]],super1[Bairro],mercado14)+SUMIFS(supercb[Qtde],supercb[Item],tab_higiene[[#This Row],[Item]],supercb[Bairro],mercado14)</f>
        <v>0</v>
      </c>
      <c r="AY116" s="27" t="n">
        <f aca="false">SUMIFS(super1[Qtde],super1[Item],tab_higiene[[#This Row],[Item]],super1[Bairro],mercado15)+SUMIFS(supercb[Qtde],supercb[Item],tab_higiene[[#This Row],[Item]],supercb[Bairro],mercado15)</f>
        <v>0</v>
      </c>
      <c r="AZ116" s="27" t="n">
        <f aca="false">SUMIFS(super1[Qtde],super1[Item],tab_higiene[[#This Row],[Item]],super1[Bairro],mercado16)+SUMIFS(supercb[Qtde],supercb[Item],tab_higiene[[#This Row],[Item]],supercb[Bairro],mercado16)</f>
        <v>0</v>
      </c>
      <c r="BA116" s="27" t="n">
        <f aca="false">SUMIFS(super1[Qtde],super1[Item],tab_higiene[[#This Row],[Item]],super1[Bairro],mercado17)+SUMIFS(supercb[Qtde],supercb[Item],tab_higiene[[#This Row],[Item]],supercb[Bairro],mercado17)</f>
        <v>0</v>
      </c>
      <c r="BB116" s="27" t="n">
        <f aca="false">SUMIFS(super1[Qtde],super1[Item],tab_higiene[[#This Row],[Item]],super1[Bairro],mercado18)+SUMIFS(supercb[Qtde],supercb[Item],tab_higiene[[#This Row],[Item]],supercb[Bairro],mercado18)</f>
        <v>0</v>
      </c>
      <c r="BC116" s="27" t="n">
        <f aca="false">SUMIFS(super1[Qtde],super1[Item],tab_higiene[[#This Row],[Item]],super1[Bairro],extras)+SUMIFS(supercb[Qtde],supercb[Item],tab_higiene[[#This Row],[Item]],supercb[Bairro],extras)</f>
        <v>0</v>
      </c>
      <c r="BD116" s="27" t="n">
        <f aca="false">SUM(AK116:BB116)</f>
        <v>0</v>
      </c>
      <c r="BE116" s="27" t="n">
        <f aca="false">IFERROR(BD116*AJ116,0)</f>
        <v>0</v>
      </c>
      <c r="BF116" s="28" t="n">
        <f aca="false">IFERROR(AI116*BD116,0)</f>
        <v>0</v>
      </c>
      <c r="BI116" s="22" t="str">
        <f aca="false">tab_alimentos[[#This Row],[Item]]</f>
        <v>Farinha de mandioca (500g)</v>
      </c>
      <c r="BJ116" s="22" t="n">
        <f aca="false">IFERROR(FIND(" (",BI116),0)</f>
        <v>20</v>
      </c>
      <c r="BK116" s="22" t="str">
        <f aca="false">IF(BJ116=0,BI116,LEFT(BI116,BJ116-1))</f>
        <v>Farinha de mandioca</v>
      </c>
      <c r="BL116" s="22" t="n">
        <f aca="false">tab_alimentos[[#This Row],[kg]]</f>
        <v>1.5</v>
      </c>
      <c r="BN116" s="22" t="n">
        <f aca="false">SUMIF($BJ$5:$BJ$158,BM116,$BK$5:$BK$158)</f>
        <v>0</v>
      </c>
      <c r="BP116" s="22" t="str">
        <f aca="false">tab_higiene[[#This Row],[Item]]</f>
        <v>G</v>
      </c>
      <c r="BQ116" s="22" t="n">
        <f aca="false">IFERROR(FIND(" (",BP116),0)</f>
        <v>0</v>
      </c>
      <c r="BR116" s="22" t="str">
        <f aca="false">IF(BQ116=0,BP116,LEFT(BP116,BQ116-1))</f>
        <v>G</v>
      </c>
      <c r="BS116" s="22" t="n">
        <f aca="false">higiene[[#This Row],[Quantidade]]</f>
        <v>16</v>
      </c>
      <c r="BT116" s="22" t="n">
        <f aca="false">tab_higiene[Qtde (tot)]</f>
        <v>0</v>
      </c>
      <c r="BU116" s="22" t="n">
        <f aca="false">BS116*BT116</f>
        <v>0</v>
      </c>
      <c r="BW116" s="22" t="n">
        <f aca="false">SUMIF($BR$5:$BR$142,BV116,$BU$5:$BU$142)</f>
        <v>0</v>
      </c>
    </row>
    <row r="117" customFormat="false" ht="15" hidden="false" customHeight="false" outlineLevel="0" collapsed="false">
      <c r="I117" s="26" t="str">
        <f aca="false">alimentos[[#This Row],[Item]]</f>
        <v>Farinha de milho(500g)</v>
      </c>
      <c r="J117" s="27" t="n">
        <f aca="false">IFERROR(alimentos[[#This Row],[kg/embalagem]],0)</f>
        <v>0.5</v>
      </c>
      <c r="K117" s="27" t="n">
        <f aca="false">IFERROR(alimentos[[#This Row],[Preço]],0)</f>
        <v>3.49</v>
      </c>
      <c r="L117" s="27" t="n">
        <f aca="false">SUMIFS(super1[Qtde],super1[Item],tab_alimentos[[#This Row],[Item]],super1[Bairro],mercado1)+SUMIFS(supercb[Qtde],supercb[Item],tab_alimentos[[#This Row],[Item]],supercb[Bairro],mercado1)</f>
        <v>1</v>
      </c>
      <c r="M117" s="27" t="n">
        <f aca="false">SUMIFS(super1[Qtde],super1[Item],tab_alimentos[[#This Row],[Item]],super1[Bairro],mercado2)+SUMIFS(supercb[Qtde],supercb[Item],tab_alimentos[[#This Row],[Item]],supercb[Bairro],mercado2)</f>
        <v>0</v>
      </c>
      <c r="N117" s="27" t="n">
        <f aca="false">SUMIFS(super1[Qtde],super1[Item],tab_alimentos[[#This Row],[Item]],super1[Bairro],mercado3)+SUMIFS(supercb[Qtde],supercb[Item],tab_alimentos[[#This Row],[Item]],supercb[Bairro],mercado3)</f>
        <v>0</v>
      </c>
      <c r="O117" s="27" t="n">
        <f aca="false">SUMIFS(super1[Qtde],super1[Item],tab_alimentos[[#This Row],[Item]],super1[Bairro],mercado4)+SUMIFS(supercb[Qtde],supercb[Item],tab_alimentos[[#This Row],[Item]],supercb[Bairro],mercado4)</f>
        <v>0</v>
      </c>
      <c r="P117" s="27" t="n">
        <f aca="false">SUMIFS(super1[Qtde],super1[Item],tab_alimentos[[#This Row],[Item]],super1[Bairro],mercado5)+SUMIFS(supercb[Qtde],supercb[Item],tab_alimentos[[#This Row],[Item]],supercb[Bairro],mercado5)</f>
        <v>1</v>
      </c>
      <c r="Q117" s="27" t="n">
        <f aca="false">SUMIFS(super1[Qtde],super1[Item],tab_alimentos[[#This Row],[Item]],super1[Bairro],mercado6)+SUMIFS(supercb[Qtde],supercb[Item],tab_alimentos[[#This Row],[Item]],supercb[Bairro],mercado6)</f>
        <v>0</v>
      </c>
      <c r="R117" s="27" t="n">
        <f aca="false">SUMIFS(super1[Qtde],super1[Item],tab_alimentos[[#This Row],[Item]],super1[Bairro],mercado7)+SUMIFS(supercb[Qtde],supercb[Item],tab_alimentos[[#This Row],[Item]],supercb[Bairro],mercado7)</f>
        <v>0</v>
      </c>
      <c r="S117" s="27" t="n">
        <f aca="false">SUMIFS(super1[Qtde],super1[Item],tab_alimentos[[#This Row],[Item]],super1[Bairro],mercado8)+SUMIFS(supercb[Qtde],supercb[Item],tab_alimentos[[#This Row],[Item]],supercb[Bairro],mercado8)</f>
        <v>0</v>
      </c>
      <c r="T117" s="27" t="n">
        <f aca="false">SUMIFS(super1[Qtde],super1[Item],tab_alimentos[[#This Row],[Item]],super1[Bairro],mercado9)+SUMIFS(supercb[Qtde],supercb[Item],tab_alimentos[[#This Row],[Item]],supercb[Bairro],mercado9)</f>
        <v>0</v>
      </c>
      <c r="U117" s="27" t="n">
        <f aca="false">SUMIFS(super1[Qtde],super1[Item],tab_alimentos[[#This Row],[Item]],super1[Bairro],mercado10)+SUMIFS(supercb[Qtde],supercb[Item],tab_alimentos[[#This Row],[Item]],supercb[Bairro],mercado10)</f>
        <v>0</v>
      </c>
      <c r="V117" s="27" t="n">
        <f aca="false">SUMIFS(super1[Qtde],super1[Item],tab_alimentos[[#This Row],[Item]],super1[Bairro],mercado11)+SUMIFS(supercb[Qtde],supercb[Item],tab_alimentos[[#This Row],[Item]],supercb[Bairro],mercado11)</f>
        <v>0</v>
      </c>
      <c r="W117" s="27" t="n">
        <f aca="false">SUMIFS(super1[Qtde],super1[Item],tab_alimentos[[#This Row],[Item]],super1[Bairro],mercado12)+SUMIFS(supercb[Qtde],supercb[Item],tab_alimentos[[#This Row],[Item]],supercb[Bairro],mercado12)</f>
        <v>0</v>
      </c>
      <c r="X117" s="27" t="n">
        <f aca="false">SUMIFS(super1[Qtde],super1[Item],tab_alimentos[[#This Row],[Item]],super1[Bairro],mercado13)+SUMIFS(supercb[Qtde],supercb[Item],tab_alimentos[[#This Row],[Item]],supercb[Bairro],mercado13)</f>
        <v>0</v>
      </c>
      <c r="Y117" s="27" t="n">
        <f aca="false">SUMIFS(super1[Qtde],super1[Item],tab_alimentos[[#This Row],[Item]],super1[Bairro],mercado14)+SUMIFS(supercb[Qtde],supercb[Item],tab_alimentos[[#This Row],[Item]],supercb[Bairro],mercado14)</f>
        <v>0</v>
      </c>
      <c r="Z117" s="27" t="n">
        <f aca="false">SUMIFS(super1[Qtde],super1[Item],tab_alimentos[[#This Row],[Item]],super1[Bairro],mercado15)+SUMIFS(supercb[Qtde],supercb[Item],tab_alimentos[[#This Row],[Item]],supercb[Bairro],mercado15)</f>
        <v>0</v>
      </c>
      <c r="AA117" s="27" t="n">
        <f aca="false">SUMIFS(super1[Qtde],super1[Item],tab_alimentos[[#This Row],[Item]],super1[Bairro],mercado16)+SUMIFS(supercb[Qtde],supercb[Item],tab_alimentos[[#This Row],[Item]],supercb[Bairro],mercado16)</f>
        <v>0</v>
      </c>
      <c r="AB117" s="27" t="n">
        <f aca="false">SUMIFS(super1[Qtde],super1[Item],tab_alimentos[[#This Row],[Item]],super1[Bairro],mercado17)+SUMIFS(supercb[Qtde],supercb[Item],tab_alimentos[[#This Row],[Item]],supercb[Bairro],mercado17)</f>
        <v>0</v>
      </c>
      <c r="AC117" s="27" t="n">
        <f aca="false">SUMIFS(super1[Qtde],super1[Item],tab_alimentos[[#This Row],[Item]],super1[Bairro],mercado18)+SUMIFS(supercb[Qtde],supercb[Item],tab_alimentos[[#This Row],[Item]],supercb[Bairro],mercado18)</f>
        <v>0</v>
      </c>
      <c r="AD117" s="27" t="n">
        <f aca="false">SUMIFS(super1[Qtde],super1[Item],tab_alimentos[[#This Row],[Item]],super1[Bairro],extras)+SUMIFS(supercb[Qtde],supercb[Item],tab_alimentos[[#This Row],[Item]],supercb[Bairro],extras)</f>
        <v>0</v>
      </c>
      <c r="AE117" s="27" t="n">
        <f aca="false">SUM(L117:AC117)</f>
        <v>2</v>
      </c>
      <c r="AF117" s="27" t="n">
        <f aca="false">IFERROR(AE117*K117,0)</f>
        <v>6.98</v>
      </c>
      <c r="AG117" s="28" t="n">
        <f aca="false">IFERROR(J117*AE117,0)</f>
        <v>1</v>
      </c>
      <c r="AH117" s="26" t="str">
        <f aca="false">higiene[[#This Row],[Item]]</f>
        <v>Guardanapo</v>
      </c>
      <c r="AI117" s="27" t="n">
        <f aca="false">IFERROR(higiene[[#This Row],[Kg equivalente]],0)</f>
        <v>0.515233762805323</v>
      </c>
      <c r="AJ117" s="27" t="n">
        <f aca="false">IFERROR(higiene[[#This Row],[Preço por produto]],0)</f>
        <v>1.70666666666667</v>
      </c>
      <c r="AK117" s="27" t="n">
        <f aca="false">SUMIFS(super1[Qtde],super1[Item],tab_higiene[[#This Row],[Item]],super1[Bairro],mercado1)+SUMIFS(supercb[Qtde],supercb[Item],tab_higiene[[#This Row],[Item]],supercb[Bairro],mercado1)</f>
        <v>0</v>
      </c>
      <c r="AL117" s="27" t="n">
        <f aca="false">SUMIFS(super1[Qtde],super1[Item],tab_higiene[[#This Row],[Item]],super1[Bairro],mercado2)+SUMIFS(supercb[Qtde],supercb[Item],tab_higiene[[#This Row],[Item]],supercb[Bairro],mercado2)</f>
        <v>0</v>
      </c>
      <c r="AM117" s="27" t="n">
        <f aca="false">SUMIFS(super1[Qtde],super1[Item],tab_higiene[[#This Row],[Item]],super1[Bairro],mercado3)+SUMIFS(supercb[Qtde],supercb[Item],tab_higiene[[#This Row],[Item]],supercb[Bairro],mercado3)</f>
        <v>0</v>
      </c>
      <c r="AN117" s="27" t="n">
        <f aca="false">SUMIFS(super1[Qtde],super1[Item],tab_higiene[[#This Row],[Item]],super1[Bairro],mercado4)+SUMIFS(supercb[Qtde],supercb[Item],tab_higiene[[#This Row],[Item]],supercb[Bairro],mercado4)</f>
        <v>0</v>
      </c>
      <c r="AO117" s="27" t="n">
        <f aca="false">SUMIFS(super1[Qtde],super1[Item],tab_higiene[[#This Row],[Item]],super1[Bairro],mercado5)+SUMIFS(supercb[Qtde],supercb[Item],tab_higiene[[#This Row],[Item]],supercb[Bairro],mercado5)</f>
        <v>0</v>
      </c>
      <c r="AP117" s="27" t="n">
        <f aca="false">SUMIFS(super1[Qtde],super1[Item],tab_higiene[[#This Row],[Item]],super1[Bairro],mercado6)+SUMIFS(supercb[Qtde],supercb[Item],tab_higiene[[#This Row],[Item]],supercb[Bairro],mercado6)</f>
        <v>1</v>
      </c>
      <c r="AQ117" s="27" t="n">
        <f aca="false">SUMIFS(super1[Qtde],super1[Item],tab_higiene[[#This Row],[Item]],super1[Bairro],mercado7)+SUMIFS(supercb[Qtde],supercb[Item],tab_higiene[[#This Row],[Item]],supercb[Bairro],mercado7)</f>
        <v>0</v>
      </c>
      <c r="AR117" s="27" t="n">
        <f aca="false">SUMIFS(super1[Qtde],super1[Item],tab_higiene[[#This Row],[Item]],super1[Bairro],mercado8)+SUMIFS(supercb[Qtde],supercb[Item],tab_higiene[[#This Row],[Item]],supercb[Bairro],mercado8)</f>
        <v>0</v>
      </c>
      <c r="AS117" s="27" t="n">
        <f aca="false">SUMIFS(super1[Qtde],super1[Item],tab_higiene[[#This Row],[Item]],super1[Bairro],mercado9)+SUMIFS(supercb[Qtde],supercb[Item],tab_higiene[[#This Row],[Item]],supercb[Bairro],mercado9)</f>
        <v>1</v>
      </c>
      <c r="AT117" s="27" t="n">
        <f aca="false">SUMIFS(super1[Qtde],super1[Item],tab_higiene[[#This Row],[Item]],super1[Bairro],mercado10)+SUMIFS(supercb[Qtde],supercb[Item],tab_higiene[[#This Row],[Item]],supercb[Bairro],mercado10)</f>
        <v>0</v>
      </c>
      <c r="AU117" s="27" t="n">
        <f aca="false">SUMIFS(super1[Qtde],super1[Item],tab_higiene[[#This Row],[Item]],super1[Bairro],mercado11)+SUMIFS(supercb[Qtde],supercb[Item],tab_higiene[[#This Row],[Item]],supercb[Bairro],mercado11)</f>
        <v>0</v>
      </c>
      <c r="AV117" s="27" t="n">
        <f aca="false">SUMIFS(super1[Qtde],super1[Item],tab_higiene[[#This Row],[Item]],super1[Bairro],mercado12)+SUMIFS(supercb[Qtde],supercb[Item],tab_higiene[[#This Row],[Item]],supercb[Bairro],mercado12)</f>
        <v>0</v>
      </c>
      <c r="AW117" s="27" t="n">
        <f aca="false">SUMIFS(super1[Qtde],super1[Item],tab_higiene[[#This Row],[Item]],super1[Bairro],mercado13)+SUMIFS(supercb[Qtde],supercb[Item],tab_higiene[[#This Row],[Item]],supercb[Bairro],mercado13)</f>
        <v>0</v>
      </c>
      <c r="AX117" s="27" t="n">
        <f aca="false">SUMIFS(super1[Qtde],super1[Item],tab_higiene[[#This Row],[Item]],super1[Bairro],mercado14)+SUMIFS(supercb[Qtde],supercb[Item],tab_higiene[[#This Row],[Item]],supercb[Bairro],mercado14)</f>
        <v>0</v>
      </c>
      <c r="AY117" s="27" t="n">
        <f aca="false">SUMIFS(super1[Qtde],super1[Item],tab_higiene[[#This Row],[Item]],super1[Bairro],mercado15)+SUMIFS(supercb[Qtde],supercb[Item],tab_higiene[[#This Row],[Item]],supercb[Bairro],mercado15)</f>
        <v>0</v>
      </c>
      <c r="AZ117" s="27" t="n">
        <f aca="false">SUMIFS(super1[Qtde],super1[Item],tab_higiene[[#This Row],[Item]],super1[Bairro],mercado16)+SUMIFS(supercb[Qtde],supercb[Item],tab_higiene[[#This Row],[Item]],supercb[Bairro],mercado16)</f>
        <v>0</v>
      </c>
      <c r="BA117" s="27" t="n">
        <f aca="false">SUMIFS(super1[Qtde],super1[Item],tab_higiene[[#This Row],[Item]],super1[Bairro],mercado17)+SUMIFS(supercb[Qtde],supercb[Item],tab_higiene[[#This Row],[Item]],supercb[Bairro],mercado17)</f>
        <v>0</v>
      </c>
      <c r="BB117" s="27" t="n">
        <f aca="false">SUMIFS(super1[Qtde],super1[Item],tab_higiene[[#This Row],[Item]],super1[Bairro],mercado18)+SUMIFS(supercb[Qtde],supercb[Item],tab_higiene[[#This Row],[Item]],supercb[Bairro],mercado18)</f>
        <v>0</v>
      </c>
      <c r="BC117" s="27" t="n">
        <f aca="false">SUMIFS(super1[Qtde],super1[Item],tab_higiene[[#This Row],[Item]],super1[Bairro],extras)+SUMIFS(supercb[Qtde],supercb[Item],tab_higiene[[#This Row],[Item]],supercb[Bairro],extras)</f>
        <v>0</v>
      </c>
      <c r="BD117" s="27" t="n">
        <f aca="false">SUM(AK117:BB117)</f>
        <v>2</v>
      </c>
      <c r="BE117" s="27" t="n">
        <f aca="false">IFERROR(BD117*AJ117,0)</f>
        <v>3.41333333333333</v>
      </c>
      <c r="BF117" s="28" t="n">
        <f aca="false">IFERROR(AI117*BD117,0)</f>
        <v>1.03046752561065</v>
      </c>
      <c r="BI117" s="22" t="str">
        <f aca="false">tab_alimentos[[#This Row],[Item]]</f>
        <v>Farinha de milho(500g)</v>
      </c>
      <c r="BJ117" s="22" t="n">
        <f aca="false">IFERROR(FIND(" (",BI117),0)</f>
        <v>0</v>
      </c>
      <c r="BK117" s="22" t="str">
        <f aca="false">IF(BJ117=0,BI117,LEFT(BI117,BJ117-1))</f>
        <v>Farinha de milho(500g)</v>
      </c>
      <c r="BL117" s="22" t="n">
        <f aca="false">tab_alimentos[[#This Row],[kg]]</f>
        <v>1</v>
      </c>
      <c r="BN117" s="22" t="n">
        <f aca="false">SUMIF($BJ$5:$BJ$158,BM117,$BK$5:$BK$158)</f>
        <v>0</v>
      </c>
      <c r="BP117" s="22" t="str">
        <f aca="false">tab_higiene[[#This Row],[Item]]</f>
        <v>Guardanapo</v>
      </c>
      <c r="BQ117" s="22" t="n">
        <f aca="false">IFERROR(FIND(" (",BP117),0)</f>
        <v>0</v>
      </c>
      <c r="BR117" s="22" t="str">
        <f aca="false">IF(BQ117=0,BP117,LEFT(BP117,BQ117-1))</f>
        <v>Guardanapo</v>
      </c>
      <c r="BS117" s="22" t="n">
        <f aca="false">higiene[[#This Row],[Quantidade]]</f>
        <v>24</v>
      </c>
      <c r="BT117" s="22" t="n">
        <f aca="false">tab_higiene[Qtde (tot)]</f>
        <v>2</v>
      </c>
      <c r="BU117" s="22" t="n">
        <f aca="false">BS117*BT117</f>
        <v>48</v>
      </c>
      <c r="BW117" s="22" t="n">
        <f aca="false">SUMIF($BR$5:$BR$142,BV117,$BU$5:$BU$142)</f>
        <v>0</v>
      </c>
    </row>
    <row r="118" customFormat="false" ht="15" hidden="false" customHeight="false" outlineLevel="0" collapsed="false">
      <c r="I118" s="26" t="str">
        <f aca="false">alimentos[[#This Row],[Item]]</f>
        <v>Farinha de rosca (500g)</v>
      </c>
      <c r="J118" s="27" t="n">
        <f aca="false">IFERROR(alimentos[[#This Row],[kg/embalagem]],0)</f>
        <v>0.5</v>
      </c>
      <c r="K118" s="27" t="n">
        <f aca="false">IFERROR(alimentos[[#This Row],[Preço]],0)</f>
        <v>4.3</v>
      </c>
      <c r="L118" s="27" t="n">
        <f aca="false">SUMIFS(super1[Qtde],super1[Item],tab_alimentos[[#This Row],[Item]],super1[Bairro],mercado1)+SUMIFS(supercb[Qtde],supercb[Item],tab_alimentos[[#This Row],[Item]],supercb[Bairro],mercado1)</f>
        <v>0</v>
      </c>
      <c r="M118" s="27" t="n">
        <f aca="false">SUMIFS(super1[Qtde],super1[Item],tab_alimentos[[#This Row],[Item]],super1[Bairro],mercado2)+SUMIFS(supercb[Qtde],supercb[Item],tab_alimentos[[#This Row],[Item]],supercb[Bairro],mercado2)</f>
        <v>0</v>
      </c>
      <c r="N118" s="27" t="n">
        <f aca="false">SUMIFS(super1[Qtde],super1[Item],tab_alimentos[[#This Row],[Item]],super1[Bairro],mercado3)+SUMIFS(supercb[Qtde],supercb[Item],tab_alimentos[[#This Row],[Item]],supercb[Bairro],mercado3)</f>
        <v>0</v>
      </c>
      <c r="O118" s="27" t="n">
        <f aca="false">SUMIFS(super1[Qtde],super1[Item],tab_alimentos[[#This Row],[Item]],super1[Bairro],mercado4)+SUMIFS(supercb[Qtde],supercb[Item],tab_alimentos[[#This Row],[Item]],supercb[Bairro],mercado4)</f>
        <v>0</v>
      </c>
      <c r="P118" s="27" t="n">
        <f aca="false">SUMIFS(super1[Qtde],super1[Item],tab_alimentos[[#This Row],[Item]],super1[Bairro],mercado5)+SUMIFS(supercb[Qtde],supercb[Item],tab_alimentos[[#This Row],[Item]],supercb[Bairro],mercado5)</f>
        <v>0</v>
      </c>
      <c r="Q118" s="27" t="n">
        <f aca="false">SUMIFS(super1[Qtde],super1[Item],tab_alimentos[[#This Row],[Item]],super1[Bairro],mercado6)+SUMIFS(supercb[Qtde],supercb[Item],tab_alimentos[[#This Row],[Item]],supercb[Bairro],mercado6)</f>
        <v>0</v>
      </c>
      <c r="R118" s="27" t="n">
        <f aca="false">SUMIFS(super1[Qtde],super1[Item],tab_alimentos[[#This Row],[Item]],super1[Bairro],mercado7)+SUMIFS(supercb[Qtde],supercb[Item],tab_alimentos[[#This Row],[Item]],supercb[Bairro],mercado7)</f>
        <v>0</v>
      </c>
      <c r="S118" s="27" t="n">
        <f aca="false">SUMIFS(super1[Qtde],super1[Item],tab_alimentos[[#This Row],[Item]],super1[Bairro],mercado8)+SUMIFS(supercb[Qtde],supercb[Item],tab_alimentos[[#This Row],[Item]],supercb[Bairro],mercado8)</f>
        <v>0</v>
      </c>
      <c r="T118" s="27" t="n">
        <f aca="false">SUMIFS(super1[Qtde],super1[Item],tab_alimentos[[#This Row],[Item]],super1[Bairro],mercado9)+SUMIFS(supercb[Qtde],supercb[Item],tab_alimentos[[#This Row],[Item]],supercb[Bairro],mercado9)</f>
        <v>0</v>
      </c>
      <c r="U118" s="27" t="n">
        <f aca="false">SUMIFS(super1[Qtde],super1[Item],tab_alimentos[[#This Row],[Item]],super1[Bairro],mercado10)+SUMIFS(supercb[Qtde],supercb[Item],tab_alimentos[[#This Row],[Item]],supercb[Bairro],mercado10)</f>
        <v>0</v>
      </c>
      <c r="V118" s="27" t="n">
        <f aca="false">SUMIFS(super1[Qtde],super1[Item],tab_alimentos[[#This Row],[Item]],super1[Bairro],mercado11)+SUMIFS(supercb[Qtde],supercb[Item],tab_alimentos[[#This Row],[Item]],supercb[Bairro],mercado11)</f>
        <v>0</v>
      </c>
      <c r="W118" s="27" t="n">
        <f aca="false">SUMIFS(super1[Qtde],super1[Item],tab_alimentos[[#This Row],[Item]],super1[Bairro],mercado12)+SUMIFS(supercb[Qtde],supercb[Item],tab_alimentos[[#This Row],[Item]],supercb[Bairro],mercado12)</f>
        <v>0</v>
      </c>
      <c r="X118" s="27" t="n">
        <f aca="false">SUMIFS(super1[Qtde],super1[Item],tab_alimentos[[#This Row],[Item]],super1[Bairro],mercado13)+SUMIFS(supercb[Qtde],supercb[Item],tab_alimentos[[#This Row],[Item]],supercb[Bairro],mercado13)</f>
        <v>0</v>
      </c>
      <c r="Y118" s="27" t="n">
        <f aca="false">SUMIFS(super1[Qtde],super1[Item],tab_alimentos[[#This Row],[Item]],super1[Bairro],mercado14)+SUMIFS(supercb[Qtde],supercb[Item],tab_alimentos[[#This Row],[Item]],supercb[Bairro],mercado14)</f>
        <v>0</v>
      </c>
      <c r="Z118" s="27" t="n">
        <f aca="false">SUMIFS(super1[Qtde],super1[Item],tab_alimentos[[#This Row],[Item]],super1[Bairro],mercado15)+SUMIFS(supercb[Qtde],supercb[Item],tab_alimentos[[#This Row],[Item]],supercb[Bairro],mercado15)</f>
        <v>0</v>
      </c>
      <c r="AA118" s="27" t="n">
        <f aca="false">SUMIFS(super1[Qtde],super1[Item],tab_alimentos[[#This Row],[Item]],super1[Bairro],mercado16)+SUMIFS(supercb[Qtde],supercb[Item],tab_alimentos[[#This Row],[Item]],supercb[Bairro],mercado16)</f>
        <v>0</v>
      </c>
      <c r="AB118" s="27" t="n">
        <f aca="false">SUMIFS(super1[Qtde],super1[Item],tab_alimentos[[#This Row],[Item]],super1[Bairro],mercado17)+SUMIFS(supercb[Qtde],supercb[Item],tab_alimentos[[#This Row],[Item]],supercb[Bairro],mercado17)</f>
        <v>0</v>
      </c>
      <c r="AC118" s="27" t="n">
        <f aca="false">SUMIFS(super1[Qtde],super1[Item],tab_alimentos[[#This Row],[Item]],super1[Bairro],mercado18)+SUMIFS(supercb[Qtde],supercb[Item],tab_alimentos[[#This Row],[Item]],supercb[Bairro],mercado18)</f>
        <v>0</v>
      </c>
      <c r="AD118" s="27" t="n">
        <f aca="false">SUMIFS(super1[Qtde],super1[Item],tab_alimentos[[#This Row],[Item]],super1[Bairro],extras)+SUMIFS(supercb[Qtde],supercb[Item],tab_alimentos[[#This Row],[Item]],supercb[Bairro],extras)</f>
        <v>0</v>
      </c>
      <c r="AE118" s="27" t="n">
        <f aca="false">SUM(L118:AC118)</f>
        <v>0</v>
      </c>
      <c r="AF118" s="27" t="n">
        <f aca="false">IFERROR(AE118*K118,0)</f>
        <v>0</v>
      </c>
      <c r="AG118" s="28" t="n">
        <f aca="false">IFERROR(J118*AE118,0)</f>
        <v>0</v>
      </c>
      <c r="AH118" s="26" t="str">
        <f aca="false">higiene[[#This Row],[Item]]</f>
        <v>H</v>
      </c>
      <c r="AI118" s="27" t="n">
        <f aca="false">IFERROR(higiene[[#This Row],[Kg equivalente]],0)</f>
        <v>0</v>
      </c>
      <c r="AJ118" s="27" t="n">
        <f aca="false">IFERROR(higiene[[#This Row],[Preço por produto]],0)</f>
        <v>0</v>
      </c>
      <c r="AK118" s="27" t="n">
        <f aca="false">SUMIFS(super1[Qtde],super1[Item],tab_higiene[[#This Row],[Item]],super1[Bairro],mercado1)+SUMIFS(supercb[Qtde],supercb[Item],tab_higiene[[#This Row],[Item]],supercb[Bairro],mercado1)</f>
        <v>0</v>
      </c>
      <c r="AL118" s="27" t="n">
        <f aca="false">SUMIFS(super1[Qtde],super1[Item],tab_higiene[[#This Row],[Item]],super1[Bairro],mercado2)+SUMIFS(supercb[Qtde],supercb[Item],tab_higiene[[#This Row],[Item]],supercb[Bairro],mercado2)</f>
        <v>0</v>
      </c>
      <c r="AM118" s="27" t="n">
        <f aca="false">SUMIFS(super1[Qtde],super1[Item],tab_higiene[[#This Row],[Item]],super1[Bairro],mercado3)+SUMIFS(supercb[Qtde],supercb[Item],tab_higiene[[#This Row],[Item]],supercb[Bairro],mercado3)</f>
        <v>0</v>
      </c>
      <c r="AN118" s="27" t="n">
        <f aca="false">SUMIFS(super1[Qtde],super1[Item],tab_higiene[[#This Row],[Item]],super1[Bairro],mercado4)+SUMIFS(supercb[Qtde],supercb[Item],tab_higiene[[#This Row],[Item]],supercb[Bairro],mercado4)</f>
        <v>0</v>
      </c>
      <c r="AO118" s="27" t="n">
        <f aca="false">SUMIFS(super1[Qtde],super1[Item],tab_higiene[[#This Row],[Item]],super1[Bairro],mercado5)+SUMIFS(supercb[Qtde],supercb[Item],tab_higiene[[#This Row],[Item]],supercb[Bairro],mercado5)</f>
        <v>0</v>
      </c>
      <c r="AP118" s="27" t="n">
        <f aca="false">SUMIFS(super1[Qtde],super1[Item],tab_higiene[[#This Row],[Item]],super1[Bairro],mercado6)+SUMIFS(supercb[Qtde],supercb[Item],tab_higiene[[#This Row],[Item]],supercb[Bairro],mercado6)</f>
        <v>0</v>
      </c>
      <c r="AQ118" s="27" t="n">
        <f aca="false">SUMIFS(super1[Qtde],super1[Item],tab_higiene[[#This Row],[Item]],super1[Bairro],mercado7)+SUMIFS(supercb[Qtde],supercb[Item],tab_higiene[[#This Row],[Item]],supercb[Bairro],mercado7)</f>
        <v>0</v>
      </c>
      <c r="AR118" s="27" t="n">
        <f aca="false">SUMIFS(super1[Qtde],super1[Item],tab_higiene[[#This Row],[Item]],super1[Bairro],mercado8)+SUMIFS(supercb[Qtde],supercb[Item],tab_higiene[[#This Row],[Item]],supercb[Bairro],mercado8)</f>
        <v>0</v>
      </c>
      <c r="AS118" s="27" t="n">
        <f aca="false">SUMIFS(super1[Qtde],super1[Item],tab_higiene[[#This Row],[Item]],super1[Bairro],mercado9)+SUMIFS(supercb[Qtde],supercb[Item],tab_higiene[[#This Row],[Item]],supercb[Bairro],mercado9)</f>
        <v>0</v>
      </c>
      <c r="AT118" s="27" t="n">
        <f aca="false">SUMIFS(super1[Qtde],super1[Item],tab_higiene[[#This Row],[Item]],super1[Bairro],mercado10)+SUMIFS(supercb[Qtde],supercb[Item],tab_higiene[[#This Row],[Item]],supercb[Bairro],mercado10)</f>
        <v>0</v>
      </c>
      <c r="AU118" s="27" t="n">
        <f aca="false">SUMIFS(super1[Qtde],super1[Item],tab_higiene[[#This Row],[Item]],super1[Bairro],mercado11)+SUMIFS(supercb[Qtde],supercb[Item],tab_higiene[[#This Row],[Item]],supercb[Bairro],mercado11)</f>
        <v>0</v>
      </c>
      <c r="AV118" s="27" t="n">
        <f aca="false">SUMIFS(super1[Qtde],super1[Item],tab_higiene[[#This Row],[Item]],super1[Bairro],mercado12)+SUMIFS(supercb[Qtde],supercb[Item],tab_higiene[[#This Row],[Item]],supercb[Bairro],mercado12)</f>
        <v>0</v>
      </c>
      <c r="AW118" s="27" t="n">
        <f aca="false">SUMIFS(super1[Qtde],super1[Item],tab_higiene[[#This Row],[Item]],super1[Bairro],mercado13)+SUMIFS(supercb[Qtde],supercb[Item],tab_higiene[[#This Row],[Item]],supercb[Bairro],mercado13)</f>
        <v>0</v>
      </c>
      <c r="AX118" s="27" t="n">
        <f aca="false">SUMIFS(super1[Qtde],super1[Item],tab_higiene[[#This Row],[Item]],super1[Bairro],mercado14)+SUMIFS(supercb[Qtde],supercb[Item],tab_higiene[[#This Row],[Item]],supercb[Bairro],mercado14)</f>
        <v>0</v>
      </c>
      <c r="AY118" s="27" t="n">
        <f aca="false">SUMIFS(super1[Qtde],super1[Item],tab_higiene[[#This Row],[Item]],super1[Bairro],mercado15)+SUMIFS(supercb[Qtde],supercb[Item],tab_higiene[[#This Row],[Item]],supercb[Bairro],mercado15)</f>
        <v>0</v>
      </c>
      <c r="AZ118" s="27" t="n">
        <f aca="false">SUMIFS(super1[Qtde],super1[Item],tab_higiene[[#This Row],[Item]],super1[Bairro],mercado16)+SUMIFS(supercb[Qtde],supercb[Item],tab_higiene[[#This Row],[Item]],supercb[Bairro],mercado16)</f>
        <v>0</v>
      </c>
      <c r="BA118" s="27" t="n">
        <f aca="false">SUMIFS(super1[Qtde],super1[Item],tab_higiene[[#This Row],[Item]],super1[Bairro],mercado17)+SUMIFS(supercb[Qtde],supercb[Item],tab_higiene[[#This Row],[Item]],supercb[Bairro],mercado17)</f>
        <v>0</v>
      </c>
      <c r="BB118" s="27" t="n">
        <f aca="false">SUMIFS(super1[Qtde],super1[Item],tab_higiene[[#This Row],[Item]],super1[Bairro],mercado18)+SUMIFS(supercb[Qtde],supercb[Item],tab_higiene[[#This Row],[Item]],supercb[Bairro],mercado18)</f>
        <v>0</v>
      </c>
      <c r="BC118" s="27" t="n">
        <f aca="false">SUMIFS(super1[Qtde],super1[Item],tab_higiene[[#This Row],[Item]],super1[Bairro],extras)+SUMIFS(supercb[Qtde],supercb[Item],tab_higiene[[#This Row],[Item]],supercb[Bairro],extras)</f>
        <v>0</v>
      </c>
      <c r="BD118" s="27" t="n">
        <f aca="false">SUM(AK118:BB118)</f>
        <v>0</v>
      </c>
      <c r="BE118" s="27" t="n">
        <f aca="false">IFERROR(BD118*AJ118,0)</f>
        <v>0</v>
      </c>
      <c r="BF118" s="28" t="n">
        <f aca="false">IFERROR(AI118*BD118,0)</f>
        <v>0</v>
      </c>
      <c r="BI118" s="22" t="str">
        <f aca="false">tab_alimentos[[#This Row],[Item]]</f>
        <v>Farinha de rosca (500g)</v>
      </c>
      <c r="BJ118" s="22" t="n">
        <f aca="false">IFERROR(FIND(" (",BI118),0)</f>
        <v>17</v>
      </c>
      <c r="BK118" s="22" t="str">
        <f aca="false">IF(BJ118=0,BI118,LEFT(BI118,BJ118-1))</f>
        <v>Farinha de rosca</v>
      </c>
      <c r="BL118" s="22" t="n">
        <f aca="false">tab_alimentos[[#This Row],[kg]]</f>
        <v>0</v>
      </c>
      <c r="BN118" s="22" t="n">
        <f aca="false">SUMIF($BJ$5:$BJ$158,BM118,$BK$5:$BK$158)</f>
        <v>0</v>
      </c>
      <c r="BP118" s="22" t="str">
        <f aca="false">tab_higiene[[#This Row],[Item]]</f>
        <v>H</v>
      </c>
      <c r="BQ118" s="22" t="n">
        <f aca="false">IFERROR(FIND(" (",BP118),0)</f>
        <v>0</v>
      </c>
      <c r="BR118" s="22" t="str">
        <f aca="false">IF(BQ118=0,BP118,LEFT(BP118,BQ118-1))</f>
        <v>H</v>
      </c>
      <c r="BS118" s="22" t="n">
        <f aca="false">higiene[[#This Row],[Quantidade]]</f>
        <v>2</v>
      </c>
      <c r="BT118" s="22" t="n">
        <f aca="false">tab_higiene[Qtde (tot)]</f>
        <v>0</v>
      </c>
      <c r="BU118" s="22" t="n">
        <f aca="false">BS118*BT118</f>
        <v>0</v>
      </c>
      <c r="BW118" s="22" t="n">
        <f aca="false">SUMIF($BR$5:$BR$142,BV118,$BU$5:$BU$142)</f>
        <v>0</v>
      </c>
    </row>
    <row r="119" customFormat="false" ht="15" hidden="false" customHeight="false" outlineLevel="0" collapsed="false">
      <c r="I119" s="26" t="str">
        <f aca="false">alimentos[[#This Row],[Item]]</f>
        <v>Farinha de trigo (1kg)</v>
      </c>
      <c r="J119" s="27" t="n">
        <f aca="false">IFERROR(alimentos[[#This Row],[kg/embalagem]],0)</f>
        <v>1</v>
      </c>
      <c r="K119" s="27" t="n">
        <f aca="false">IFERROR(alimentos[[#This Row],[Preço]],0)</f>
        <v>2.74</v>
      </c>
      <c r="L119" s="27" t="n">
        <f aca="false">SUMIFS(super1[Qtde],super1[Item],tab_alimentos[[#This Row],[Item]],super1[Bairro],mercado1)+SUMIFS(supercb[Qtde],supercb[Item],tab_alimentos[[#This Row],[Item]],supercb[Bairro],mercado1)</f>
        <v>1</v>
      </c>
      <c r="M119" s="27" t="n">
        <f aca="false">SUMIFS(super1[Qtde],super1[Item],tab_alimentos[[#This Row],[Item]],super1[Bairro],mercado2)+SUMIFS(supercb[Qtde],supercb[Item],tab_alimentos[[#This Row],[Item]],supercb[Bairro],mercado2)</f>
        <v>0</v>
      </c>
      <c r="N119" s="27" t="n">
        <f aca="false">SUMIFS(super1[Qtde],super1[Item],tab_alimentos[[#This Row],[Item]],super1[Bairro],mercado3)+SUMIFS(supercb[Qtde],supercb[Item],tab_alimentos[[#This Row],[Item]],supercb[Bairro],mercado3)</f>
        <v>0</v>
      </c>
      <c r="O119" s="27" t="n">
        <f aca="false">SUMIFS(super1[Qtde],super1[Item],tab_alimentos[[#This Row],[Item]],super1[Bairro],mercado4)+SUMIFS(supercb[Qtde],supercb[Item],tab_alimentos[[#This Row],[Item]],supercb[Bairro],mercado4)</f>
        <v>2</v>
      </c>
      <c r="P119" s="27" t="n">
        <f aca="false">SUMIFS(super1[Qtde],super1[Item],tab_alimentos[[#This Row],[Item]],super1[Bairro],mercado5)+SUMIFS(supercb[Qtde],supercb[Item],tab_alimentos[[#This Row],[Item]],supercb[Bairro],mercado5)</f>
        <v>0</v>
      </c>
      <c r="Q119" s="27" t="n">
        <f aca="false">SUMIFS(super1[Qtde],super1[Item],tab_alimentos[[#This Row],[Item]],super1[Bairro],mercado6)+SUMIFS(supercb[Qtde],supercb[Item],tab_alimentos[[#This Row],[Item]],supercb[Bairro],mercado6)</f>
        <v>1</v>
      </c>
      <c r="R119" s="27" t="n">
        <f aca="false">SUMIFS(super1[Qtde],super1[Item],tab_alimentos[[#This Row],[Item]],super1[Bairro],mercado7)+SUMIFS(supercb[Qtde],supercb[Item],tab_alimentos[[#This Row],[Item]],supercb[Bairro],mercado7)</f>
        <v>1</v>
      </c>
      <c r="S119" s="27" t="n">
        <f aca="false">SUMIFS(super1[Qtde],super1[Item],tab_alimentos[[#This Row],[Item]],super1[Bairro],mercado8)+SUMIFS(supercb[Qtde],supercb[Item],tab_alimentos[[#This Row],[Item]],supercb[Bairro],mercado8)</f>
        <v>4</v>
      </c>
      <c r="T119" s="27" t="n">
        <f aca="false">SUMIFS(super1[Qtde],super1[Item],tab_alimentos[[#This Row],[Item]],super1[Bairro],mercado9)+SUMIFS(supercb[Qtde],supercb[Item],tab_alimentos[[#This Row],[Item]],supercb[Bairro],mercado9)</f>
        <v>3</v>
      </c>
      <c r="U119" s="27" t="n">
        <f aca="false">SUMIFS(super1[Qtde],super1[Item],tab_alimentos[[#This Row],[Item]],super1[Bairro],mercado10)+SUMIFS(supercb[Qtde],supercb[Item],tab_alimentos[[#This Row],[Item]],supercb[Bairro],mercado10)</f>
        <v>3</v>
      </c>
      <c r="V119" s="27" t="n">
        <f aca="false">SUMIFS(super1[Qtde],super1[Item],tab_alimentos[[#This Row],[Item]],super1[Bairro],mercado11)+SUMIFS(supercb[Qtde],supercb[Item],tab_alimentos[[#This Row],[Item]],supercb[Bairro],mercado11)</f>
        <v>0</v>
      </c>
      <c r="W119" s="27" t="n">
        <f aca="false">SUMIFS(super1[Qtde],super1[Item],tab_alimentos[[#This Row],[Item]],super1[Bairro],mercado12)+SUMIFS(supercb[Qtde],supercb[Item],tab_alimentos[[#This Row],[Item]],supercb[Bairro],mercado12)</f>
        <v>0</v>
      </c>
      <c r="X119" s="27" t="n">
        <f aca="false">SUMIFS(super1[Qtde],super1[Item],tab_alimentos[[#This Row],[Item]],super1[Bairro],mercado13)+SUMIFS(supercb[Qtde],supercb[Item],tab_alimentos[[#This Row],[Item]],supercb[Bairro],mercado13)</f>
        <v>0</v>
      </c>
      <c r="Y119" s="27" t="n">
        <f aca="false">SUMIFS(super1[Qtde],super1[Item],tab_alimentos[[#This Row],[Item]],super1[Bairro],mercado14)+SUMIFS(supercb[Qtde],supercb[Item],tab_alimentos[[#This Row],[Item]],supercb[Bairro],mercado14)</f>
        <v>0</v>
      </c>
      <c r="Z119" s="27" t="n">
        <f aca="false">SUMIFS(super1[Qtde],super1[Item],tab_alimentos[[#This Row],[Item]],super1[Bairro],mercado15)+SUMIFS(supercb[Qtde],supercb[Item],tab_alimentos[[#This Row],[Item]],supercb[Bairro],mercado15)</f>
        <v>0</v>
      </c>
      <c r="AA119" s="27" t="n">
        <f aca="false">SUMIFS(super1[Qtde],super1[Item],tab_alimentos[[#This Row],[Item]],super1[Bairro],mercado16)+SUMIFS(supercb[Qtde],supercb[Item],tab_alimentos[[#This Row],[Item]],supercb[Bairro],mercado16)</f>
        <v>0</v>
      </c>
      <c r="AB119" s="27" t="n">
        <f aca="false">SUMIFS(super1[Qtde],super1[Item],tab_alimentos[[#This Row],[Item]],super1[Bairro],mercado17)+SUMIFS(supercb[Qtde],supercb[Item],tab_alimentos[[#This Row],[Item]],supercb[Bairro],mercado17)</f>
        <v>0</v>
      </c>
      <c r="AC119" s="27" t="n">
        <f aca="false">SUMIFS(super1[Qtde],super1[Item],tab_alimentos[[#This Row],[Item]],super1[Bairro],mercado18)+SUMIFS(supercb[Qtde],supercb[Item],tab_alimentos[[#This Row],[Item]],supercb[Bairro],mercado18)</f>
        <v>0</v>
      </c>
      <c r="AD119" s="27" t="n">
        <f aca="false">SUMIFS(super1[Qtde],super1[Item],tab_alimentos[[#This Row],[Item]],super1[Bairro],extras)+SUMIFS(supercb[Qtde],supercb[Item],tab_alimentos[[#This Row],[Item]],supercb[Bairro],extras)</f>
        <v>0</v>
      </c>
      <c r="AE119" s="27" t="n">
        <f aca="false">SUM(L119:AC119)</f>
        <v>15</v>
      </c>
      <c r="AF119" s="27" t="n">
        <f aca="false">IFERROR(AE119*K119,0)</f>
        <v>41.1</v>
      </c>
      <c r="AG119" s="28" t="n">
        <f aca="false">IFERROR(J119*AE119,0)</f>
        <v>15</v>
      </c>
      <c r="AH119" s="26" t="str">
        <f aca="false">higiene[[#This Row],[Item]]</f>
        <v>I</v>
      </c>
      <c r="AI119" s="27" t="n">
        <f aca="false">IFERROR(higiene[[#This Row],[Kg equivalente]],0)</f>
        <v>0</v>
      </c>
      <c r="AJ119" s="27" t="n">
        <f aca="false">IFERROR(higiene[[#This Row],[Preço por produto]],0)</f>
        <v>0</v>
      </c>
      <c r="AK119" s="27" t="n">
        <f aca="false">SUMIFS(super1[Qtde],super1[Item],tab_higiene[[#This Row],[Item]],super1[Bairro],mercado1)+SUMIFS(supercb[Qtde],supercb[Item],tab_higiene[[#This Row],[Item]],supercb[Bairro],mercado1)</f>
        <v>0</v>
      </c>
      <c r="AL119" s="27" t="n">
        <f aca="false">SUMIFS(super1[Qtde],super1[Item],tab_higiene[[#This Row],[Item]],super1[Bairro],mercado2)+SUMIFS(supercb[Qtde],supercb[Item],tab_higiene[[#This Row],[Item]],supercb[Bairro],mercado2)</f>
        <v>0</v>
      </c>
      <c r="AM119" s="27" t="n">
        <f aca="false">SUMIFS(super1[Qtde],super1[Item],tab_higiene[[#This Row],[Item]],super1[Bairro],mercado3)+SUMIFS(supercb[Qtde],supercb[Item],tab_higiene[[#This Row],[Item]],supercb[Bairro],mercado3)</f>
        <v>0</v>
      </c>
      <c r="AN119" s="27" t="n">
        <f aca="false">SUMIFS(super1[Qtde],super1[Item],tab_higiene[[#This Row],[Item]],super1[Bairro],mercado4)+SUMIFS(supercb[Qtde],supercb[Item],tab_higiene[[#This Row],[Item]],supercb[Bairro],mercado4)</f>
        <v>0</v>
      </c>
      <c r="AO119" s="27" t="n">
        <f aca="false">SUMIFS(super1[Qtde],super1[Item],tab_higiene[[#This Row],[Item]],super1[Bairro],mercado5)+SUMIFS(supercb[Qtde],supercb[Item],tab_higiene[[#This Row],[Item]],supercb[Bairro],mercado5)</f>
        <v>0</v>
      </c>
      <c r="AP119" s="27" t="n">
        <f aca="false">SUMIFS(super1[Qtde],super1[Item],tab_higiene[[#This Row],[Item]],super1[Bairro],mercado6)+SUMIFS(supercb[Qtde],supercb[Item],tab_higiene[[#This Row],[Item]],supercb[Bairro],mercado6)</f>
        <v>0</v>
      </c>
      <c r="AQ119" s="27" t="n">
        <f aca="false">SUMIFS(super1[Qtde],super1[Item],tab_higiene[[#This Row],[Item]],super1[Bairro],mercado7)+SUMIFS(supercb[Qtde],supercb[Item],tab_higiene[[#This Row],[Item]],supercb[Bairro],mercado7)</f>
        <v>0</v>
      </c>
      <c r="AR119" s="27" t="n">
        <f aca="false">SUMIFS(super1[Qtde],super1[Item],tab_higiene[[#This Row],[Item]],super1[Bairro],mercado8)+SUMIFS(supercb[Qtde],supercb[Item],tab_higiene[[#This Row],[Item]],supercb[Bairro],mercado8)</f>
        <v>0</v>
      </c>
      <c r="AS119" s="27" t="n">
        <f aca="false">SUMIFS(super1[Qtde],super1[Item],tab_higiene[[#This Row],[Item]],super1[Bairro],mercado9)+SUMIFS(supercb[Qtde],supercb[Item],tab_higiene[[#This Row],[Item]],supercb[Bairro],mercado9)</f>
        <v>0</v>
      </c>
      <c r="AT119" s="27" t="n">
        <f aca="false">SUMIFS(super1[Qtde],super1[Item],tab_higiene[[#This Row],[Item]],super1[Bairro],mercado10)+SUMIFS(supercb[Qtde],supercb[Item],tab_higiene[[#This Row],[Item]],supercb[Bairro],mercado10)</f>
        <v>0</v>
      </c>
      <c r="AU119" s="27" t="n">
        <f aca="false">SUMIFS(super1[Qtde],super1[Item],tab_higiene[[#This Row],[Item]],super1[Bairro],mercado11)+SUMIFS(supercb[Qtde],supercb[Item],tab_higiene[[#This Row],[Item]],supercb[Bairro],mercado11)</f>
        <v>0</v>
      </c>
      <c r="AV119" s="27" t="n">
        <f aca="false">SUMIFS(super1[Qtde],super1[Item],tab_higiene[[#This Row],[Item]],super1[Bairro],mercado12)+SUMIFS(supercb[Qtde],supercb[Item],tab_higiene[[#This Row],[Item]],supercb[Bairro],mercado12)</f>
        <v>0</v>
      </c>
      <c r="AW119" s="27" t="n">
        <f aca="false">SUMIFS(super1[Qtde],super1[Item],tab_higiene[[#This Row],[Item]],super1[Bairro],mercado13)+SUMIFS(supercb[Qtde],supercb[Item],tab_higiene[[#This Row],[Item]],supercb[Bairro],mercado13)</f>
        <v>0</v>
      </c>
      <c r="AX119" s="27" t="n">
        <f aca="false">SUMIFS(super1[Qtde],super1[Item],tab_higiene[[#This Row],[Item]],super1[Bairro],mercado14)+SUMIFS(supercb[Qtde],supercb[Item],tab_higiene[[#This Row],[Item]],supercb[Bairro],mercado14)</f>
        <v>0</v>
      </c>
      <c r="AY119" s="27" t="n">
        <f aca="false">SUMIFS(super1[Qtde],super1[Item],tab_higiene[[#This Row],[Item]],super1[Bairro],mercado15)+SUMIFS(supercb[Qtde],supercb[Item],tab_higiene[[#This Row],[Item]],supercb[Bairro],mercado15)</f>
        <v>0</v>
      </c>
      <c r="AZ119" s="27" t="n">
        <f aca="false">SUMIFS(super1[Qtde],super1[Item],tab_higiene[[#This Row],[Item]],super1[Bairro],mercado16)+SUMIFS(supercb[Qtde],supercb[Item],tab_higiene[[#This Row],[Item]],supercb[Bairro],mercado16)</f>
        <v>0</v>
      </c>
      <c r="BA119" s="27" t="n">
        <f aca="false">SUMIFS(super1[Qtde],super1[Item],tab_higiene[[#This Row],[Item]],super1[Bairro],mercado17)+SUMIFS(supercb[Qtde],supercb[Item],tab_higiene[[#This Row],[Item]],supercb[Bairro],mercado17)</f>
        <v>0</v>
      </c>
      <c r="BB119" s="27" t="n">
        <f aca="false">SUMIFS(super1[Qtde],super1[Item],tab_higiene[[#This Row],[Item]],super1[Bairro],mercado18)+SUMIFS(supercb[Qtde],supercb[Item],tab_higiene[[#This Row],[Item]],supercb[Bairro],mercado18)</f>
        <v>0</v>
      </c>
      <c r="BC119" s="27" t="n">
        <f aca="false">SUMIFS(super1[Qtde],super1[Item],tab_higiene[[#This Row],[Item]],super1[Bairro],extras)+SUMIFS(supercb[Qtde],supercb[Item],tab_higiene[[#This Row],[Item]],supercb[Bairro],extras)</f>
        <v>0</v>
      </c>
      <c r="BD119" s="27" t="n">
        <f aca="false">SUM(AK119:BB119)</f>
        <v>0</v>
      </c>
      <c r="BE119" s="27" t="n">
        <f aca="false">IFERROR(BD119*AJ119,0)</f>
        <v>0</v>
      </c>
      <c r="BF119" s="28" t="n">
        <f aca="false">IFERROR(AI119*BD119,0)</f>
        <v>0</v>
      </c>
      <c r="BI119" s="22" t="str">
        <f aca="false">tab_alimentos[[#This Row],[Item]]</f>
        <v>Farinha de trigo (1kg)</v>
      </c>
      <c r="BJ119" s="22" t="n">
        <f aca="false">IFERROR(FIND(" (",BI119),0)</f>
        <v>17</v>
      </c>
      <c r="BK119" s="22" t="str">
        <f aca="false">IF(BJ119=0,BI119,LEFT(BI119,BJ119-1))</f>
        <v>Farinha de trigo</v>
      </c>
      <c r="BL119" s="22" t="n">
        <f aca="false">tab_alimentos[[#This Row],[kg]]</f>
        <v>15</v>
      </c>
      <c r="BN119" s="22" t="n">
        <f aca="false">SUMIF($BJ$5:$BJ$158,BM119,$BK$5:$BK$158)</f>
        <v>0</v>
      </c>
      <c r="BP119" s="22" t="str">
        <f aca="false">tab_higiene[[#This Row],[Item]]</f>
        <v>I</v>
      </c>
      <c r="BQ119" s="22" t="n">
        <f aca="false">IFERROR(FIND(" (",BP119),0)</f>
        <v>0</v>
      </c>
      <c r="BR119" s="22" t="str">
        <f aca="false">IF(BQ119=0,BP119,LEFT(BP119,BQ119-1))</f>
        <v>I</v>
      </c>
      <c r="BS119" s="22" t="n">
        <f aca="false">higiene[[#This Row],[Quantidade]]</f>
        <v>0.18</v>
      </c>
      <c r="BT119" s="22" t="n">
        <f aca="false">tab_higiene[Qtde (tot)]</f>
        <v>0</v>
      </c>
      <c r="BU119" s="22" t="n">
        <f aca="false">BS119*BT119</f>
        <v>0</v>
      </c>
      <c r="BW119" s="22" t="n">
        <f aca="false">SUMIF($BR$5:$BR$142,BV119,$BU$5:$BU$142)</f>
        <v>0</v>
      </c>
    </row>
    <row r="120" customFormat="false" ht="15" hidden="false" customHeight="false" outlineLevel="0" collapsed="false">
      <c r="I120" s="26" t="str">
        <f aca="false">alimentos[[#This Row],[Item]]</f>
        <v>Farofa (150g)</v>
      </c>
      <c r="J120" s="27" t="n">
        <f aca="false">IFERROR(alimentos[[#This Row],[kg/embalagem]],0)</f>
        <v>0.15</v>
      </c>
      <c r="K120" s="27" t="n">
        <f aca="false">IFERROR(alimentos[[#This Row],[Preço]],0)</f>
        <v>2.35</v>
      </c>
      <c r="L120" s="27" t="n">
        <f aca="false">SUMIFS(super1[Qtde],super1[Item],tab_alimentos[[#This Row],[Item]],super1[Bairro],mercado1)+SUMIFS(supercb[Qtde],supercb[Item],tab_alimentos[[#This Row],[Item]],supercb[Bairro],mercado1)</f>
        <v>0</v>
      </c>
      <c r="M120" s="27" t="n">
        <f aca="false">SUMIFS(super1[Qtde],super1[Item],tab_alimentos[[#This Row],[Item]],super1[Bairro],mercado2)+SUMIFS(supercb[Qtde],supercb[Item],tab_alimentos[[#This Row],[Item]],supercb[Bairro],mercado2)</f>
        <v>0</v>
      </c>
      <c r="N120" s="27" t="n">
        <f aca="false">SUMIFS(super1[Qtde],super1[Item],tab_alimentos[[#This Row],[Item]],super1[Bairro],mercado3)+SUMIFS(supercb[Qtde],supercb[Item],tab_alimentos[[#This Row],[Item]],supercb[Bairro],mercado3)</f>
        <v>0</v>
      </c>
      <c r="O120" s="27" t="n">
        <f aca="false">SUMIFS(super1[Qtde],super1[Item],tab_alimentos[[#This Row],[Item]],super1[Bairro],mercado4)+SUMIFS(supercb[Qtde],supercb[Item],tab_alimentos[[#This Row],[Item]],supercb[Bairro],mercado4)</f>
        <v>0</v>
      </c>
      <c r="P120" s="27" t="n">
        <f aca="false">SUMIFS(super1[Qtde],super1[Item],tab_alimentos[[#This Row],[Item]],super1[Bairro],mercado5)+SUMIFS(supercb[Qtde],supercb[Item],tab_alimentos[[#This Row],[Item]],supercb[Bairro],mercado5)</f>
        <v>0</v>
      </c>
      <c r="Q120" s="27" t="n">
        <f aca="false">SUMIFS(super1[Qtde],super1[Item],tab_alimentos[[#This Row],[Item]],super1[Bairro],mercado6)+SUMIFS(supercb[Qtde],supercb[Item],tab_alimentos[[#This Row],[Item]],supercb[Bairro],mercado6)</f>
        <v>0</v>
      </c>
      <c r="R120" s="27" t="n">
        <f aca="false">SUMIFS(super1[Qtde],super1[Item],tab_alimentos[[#This Row],[Item]],super1[Bairro],mercado7)+SUMIFS(supercb[Qtde],supercb[Item],tab_alimentos[[#This Row],[Item]],supercb[Bairro],mercado7)</f>
        <v>0</v>
      </c>
      <c r="S120" s="27" t="n">
        <f aca="false">SUMIFS(super1[Qtde],super1[Item],tab_alimentos[[#This Row],[Item]],super1[Bairro],mercado8)+SUMIFS(supercb[Qtde],supercb[Item],tab_alimentos[[#This Row],[Item]],supercb[Bairro],mercado8)</f>
        <v>0</v>
      </c>
      <c r="T120" s="27" t="n">
        <f aca="false">SUMIFS(super1[Qtde],super1[Item],tab_alimentos[[#This Row],[Item]],super1[Bairro],mercado9)+SUMIFS(supercb[Qtde],supercb[Item],tab_alimentos[[#This Row],[Item]],supercb[Bairro],mercado9)</f>
        <v>0</v>
      </c>
      <c r="U120" s="27" t="n">
        <f aca="false">SUMIFS(super1[Qtde],super1[Item],tab_alimentos[[#This Row],[Item]],super1[Bairro],mercado10)+SUMIFS(supercb[Qtde],supercb[Item],tab_alimentos[[#This Row],[Item]],supercb[Bairro],mercado10)</f>
        <v>0</v>
      </c>
      <c r="V120" s="27" t="n">
        <f aca="false">SUMIFS(super1[Qtde],super1[Item],tab_alimentos[[#This Row],[Item]],super1[Bairro],mercado11)+SUMIFS(supercb[Qtde],supercb[Item],tab_alimentos[[#This Row],[Item]],supercb[Bairro],mercado11)</f>
        <v>0</v>
      </c>
      <c r="W120" s="27" t="n">
        <f aca="false">SUMIFS(super1[Qtde],super1[Item],tab_alimentos[[#This Row],[Item]],super1[Bairro],mercado12)+SUMIFS(supercb[Qtde],supercb[Item],tab_alimentos[[#This Row],[Item]],supercb[Bairro],mercado12)</f>
        <v>0</v>
      </c>
      <c r="X120" s="27" t="n">
        <f aca="false">SUMIFS(super1[Qtde],super1[Item],tab_alimentos[[#This Row],[Item]],super1[Bairro],mercado13)+SUMIFS(supercb[Qtde],supercb[Item],tab_alimentos[[#This Row],[Item]],supercb[Bairro],mercado13)</f>
        <v>0</v>
      </c>
      <c r="Y120" s="27" t="n">
        <f aca="false">SUMIFS(super1[Qtde],super1[Item],tab_alimentos[[#This Row],[Item]],super1[Bairro],mercado14)+SUMIFS(supercb[Qtde],supercb[Item],tab_alimentos[[#This Row],[Item]],supercb[Bairro],mercado14)</f>
        <v>0</v>
      </c>
      <c r="Z120" s="27" t="n">
        <f aca="false">SUMIFS(super1[Qtde],super1[Item],tab_alimentos[[#This Row],[Item]],super1[Bairro],mercado15)+SUMIFS(supercb[Qtde],supercb[Item],tab_alimentos[[#This Row],[Item]],supercb[Bairro],mercado15)</f>
        <v>0</v>
      </c>
      <c r="AA120" s="27" t="n">
        <f aca="false">SUMIFS(super1[Qtde],super1[Item],tab_alimentos[[#This Row],[Item]],super1[Bairro],mercado16)+SUMIFS(supercb[Qtde],supercb[Item],tab_alimentos[[#This Row],[Item]],supercb[Bairro],mercado16)</f>
        <v>0</v>
      </c>
      <c r="AB120" s="27" t="n">
        <f aca="false">SUMIFS(super1[Qtde],super1[Item],tab_alimentos[[#This Row],[Item]],super1[Bairro],mercado17)+SUMIFS(supercb[Qtde],supercb[Item],tab_alimentos[[#This Row],[Item]],supercb[Bairro],mercado17)</f>
        <v>0</v>
      </c>
      <c r="AC120" s="27" t="n">
        <f aca="false">SUMIFS(super1[Qtde],super1[Item],tab_alimentos[[#This Row],[Item]],super1[Bairro],mercado18)+SUMIFS(supercb[Qtde],supercb[Item],tab_alimentos[[#This Row],[Item]],supercb[Bairro],mercado18)</f>
        <v>0</v>
      </c>
      <c r="AD120" s="27" t="n">
        <f aca="false">SUMIFS(super1[Qtde],super1[Item],tab_alimentos[[#This Row],[Item]],super1[Bairro],extras)+SUMIFS(supercb[Qtde],supercb[Item],tab_alimentos[[#This Row],[Item]],supercb[Bairro],extras)</f>
        <v>0</v>
      </c>
      <c r="AE120" s="27" t="n">
        <f aca="false">SUM(L120:AC120)</f>
        <v>0</v>
      </c>
      <c r="AF120" s="27" t="n">
        <f aca="false">IFERROR(AE120*K120,0)</f>
        <v>0</v>
      </c>
      <c r="AG120" s="28" t="n">
        <f aca="false">IFERROR(J120*AE120,0)</f>
        <v>0</v>
      </c>
      <c r="AH120" s="26" t="str">
        <f aca="false">higiene[[#This Row],[Item]]</f>
        <v>J</v>
      </c>
      <c r="AI120" s="27" t="n">
        <f aca="false">IFERROR(higiene[[#This Row],[Kg equivalente]],0)</f>
        <v>0</v>
      </c>
      <c r="AJ120" s="27" t="n">
        <f aca="false">IFERROR(higiene[[#This Row],[Preço por produto]],0)</f>
        <v>0</v>
      </c>
      <c r="AK120" s="27" t="n">
        <f aca="false">SUMIFS(super1[Qtde],super1[Item],tab_higiene[[#This Row],[Item]],super1[Bairro],mercado1)+SUMIFS(supercb[Qtde],supercb[Item],tab_higiene[[#This Row],[Item]],supercb[Bairro],mercado1)</f>
        <v>0</v>
      </c>
      <c r="AL120" s="27" t="n">
        <f aca="false">SUMIFS(super1[Qtde],super1[Item],tab_higiene[[#This Row],[Item]],super1[Bairro],mercado2)+SUMIFS(supercb[Qtde],supercb[Item],tab_higiene[[#This Row],[Item]],supercb[Bairro],mercado2)</f>
        <v>0</v>
      </c>
      <c r="AM120" s="27" t="n">
        <f aca="false">SUMIFS(super1[Qtde],super1[Item],tab_higiene[[#This Row],[Item]],super1[Bairro],mercado3)+SUMIFS(supercb[Qtde],supercb[Item],tab_higiene[[#This Row],[Item]],supercb[Bairro],mercado3)</f>
        <v>0</v>
      </c>
      <c r="AN120" s="27" t="n">
        <f aca="false">SUMIFS(super1[Qtde],super1[Item],tab_higiene[[#This Row],[Item]],super1[Bairro],mercado4)+SUMIFS(supercb[Qtde],supercb[Item],tab_higiene[[#This Row],[Item]],supercb[Bairro],mercado4)</f>
        <v>0</v>
      </c>
      <c r="AO120" s="27" t="n">
        <f aca="false">SUMIFS(super1[Qtde],super1[Item],tab_higiene[[#This Row],[Item]],super1[Bairro],mercado5)+SUMIFS(supercb[Qtde],supercb[Item],tab_higiene[[#This Row],[Item]],supercb[Bairro],mercado5)</f>
        <v>0</v>
      </c>
      <c r="AP120" s="27" t="n">
        <f aca="false">SUMIFS(super1[Qtde],super1[Item],tab_higiene[[#This Row],[Item]],super1[Bairro],mercado6)+SUMIFS(supercb[Qtde],supercb[Item],tab_higiene[[#This Row],[Item]],supercb[Bairro],mercado6)</f>
        <v>0</v>
      </c>
      <c r="AQ120" s="27" t="n">
        <f aca="false">SUMIFS(super1[Qtde],super1[Item],tab_higiene[[#This Row],[Item]],super1[Bairro],mercado7)+SUMIFS(supercb[Qtde],supercb[Item],tab_higiene[[#This Row],[Item]],supercb[Bairro],mercado7)</f>
        <v>0</v>
      </c>
      <c r="AR120" s="27" t="n">
        <f aca="false">SUMIFS(super1[Qtde],super1[Item],tab_higiene[[#This Row],[Item]],super1[Bairro],mercado8)+SUMIFS(supercb[Qtde],supercb[Item],tab_higiene[[#This Row],[Item]],supercb[Bairro],mercado8)</f>
        <v>0</v>
      </c>
      <c r="AS120" s="27" t="n">
        <f aca="false">SUMIFS(super1[Qtde],super1[Item],tab_higiene[[#This Row],[Item]],super1[Bairro],mercado9)+SUMIFS(supercb[Qtde],supercb[Item],tab_higiene[[#This Row],[Item]],supercb[Bairro],mercado9)</f>
        <v>0</v>
      </c>
      <c r="AT120" s="27" t="n">
        <f aca="false">SUMIFS(super1[Qtde],super1[Item],tab_higiene[[#This Row],[Item]],super1[Bairro],mercado10)+SUMIFS(supercb[Qtde],supercb[Item],tab_higiene[[#This Row],[Item]],supercb[Bairro],mercado10)</f>
        <v>0</v>
      </c>
      <c r="AU120" s="27" t="n">
        <f aca="false">SUMIFS(super1[Qtde],super1[Item],tab_higiene[[#This Row],[Item]],super1[Bairro],mercado11)+SUMIFS(supercb[Qtde],supercb[Item],tab_higiene[[#This Row],[Item]],supercb[Bairro],mercado11)</f>
        <v>0</v>
      </c>
      <c r="AV120" s="27" t="n">
        <f aca="false">SUMIFS(super1[Qtde],super1[Item],tab_higiene[[#This Row],[Item]],super1[Bairro],mercado12)+SUMIFS(supercb[Qtde],supercb[Item],tab_higiene[[#This Row],[Item]],supercb[Bairro],mercado12)</f>
        <v>0</v>
      </c>
      <c r="AW120" s="27" t="n">
        <f aca="false">SUMIFS(super1[Qtde],super1[Item],tab_higiene[[#This Row],[Item]],super1[Bairro],mercado13)+SUMIFS(supercb[Qtde],supercb[Item],tab_higiene[[#This Row],[Item]],supercb[Bairro],mercado13)</f>
        <v>0</v>
      </c>
      <c r="AX120" s="27" t="n">
        <f aca="false">SUMIFS(super1[Qtde],super1[Item],tab_higiene[[#This Row],[Item]],super1[Bairro],mercado14)+SUMIFS(supercb[Qtde],supercb[Item],tab_higiene[[#This Row],[Item]],supercb[Bairro],mercado14)</f>
        <v>0</v>
      </c>
      <c r="AY120" s="27" t="n">
        <f aca="false">SUMIFS(super1[Qtde],super1[Item],tab_higiene[[#This Row],[Item]],super1[Bairro],mercado15)+SUMIFS(supercb[Qtde],supercb[Item],tab_higiene[[#This Row],[Item]],supercb[Bairro],mercado15)</f>
        <v>0</v>
      </c>
      <c r="AZ120" s="27" t="n">
        <f aca="false">SUMIFS(super1[Qtde],super1[Item],tab_higiene[[#This Row],[Item]],super1[Bairro],mercado16)+SUMIFS(supercb[Qtde],supercb[Item],tab_higiene[[#This Row],[Item]],supercb[Bairro],mercado16)</f>
        <v>0</v>
      </c>
      <c r="BA120" s="27" t="n">
        <f aca="false">SUMIFS(super1[Qtde],super1[Item],tab_higiene[[#This Row],[Item]],super1[Bairro],mercado17)+SUMIFS(supercb[Qtde],supercb[Item],tab_higiene[[#This Row],[Item]],supercb[Bairro],mercado17)</f>
        <v>0</v>
      </c>
      <c r="BB120" s="27" t="n">
        <f aca="false">SUMIFS(super1[Qtde],super1[Item],tab_higiene[[#This Row],[Item]],super1[Bairro],mercado18)+SUMIFS(supercb[Qtde],supercb[Item],tab_higiene[[#This Row],[Item]],supercb[Bairro],mercado18)</f>
        <v>0</v>
      </c>
      <c r="BC120" s="27" t="n">
        <f aca="false">SUMIFS(super1[Qtde],super1[Item],tab_higiene[[#This Row],[Item]],super1[Bairro],extras)+SUMIFS(supercb[Qtde],supercb[Item],tab_higiene[[#This Row],[Item]],supercb[Bairro],extras)</f>
        <v>0</v>
      </c>
      <c r="BD120" s="27" t="n">
        <f aca="false">SUM(AK120:BB120)</f>
        <v>0</v>
      </c>
      <c r="BE120" s="27" t="n">
        <f aca="false">IFERROR(BD120*AJ120,0)</f>
        <v>0</v>
      </c>
      <c r="BF120" s="28" t="n">
        <f aca="false">IFERROR(AI120*BD120,0)</f>
        <v>0</v>
      </c>
      <c r="BI120" s="22" t="str">
        <f aca="false">tab_alimentos[[#This Row],[Item]]</f>
        <v>Farofa (150g)</v>
      </c>
      <c r="BJ120" s="22" t="n">
        <f aca="false">IFERROR(FIND(" (",BI120),0)</f>
        <v>7</v>
      </c>
      <c r="BK120" s="22" t="str">
        <f aca="false">IF(BJ120=0,BI120,LEFT(BI120,BJ120-1))</f>
        <v>Farofa</v>
      </c>
      <c r="BL120" s="22" t="n">
        <f aca="false">tab_alimentos[[#This Row],[kg]]</f>
        <v>0</v>
      </c>
      <c r="BN120" s="22" t="n">
        <f aca="false">SUMIF($BJ$5:$BJ$158,BM120,$BK$5:$BK$158)</f>
        <v>0</v>
      </c>
      <c r="BP120" s="22" t="str">
        <f aca="false">tab_higiene[[#This Row],[Item]]</f>
        <v>J</v>
      </c>
      <c r="BQ120" s="22" t="n">
        <f aca="false">IFERROR(FIND(" (",BP120),0)</f>
        <v>0</v>
      </c>
      <c r="BR120" s="22" t="str">
        <f aca="false">IF(BQ120=0,BP120,LEFT(BP120,BQ120-1))</f>
        <v>J</v>
      </c>
      <c r="BS120" s="22" t="n">
        <f aca="false">higiene[[#This Row],[Quantidade]]</f>
        <v>0.05</v>
      </c>
      <c r="BT120" s="22" t="n">
        <f aca="false">tab_higiene[Qtde (tot)]</f>
        <v>0</v>
      </c>
      <c r="BU120" s="22" t="n">
        <f aca="false">BS120*BT120</f>
        <v>0</v>
      </c>
      <c r="BW120" s="22" t="n">
        <f aca="false">SUMIF($BR$5:$BR$142,BV120,$BU$5:$BU$142)</f>
        <v>0</v>
      </c>
    </row>
    <row r="121" customFormat="false" ht="15" hidden="false" customHeight="false" outlineLevel="0" collapsed="false">
      <c r="I121" s="26" t="str">
        <f aca="false">alimentos[[#This Row],[Item]]</f>
        <v>Farofa (250g)</v>
      </c>
      <c r="J121" s="27" t="n">
        <f aca="false">IFERROR(alimentos[[#This Row],[kg/embalagem]],0)</f>
        <v>0.25</v>
      </c>
      <c r="K121" s="27" t="n">
        <f aca="false">IFERROR(alimentos[[#This Row],[Preço]],0)</f>
        <v>2.562</v>
      </c>
      <c r="L121" s="27" t="n">
        <f aca="false">SUMIFS(super1[Qtde],super1[Item],tab_alimentos[[#This Row],[Item]],super1[Bairro],mercado1)+SUMIFS(supercb[Qtde],supercb[Item],tab_alimentos[[#This Row],[Item]],supercb[Bairro],mercado1)</f>
        <v>0</v>
      </c>
      <c r="M121" s="27" t="n">
        <f aca="false">SUMIFS(super1[Qtde],super1[Item],tab_alimentos[[#This Row],[Item]],super1[Bairro],mercado2)+SUMIFS(supercb[Qtde],supercb[Item],tab_alimentos[[#This Row],[Item]],supercb[Bairro],mercado2)</f>
        <v>0</v>
      </c>
      <c r="N121" s="27" t="n">
        <f aca="false">SUMIFS(super1[Qtde],super1[Item],tab_alimentos[[#This Row],[Item]],super1[Bairro],mercado3)+SUMIFS(supercb[Qtde],supercb[Item],tab_alimentos[[#This Row],[Item]],supercb[Bairro],mercado3)</f>
        <v>0</v>
      </c>
      <c r="O121" s="27" t="n">
        <f aca="false">SUMIFS(super1[Qtde],super1[Item],tab_alimentos[[#This Row],[Item]],super1[Bairro],mercado4)+SUMIFS(supercb[Qtde],supercb[Item],tab_alimentos[[#This Row],[Item]],supercb[Bairro],mercado4)</f>
        <v>0</v>
      </c>
      <c r="P121" s="27" t="n">
        <f aca="false">SUMIFS(super1[Qtde],super1[Item],tab_alimentos[[#This Row],[Item]],super1[Bairro],mercado5)+SUMIFS(supercb[Qtde],supercb[Item],tab_alimentos[[#This Row],[Item]],supercb[Bairro],mercado5)</f>
        <v>0</v>
      </c>
      <c r="Q121" s="27" t="n">
        <f aca="false">SUMIFS(super1[Qtde],super1[Item],tab_alimentos[[#This Row],[Item]],super1[Bairro],mercado6)+SUMIFS(supercb[Qtde],supercb[Item],tab_alimentos[[#This Row],[Item]],supercb[Bairro],mercado6)</f>
        <v>0</v>
      </c>
      <c r="R121" s="27" t="n">
        <f aca="false">SUMIFS(super1[Qtde],super1[Item],tab_alimentos[[#This Row],[Item]],super1[Bairro],mercado7)+SUMIFS(supercb[Qtde],supercb[Item],tab_alimentos[[#This Row],[Item]],supercb[Bairro],mercado7)</f>
        <v>0</v>
      </c>
      <c r="S121" s="27" t="n">
        <f aca="false">SUMIFS(super1[Qtde],super1[Item],tab_alimentos[[#This Row],[Item]],super1[Bairro],mercado8)+SUMIFS(supercb[Qtde],supercb[Item],tab_alimentos[[#This Row],[Item]],supercb[Bairro],mercado8)</f>
        <v>0</v>
      </c>
      <c r="T121" s="27" t="n">
        <f aca="false">SUMIFS(super1[Qtde],super1[Item],tab_alimentos[[#This Row],[Item]],super1[Bairro],mercado9)+SUMIFS(supercb[Qtde],supercb[Item],tab_alimentos[[#This Row],[Item]],supercb[Bairro],mercado9)</f>
        <v>0</v>
      </c>
      <c r="U121" s="27" t="n">
        <f aca="false">SUMIFS(super1[Qtde],super1[Item],tab_alimentos[[#This Row],[Item]],super1[Bairro],mercado10)+SUMIFS(supercb[Qtde],supercb[Item],tab_alimentos[[#This Row],[Item]],supercb[Bairro],mercado10)</f>
        <v>0</v>
      </c>
      <c r="V121" s="27" t="n">
        <f aca="false">SUMIFS(super1[Qtde],super1[Item],tab_alimentos[[#This Row],[Item]],super1[Bairro],mercado11)+SUMIFS(supercb[Qtde],supercb[Item],tab_alimentos[[#This Row],[Item]],supercb[Bairro],mercado11)</f>
        <v>0</v>
      </c>
      <c r="W121" s="27" t="n">
        <f aca="false">SUMIFS(super1[Qtde],super1[Item],tab_alimentos[[#This Row],[Item]],super1[Bairro],mercado12)+SUMIFS(supercb[Qtde],supercb[Item],tab_alimentos[[#This Row],[Item]],supercb[Bairro],mercado12)</f>
        <v>0</v>
      </c>
      <c r="X121" s="27" t="n">
        <f aca="false">SUMIFS(super1[Qtde],super1[Item],tab_alimentos[[#This Row],[Item]],super1[Bairro],mercado13)+SUMIFS(supercb[Qtde],supercb[Item],tab_alimentos[[#This Row],[Item]],supercb[Bairro],mercado13)</f>
        <v>0</v>
      </c>
      <c r="Y121" s="27" t="n">
        <f aca="false">SUMIFS(super1[Qtde],super1[Item],tab_alimentos[[#This Row],[Item]],super1[Bairro],mercado14)+SUMIFS(supercb[Qtde],supercb[Item],tab_alimentos[[#This Row],[Item]],supercb[Bairro],mercado14)</f>
        <v>0</v>
      </c>
      <c r="Z121" s="27" t="n">
        <f aca="false">SUMIFS(super1[Qtde],super1[Item],tab_alimentos[[#This Row],[Item]],super1[Bairro],mercado15)+SUMIFS(supercb[Qtde],supercb[Item],tab_alimentos[[#This Row],[Item]],supercb[Bairro],mercado15)</f>
        <v>0</v>
      </c>
      <c r="AA121" s="27" t="n">
        <f aca="false">SUMIFS(super1[Qtde],super1[Item],tab_alimentos[[#This Row],[Item]],super1[Bairro],mercado16)+SUMIFS(supercb[Qtde],supercb[Item],tab_alimentos[[#This Row],[Item]],supercb[Bairro],mercado16)</f>
        <v>0</v>
      </c>
      <c r="AB121" s="27" t="n">
        <f aca="false">SUMIFS(super1[Qtde],super1[Item],tab_alimentos[[#This Row],[Item]],super1[Bairro],mercado17)+SUMIFS(supercb[Qtde],supercb[Item],tab_alimentos[[#This Row],[Item]],supercb[Bairro],mercado17)</f>
        <v>0</v>
      </c>
      <c r="AC121" s="27" t="n">
        <f aca="false">SUMIFS(super1[Qtde],super1[Item],tab_alimentos[[#This Row],[Item]],super1[Bairro],mercado18)+SUMIFS(supercb[Qtde],supercb[Item],tab_alimentos[[#This Row],[Item]],supercb[Bairro],mercado18)</f>
        <v>0</v>
      </c>
      <c r="AD121" s="27" t="n">
        <f aca="false">SUMIFS(super1[Qtde],super1[Item],tab_alimentos[[#This Row],[Item]],super1[Bairro],extras)+SUMIFS(supercb[Qtde],supercb[Item],tab_alimentos[[#This Row],[Item]],supercb[Bairro],extras)</f>
        <v>0</v>
      </c>
      <c r="AE121" s="27" t="n">
        <f aca="false">SUM(L121:AC121)</f>
        <v>0</v>
      </c>
      <c r="AF121" s="27" t="n">
        <f aca="false">IFERROR(AE121*K121,0)</f>
        <v>0</v>
      </c>
      <c r="AG121" s="28" t="n">
        <f aca="false">IFERROR(J121*AE121,0)</f>
        <v>0</v>
      </c>
      <c r="AH121" s="26" t="str">
        <f aca="false">higiene[[#This Row],[Item]]</f>
        <v>L</v>
      </c>
      <c r="AI121" s="27" t="n">
        <f aca="false">IFERROR(higiene[[#This Row],[Kg equivalente]],0)</f>
        <v>0</v>
      </c>
      <c r="AJ121" s="27" t="n">
        <f aca="false">IFERROR(higiene[[#This Row],[Preço por produto]],0)</f>
        <v>0</v>
      </c>
      <c r="AK121" s="27" t="n">
        <f aca="false">SUMIFS(super1[Qtde],super1[Item],tab_higiene[[#This Row],[Item]],super1[Bairro],mercado1)+SUMIFS(supercb[Qtde],supercb[Item],tab_higiene[[#This Row],[Item]],supercb[Bairro],mercado1)</f>
        <v>0</v>
      </c>
      <c r="AL121" s="27" t="n">
        <f aca="false">SUMIFS(super1[Qtde],super1[Item],tab_higiene[[#This Row],[Item]],super1[Bairro],mercado2)+SUMIFS(supercb[Qtde],supercb[Item],tab_higiene[[#This Row],[Item]],supercb[Bairro],mercado2)</f>
        <v>0</v>
      </c>
      <c r="AM121" s="27" t="n">
        <f aca="false">SUMIFS(super1[Qtde],super1[Item],tab_higiene[[#This Row],[Item]],super1[Bairro],mercado3)+SUMIFS(supercb[Qtde],supercb[Item],tab_higiene[[#This Row],[Item]],supercb[Bairro],mercado3)</f>
        <v>0</v>
      </c>
      <c r="AN121" s="27" t="n">
        <f aca="false">SUMIFS(super1[Qtde],super1[Item],tab_higiene[[#This Row],[Item]],super1[Bairro],mercado4)+SUMIFS(supercb[Qtde],supercb[Item],tab_higiene[[#This Row],[Item]],supercb[Bairro],mercado4)</f>
        <v>0</v>
      </c>
      <c r="AO121" s="27" t="n">
        <f aca="false">SUMIFS(super1[Qtde],super1[Item],tab_higiene[[#This Row],[Item]],super1[Bairro],mercado5)+SUMIFS(supercb[Qtde],supercb[Item],tab_higiene[[#This Row],[Item]],supercb[Bairro],mercado5)</f>
        <v>0</v>
      </c>
      <c r="AP121" s="27" t="n">
        <f aca="false">SUMIFS(super1[Qtde],super1[Item],tab_higiene[[#This Row],[Item]],super1[Bairro],mercado6)+SUMIFS(supercb[Qtde],supercb[Item],tab_higiene[[#This Row],[Item]],supercb[Bairro],mercado6)</f>
        <v>0</v>
      </c>
      <c r="AQ121" s="27" t="n">
        <f aca="false">SUMIFS(super1[Qtde],super1[Item],tab_higiene[[#This Row],[Item]],super1[Bairro],mercado7)+SUMIFS(supercb[Qtde],supercb[Item],tab_higiene[[#This Row],[Item]],supercb[Bairro],mercado7)</f>
        <v>0</v>
      </c>
      <c r="AR121" s="27" t="n">
        <f aca="false">SUMIFS(super1[Qtde],super1[Item],tab_higiene[[#This Row],[Item]],super1[Bairro],mercado8)+SUMIFS(supercb[Qtde],supercb[Item],tab_higiene[[#This Row],[Item]],supercb[Bairro],mercado8)</f>
        <v>0</v>
      </c>
      <c r="AS121" s="27" t="n">
        <f aca="false">SUMIFS(super1[Qtde],super1[Item],tab_higiene[[#This Row],[Item]],super1[Bairro],mercado9)+SUMIFS(supercb[Qtde],supercb[Item],tab_higiene[[#This Row],[Item]],supercb[Bairro],mercado9)</f>
        <v>0</v>
      </c>
      <c r="AT121" s="27" t="n">
        <f aca="false">SUMIFS(super1[Qtde],super1[Item],tab_higiene[[#This Row],[Item]],super1[Bairro],mercado10)+SUMIFS(supercb[Qtde],supercb[Item],tab_higiene[[#This Row],[Item]],supercb[Bairro],mercado10)</f>
        <v>0</v>
      </c>
      <c r="AU121" s="27" t="n">
        <f aca="false">SUMIFS(super1[Qtde],super1[Item],tab_higiene[[#This Row],[Item]],super1[Bairro],mercado11)+SUMIFS(supercb[Qtde],supercb[Item],tab_higiene[[#This Row],[Item]],supercb[Bairro],mercado11)</f>
        <v>0</v>
      </c>
      <c r="AV121" s="27" t="n">
        <f aca="false">SUMIFS(super1[Qtde],super1[Item],tab_higiene[[#This Row],[Item]],super1[Bairro],mercado12)+SUMIFS(supercb[Qtde],supercb[Item],tab_higiene[[#This Row],[Item]],supercb[Bairro],mercado12)</f>
        <v>0</v>
      </c>
      <c r="AW121" s="27" t="n">
        <f aca="false">SUMIFS(super1[Qtde],super1[Item],tab_higiene[[#This Row],[Item]],super1[Bairro],mercado13)+SUMIFS(supercb[Qtde],supercb[Item],tab_higiene[[#This Row],[Item]],supercb[Bairro],mercado13)</f>
        <v>0</v>
      </c>
      <c r="AX121" s="27" t="n">
        <f aca="false">SUMIFS(super1[Qtde],super1[Item],tab_higiene[[#This Row],[Item]],super1[Bairro],mercado14)+SUMIFS(supercb[Qtde],supercb[Item],tab_higiene[[#This Row],[Item]],supercb[Bairro],mercado14)</f>
        <v>0</v>
      </c>
      <c r="AY121" s="27" t="n">
        <f aca="false">SUMIFS(super1[Qtde],super1[Item],tab_higiene[[#This Row],[Item]],super1[Bairro],mercado15)+SUMIFS(supercb[Qtde],supercb[Item],tab_higiene[[#This Row],[Item]],supercb[Bairro],mercado15)</f>
        <v>0</v>
      </c>
      <c r="AZ121" s="27" t="n">
        <f aca="false">SUMIFS(super1[Qtde],super1[Item],tab_higiene[[#This Row],[Item]],super1[Bairro],mercado16)+SUMIFS(supercb[Qtde],supercb[Item],tab_higiene[[#This Row],[Item]],supercb[Bairro],mercado16)</f>
        <v>0</v>
      </c>
      <c r="BA121" s="27" t="n">
        <f aca="false">SUMIFS(super1[Qtde],super1[Item],tab_higiene[[#This Row],[Item]],super1[Bairro],mercado17)+SUMIFS(supercb[Qtde],supercb[Item],tab_higiene[[#This Row],[Item]],supercb[Bairro],mercado17)</f>
        <v>0</v>
      </c>
      <c r="BB121" s="27" t="n">
        <f aca="false">SUMIFS(super1[Qtde],super1[Item],tab_higiene[[#This Row],[Item]],super1[Bairro],mercado18)+SUMIFS(supercb[Qtde],supercb[Item],tab_higiene[[#This Row],[Item]],supercb[Bairro],mercado18)</f>
        <v>0</v>
      </c>
      <c r="BC121" s="27" t="n">
        <f aca="false">SUMIFS(super1[Qtde],super1[Item],tab_higiene[[#This Row],[Item]],super1[Bairro],extras)+SUMIFS(supercb[Qtde],supercb[Item],tab_higiene[[#This Row],[Item]],supercb[Bairro],extras)</f>
        <v>0</v>
      </c>
      <c r="BD121" s="27" t="n">
        <f aca="false">SUM(AK121:BB121)</f>
        <v>0</v>
      </c>
      <c r="BE121" s="27" t="n">
        <f aca="false">IFERROR(BD121*AJ121,0)</f>
        <v>0</v>
      </c>
      <c r="BF121" s="28" t="n">
        <f aca="false">IFERROR(AI121*BD121,0)</f>
        <v>0</v>
      </c>
      <c r="BI121" s="22" t="str">
        <f aca="false">tab_alimentos[[#This Row],[Item]]</f>
        <v>Farofa (250g)</v>
      </c>
      <c r="BJ121" s="22" t="n">
        <f aca="false">IFERROR(FIND(" (",BI121),0)</f>
        <v>7</v>
      </c>
      <c r="BK121" s="22" t="str">
        <f aca="false">IF(BJ121=0,BI121,LEFT(BI121,BJ121-1))</f>
        <v>Farofa</v>
      </c>
      <c r="BL121" s="22" t="n">
        <f aca="false">tab_alimentos[[#This Row],[kg]]</f>
        <v>0</v>
      </c>
      <c r="BN121" s="22" t="n">
        <f aca="false">SUMIF($BJ$5:$BJ$158,BM121,$BK$5:$BK$158)</f>
        <v>0</v>
      </c>
      <c r="BP121" s="22" t="str">
        <f aca="false">tab_higiene[[#This Row],[Item]]</f>
        <v>L</v>
      </c>
      <c r="BQ121" s="22" t="n">
        <f aca="false">IFERROR(FIND(" (",BP121),0)</f>
        <v>0</v>
      </c>
      <c r="BR121" s="22" t="str">
        <f aca="false">IF(BQ121=0,BP121,LEFT(BP121,BQ121-1))</f>
        <v>L</v>
      </c>
      <c r="BS121" s="22" t="n">
        <f aca="false">higiene[[#This Row],[Quantidade]]</f>
        <v>0.07</v>
      </c>
      <c r="BT121" s="22" t="n">
        <f aca="false">tab_higiene[Qtde (tot)]</f>
        <v>0</v>
      </c>
      <c r="BU121" s="22" t="n">
        <f aca="false">BS121*BT121</f>
        <v>0</v>
      </c>
      <c r="BW121" s="22" t="n">
        <f aca="false">SUMIF($BR$5:$BR$142,BV121,$BU$5:$BU$142)</f>
        <v>0</v>
      </c>
    </row>
    <row r="122" customFormat="false" ht="15" hidden="false" customHeight="false" outlineLevel="0" collapsed="false">
      <c r="I122" s="26" t="str">
        <f aca="false">alimentos[[#This Row],[Item]]</f>
        <v>Farofa (300g)</v>
      </c>
      <c r="J122" s="27" t="n">
        <f aca="false">IFERROR(alimentos[[#This Row],[kg/embalagem]],0)</f>
        <v>0.3</v>
      </c>
      <c r="K122" s="27" t="n">
        <f aca="false">IFERROR(alimentos[[#This Row],[Preço]],0)</f>
        <v>3.39</v>
      </c>
      <c r="L122" s="27" t="n">
        <f aca="false">SUMIFS(super1[Qtde],super1[Item],tab_alimentos[[#This Row],[Item]],super1[Bairro],mercado1)+SUMIFS(supercb[Qtde],supercb[Item],tab_alimentos[[#This Row],[Item]],supercb[Bairro],mercado1)</f>
        <v>0</v>
      </c>
      <c r="M122" s="27" t="n">
        <f aca="false">SUMIFS(super1[Qtde],super1[Item],tab_alimentos[[#This Row],[Item]],super1[Bairro],mercado2)+SUMIFS(supercb[Qtde],supercb[Item],tab_alimentos[[#This Row],[Item]],supercb[Bairro],mercado2)</f>
        <v>0</v>
      </c>
      <c r="N122" s="27" t="n">
        <f aca="false">SUMIFS(super1[Qtde],super1[Item],tab_alimentos[[#This Row],[Item]],super1[Bairro],mercado3)+SUMIFS(supercb[Qtde],supercb[Item],tab_alimentos[[#This Row],[Item]],supercb[Bairro],mercado3)</f>
        <v>0</v>
      </c>
      <c r="O122" s="27" t="n">
        <f aca="false">SUMIFS(super1[Qtde],super1[Item],tab_alimentos[[#This Row],[Item]],super1[Bairro],mercado4)+SUMIFS(supercb[Qtde],supercb[Item],tab_alimentos[[#This Row],[Item]],supercb[Bairro],mercado4)</f>
        <v>0</v>
      </c>
      <c r="P122" s="27" t="n">
        <f aca="false">SUMIFS(super1[Qtde],super1[Item],tab_alimentos[[#This Row],[Item]],super1[Bairro],mercado5)+SUMIFS(supercb[Qtde],supercb[Item],tab_alimentos[[#This Row],[Item]],supercb[Bairro],mercado5)</f>
        <v>0</v>
      </c>
      <c r="Q122" s="27" t="n">
        <f aca="false">SUMIFS(super1[Qtde],super1[Item],tab_alimentos[[#This Row],[Item]],super1[Bairro],mercado6)+SUMIFS(supercb[Qtde],supercb[Item],tab_alimentos[[#This Row],[Item]],supercb[Bairro],mercado6)</f>
        <v>0</v>
      </c>
      <c r="R122" s="27" t="n">
        <f aca="false">SUMIFS(super1[Qtde],super1[Item],tab_alimentos[[#This Row],[Item]],super1[Bairro],mercado7)+SUMIFS(supercb[Qtde],supercb[Item],tab_alimentos[[#This Row],[Item]],supercb[Bairro],mercado7)</f>
        <v>0</v>
      </c>
      <c r="S122" s="27" t="n">
        <f aca="false">SUMIFS(super1[Qtde],super1[Item],tab_alimentos[[#This Row],[Item]],super1[Bairro],mercado8)+SUMIFS(supercb[Qtde],supercb[Item],tab_alimentos[[#This Row],[Item]],supercb[Bairro],mercado8)</f>
        <v>0</v>
      </c>
      <c r="T122" s="27" t="n">
        <f aca="false">SUMIFS(super1[Qtde],super1[Item],tab_alimentos[[#This Row],[Item]],super1[Bairro],mercado9)+SUMIFS(supercb[Qtde],supercb[Item],tab_alimentos[[#This Row],[Item]],supercb[Bairro],mercado9)</f>
        <v>0</v>
      </c>
      <c r="U122" s="27" t="n">
        <f aca="false">SUMIFS(super1[Qtde],super1[Item],tab_alimentos[[#This Row],[Item]],super1[Bairro],mercado10)+SUMIFS(supercb[Qtde],supercb[Item],tab_alimentos[[#This Row],[Item]],supercb[Bairro],mercado10)</f>
        <v>0</v>
      </c>
      <c r="V122" s="27" t="n">
        <f aca="false">SUMIFS(super1[Qtde],super1[Item],tab_alimentos[[#This Row],[Item]],super1[Bairro],mercado11)+SUMIFS(supercb[Qtde],supercb[Item],tab_alimentos[[#This Row],[Item]],supercb[Bairro],mercado11)</f>
        <v>0</v>
      </c>
      <c r="W122" s="27" t="n">
        <f aca="false">SUMIFS(super1[Qtde],super1[Item],tab_alimentos[[#This Row],[Item]],super1[Bairro],mercado12)+SUMIFS(supercb[Qtde],supercb[Item],tab_alimentos[[#This Row],[Item]],supercb[Bairro],mercado12)</f>
        <v>0</v>
      </c>
      <c r="X122" s="27" t="n">
        <f aca="false">SUMIFS(super1[Qtde],super1[Item],tab_alimentos[[#This Row],[Item]],super1[Bairro],mercado13)+SUMIFS(supercb[Qtde],supercb[Item],tab_alimentos[[#This Row],[Item]],supercb[Bairro],mercado13)</f>
        <v>0</v>
      </c>
      <c r="Y122" s="27" t="n">
        <f aca="false">SUMIFS(super1[Qtde],super1[Item],tab_alimentos[[#This Row],[Item]],super1[Bairro],mercado14)+SUMIFS(supercb[Qtde],supercb[Item],tab_alimentos[[#This Row],[Item]],supercb[Bairro],mercado14)</f>
        <v>0</v>
      </c>
      <c r="Z122" s="27" t="n">
        <f aca="false">SUMIFS(super1[Qtde],super1[Item],tab_alimentos[[#This Row],[Item]],super1[Bairro],mercado15)+SUMIFS(supercb[Qtde],supercb[Item],tab_alimentos[[#This Row],[Item]],supercb[Bairro],mercado15)</f>
        <v>0</v>
      </c>
      <c r="AA122" s="27" t="n">
        <f aca="false">SUMIFS(super1[Qtde],super1[Item],tab_alimentos[[#This Row],[Item]],super1[Bairro],mercado16)+SUMIFS(supercb[Qtde],supercb[Item],tab_alimentos[[#This Row],[Item]],supercb[Bairro],mercado16)</f>
        <v>0</v>
      </c>
      <c r="AB122" s="27" t="n">
        <f aca="false">SUMIFS(super1[Qtde],super1[Item],tab_alimentos[[#This Row],[Item]],super1[Bairro],mercado17)+SUMIFS(supercb[Qtde],supercb[Item],tab_alimentos[[#This Row],[Item]],supercb[Bairro],mercado17)</f>
        <v>0</v>
      </c>
      <c r="AC122" s="27" t="n">
        <f aca="false">SUMIFS(super1[Qtde],super1[Item],tab_alimentos[[#This Row],[Item]],super1[Bairro],mercado18)+SUMIFS(supercb[Qtde],supercb[Item],tab_alimentos[[#This Row],[Item]],supercb[Bairro],mercado18)</f>
        <v>0</v>
      </c>
      <c r="AD122" s="27" t="n">
        <f aca="false">SUMIFS(super1[Qtde],super1[Item],tab_alimentos[[#This Row],[Item]],super1[Bairro],extras)+SUMIFS(supercb[Qtde],supercb[Item],tab_alimentos[[#This Row],[Item]],supercb[Bairro],extras)</f>
        <v>0</v>
      </c>
      <c r="AE122" s="27" t="n">
        <f aca="false">SUM(L122:AC122)</f>
        <v>0</v>
      </c>
      <c r="AF122" s="27" t="n">
        <f aca="false">IFERROR(AE122*K122,0)</f>
        <v>0</v>
      </c>
      <c r="AG122" s="28" t="n">
        <f aca="false">IFERROR(J122*AE122,0)</f>
        <v>0</v>
      </c>
      <c r="AH122" s="26" t="str">
        <f aca="false">higiene[[#This Row],[Item]]</f>
        <v>Lâmina de barbear (1un)</v>
      </c>
      <c r="AI122" s="27" t="n">
        <f aca="false">IFERROR(higiene[[#This Row],[Kg equivalente]],0)</f>
        <v>6.82131261948415</v>
      </c>
      <c r="AJ122" s="27" t="n">
        <f aca="false">IFERROR(higiene[[#This Row],[Preço por produto]],0)</f>
        <v>22.595</v>
      </c>
      <c r="AK122" s="27" t="n">
        <f aca="false">SUMIFS(super1[Qtde],super1[Item],tab_higiene[[#This Row],[Item]],super1[Bairro],mercado1)+SUMIFS(supercb[Qtde],supercb[Item],tab_higiene[[#This Row],[Item]],supercb[Bairro],mercado1)</f>
        <v>0</v>
      </c>
      <c r="AL122" s="27" t="n">
        <f aca="false">SUMIFS(super1[Qtde],super1[Item],tab_higiene[[#This Row],[Item]],super1[Bairro],mercado2)+SUMIFS(supercb[Qtde],supercb[Item],tab_higiene[[#This Row],[Item]],supercb[Bairro],mercado2)</f>
        <v>0</v>
      </c>
      <c r="AM122" s="27" t="n">
        <f aca="false">SUMIFS(super1[Qtde],super1[Item],tab_higiene[[#This Row],[Item]],super1[Bairro],mercado3)+SUMIFS(supercb[Qtde],supercb[Item],tab_higiene[[#This Row],[Item]],supercb[Bairro],mercado3)</f>
        <v>0</v>
      </c>
      <c r="AN122" s="27" t="n">
        <f aca="false">SUMIFS(super1[Qtde],super1[Item],tab_higiene[[#This Row],[Item]],super1[Bairro],mercado4)+SUMIFS(supercb[Qtde],supercb[Item],tab_higiene[[#This Row],[Item]],supercb[Bairro],mercado4)</f>
        <v>0</v>
      </c>
      <c r="AO122" s="27" t="n">
        <f aca="false">SUMIFS(super1[Qtde],super1[Item],tab_higiene[[#This Row],[Item]],super1[Bairro],mercado5)+SUMIFS(supercb[Qtde],supercb[Item],tab_higiene[[#This Row],[Item]],supercb[Bairro],mercado5)</f>
        <v>0</v>
      </c>
      <c r="AP122" s="27" t="n">
        <f aca="false">SUMIFS(super1[Qtde],super1[Item],tab_higiene[[#This Row],[Item]],super1[Bairro],mercado6)+SUMIFS(supercb[Qtde],supercb[Item],tab_higiene[[#This Row],[Item]],supercb[Bairro],mercado6)</f>
        <v>0</v>
      </c>
      <c r="AQ122" s="27" t="n">
        <f aca="false">SUMIFS(super1[Qtde],super1[Item],tab_higiene[[#This Row],[Item]],super1[Bairro],mercado7)+SUMIFS(supercb[Qtde],supercb[Item],tab_higiene[[#This Row],[Item]],supercb[Bairro],mercado7)</f>
        <v>0</v>
      </c>
      <c r="AR122" s="27" t="n">
        <f aca="false">SUMIFS(super1[Qtde],super1[Item],tab_higiene[[#This Row],[Item]],super1[Bairro],mercado8)+SUMIFS(supercb[Qtde],supercb[Item],tab_higiene[[#This Row],[Item]],supercb[Bairro],mercado8)</f>
        <v>0</v>
      </c>
      <c r="AS122" s="27" t="n">
        <f aca="false">SUMIFS(super1[Qtde],super1[Item],tab_higiene[[#This Row],[Item]],super1[Bairro],mercado9)+SUMIFS(supercb[Qtde],supercb[Item],tab_higiene[[#This Row],[Item]],supercb[Bairro],mercado9)</f>
        <v>0</v>
      </c>
      <c r="AT122" s="27" t="n">
        <f aca="false">SUMIFS(super1[Qtde],super1[Item],tab_higiene[[#This Row],[Item]],super1[Bairro],mercado10)+SUMIFS(supercb[Qtde],supercb[Item],tab_higiene[[#This Row],[Item]],supercb[Bairro],mercado10)</f>
        <v>0</v>
      </c>
      <c r="AU122" s="27" t="n">
        <f aca="false">SUMIFS(super1[Qtde],super1[Item],tab_higiene[[#This Row],[Item]],super1[Bairro],mercado11)+SUMIFS(supercb[Qtde],supercb[Item],tab_higiene[[#This Row],[Item]],supercb[Bairro],mercado11)</f>
        <v>0</v>
      </c>
      <c r="AV122" s="27" t="n">
        <f aca="false">SUMIFS(super1[Qtde],super1[Item],tab_higiene[[#This Row],[Item]],super1[Bairro],mercado12)+SUMIFS(supercb[Qtde],supercb[Item],tab_higiene[[#This Row],[Item]],supercb[Bairro],mercado12)</f>
        <v>0</v>
      </c>
      <c r="AW122" s="27" t="n">
        <f aca="false">SUMIFS(super1[Qtde],super1[Item],tab_higiene[[#This Row],[Item]],super1[Bairro],mercado13)+SUMIFS(supercb[Qtde],supercb[Item],tab_higiene[[#This Row],[Item]],supercb[Bairro],mercado13)</f>
        <v>0</v>
      </c>
      <c r="AX122" s="27" t="n">
        <f aca="false">SUMIFS(super1[Qtde],super1[Item],tab_higiene[[#This Row],[Item]],super1[Bairro],mercado14)+SUMIFS(supercb[Qtde],supercb[Item],tab_higiene[[#This Row],[Item]],supercb[Bairro],mercado14)</f>
        <v>0</v>
      </c>
      <c r="AY122" s="27" t="n">
        <f aca="false">SUMIFS(super1[Qtde],super1[Item],tab_higiene[[#This Row],[Item]],super1[Bairro],mercado15)+SUMIFS(supercb[Qtde],supercb[Item],tab_higiene[[#This Row],[Item]],supercb[Bairro],mercado15)</f>
        <v>0</v>
      </c>
      <c r="AZ122" s="27" t="n">
        <f aca="false">SUMIFS(super1[Qtde],super1[Item],tab_higiene[[#This Row],[Item]],super1[Bairro],mercado16)+SUMIFS(supercb[Qtde],supercb[Item],tab_higiene[[#This Row],[Item]],supercb[Bairro],mercado16)</f>
        <v>0</v>
      </c>
      <c r="BA122" s="27" t="n">
        <f aca="false">SUMIFS(super1[Qtde],super1[Item],tab_higiene[[#This Row],[Item]],super1[Bairro],mercado17)+SUMIFS(supercb[Qtde],supercb[Item],tab_higiene[[#This Row],[Item]],supercb[Bairro],mercado17)</f>
        <v>0</v>
      </c>
      <c r="BB122" s="27" t="n">
        <f aca="false">SUMIFS(super1[Qtde],super1[Item],tab_higiene[[#This Row],[Item]],super1[Bairro],mercado18)+SUMIFS(supercb[Qtde],supercb[Item],tab_higiene[[#This Row],[Item]],supercb[Bairro],mercado18)</f>
        <v>0</v>
      </c>
      <c r="BC122" s="27" t="n">
        <f aca="false">SUMIFS(super1[Qtde],super1[Item],tab_higiene[[#This Row],[Item]],super1[Bairro],extras)+SUMIFS(supercb[Qtde],supercb[Item],tab_higiene[[#This Row],[Item]],supercb[Bairro],extras)</f>
        <v>0</v>
      </c>
      <c r="BD122" s="27" t="n">
        <f aca="false">SUM(AK122:BB122)</f>
        <v>0</v>
      </c>
      <c r="BE122" s="27" t="n">
        <f aca="false">IFERROR(BD122*AJ122,0)</f>
        <v>0</v>
      </c>
      <c r="BF122" s="28" t="n">
        <f aca="false">IFERROR(AI122*BD122,0)</f>
        <v>0</v>
      </c>
      <c r="BI122" s="22" t="str">
        <f aca="false">tab_alimentos[[#This Row],[Item]]</f>
        <v>Farofa (300g)</v>
      </c>
      <c r="BJ122" s="22" t="n">
        <f aca="false">IFERROR(FIND(" (",BI122),0)</f>
        <v>7</v>
      </c>
      <c r="BK122" s="22" t="str">
        <f aca="false">IF(BJ122=0,BI122,LEFT(BI122,BJ122-1))</f>
        <v>Farofa</v>
      </c>
      <c r="BL122" s="22" t="n">
        <f aca="false">tab_alimentos[[#This Row],[kg]]</f>
        <v>0</v>
      </c>
      <c r="BN122" s="22" t="n">
        <f aca="false">SUMIF($BJ$5:$BJ$158,BM122,$BK$5:$BK$158)</f>
        <v>0</v>
      </c>
      <c r="BP122" s="22" t="str">
        <f aca="false">tab_higiene[[#This Row],[Item]]</f>
        <v>Lâmina de barbear (1un)</v>
      </c>
      <c r="BQ122" s="22" t="n">
        <f aca="false">IFERROR(FIND(" (",BP122),0)</f>
        <v>18</v>
      </c>
      <c r="BR122" s="22" t="str">
        <f aca="false">IF(BQ122=0,BP122,LEFT(BP122,BQ122-1))</f>
        <v>Lâmina de barbear</v>
      </c>
      <c r="BS122" s="22" t="n">
        <f aca="false">higiene[[#This Row],[Quantidade]]</f>
        <v>0.09</v>
      </c>
      <c r="BT122" s="22" t="n">
        <f aca="false">tab_higiene[Qtde (tot)]</f>
        <v>0</v>
      </c>
      <c r="BU122" s="22" t="n">
        <f aca="false">BS122*BT122</f>
        <v>0</v>
      </c>
      <c r="BW122" s="22" t="n">
        <f aca="false">SUMIF($BR$5:$BR$142,BV122,$BU$5:$BU$142)</f>
        <v>0</v>
      </c>
    </row>
    <row r="123" customFormat="false" ht="15" hidden="false" customHeight="false" outlineLevel="0" collapsed="false">
      <c r="I123" s="26" t="str">
        <f aca="false">alimentos[[#This Row],[Item]]</f>
        <v>Farofa (500g)</v>
      </c>
      <c r="J123" s="27" t="n">
        <f aca="false">IFERROR(alimentos[[#This Row],[kg/embalagem]],0)</f>
        <v>0.5</v>
      </c>
      <c r="K123" s="27" t="n">
        <f aca="false">IFERROR(alimentos[[#This Row],[Preço]],0)</f>
        <v>4.406</v>
      </c>
      <c r="L123" s="27" t="n">
        <f aca="false">SUMIFS(super1[Qtde],super1[Item],tab_alimentos[[#This Row],[Item]],super1[Bairro],mercado1)+SUMIFS(supercb[Qtde],supercb[Item],tab_alimentos[[#This Row],[Item]],supercb[Bairro],mercado1)</f>
        <v>0</v>
      </c>
      <c r="M123" s="27" t="n">
        <f aca="false">SUMIFS(super1[Qtde],super1[Item],tab_alimentos[[#This Row],[Item]],super1[Bairro],mercado2)+SUMIFS(supercb[Qtde],supercb[Item],tab_alimentos[[#This Row],[Item]],supercb[Bairro],mercado2)</f>
        <v>1</v>
      </c>
      <c r="N123" s="27" t="n">
        <f aca="false">SUMIFS(super1[Qtde],super1[Item],tab_alimentos[[#This Row],[Item]],super1[Bairro],mercado3)+SUMIFS(supercb[Qtde],supercb[Item],tab_alimentos[[#This Row],[Item]],supercb[Bairro],mercado3)</f>
        <v>1</v>
      </c>
      <c r="O123" s="27" t="n">
        <f aca="false">SUMIFS(super1[Qtde],super1[Item],tab_alimentos[[#This Row],[Item]],super1[Bairro],mercado4)+SUMIFS(supercb[Qtde],supercb[Item],tab_alimentos[[#This Row],[Item]],supercb[Bairro],mercado4)</f>
        <v>0</v>
      </c>
      <c r="P123" s="27" t="n">
        <f aca="false">SUMIFS(super1[Qtde],super1[Item],tab_alimentos[[#This Row],[Item]],super1[Bairro],mercado5)+SUMIFS(supercb[Qtde],supercb[Item],tab_alimentos[[#This Row],[Item]],supercb[Bairro],mercado5)</f>
        <v>0</v>
      </c>
      <c r="Q123" s="27" t="n">
        <f aca="false">SUMIFS(super1[Qtde],super1[Item],tab_alimentos[[#This Row],[Item]],super1[Bairro],mercado6)+SUMIFS(supercb[Qtde],supercb[Item],tab_alimentos[[#This Row],[Item]],supercb[Bairro],mercado6)</f>
        <v>0</v>
      </c>
      <c r="R123" s="27" t="n">
        <f aca="false">SUMIFS(super1[Qtde],super1[Item],tab_alimentos[[#This Row],[Item]],super1[Bairro],mercado7)+SUMIFS(supercb[Qtde],supercb[Item],tab_alimentos[[#This Row],[Item]],supercb[Bairro],mercado7)</f>
        <v>1</v>
      </c>
      <c r="S123" s="27" t="n">
        <f aca="false">SUMIFS(super1[Qtde],super1[Item],tab_alimentos[[#This Row],[Item]],super1[Bairro],mercado8)+SUMIFS(supercb[Qtde],supercb[Item],tab_alimentos[[#This Row],[Item]],supercb[Bairro],mercado8)</f>
        <v>1</v>
      </c>
      <c r="T123" s="27" t="n">
        <f aca="false">SUMIFS(super1[Qtde],super1[Item],tab_alimentos[[#This Row],[Item]],super1[Bairro],mercado9)+SUMIFS(supercb[Qtde],supercb[Item],tab_alimentos[[#This Row],[Item]],supercb[Bairro],mercado9)</f>
        <v>0</v>
      </c>
      <c r="U123" s="27" t="n">
        <f aca="false">SUMIFS(super1[Qtde],super1[Item],tab_alimentos[[#This Row],[Item]],super1[Bairro],mercado10)+SUMIFS(supercb[Qtde],supercb[Item],tab_alimentos[[#This Row],[Item]],supercb[Bairro],mercado10)</f>
        <v>0</v>
      </c>
      <c r="V123" s="27" t="n">
        <f aca="false">SUMIFS(super1[Qtde],super1[Item],tab_alimentos[[#This Row],[Item]],super1[Bairro],mercado11)+SUMIFS(supercb[Qtde],supercb[Item],tab_alimentos[[#This Row],[Item]],supercb[Bairro],mercado11)</f>
        <v>0</v>
      </c>
      <c r="W123" s="27" t="n">
        <f aca="false">SUMIFS(super1[Qtde],super1[Item],tab_alimentos[[#This Row],[Item]],super1[Bairro],mercado12)+SUMIFS(supercb[Qtde],supercb[Item],tab_alimentos[[#This Row],[Item]],supercb[Bairro],mercado12)</f>
        <v>0</v>
      </c>
      <c r="X123" s="27" t="n">
        <f aca="false">SUMIFS(super1[Qtde],super1[Item],tab_alimentos[[#This Row],[Item]],super1[Bairro],mercado13)+SUMIFS(supercb[Qtde],supercb[Item],tab_alimentos[[#This Row],[Item]],supercb[Bairro],mercado13)</f>
        <v>0</v>
      </c>
      <c r="Y123" s="27" t="n">
        <f aca="false">SUMIFS(super1[Qtde],super1[Item],tab_alimentos[[#This Row],[Item]],super1[Bairro],mercado14)+SUMIFS(supercb[Qtde],supercb[Item],tab_alimentos[[#This Row],[Item]],supercb[Bairro],mercado14)</f>
        <v>0</v>
      </c>
      <c r="Z123" s="27" t="n">
        <f aca="false">SUMIFS(super1[Qtde],super1[Item],tab_alimentos[[#This Row],[Item]],super1[Bairro],mercado15)+SUMIFS(supercb[Qtde],supercb[Item],tab_alimentos[[#This Row],[Item]],supercb[Bairro],mercado15)</f>
        <v>0</v>
      </c>
      <c r="AA123" s="27" t="n">
        <f aca="false">SUMIFS(super1[Qtde],super1[Item],tab_alimentos[[#This Row],[Item]],super1[Bairro],mercado16)+SUMIFS(supercb[Qtde],supercb[Item],tab_alimentos[[#This Row],[Item]],supercb[Bairro],mercado16)</f>
        <v>0</v>
      </c>
      <c r="AB123" s="27" t="n">
        <f aca="false">SUMIFS(super1[Qtde],super1[Item],tab_alimentos[[#This Row],[Item]],super1[Bairro],mercado17)+SUMIFS(supercb[Qtde],supercb[Item],tab_alimentos[[#This Row],[Item]],supercb[Bairro],mercado17)</f>
        <v>0</v>
      </c>
      <c r="AC123" s="27" t="n">
        <f aca="false">SUMIFS(super1[Qtde],super1[Item],tab_alimentos[[#This Row],[Item]],super1[Bairro],mercado18)+SUMIFS(supercb[Qtde],supercb[Item],tab_alimentos[[#This Row],[Item]],supercb[Bairro],mercado18)</f>
        <v>0</v>
      </c>
      <c r="AD123" s="27" t="n">
        <f aca="false">SUMIFS(super1[Qtde],super1[Item],tab_alimentos[[#This Row],[Item]],super1[Bairro],extras)+SUMIFS(supercb[Qtde],supercb[Item],tab_alimentos[[#This Row],[Item]],supercb[Bairro],extras)</f>
        <v>0</v>
      </c>
      <c r="AE123" s="27" t="n">
        <f aca="false">SUM(L123:AC123)</f>
        <v>4</v>
      </c>
      <c r="AF123" s="27" t="n">
        <f aca="false">IFERROR(AE123*K123,0)</f>
        <v>17.624</v>
      </c>
      <c r="AG123" s="28" t="n">
        <f aca="false">IFERROR(J123*AE123,0)</f>
        <v>2</v>
      </c>
      <c r="AH123" s="26" t="str">
        <f aca="false">higiene[[#This Row],[Item]]</f>
        <v>Lâmina de barbear (2un)</v>
      </c>
      <c r="AI123" s="27" t="n">
        <f aca="false">IFERROR(higiene[[#This Row],[Kg equivalente]],0)</f>
        <v>1.80834974953353</v>
      </c>
      <c r="AJ123" s="27" t="n">
        <f aca="false">IFERROR(higiene[[#This Row],[Preço por produto]],0)</f>
        <v>5.99</v>
      </c>
      <c r="AK123" s="27" t="n">
        <f aca="false">SUMIFS(super1[Qtde],super1[Item],tab_higiene[[#This Row],[Item]],super1[Bairro],mercado1)+SUMIFS(supercb[Qtde],supercb[Item],tab_higiene[[#This Row],[Item]],supercb[Bairro],mercado1)</f>
        <v>1</v>
      </c>
      <c r="AL123" s="27" t="n">
        <f aca="false">SUMIFS(super1[Qtde],super1[Item],tab_higiene[[#This Row],[Item]],super1[Bairro],mercado2)+SUMIFS(supercb[Qtde],supercb[Item],tab_higiene[[#This Row],[Item]],supercb[Bairro],mercado2)</f>
        <v>0</v>
      </c>
      <c r="AM123" s="27" t="n">
        <f aca="false">SUMIFS(super1[Qtde],super1[Item],tab_higiene[[#This Row],[Item]],super1[Bairro],mercado3)+SUMIFS(supercb[Qtde],supercb[Item],tab_higiene[[#This Row],[Item]],supercb[Bairro],mercado3)</f>
        <v>0</v>
      </c>
      <c r="AN123" s="27" t="n">
        <f aca="false">SUMIFS(super1[Qtde],super1[Item],tab_higiene[[#This Row],[Item]],super1[Bairro],mercado4)+SUMIFS(supercb[Qtde],supercb[Item],tab_higiene[[#This Row],[Item]],supercb[Bairro],mercado4)</f>
        <v>2</v>
      </c>
      <c r="AO123" s="27" t="n">
        <f aca="false">SUMIFS(super1[Qtde],super1[Item],tab_higiene[[#This Row],[Item]],super1[Bairro],mercado5)+SUMIFS(supercb[Qtde],supercb[Item],tab_higiene[[#This Row],[Item]],supercb[Bairro],mercado5)</f>
        <v>4</v>
      </c>
      <c r="AP123" s="27" t="n">
        <f aca="false">SUMIFS(super1[Qtde],super1[Item],tab_higiene[[#This Row],[Item]],super1[Bairro],mercado6)+SUMIFS(supercb[Qtde],supercb[Item],tab_higiene[[#This Row],[Item]],supercb[Bairro],mercado6)</f>
        <v>1</v>
      </c>
      <c r="AQ123" s="27" t="n">
        <f aca="false">SUMIFS(super1[Qtde],super1[Item],tab_higiene[[#This Row],[Item]],super1[Bairro],mercado7)+SUMIFS(supercb[Qtde],supercb[Item],tab_higiene[[#This Row],[Item]],supercb[Bairro],mercado7)</f>
        <v>6</v>
      </c>
      <c r="AR123" s="27" t="n">
        <f aca="false">SUMIFS(super1[Qtde],super1[Item],tab_higiene[[#This Row],[Item]],super1[Bairro],mercado8)+SUMIFS(supercb[Qtde],supercb[Item],tab_higiene[[#This Row],[Item]],supercb[Bairro],mercado8)</f>
        <v>3</v>
      </c>
      <c r="AS123" s="27" t="n">
        <f aca="false">SUMIFS(super1[Qtde],super1[Item],tab_higiene[[#This Row],[Item]],super1[Bairro],mercado9)+SUMIFS(supercb[Qtde],supercb[Item],tab_higiene[[#This Row],[Item]],supercb[Bairro],mercado9)</f>
        <v>3</v>
      </c>
      <c r="AT123" s="27" t="n">
        <f aca="false">SUMIFS(super1[Qtde],super1[Item],tab_higiene[[#This Row],[Item]],super1[Bairro],mercado10)+SUMIFS(supercb[Qtde],supercb[Item],tab_higiene[[#This Row],[Item]],supercb[Bairro],mercado10)</f>
        <v>11</v>
      </c>
      <c r="AU123" s="27" t="n">
        <f aca="false">SUMIFS(super1[Qtde],super1[Item],tab_higiene[[#This Row],[Item]],super1[Bairro],mercado11)+SUMIFS(supercb[Qtde],supercb[Item],tab_higiene[[#This Row],[Item]],supercb[Bairro],mercado11)</f>
        <v>4</v>
      </c>
      <c r="AV123" s="27" t="n">
        <f aca="false">SUMIFS(super1[Qtde],super1[Item],tab_higiene[[#This Row],[Item]],super1[Bairro],mercado12)+SUMIFS(supercb[Qtde],supercb[Item],tab_higiene[[#This Row],[Item]],supercb[Bairro],mercado12)</f>
        <v>0</v>
      </c>
      <c r="AW123" s="27" t="n">
        <f aca="false">SUMIFS(super1[Qtde],super1[Item],tab_higiene[[#This Row],[Item]],super1[Bairro],mercado13)+SUMIFS(supercb[Qtde],supercb[Item],tab_higiene[[#This Row],[Item]],supercb[Bairro],mercado13)</f>
        <v>0</v>
      </c>
      <c r="AX123" s="27" t="n">
        <f aca="false">SUMIFS(super1[Qtde],super1[Item],tab_higiene[[#This Row],[Item]],super1[Bairro],mercado14)+SUMIFS(supercb[Qtde],supercb[Item],tab_higiene[[#This Row],[Item]],supercb[Bairro],mercado14)</f>
        <v>0</v>
      </c>
      <c r="AY123" s="27" t="n">
        <f aca="false">SUMIFS(super1[Qtde],super1[Item],tab_higiene[[#This Row],[Item]],super1[Bairro],mercado15)+SUMIFS(supercb[Qtde],supercb[Item],tab_higiene[[#This Row],[Item]],supercb[Bairro],mercado15)</f>
        <v>0</v>
      </c>
      <c r="AZ123" s="27" t="n">
        <f aca="false">SUMIFS(super1[Qtde],super1[Item],tab_higiene[[#This Row],[Item]],super1[Bairro],mercado16)+SUMIFS(supercb[Qtde],supercb[Item],tab_higiene[[#This Row],[Item]],supercb[Bairro],mercado16)</f>
        <v>0</v>
      </c>
      <c r="BA123" s="27" t="n">
        <f aca="false">SUMIFS(super1[Qtde],super1[Item],tab_higiene[[#This Row],[Item]],super1[Bairro],mercado17)+SUMIFS(supercb[Qtde],supercb[Item],tab_higiene[[#This Row],[Item]],supercb[Bairro],mercado17)</f>
        <v>0</v>
      </c>
      <c r="BB123" s="27" t="n">
        <f aca="false">SUMIFS(super1[Qtde],super1[Item],tab_higiene[[#This Row],[Item]],super1[Bairro],mercado18)+SUMIFS(supercb[Qtde],supercb[Item],tab_higiene[[#This Row],[Item]],supercb[Bairro],mercado18)</f>
        <v>0</v>
      </c>
      <c r="BC123" s="27" t="n">
        <f aca="false">SUMIFS(super1[Qtde],super1[Item],tab_higiene[[#This Row],[Item]],super1[Bairro],extras)+SUMIFS(supercb[Qtde],supercb[Item],tab_higiene[[#This Row],[Item]],supercb[Bairro],extras)</f>
        <v>0</v>
      </c>
      <c r="BD123" s="27" t="n">
        <f aca="false">SUM(AK123:BB123)</f>
        <v>35</v>
      </c>
      <c r="BE123" s="27" t="n">
        <f aca="false">IFERROR(BD123*AJ123,0)</f>
        <v>209.65</v>
      </c>
      <c r="BF123" s="28" t="n">
        <f aca="false">IFERROR(AI123*BD123,0)</f>
        <v>63.2922412336735</v>
      </c>
      <c r="BI123" s="22" t="str">
        <f aca="false">tab_alimentos[[#This Row],[Item]]</f>
        <v>Farofa (500g)</v>
      </c>
      <c r="BJ123" s="22" t="n">
        <f aca="false">IFERROR(FIND(" (",BI123),0)</f>
        <v>7</v>
      </c>
      <c r="BK123" s="22" t="str">
        <f aca="false">IF(BJ123=0,BI123,LEFT(BI123,BJ123-1))</f>
        <v>Farofa</v>
      </c>
      <c r="BL123" s="22" t="n">
        <f aca="false">tab_alimentos[[#This Row],[kg]]</f>
        <v>2</v>
      </c>
      <c r="BN123" s="22" t="n">
        <f aca="false">SUMIF($BJ$5:$BJ$158,BM123,$BK$5:$BK$158)</f>
        <v>0</v>
      </c>
      <c r="BP123" s="22" t="str">
        <f aca="false">tab_higiene[[#This Row],[Item]]</f>
        <v>Lâmina de barbear (2un)</v>
      </c>
      <c r="BQ123" s="22" t="n">
        <f aca="false">IFERROR(FIND(" (",BP123),0)</f>
        <v>18</v>
      </c>
      <c r="BR123" s="22" t="str">
        <f aca="false">IF(BQ123=0,BP123,LEFT(BP123,BQ123-1))</f>
        <v>Lâmina de barbear</v>
      </c>
      <c r="BS123" s="22" t="n">
        <f aca="false">higiene[[#This Row],[Quantidade]]</f>
        <v>0.1</v>
      </c>
      <c r="BT123" s="22" t="n">
        <f aca="false">tab_higiene[Qtde (tot)]</f>
        <v>35</v>
      </c>
      <c r="BU123" s="22" t="n">
        <f aca="false">BS123*BT123</f>
        <v>3.5</v>
      </c>
      <c r="BW123" s="22" t="n">
        <f aca="false">SUMIF($BR$5:$BR$142,BV123,$BU$5:$BU$142)</f>
        <v>0</v>
      </c>
    </row>
    <row r="124" customFormat="false" ht="15" hidden="false" customHeight="false" outlineLevel="0" collapsed="false">
      <c r="I124" s="26" t="str">
        <f aca="false">alimentos[[#This Row],[Item]]</f>
        <v>farofa de mandioca (250g)</v>
      </c>
      <c r="J124" s="27" t="n">
        <f aca="false">IFERROR(alimentos[[#This Row],[kg/embalagem]],0)</f>
        <v>0.25</v>
      </c>
      <c r="K124" s="27" t="n">
        <f aca="false">IFERROR(alimentos[[#This Row],[Preço]],0)</f>
        <v>2.57</v>
      </c>
      <c r="L124" s="27" t="n">
        <f aca="false">SUMIFS(super1[Qtde],super1[Item],tab_alimentos[[#This Row],[Item]],super1[Bairro],mercado1)+SUMIFS(supercb[Qtde],supercb[Item],tab_alimentos[[#This Row],[Item]],supercb[Bairro],mercado1)</f>
        <v>0</v>
      </c>
      <c r="M124" s="27" t="n">
        <f aca="false">SUMIFS(super1[Qtde],super1[Item],tab_alimentos[[#This Row],[Item]],super1[Bairro],mercado2)+SUMIFS(supercb[Qtde],supercb[Item],tab_alimentos[[#This Row],[Item]],supercb[Bairro],mercado2)</f>
        <v>0</v>
      </c>
      <c r="N124" s="27" t="n">
        <f aca="false">SUMIFS(super1[Qtde],super1[Item],tab_alimentos[[#This Row],[Item]],super1[Bairro],mercado3)+SUMIFS(supercb[Qtde],supercb[Item],tab_alimentos[[#This Row],[Item]],supercb[Bairro],mercado3)</f>
        <v>0</v>
      </c>
      <c r="O124" s="27" t="n">
        <f aca="false">SUMIFS(super1[Qtde],super1[Item],tab_alimentos[[#This Row],[Item]],super1[Bairro],mercado4)+SUMIFS(supercb[Qtde],supercb[Item],tab_alimentos[[#This Row],[Item]],supercb[Bairro],mercado4)</f>
        <v>0</v>
      </c>
      <c r="P124" s="27" t="n">
        <f aca="false">SUMIFS(super1[Qtde],super1[Item],tab_alimentos[[#This Row],[Item]],super1[Bairro],mercado5)+SUMIFS(supercb[Qtde],supercb[Item],tab_alimentos[[#This Row],[Item]],supercb[Bairro],mercado5)</f>
        <v>0</v>
      </c>
      <c r="Q124" s="27" t="n">
        <f aca="false">SUMIFS(super1[Qtde],super1[Item],tab_alimentos[[#This Row],[Item]],super1[Bairro],mercado6)+SUMIFS(supercb[Qtde],supercb[Item],tab_alimentos[[#This Row],[Item]],supercb[Bairro],mercado6)</f>
        <v>0</v>
      </c>
      <c r="R124" s="27" t="n">
        <f aca="false">SUMIFS(super1[Qtde],super1[Item],tab_alimentos[[#This Row],[Item]],super1[Bairro],mercado7)+SUMIFS(supercb[Qtde],supercb[Item],tab_alimentos[[#This Row],[Item]],supercb[Bairro],mercado7)</f>
        <v>0</v>
      </c>
      <c r="S124" s="27" t="n">
        <f aca="false">SUMIFS(super1[Qtde],super1[Item],tab_alimentos[[#This Row],[Item]],super1[Bairro],mercado8)+SUMIFS(supercb[Qtde],supercb[Item],tab_alimentos[[#This Row],[Item]],supercb[Bairro],mercado8)</f>
        <v>5</v>
      </c>
      <c r="T124" s="27" t="n">
        <f aca="false">SUMIFS(super1[Qtde],super1[Item],tab_alimentos[[#This Row],[Item]],super1[Bairro],mercado9)+SUMIFS(supercb[Qtde],supercb[Item],tab_alimentos[[#This Row],[Item]],supercb[Bairro],mercado9)</f>
        <v>0</v>
      </c>
      <c r="U124" s="27" t="n">
        <f aca="false">SUMIFS(super1[Qtde],super1[Item],tab_alimentos[[#This Row],[Item]],super1[Bairro],mercado10)+SUMIFS(supercb[Qtde],supercb[Item],tab_alimentos[[#This Row],[Item]],supercb[Bairro],mercado10)</f>
        <v>0</v>
      </c>
      <c r="V124" s="27" t="n">
        <f aca="false">SUMIFS(super1[Qtde],super1[Item],tab_alimentos[[#This Row],[Item]],super1[Bairro],mercado11)+SUMIFS(supercb[Qtde],supercb[Item],tab_alimentos[[#This Row],[Item]],supercb[Bairro],mercado11)</f>
        <v>0</v>
      </c>
      <c r="W124" s="27" t="n">
        <f aca="false">SUMIFS(super1[Qtde],super1[Item],tab_alimentos[[#This Row],[Item]],super1[Bairro],mercado12)+SUMIFS(supercb[Qtde],supercb[Item],tab_alimentos[[#This Row],[Item]],supercb[Bairro],mercado12)</f>
        <v>0</v>
      </c>
      <c r="X124" s="27" t="n">
        <f aca="false">SUMIFS(super1[Qtde],super1[Item],tab_alimentos[[#This Row],[Item]],super1[Bairro],mercado13)+SUMIFS(supercb[Qtde],supercb[Item],tab_alimentos[[#This Row],[Item]],supercb[Bairro],mercado13)</f>
        <v>0</v>
      </c>
      <c r="Y124" s="27" t="n">
        <f aca="false">SUMIFS(super1[Qtde],super1[Item],tab_alimentos[[#This Row],[Item]],super1[Bairro],mercado14)+SUMIFS(supercb[Qtde],supercb[Item],tab_alimentos[[#This Row],[Item]],supercb[Bairro],mercado14)</f>
        <v>0</v>
      </c>
      <c r="Z124" s="27" t="n">
        <f aca="false">SUMIFS(super1[Qtde],super1[Item],tab_alimentos[[#This Row],[Item]],super1[Bairro],mercado15)+SUMIFS(supercb[Qtde],supercb[Item],tab_alimentos[[#This Row],[Item]],supercb[Bairro],mercado15)</f>
        <v>0</v>
      </c>
      <c r="AA124" s="27" t="n">
        <f aca="false">SUMIFS(super1[Qtde],super1[Item],tab_alimentos[[#This Row],[Item]],super1[Bairro],mercado16)+SUMIFS(supercb[Qtde],supercb[Item],tab_alimentos[[#This Row],[Item]],supercb[Bairro],mercado16)</f>
        <v>0</v>
      </c>
      <c r="AB124" s="27" t="n">
        <f aca="false">SUMIFS(super1[Qtde],super1[Item],tab_alimentos[[#This Row],[Item]],super1[Bairro],mercado17)+SUMIFS(supercb[Qtde],supercb[Item],tab_alimentos[[#This Row],[Item]],supercb[Bairro],mercado17)</f>
        <v>0</v>
      </c>
      <c r="AC124" s="27" t="n">
        <f aca="false">SUMIFS(super1[Qtde],super1[Item],tab_alimentos[[#This Row],[Item]],super1[Bairro],mercado18)+SUMIFS(supercb[Qtde],supercb[Item],tab_alimentos[[#This Row],[Item]],supercb[Bairro],mercado18)</f>
        <v>0</v>
      </c>
      <c r="AD124" s="27" t="n">
        <f aca="false">SUMIFS(super1[Qtde],super1[Item],tab_alimentos[[#This Row],[Item]],super1[Bairro],extras)+SUMIFS(supercb[Qtde],supercb[Item],tab_alimentos[[#This Row],[Item]],supercb[Bairro],extras)</f>
        <v>0</v>
      </c>
      <c r="AE124" s="27" t="n">
        <f aca="false">SUM(L124:AC124)</f>
        <v>5</v>
      </c>
      <c r="AF124" s="27" t="n">
        <f aca="false">IFERROR(AE124*K124,0)</f>
        <v>12.85</v>
      </c>
      <c r="AG124" s="28" t="n">
        <f aca="false">IFERROR(J124*AE124,0)</f>
        <v>1.25</v>
      </c>
      <c r="AH124" s="26" t="str">
        <f aca="false">higiene[[#This Row],[Item]]</f>
        <v>Lâmina de barbear (3un)</v>
      </c>
      <c r="AI124" s="27" t="n">
        <f aca="false">IFERROR(higiene[[#This Row],[Kg equivalente]],0)</f>
        <v>6.33375254511075</v>
      </c>
      <c r="AJ124" s="27" t="n">
        <f aca="false">IFERROR(higiene[[#This Row],[Preço por produto]],0)</f>
        <v>20.98</v>
      </c>
      <c r="AK124" s="27" t="n">
        <f aca="false">SUMIFS(super1[Qtde],super1[Item],tab_higiene[[#This Row],[Item]],super1[Bairro],mercado1)+SUMIFS(supercb[Qtde],supercb[Item],tab_higiene[[#This Row],[Item]],supercb[Bairro],mercado1)</f>
        <v>0</v>
      </c>
      <c r="AL124" s="27" t="n">
        <f aca="false">SUMIFS(super1[Qtde],super1[Item],tab_higiene[[#This Row],[Item]],super1[Bairro],mercado2)+SUMIFS(supercb[Qtde],supercb[Item],tab_higiene[[#This Row],[Item]],supercb[Bairro],mercado2)</f>
        <v>0</v>
      </c>
      <c r="AM124" s="27" t="n">
        <f aca="false">SUMIFS(super1[Qtde],super1[Item],tab_higiene[[#This Row],[Item]],super1[Bairro],mercado3)+SUMIFS(supercb[Qtde],supercb[Item],tab_higiene[[#This Row],[Item]],supercb[Bairro],mercado3)</f>
        <v>0</v>
      </c>
      <c r="AN124" s="27" t="n">
        <f aca="false">SUMIFS(super1[Qtde],super1[Item],tab_higiene[[#This Row],[Item]],super1[Bairro],mercado4)+SUMIFS(supercb[Qtde],supercb[Item],tab_higiene[[#This Row],[Item]],supercb[Bairro],mercado4)</f>
        <v>0</v>
      </c>
      <c r="AO124" s="27" t="n">
        <f aca="false">SUMIFS(super1[Qtde],super1[Item],tab_higiene[[#This Row],[Item]],super1[Bairro],mercado5)+SUMIFS(supercb[Qtde],supercb[Item],tab_higiene[[#This Row],[Item]],supercb[Bairro],mercado5)</f>
        <v>0</v>
      </c>
      <c r="AP124" s="27" t="n">
        <f aca="false">SUMIFS(super1[Qtde],super1[Item],tab_higiene[[#This Row],[Item]],super1[Bairro],mercado6)+SUMIFS(supercb[Qtde],supercb[Item],tab_higiene[[#This Row],[Item]],supercb[Bairro],mercado6)</f>
        <v>0</v>
      </c>
      <c r="AQ124" s="27" t="n">
        <f aca="false">SUMIFS(super1[Qtde],super1[Item],tab_higiene[[#This Row],[Item]],super1[Bairro],mercado7)+SUMIFS(supercb[Qtde],supercb[Item],tab_higiene[[#This Row],[Item]],supercb[Bairro],mercado7)</f>
        <v>0</v>
      </c>
      <c r="AR124" s="27" t="n">
        <f aca="false">SUMIFS(super1[Qtde],super1[Item],tab_higiene[[#This Row],[Item]],super1[Bairro],mercado8)+SUMIFS(supercb[Qtde],supercb[Item],tab_higiene[[#This Row],[Item]],supercb[Bairro],mercado8)</f>
        <v>0</v>
      </c>
      <c r="AS124" s="27" t="n">
        <f aca="false">SUMIFS(super1[Qtde],super1[Item],tab_higiene[[#This Row],[Item]],super1[Bairro],mercado9)+SUMIFS(supercb[Qtde],supercb[Item],tab_higiene[[#This Row],[Item]],supercb[Bairro],mercado9)</f>
        <v>0</v>
      </c>
      <c r="AT124" s="27" t="n">
        <f aca="false">SUMIFS(super1[Qtde],super1[Item],tab_higiene[[#This Row],[Item]],super1[Bairro],mercado10)+SUMIFS(supercb[Qtde],supercb[Item],tab_higiene[[#This Row],[Item]],supercb[Bairro],mercado10)</f>
        <v>0</v>
      </c>
      <c r="AU124" s="27" t="n">
        <f aca="false">SUMIFS(super1[Qtde],super1[Item],tab_higiene[[#This Row],[Item]],super1[Bairro],mercado11)+SUMIFS(supercb[Qtde],supercb[Item],tab_higiene[[#This Row],[Item]],supercb[Bairro],mercado11)</f>
        <v>0</v>
      </c>
      <c r="AV124" s="27" t="n">
        <f aca="false">SUMIFS(super1[Qtde],super1[Item],tab_higiene[[#This Row],[Item]],super1[Bairro],mercado12)+SUMIFS(supercb[Qtde],supercb[Item],tab_higiene[[#This Row],[Item]],supercb[Bairro],mercado12)</f>
        <v>0</v>
      </c>
      <c r="AW124" s="27" t="n">
        <f aca="false">SUMIFS(super1[Qtde],super1[Item],tab_higiene[[#This Row],[Item]],super1[Bairro],mercado13)+SUMIFS(supercb[Qtde],supercb[Item],tab_higiene[[#This Row],[Item]],supercb[Bairro],mercado13)</f>
        <v>0</v>
      </c>
      <c r="AX124" s="27" t="n">
        <f aca="false">SUMIFS(super1[Qtde],super1[Item],tab_higiene[[#This Row],[Item]],super1[Bairro],mercado14)+SUMIFS(supercb[Qtde],supercb[Item],tab_higiene[[#This Row],[Item]],supercb[Bairro],mercado14)</f>
        <v>0</v>
      </c>
      <c r="AY124" s="27" t="n">
        <f aca="false">SUMIFS(super1[Qtde],super1[Item],tab_higiene[[#This Row],[Item]],super1[Bairro],mercado15)+SUMIFS(supercb[Qtde],supercb[Item],tab_higiene[[#This Row],[Item]],supercb[Bairro],mercado15)</f>
        <v>0</v>
      </c>
      <c r="AZ124" s="27" t="n">
        <f aca="false">SUMIFS(super1[Qtde],super1[Item],tab_higiene[[#This Row],[Item]],super1[Bairro],mercado16)+SUMIFS(supercb[Qtde],supercb[Item],tab_higiene[[#This Row],[Item]],supercb[Bairro],mercado16)</f>
        <v>0</v>
      </c>
      <c r="BA124" s="27" t="n">
        <f aca="false">SUMIFS(super1[Qtde],super1[Item],tab_higiene[[#This Row],[Item]],super1[Bairro],mercado17)+SUMIFS(supercb[Qtde],supercb[Item],tab_higiene[[#This Row],[Item]],supercb[Bairro],mercado17)</f>
        <v>0</v>
      </c>
      <c r="BB124" s="27" t="n">
        <f aca="false">SUMIFS(super1[Qtde],super1[Item],tab_higiene[[#This Row],[Item]],super1[Bairro],mercado18)+SUMIFS(supercb[Qtde],supercb[Item],tab_higiene[[#This Row],[Item]],supercb[Bairro],mercado18)</f>
        <v>0</v>
      </c>
      <c r="BC124" s="27" t="n">
        <f aca="false">SUMIFS(super1[Qtde],super1[Item],tab_higiene[[#This Row],[Item]],super1[Bairro],extras)+SUMIFS(supercb[Qtde],supercb[Item],tab_higiene[[#This Row],[Item]],supercb[Bairro],extras)</f>
        <v>0</v>
      </c>
      <c r="BD124" s="27" t="n">
        <f aca="false">SUM(AK124:BB124)</f>
        <v>0</v>
      </c>
      <c r="BE124" s="27" t="n">
        <f aca="false">IFERROR(BD124*AJ124,0)</f>
        <v>0</v>
      </c>
      <c r="BF124" s="28" t="n">
        <f aca="false">IFERROR(AI124*BD124,0)</f>
        <v>0</v>
      </c>
      <c r="BI124" s="22" t="str">
        <f aca="false">tab_alimentos[[#This Row],[Item]]</f>
        <v>farofa de mandioca (250g)</v>
      </c>
      <c r="BJ124" s="22" t="n">
        <f aca="false">IFERROR(FIND(" (",BI124),0)</f>
        <v>19</v>
      </c>
      <c r="BK124" s="22" t="str">
        <f aca="false">IF(BJ124=0,BI124,LEFT(BI124,BJ124-1))</f>
        <v>farofa de mandioca</v>
      </c>
      <c r="BL124" s="22" t="n">
        <f aca="false">tab_alimentos[[#This Row],[kg]]</f>
        <v>1.25</v>
      </c>
      <c r="BN124" s="22" t="n">
        <f aca="false">SUMIF($BJ$5:$BJ$158,BM124,$BK$5:$BK$158)</f>
        <v>0</v>
      </c>
      <c r="BP124" s="22" t="str">
        <f aca="false">tab_higiene[[#This Row],[Item]]</f>
        <v>Lâmina de barbear (3un)</v>
      </c>
      <c r="BQ124" s="22" t="n">
        <f aca="false">IFERROR(FIND(" (",BP124),0)</f>
        <v>18</v>
      </c>
      <c r="BR124" s="22" t="str">
        <f aca="false">IF(BQ124=0,BP124,LEFT(BP124,BQ124-1))</f>
        <v>Lâmina de barbear</v>
      </c>
      <c r="BS124" s="22" t="n">
        <f aca="false">higiene[[#This Row],[Quantidade]]</f>
        <v>0</v>
      </c>
      <c r="BT124" s="22" t="n">
        <f aca="false">tab_higiene[Qtde (tot)]</f>
        <v>0</v>
      </c>
      <c r="BU124" s="22" t="n">
        <f aca="false">BS124*BT124</f>
        <v>0</v>
      </c>
      <c r="BW124" s="22" t="n">
        <f aca="false">SUMIF($BR$5:$BR$142,BV124,$BU$5:$BU$142)</f>
        <v>0</v>
      </c>
    </row>
    <row r="125" customFormat="false" ht="15" hidden="false" customHeight="false" outlineLevel="0" collapsed="false">
      <c r="I125" s="26" t="str">
        <f aca="false">alimentos[[#This Row],[Item]]</f>
        <v>Feijão (1kg)</v>
      </c>
      <c r="J125" s="27" t="n">
        <f aca="false">IFERROR(alimentos[[#This Row],[kg/embalagem]],0)</f>
        <v>1</v>
      </c>
      <c r="K125" s="27" t="n">
        <f aca="false">IFERROR(alimentos[[#This Row],[Preço]],0)</f>
        <v>2.625</v>
      </c>
      <c r="L125" s="27" t="n">
        <f aca="false">SUMIFS(super1[Qtde],super1[Item],tab_alimentos[[#This Row],[Item]],super1[Bairro],mercado1)+SUMIFS(supercb[Qtde],supercb[Item],tab_alimentos[[#This Row],[Item]],supercb[Bairro],mercado1)</f>
        <v>39</v>
      </c>
      <c r="M125" s="27" t="n">
        <f aca="false">SUMIFS(super1[Qtde],super1[Item],tab_alimentos[[#This Row],[Item]],super1[Bairro],mercado2)+SUMIFS(supercb[Qtde],supercb[Item],tab_alimentos[[#This Row],[Item]],supercb[Bairro],mercado2)</f>
        <v>43</v>
      </c>
      <c r="N125" s="27" t="n">
        <f aca="false">SUMIFS(super1[Qtde],super1[Item],tab_alimentos[[#This Row],[Item]],super1[Bairro],mercado3)+SUMIFS(supercb[Qtde],supercb[Item],tab_alimentos[[#This Row],[Item]],supercb[Bairro],mercado3)</f>
        <v>9</v>
      </c>
      <c r="O125" s="27" t="n">
        <f aca="false">SUMIFS(super1[Qtde],super1[Item],tab_alimentos[[#This Row],[Item]],super1[Bairro],mercado4)+SUMIFS(supercb[Qtde],supercb[Item],tab_alimentos[[#This Row],[Item]],supercb[Bairro],mercado4)</f>
        <v>25</v>
      </c>
      <c r="P125" s="27" t="n">
        <f aca="false">SUMIFS(super1[Qtde],super1[Item],tab_alimentos[[#This Row],[Item]],super1[Bairro],mercado5)+SUMIFS(supercb[Qtde],supercb[Item],tab_alimentos[[#This Row],[Item]],supercb[Bairro],mercado5)</f>
        <v>66</v>
      </c>
      <c r="Q125" s="27" t="n">
        <f aca="false">SUMIFS(super1[Qtde],super1[Item],tab_alimentos[[#This Row],[Item]],super1[Bairro],mercado6)+SUMIFS(supercb[Qtde],supercb[Item],tab_alimentos[[#This Row],[Item]],supercb[Bairro],mercado6)</f>
        <v>37</v>
      </c>
      <c r="R125" s="27" t="n">
        <f aca="false">SUMIFS(super1[Qtde],super1[Item],tab_alimentos[[#This Row],[Item]],super1[Bairro],mercado7)+SUMIFS(supercb[Qtde],supercb[Item],tab_alimentos[[#This Row],[Item]],supercb[Bairro],mercado7)</f>
        <v>34</v>
      </c>
      <c r="S125" s="27" t="n">
        <f aca="false">SUMIFS(super1[Qtde],super1[Item],tab_alimentos[[#This Row],[Item]],super1[Bairro],mercado8)+SUMIFS(supercb[Qtde],supercb[Item],tab_alimentos[[#This Row],[Item]],supercb[Bairro],mercado8)</f>
        <v>43</v>
      </c>
      <c r="T125" s="27" t="n">
        <f aca="false">SUMIFS(super1[Qtde],super1[Item],tab_alimentos[[#This Row],[Item]],super1[Bairro],mercado9)+SUMIFS(supercb[Qtde],supercb[Item],tab_alimentos[[#This Row],[Item]],supercb[Bairro],mercado9)</f>
        <v>73</v>
      </c>
      <c r="U125" s="27" t="n">
        <f aca="false">SUMIFS(super1[Qtde],super1[Item],tab_alimentos[[#This Row],[Item]],super1[Bairro],mercado10)+SUMIFS(supercb[Qtde],supercb[Item],tab_alimentos[[#This Row],[Item]],supercb[Bairro],mercado10)</f>
        <v>147</v>
      </c>
      <c r="V125" s="27" t="n">
        <f aca="false">SUMIFS(super1[Qtde],super1[Item],tab_alimentos[[#This Row],[Item]],super1[Bairro],mercado11)+SUMIFS(supercb[Qtde],supercb[Item],tab_alimentos[[#This Row],[Item]],supercb[Bairro],mercado11)</f>
        <v>46</v>
      </c>
      <c r="W125" s="27" t="n">
        <f aca="false">SUMIFS(super1[Qtde],super1[Item],tab_alimentos[[#This Row],[Item]],super1[Bairro],mercado12)+SUMIFS(supercb[Qtde],supercb[Item],tab_alimentos[[#This Row],[Item]],supercb[Bairro],mercado12)</f>
        <v>0</v>
      </c>
      <c r="X125" s="27" t="n">
        <f aca="false">SUMIFS(super1[Qtde],super1[Item],tab_alimentos[[#This Row],[Item]],super1[Bairro],mercado13)+SUMIFS(supercb[Qtde],supercb[Item],tab_alimentos[[#This Row],[Item]],supercb[Bairro],mercado13)</f>
        <v>155</v>
      </c>
      <c r="Y125" s="27" t="n">
        <f aca="false">SUMIFS(super1[Qtde],super1[Item],tab_alimentos[[#This Row],[Item]],super1[Bairro],mercado14)+SUMIFS(supercb[Qtde],supercb[Item],tab_alimentos[[#This Row],[Item]],supercb[Bairro],mercado14)</f>
        <v>0</v>
      </c>
      <c r="Z125" s="27" t="n">
        <f aca="false">SUMIFS(super1[Qtde],super1[Item],tab_alimentos[[#This Row],[Item]],super1[Bairro],mercado15)+SUMIFS(supercb[Qtde],supercb[Item],tab_alimentos[[#This Row],[Item]],supercb[Bairro],mercado15)</f>
        <v>0</v>
      </c>
      <c r="AA125" s="27" t="n">
        <f aca="false">SUMIFS(super1[Qtde],super1[Item],tab_alimentos[[#This Row],[Item]],super1[Bairro],mercado16)+SUMIFS(supercb[Qtde],supercb[Item],tab_alimentos[[#This Row],[Item]],supercb[Bairro],mercado16)</f>
        <v>0</v>
      </c>
      <c r="AB125" s="27" t="n">
        <f aca="false">SUMIFS(super1[Qtde],super1[Item],tab_alimentos[[#This Row],[Item]],super1[Bairro],mercado17)+SUMIFS(supercb[Qtde],supercb[Item],tab_alimentos[[#This Row],[Item]],supercb[Bairro],mercado17)</f>
        <v>0</v>
      </c>
      <c r="AC125" s="27" t="n">
        <f aca="false">SUMIFS(super1[Qtde],super1[Item],tab_alimentos[[#This Row],[Item]],super1[Bairro],mercado18)+SUMIFS(supercb[Qtde],supercb[Item],tab_alimentos[[#This Row],[Item]],supercb[Bairro],mercado18)</f>
        <v>0</v>
      </c>
      <c r="AD125" s="27" t="n">
        <f aca="false">SUMIFS(super1[Qtde],super1[Item],tab_alimentos[[#This Row],[Item]],super1[Bairro],extras)+SUMIFS(supercb[Qtde],supercb[Item],tab_alimentos[[#This Row],[Item]],supercb[Bairro],extras)</f>
        <v>0</v>
      </c>
      <c r="AE125" s="27" t="n">
        <f aca="false">SUM(L125:AC125)</f>
        <v>717</v>
      </c>
      <c r="AF125" s="27" t="n">
        <f aca="false">IFERROR(AE125*K125,0)</f>
        <v>1882.125</v>
      </c>
      <c r="AG125" s="28" t="n">
        <f aca="false">IFERROR(J125*AE125,0)</f>
        <v>717</v>
      </c>
      <c r="AH125" s="26" t="str">
        <f aca="false">higiene[[#This Row],[Item]]</f>
        <v>Lâmina de barbear (4un)</v>
      </c>
      <c r="AI125" s="27" t="n">
        <f aca="false">IFERROR(higiene[[#This Row],[Kg equivalente]],0)</f>
        <v>4.60691438695854</v>
      </c>
      <c r="AJ125" s="27" t="n">
        <f aca="false">IFERROR(higiene[[#This Row],[Preço por produto]],0)</f>
        <v>15.26</v>
      </c>
      <c r="AK125" s="27" t="n">
        <f aca="false">SUMIFS(super1[Qtde],super1[Item],tab_higiene[[#This Row],[Item]],super1[Bairro],mercado1)+SUMIFS(supercb[Qtde],supercb[Item],tab_higiene[[#This Row],[Item]],supercb[Bairro],mercado1)</f>
        <v>0</v>
      </c>
      <c r="AL125" s="27" t="n">
        <f aca="false">SUMIFS(super1[Qtde],super1[Item],tab_higiene[[#This Row],[Item]],super1[Bairro],mercado2)+SUMIFS(supercb[Qtde],supercb[Item],tab_higiene[[#This Row],[Item]],supercb[Bairro],mercado2)</f>
        <v>0</v>
      </c>
      <c r="AM125" s="27" t="n">
        <f aca="false">SUMIFS(super1[Qtde],super1[Item],tab_higiene[[#This Row],[Item]],super1[Bairro],mercado3)+SUMIFS(supercb[Qtde],supercb[Item],tab_higiene[[#This Row],[Item]],supercb[Bairro],mercado3)</f>
        <v>0</v>
      </c>
      <c r="AN125" s="27" t="n">
        <f aca="false">SUMIFS(super1[Qtde],super1[Item],tab_higiene[[#This Row],[Item]],super1[Bairro],mercado4)+SUMIFS(supercb[Qtde],supercb[Item],tab_higiene[[#This Row],[Item]],supercb[Bairro],mercado4)</f>
        <v>0</v>
      </c>
      <c r="AO125" s="27" t="n">
        <f aca="false">SUMIFS(super1[Qtde],super1[Item],tab_higiene[[#This Row],[Item]],super1[Bairro],mercado5)+SUMIFS(supercb[Qtde],supercb[Item],tab_higiene[[#This Row],[Item]],supercb[Bairro],mercado5)</f>
        <v>0</v>
      </c>
      <c r="AP125" s="27" t="n">
        <f aca="false">SUMIFS(super1[Qtde],super1[Item],tab_higiene[[#This Row],[Item]],super1[Bairro],mercado6)+SUMIFS(supercb[Qtde],supercb[Item],tab_higiene[[#This Row],[Item]],supercb[Bairro],mercado6)</f>
        <v>0</v>
      </c>
      <c r="AQ125" s="27" t="n">
        <f aca="false">SUMIFS(super1[Qtde],super1[Item],tab_higiene[[#This Row],[Item]],super1[Bairro],mercado7)+SUMIFS(supercb[Qtde],supercb[Item],tab_higiene[[#This Row],[Item]],supercb[Bairro],mercado7)</f>
        <v>0</v>
      </c>
      <c r="AR125" s="27" t="n">
        <f aca="false">SUMIFS(super1[Qtde],super1[Item],tab_higiene[[#This Row],[Item]],super1[Bairro],mercado8)+SUMIFS(supercb[Qtde],supercb[Item],tab_higiene[[#This Row],[Item]],supercb[Bairro],mercado8)</f>
        <v>0</v>
      </c>
      <c r="AS125" s="27" t="n">
        <f aca="false">SUMIFS(super1[Qtde],super1[Item],tab_higiene[[#This Row],[Item]],super1[Bairro],mercado9)+SUMIFS(supercb[Qtde],supercb[Item],tab_higiene[[#This Row],[Item]],supercb[Bairro],mercado9)</f>
        <v>1</v>
      </c>
      <c r="AT125" s="27" t="n">
        <f aca="false">SUMIFS(super1[Qtde],super1[Item],tab_higiene[[#This Row],[Item]],super1[Bairro],mercado10)+SUMIFS(supercb[Qtde],supercb[Item],tab_higiene[[#This Row],[Item]],supercb[Bairro],mercado10)</f>
        <v>1</v>
      </c>
      <c r="AU125" s="27" t="n">
        <f aca="false">SUMIFS(super1[Qtde],super1[Item],tab_higiene[[#This Row],[Item]],super1[Bairro],mercado11)+SUMIFS(supercb[Qtde],supercb[Item],tab_higiene[[#This Row],[Item]],supercb[Bairro],mercado11)</f>
        <v>0</v>
      </c>
      <c r="AV125" s="27" t="n">
        <f aca="false">SUMIFS(super1[Qtde],super1[Item],tab_higiene[[#This Row],[Item]],super1[Bairro],mercado12)+SUMIFS(supercb[Qtde],supercb[Item],tab_higiene[[#This Row],[Item]],supercb[Bairro],mercado12)</f>
        <v>0</v>
      </c>
      <c r="AW125" s="27" t="n">
        <f aca="false">SUMIFS(super1[Qtde],super1[Item],tab_higiene[[#This Row],[Item]],super1[Bairro],mercado13)+SUMIFS(supercb[Qtde],supercb[Item],tab_higiene[[#This Row],[Item]],supercb[Bairro],mercado13)</f>
        <v>0</v>
      </c>
      <c r="AX125" s="27" t="n">
        <f aca="false">SUMIFS(super1[Qtde],super1[Item],tab_higiene[[#This Row],[Item]],super1[Bairro],mercado14)+SUMIFS(supercb[Qtde],supercb[Item],tab_higiene[[#This Row],[Item]],supercb[Bairro],mercado14)</f>
        <v>0</v>
      </c>
      <c r="AY125" s="27" t="n">
        <f aca="false">SUMIFS(super1[Qtde],super1[Item],tab_higiene[[#This Row],[Item]],super1[Bairro],mercado15)+SUMIFS(supercb[Qtde],supercb[Item],tab_higiene[[#This Row],[Item]],supercb[Bairro],mercado15)</f>
        <v>0</v>
      </c>
      <c r="AZ125" s="27" t="n">
        <f aca="false">SUMIFS(super1[Qtde],super1[Item],tab_higiene[[#This Row],[Item]],super1[Bairro],mercado16)+SUMIFS(supercb[Qtde],supercb[Item],tab_higiene[[#This Row],[Item]],supercb[Bairro],mercado16)</f>
        <v>0</v>
      </c>
      <c r="BA125" s="27" t="n">
        <f aca="false">SUMIFS(super1[Qtde],super1[Item],tab_higiene[[#This Row],[Item]],super1[Bairro],mercado17)+SUMIFS(supercb[Qtde],supercb[Item],tab_higiene[[#This Row],[Item]],supercb[Bairro],mercado17)</f>
        <v>0</v>
      </c>
      <c r="BB125" s="27" t="n">
        <f aca="false">SUMIFS(super1[Qtde],super1[Item],tab_higiene[[#This Row],[Item]],super1[Bairro],mercado18)+SUMIFS(supercb[Qtde],supercb[Item],tab_higiene[[#This Row],[Item]],supercb[Bairro],mercado18)</f>
        <v>0</v>
      </c>
      <c r="BC125" s="27" t="n">
        <f aca="false">SUMIFS(super1[Qtde],super1[Item],tab_higiene[[#This Row],[Item]],super1[Bairro],extras)+SUMIFS(supercb[Qtde],supercb[Item],tab_higiene[[#This Row],[Item]],supercb[Bairro],extras)</f>
        <v>0</v>
      </c>
      <c r="BD125" s="27" t="n">
        <f aca="false">SUM(AK125:BB125)</f>
        <v>2</v>
      </c>
      <c r="BE125" s="27" t="n">
        <f aca="false">IFERROR(BD125*AJ125,0)</f>
        <v>30.52</v>
      </c>
      <c r="BF125" s="28" t="n">
        <f aca="false">IFERROR(AI125*BD125,0)</f>
        <v>9.21382877391707</v>
      </c>
      <c r="BI125" s="22" t="str">
        <f aca="false">tab_alimentos[[#This Row],[Item]]</f>
        <v>Feijão (1kg)</v>
      </c>
      <c r="BJ125" s="22" t="n">
        <f aca="false">IFERROR(FIND(" (",BI125),0)</f>
        <v>7</v>
      </c>
      <c r="BK125" s="22" t="str">
        <f aca="false">IF(BJ125=0,BI125,LEFT(BI125,BJ125-1))</f>
        <v>Feijão</v>
      </c>
      <c r="BL125" s="22" t="n">
        <f aca="false">tab_alimentos[[#This Row],[kg]]</f>
        <v>717</v>
      </c>
      <c r="BN125" s="22" t="n">
        <f aca="false">SUMIF($BJ$5:$BJ$158,BM125,$BK$5:$BK$158)</f>
        <v>0</v>
      </c>
      <c r="BP125" s="22" t="str">
        <f aca="false">tab_higiene[[#This Row],[Item]]</f>
        <v>Lâmina de barbear (4un)</v>
      </c>
      <c r="BQ125" s="22" t="n">
        <f aca="false">IFERROR(FIND(" (",BP125),0)</f>
        <v>18</v>
      </c>
      <c r="BR125" s="22" t="str">
        <f aca="false">IF(BQ125=0,BP125,LEFT(BP125,BQ125-1))</f>
        <v>Lâmina de barbear</v>
      </c>
      <c r="BS125" s="22" t="n">
        <f aca="false">higiene[[#This Row],[Quantidade]]</f>
        <v>0.9</v>
      </c>
      <c r="BT125" s="22" t="n">
        <f aca="false">tab_higiene[Qtde (tot)]</f>
        <v>2</v>
      </c>
      <c r="BU125" s="22" t="n">
        <f aca="false">BS125*BT125</f>
        <v>1.8</v>
      </c>
      <c r="BW125" s="22" t="n">
        <f aca="false">SUMIF($BR$5:$BR$142,BV125,$BU$5:$BU$142)</f>
        <v>0</v>
      </c>
    </row>
    <row r="126" customFormat="false" ht="15" hidden="false" customHeight="false" outlineLevel="0" collapsed="false">
      <c r="I126" s="26" t="str">
        <f aca="false">alimentos[[#This Row],[Item]]</f>
        <v>Feijão (2kg)</v>
      </c>
      <c r="J126" s="27" t="n">
        <f aca="false">IFERROR(alimentos[[#This Row],[kg/embalagem]],0)</f>
        <v>2</v>
      </c>
      <c r="K126" s="27" t="n">
        <f aca="false">IFERROR(alimentos[[#This Row],[Preço]],0)</f>
        <v>6.02</v>
      </c>
      <c r="L126" s="27" t="n">
        <f aca="false">SUMIFS(super1[Qtde],super1[Item],tab_alimentos[[#This Row],[Item]],super1[Bairro],mercado1)+SUMIFS(supercb[Qtde],supercb[Item],tab_alimentos[[#This Row],[Item]],supercb[Bairro],mercado1)</f>
        <v>2</v>
      </c>
      <c r="M126" s="27" t="n">
        <f aca="false">SUMIFS(super1[Qtde],super1[Item],tab_alimentos[[#This Row],[Item]],super1[Bairro],mercado2)+SUMIFS(supercb[Qtde],supercb[Item],tab_alimentos[[#This Row],[Item]],supercb[Bairro],mercado2)</f>
        <v>3</v>
      </c>
      <c r="N126" s="27" t="n">
        <f aca="false">SUMIFS(super1[Qtde],super1[Item],tab_alimentos[[#This Row],[Item]],super1[Bairro],mercado3)+SUMIFS(supercb[Qtde],supercb[Item],tab_alimentos[[#This Row],[Item]],supercb[Bairro],mercado3)</f>
        <v>0</v>
      </c>
      <c r="O126" s="27" t="n">
        <f aca="false">SUMIFS(super1[Qtde],super1[Item],tab_alimentos[[#This Row],[Item]],super1[Bairro],mercado4)+SUMIFS(supercb[Qtde],supercb[Item],tab_alimentos[[#This Row],[Item]],supercb[Bairro],mercado4)</f>
        <v>0</v>
      </c>
      <c r="P126" s="27" t="n">
        <f aca="false">SUMIFS(super1[Qtde],super1[Item],tab_alimentos[[#This Row],[Item]],super1[Bairro],mercado5)+SUMIFS(supercb[Qtde],supercb[Item],tab_alimentos[[#This Row],[Item]],supercb[Bairro],mercado5)</f>
        <v>6</v>
      </c>
      <c r="Q126" s="27" t="n">
        <f aca="false">SUMIFS(super1[Qtde],super1[Item],tab_alimentos[[#This Row],[Item]],super1[Bairro],mercado6)+SUMIFS(supercb[Qtde],supercb[Item],tab_alimentos[[#This Row],[Item]],supercb[Bairro],mercado6)</f>
        <v>0</v>
      </c>
      <c r="R126" s="27" t="n">
        <f aca="false">SUMIFS(super1[Qtde],super1[Item],tab_alimentos[[#This Row],[Item]],super1[Bairro],mercado7)+SUMIFS(supercb[Qtde],supercb[Item],tab_alimentos[[#This Row],[Item]],supercb[Bairro],mercado7)</f>
        <v>2</v>
      </c>
      <c r="S126" s="27" t="n">
        <f aca="false">SUMIFS(super1[Qtde],super1[Item],tab_alimentos[[#This Row],[Item]],super1[Bairro],mercado8)+SUMIFS(supercb[Qtde],supercb[Item],tab_alimentos[[#This Row],[Item]],supercb[Bairro],mercado8)</f>
        <v>3</v>
      </c>
      <c r="T126" s="27" t="n">
        <f aca="false">SUMIFS(super1[Qtde],super1[Item],tab_alimentos[[#This Row],[Item]],super1[Bairro],mercado9)+SUMIFS(supercb[Qtde],supercb[Item],tab_alimentos[[#This Row],[Item]],supercb[Bairro],mercado9)</f>
        <v>1</v>
      </c>
      <c r="U126" s="27" t="n">
        <f aca="false">SUMIFS(super1[Qtde],super1[Item],tab_alimentos[[#This Row],[Item]],super1[Bairro],mercado10)+SUMIFS(supercb[Qtde],supercb[Item],tab_alimentos[[#This Row],[Item]],supercb[Bairro],mercado10)</f>
        <v>1</v>
      </c>
      <c r="V126" s="27" t="n">
        <f aca="false">SUMIFS(super1[Qtde],super1[Item],tab_alimentos[[#This Row],[Item]],super1[Bairro],mercado11)+SUMIFS(supercb[Qtde],supercb[Item],tab_alimentos[[#This Row],[Item]],supercb[Bairro],mercado11)</f>
        <v>2</v>
      </c>
      <c r="W126" s="27" t="n">
        <f aca="false">SUMIFS(super1[Qtde],super1[Item],tab_alimentos[[#This Row],[Item]],super1[Bairro],mercado12)+SUMIFS(supercb[Qtde],supercb[Item],tab_alimentos[[#This Row],[Item]],supercb[Bairro],mercado12)</f>
        <v>0</v>
      </c>
      <c r="X126" s="27" t="n">
        <f aca="false">SUMIFS(super1[Qtde],super1[Item],tab_alimentos[[#This Row],[Item]],super1[Bairro],mercado13)+SUMIFS(supercb[Qtde],supercb[Item],tab_alimentos[[#This Row],[Item]],supercb[Bairro],mercado13)</f>
        <v>2</v>
      </c>
      <c r="Y126" s="27" t="n">
        <f aca="false">SUMIFS(super1[Qtde],super1[Item],tab_alimentos[[#This Row],[Item]],super1[Bairro],mercado14)+SUMIFS(supercb[Qtde],supercb[Item],tab_alimentos[[#This Row],[Item]],supercb[Bairro],mercado14)</f>
        <v>0</v>
      </c>
      <c r="Z126" s="27" t="n">
        <f aca="false">SUMIFS(super1[Qtde],super1[Item],tab_alimentos[[#This Row],[Item]],super1[Bairro],mercado15)+SUMIFS(supercb[Qtde],supercb[Item],tab_alimentos[[#This Row],[Item]],supercb[Bairro],mercado15)</f>
        <v>0</v>
      </c>
      <c r="AA126" s="27" t="n">
        <f aca="false">SUMIFS(super1[Qtde],super1[Item],tab_alimentos[[#This Row],[Item]],super1[Bairro],mercado16)+SUMIFS(supercb[Qtde],supercb[Item],tab_alimentos[[#This Row],[Item]],supercb[Bairro],mercado16)</f>
        <v>0</v>
      </c>
      <c r="AB126" s="27" t="n">
        <f aca="false">SUMIFS(super1[Qtde],super1[Item],tab_alimentos[[#This Row],[Item]],super1[Bairro],mercado17)+SUMIFS(supercb[Qtde],supercb[Item],tab_alimentos[[#This Row],[Item]],supercb[Bairro],mercado17)</f>
        <v>0</v>
      </c>
      <c r="AC126" s="27" t="n">
        <f aca="false">SUMIFS(super1[Qtde],super1[Item],tab_alimentos[[#This Row],[Item]],super1[Bairro],mercado18)+SUMIFS(supercb[Qtde],supercb[Item],tab_alimentos[[#This Row],[Item]],supercb[Bairro],mercado18)</f>
        <v>0</v>
      </c>
      <c r="AD126" s="27" t="n">
        <f aca="false">SUMIFS(super1[Qtde],super1[Item],tab_alimentos[[#This Row],[Item]],super1[Bairro],extras)+SUMIFS(supercb[Qtde],supercb[Item],tab_alimentos[[#This Row],[Item]],supercb[Bairro],extras)</f>
        <v>0</v>
      </c>
      <c r="AE126" s="27" t="n">
        <f aca="false">SUM(L126:AC126)</f>
        <v>22</v>
      </c>
      <c r="AF126" s="27" t="n">
        <f aca="false">IFERROR(AE126*K126,0)</f>
        <v>132.44</v>
      </c>
      <c r="AG126" s="28" t="n">
        <f aca="false">IFERROR(J126*AE126,0)</f>
        <v>44</v>
      </c>
      <c r="AH126" s="26" t="str">
        <f aca="false">higiene[[#This Row],[Item]]</f>
        <v>Lâmina de Barbear (5un)</v>
      </c>
      <c r="AI126" s="27" t="n">
        <f aca="false">IFERROR(higiene[[#This Row],[Kg equivalente]],0)</f>
        <v>1.21361702723285</v>
      </c>
      <c r="AJ126" s="27" t="n">
        <f aca="false">IFERROR(higiene[[#This Row],[Preço por produto]],0)</f>
        <v>4.02</v>
      </c>
      <c r="AK126" s="27" t="n">
        <f aca="false">SUMIFS(super1[Qtde],super1[Item],tab_higiene[[#This Row],[Item]],super1[Bairro],mercado1)+SUMIFS(supercb[Qtde],supercb[Item],tab_higiene[[#This Row],[Item]],supercb[Bairro],mercado1)</f>
        <v>0</v>
      </c>
      <c r="AL126" s="27" t="n">
        <f aca="false">SUMIFS(super1[Qtde],super1[Item],tab_higiene[[#This Row],[Item]],super1[Bairro],mercado2)+SUMIFS(supercb[Qtde],supercb[Item],tab_higiene[[#This Row],[Item]],supercb[Bairro],mercado2)</f>
        <v>0</v>
      </c>
      <c r="AM126" s="27" t="n">
        <f aca="false">SUMIFS(super1[Qtde],super1[Item],tab_higiene[[#This Row],[Item]],super1[Bairro],mercado3)+SUMIFS(supercb[Qtde],supercb[Item],tab_higiene[[#This Row],[Item]],supercb[Bairro],mercado3)</f>
        <v>0</v>
      </c>
      <c r="AN126" s="27" t="n">
        <f aca="false">SUMIFS(super1[Qtde],super1[Item],tab_higiene[[#This Row],[Item]],super1[Bairro],mercado4)+SUMIFS(supercb[Qtde],supercb[Item],tab_higiene[[#This Row],[Item]],supercb[Bairro],mercado4)</f>
        <v>0</v>
      </c>
      <c r="AO126" s="27" t="n">
        <f aca="false">SUMIFS(super1[Qtde],super1[Item],tab_higiene[[#This Row],[Item]],super1[Bairro],mercado5)+SUMIFS(supercb[Qtde],supercb[Item],tab_higiene[[#This Row],[Item]],supercb[Bairro],mercado5)</f>
        <v>0</v>
      </c>
      <c r="AP126" s="27" t="n">
        <f aca="false">SUMIFS(super1[Qtde],super1[Item],tab_higiene[[#This Row],[Item]],super1[Bairro],mercado6)+SUMIFS(supercb[Qtde],supercb[Item],tab_higiene[[#This Row],[Item]],supercb[Bairro],mercado6)</f>
        <v>0</v>
      </c>
      <c r="AQ126" s="27" t="n">
        <f aca="false">SUMIFS(super1[Qtde],super1[Item],tab_higiene[[#This Row],[Item]],super1[Bairro],mercado7)+SUMIFS(supercb[Qtde],supercb[Item],tab_higiene[[#This Row],[Item]],supercb[Bairro],mercado7)</f>
        <v>0</v>
      </c>
      <c r="AR126" s="27" t="n">
        <f aca="false">SUMIFS(super1[Qtde],super1[Item],tab_higiene[[#This Row],[Item]],super1[Bairro],mercado8)+SUMIFS(supercb[Qtde],supercb[Item],tab_higiene[[#This Row],[Item]],supercb[Bairro],mercado8)</f>
        <v>0</v>
      </c>
      <c r="AS126" s="27" t="n">
        <f aca="false">SUMIFS(super1[Qtde],super1[Item],tab_higiene[[#This Row],[Item]],super1[Bairro],mercado9)+SUMIFS(supercb[Qtde],supercb[Item],tab_higiene[[#This Row],[Item]],supercb[Bairro],mercado9)</f>
        <v>1</v>
      </c>
      <c r="AT126" s="27" t="n">
        <f aca="false">SUMIFS(super1[Qtde],super1[Item],tab_higiene[[#This Row],[Item]],super1[Bairro],mercado10)+SUMIFS(supercb[Qtde],supercb[Item],tab_higiene[[#This Row],[Item]],supercb[Bairro],mercado10)</f>
        <v>1</v>
      </c>
      <c r="AU126" s="27" t="n">
        <f aca="false">SUMIFS(super1[Qtde],super1[Item],tab_higiene[[#This Row],[Item]],super1[Bairro],mercado11)+SUMIFS(supercb[Qtde],supercb[Item],tab_higiene[[#This Row],[Item]],supercb[Bairro],mercado11)</f>
        <v>1</v>
      </c>
      <c r="AV126" s="27" t="n">
        <f aca="false">SUMIFS(super1[Qtde],super1[Item],tab_higiene[[#This Row],[Item]],super1[Bairro],mercado12)+SUMIFS(supercb[Qtde],supercb[Item],tab_higiene[[#This Row],[Item]],supercb[Bairro],mercado12)</f>
        <v>0</v>
      </c>
      <c r="AW126" s="27" t="n">
        <f aca="false">SUMIFS(super1[Qtde],super1[Item],tab_higiene[[#This Row],[Item]],super1[Bairro],mercado13)+SUMIFS(supercb[Qtde],supercb[Item],tab_higiene[[#This Row],[Item]],supercb[Bairro],mercado13)</f>
        <v>0</v>
      </c>
      <c r="AX126" s="27" t="n">
        <f aca="false">SUMIFS(super1[Qtde],super1[Item],tab_higiene[[#This Row],[Item]],super1[Bairro],mercado14)+SUMIFS(supercb[Qtde],supercb[Item],tab_higiene[[#This Row],[Item]],supercb[Bairro],mercado14)</f>
        <v>0</v>
      </c>
      <c r="AY126" s="27" t="n">
        <f aca="false">SUMIFS(super1[Qtde],super1[Item],tab_higiene[[#This Row],[Item]],super1[Bairro],mercado15)+SUMIFS(supercb[Qtde],supercb[Item],tab_higiene[[#This Row],[Item]],supercb[Bairro],mercado15)</f>
        <v>0</v>
      </c>
      <c r="AZ126" s="27" t="n">
        <f aca="false">SUMIFS(super1[Qtde],super1[Item],tab_higiene[[#This Row],[Item]],super1[Bairro],mercado16)+SUMIFS(supercb[Qtde],supercb[Item],tab_higiene[[#This Row],[Item]],supercb[Bairro],mercado16)</f>
        <v>0</v>
      </c>
      <c r="BA126" s="27" t="n">
        <f aca="false">SUMIFS(super1[Qtde],super1[Item],tab_higiene[[#This Row],[Item]],super1[Bairro],mercado17)+SUMIFS(supercb[Qtde],supercb[Item],tab_higiene[[#This Row],[Item]],supercb[Bairro],mercado17)</f>
        <v>0</v>
      </c>
      <c r="BB126" s="27" t="n">
        <f aca="false">SUMIFS(super1[Qtde],super1[Item],tab_higiene[[#This Row],[Item]],super1[Bairro],mercado18)+SUMIFS(supercb[Qtde],supercb[Item],tab_higiene[[#This Row],[Item]],supercb[Bairro],mercado18)</f>
        <v>0</v>
      </c>
      <c r="BC126" s="27" t="n">
        <f aca="false">SUMIFS(super1[Qtde],super1[Item],tab_higiene[[#This Row],[Item]],super1[Bairro],extras)+SUMIFS(supercb[Qtde],supercb[Item],tab_higiene[[#This Row],[Item]],supercb[Bairro],extras)</f>
        <v>0</v>
      </c>
      <c r="BD126" s="27" t="n">
        <f aca="false">SUM(AK126:BB126)</f>
        <v>3</v>
      </c>
      <c r="BE126" s="27" t="n">
        <f aca="false">IFERROR(BD126*AJ126,0)</f>
        <v>12.06</v>
      </c>
      <c r="BF126" s="28" t="n">
        <f aca="false">IFERROR(AI126*BD126,0)</f>
        <v>3.64085108169855</v>
      </c>
      <c r="BI126" s="22" t="str">
        <f aca="false">tab_alimentos[[#This Row],[Item]]</f>
        <v>Feijão (2kg)</v>
      </c>
      <c r="BJ126" s="22" t="n">
        <f aca="false">IFERROR(FIND(" (",BI126),0)</f>
        <v>7</v>
      </c>
      <c r="BK126" s="22" t="str">
        <f aca="false">IF(BJ126=0,BI126,LEFT(BI126,BJ126-1))</f>
        <v>Feijão</v>
      </c>
      <c r="BL126" s="22" t="n">
        <f aca="false">tab_alimentos[[#This Row],[kg]]</f>
        <v>44</v>
      </c>
      <c r="BN126" s="22" t="n">
        <f aca="false">SUMIF($BJ$5:$BJ$158,BM126,$BK$5:$BK$158)</f>
        <v>0</v>
      </c>
      <c r="BP126" s="22" t="str">
        <f aca="false">tab_higiene[[#This Row],[Item]]</f>
        <v>Lâmina de Barbear (5un)</v>
      </c>
      <c r="BQ126" s="22" t="n">
        <f aca="false">IFERROR(FIND(" (",BP126),0)</f>
        <v>18</v>
      </c>
      <c r="BR126" s="22" t="str">
        <f aca="false">IF(BQ126=0,BP126,LEFT(BP126,BQ126-1))</f>
        <v>Lâmina de Barbear</v>
      </c>
      <c r="BS126" s="22" t="n">
        <f aca="false">higiene[[#This Row],[Quantidade]]</f>
        <v>0</v>
      </c>
      <c r="BT126" s="22" t="n">
        <f aca="false">tab_higiene[Qtde (tot)]</f>
        <v>3</v>
      </c>
      <c r="BU126" s="22" t="n">
        <f aca="false">BS126*BT126</f>
        <v>0</v>
      </c>
      <c r="BW126" s="22" t="n">
        <f aca="false">SUMIF($BR$5:$BR$142,BV126,$BU$5:$BU$142)</f>
        <v>0</v>
      </c>
    </row>
    <row r="127" customFormat="false" ht="15" hidden="false" customHeight="false" outlineLevel="0" collapsed="false">
      <c r="I127" s="26" t="str">
        <f aca="false">alimentos[[#This Row],[Item]]</f>
        <v>Feijão (500g)</v>
      </c>
      <c r="J127" s="27" t="n">
        <f aca="false">IFERROR(alimentos[[#This Row],[kg/embalagem]],0)</f>
        <v>0.5</v>
      </c>
      <c r="K127" s="27" t="n">
        <f aca="false">IFERROR(alimentos[[#This Row],[Preço]],0)</f>
        <v>5.28333333333333</v>
      </c>
      <c r="L127" s="27" t="n">
        <f aca="false">SUMIFS(super1[Qtde],super1[Item],tab_alimentos[[#This Row],[Item]],super1[Bairro],mercado1)+SUMIFS(supercb[Qtde],supercb[Item],tab_alimentos[[#This Row],[Item]],supercb[Bairro],mercado1)</f>
        <v>0</v>
      </c>
      <c r="M127" s="27" t="n">
        <f aca="false">SUMIFS(super1[Qtde],super1[Item],tab_alimentos[[#This Row],[Item]],super1[Bairro],mercado2)+SUMIFS(supercb[Qtde],supercb[Item],tab_alimentos[[#This Row],[Item]],supercb[Bairro],mercado2)</f>
        <v>0</v>
      </c>
      <c r="N127" s="27" t="n">
        <f aca="false">SUMIFS(super1[Qtde],super1[Item],tab_alimentos[[#This Row],[Item]],super1[Bairro],mercado3)+SUMIFS(supercb[Qtde],supercb[Item],tab_alimentos[[#This Row],[Item]],supercb[Bairro],mercado3)</f>
        <v>0</v>
      </c>
      <c r="O127" s="27" t="n">
        <f aca="false">SUMIFS(super1[Qtde],super1[Item],tab_alimentos[[#This Row],[Item]],super1[Bairro],mercado4)+SUMIFS(supercb[Qtde],supercb[Item],tab_alimentos[[#This Row],[Item]],supercb[Bairro],mercado4)</f>
        <v>0</v>
      </c>
      <c r="P127" s="27" t="n">
        <f aca="false">SUMIFS(super1[Qtde],super1[Item],tab_alimentos[[#This Row],[Item]],super1[Bairro],mercado5)+SUMIFS(supercb[Qtde],supercb[Item],tab_alimentos[[#This Row],[Item]],supercb[Bairro],mercado5)</f>
        <v>1</v>
      </c>
      <c r="Q127" s="27" t="n">
        <f aca="false">SUMIFS(super1[Qtde],super1[Item],tab_alimentos[[#This Row],[Item]],super1[Bairro],mercado6)+SUMIFS(supercb[Qtde],supercb[Item],tab_alimentos[[#This Row],[Item]],supercb[Bairro],mercado6)</f>
        <v>0</v>
      </c>
      <c r="R127" s="27" t="n">
        <f aca="false">SUMIFS(super1[Qtde],super1[Item],tab_alimentos[[#This Row],[Item]],super1[Bairro],mercado7)+SUMIFS(supercb[Qtde],supercb[Item],tab_alimentos[[#This Row],[Item]],supercb[Bairro],mercado7)</f>
        <v>0</v>
      </c>
      <c r="S127" s="27" t="n">
        <f aca="false">SUMIFS(super1[Qtde],super1[Item],tab_alimentos[[#This Row],[Item]],super1[Bairro],mercado8)+SUMIFS(supercb[Qtde],supercb[Item],tab_alimentos[[#This Row],[Item]],supercb[Bairro],mercado8)</f>
        <v>0</v>
      </c>
      <c r="T127" s="27" t="n">
        <f aca="false">SUMIFS(super1[Qtde],super1[Item],tab_alimentos[[#This Row],[Item]],super1[Bairro],mercado9)+SUMIFS(supercb[Qtde],supercb[Item],tab_alimentos[[#This Row],[Item]],supercb[Bairro],mercado9)</f>
        <v>0</v>
      </c>
      <c r="U127" s="27" t="n">
        <f aca="false">SUMIFS(super1[Qtde],super1[Item],tab_alimentos[[#This Row],[Item]],super1[Bairro],mercado10)+SUMIFS(supercb[Qtde],supercb[Item],tab_alimentos[[#This Row],[Item]],supercb[Bairro],mercado10)</f>
        <v>1</v>
      </c>
      <c r="V127" s="27" t="n">
        <f aca="false">SUMIFS(super1[Qtde],super1[Item],tab_alimentos[[#This Row],[Item]],super1[Bairro],mercado11)+SUMIFS(supercb[Qtde],supercb[Item],tab_alimentos[[#This Row],[Item]],supercb[Bairro],mercado11)</f>
        <v>0</v>
      </c>
      <c r="W127" s="27" t="n">
        <f aca="false">SUMIFS(super1[Qtde],super1[Item],tab_alimentos[[#This Row],[Item]],super1[Bairro],mercado12)+SUMIFS(supercb[Qtde],supercb[Item],tab_alimentos[[#This Row],[Item]],supercb[Bairro],mercado12)</f>
        <v>0</v>
      </c>
      <c r="X127" s="27" t="n">
        <f aca="false">SUMIFS(super1[Qtde],super1[Item],tab_alimentos[[#This Row],[Item]],super1[Bairro],mercado13)+SUMIFS(supercb[Qtde],supercb[Item],tab_alimentos[[#This Row],[Item]],supercb[Bairro],mercado13)</f>
        <v>0</v>
      </c>
      <c r="Y127" s="27" t="n">
        <f aca="false">SUMIFS(super1[Qtde],super1[Item],tab_alimentos[[#This Row],[Item]],super1[Bairro],mercado14)+SUMIFS(supercb[Qtde],supercb[Item],tab_alimentos[[#This Row],[Item]],supercb[Bairro],mercado14)</f>
        <v>0</v>
      </c>
      <c r="Z127" s="27" t="n">
        <f aca="false">SUMIFS(super1[Qtde],super1[Item],tab_alimentos[[#This Row],[Item]],super1[Bairro],mercado15)+SUMIFS(supercb[Qtde],supercb[Item],tab_alimentos[[#This Row],[Item]],supercb[Bairro],mercado15)</f>
        <v>0</v>
      </c>
      <c r="AA127" s="27" t="n">
        <f aca="false">SUMIFS(super1[Qtde],super1[Item],tab_alimentos[[#This Row],[Item]],super1[Bairro],mercado16)+SUMIFS(supercb[Qtde],supercb[Item],tab_alimentos[[#This Row],[Item]],supercb[Bairro],mercado16)</f>
        <v>0</v>
      </c>
      <c r="AB127" s="27" t="n">
        <f aca="false">SUMIFS(super1[Qtde],super1[Item],tab_alimentos[[#This Row],[Item]],super1[Bairro],mercado17)+SUMIFS(supercb[Qtde],supercb[Item],tab_alimentos[[#This Row],[Item]],supercb[Bairro],mercado17)</f>
        <v>0</v>
      </c>
      <c r="AC127" s="27" t="n">
        <f aca="false">SUMIFS(super1[Qtde],super1[Item],tab_alimentos[[#This Row],[Item]],super1[Bairro],mercado18)+SUMIFS(supercb[Qtde],supercb[Item],tab_alimentos[[#This Row],[Item]],supercb[Bairro],mercado18)</f>
        <v>0</v>
      </c>
      <c r="AD127" s="27" t="n">
        <f aca="false">SUMIFS(super1[Qtde],super1[Item],tab_alimentos[[#This Row],[Item]],super1[Bairro],extras)+SUMIFS(supercb[Qtde],supercb[Item],tab_alimentos[[#This Row],[Item]],supercb[Bairro],extras)</f>
        <v>0</v>
      </c>
      <c r="AE127" s="27" t="n">
        <f aca="false">SUM(L127:AC127)</f>
        <v>2</v>
      </c>
      <c r="AF127" s="27" t="n">
        <f aca="false">IFERROR(AE127*K127,0)</f>
        <v>10.5666666666667</v>
      </c>
      <c r="AG127" s="28" t="n">
        <f aca="false">IFERROR(J127*AE127,0)</f>
        <v>1</v>
      </c>
      <c r="AH127" s="26" t="str">
        <f aca="false">higiene[[#This Row],[Item]]</f>
        <v>Lâmina de Barbear (7un)</v>
      </c>
      <c r="AI127" s="27" t="n">
        <f aca="false">IFERROR(higiene[[#This Row],[Kg equivalente]],0)</f>
        <v>2.30496666739374</v>
      </c>
      <c r="AJ127" s="27" t="n">
        <f aca="false">IFERROR(higiene[[#This Row],[Preço por produto]],0)</f>
        <v>7.635</v>
      </c>
      <c r="AK127" s="27" t="n">
        <f aca="false">SUMIFS(super1[Qtde],super1[Item],tab_higiene[[#This Row],[Item]],super1[Bairro],mercado1)+SUMIFS(supercb[Qtde],supercb[Item],tab_higiene[[#This Row],[Item]],supercb[Bairro],mercado1)</f>
        <v>0</v>
      </c>
      <c r="AL127" s="27" t="n">
        <f aca="false">SUMIFS(super1[Qtde],super1[Item],tab_higiene[[#This Row],[Item]],super1[Bairro],mercado2)+SUMIFS(supercb[Qtde],supercb[Item],tab_higiene[[#This Row],[Item]],supercb[Bairro],mercado2)</f>
        <v>0</v>
      </c>
      <c r="AM127" s="27" t="n">
        <f aca="false">SUMIFS(super1[Qtde],super1[Item],tab_higiene[[#This Row],[Item]],super1[Bairro],mercado3)+SUMIFS(supercb[Qtde],supercb[Item],tab_higiene[[#This Row],[Item]],supercb[Bairro],mercado3)</f>
        <v>1</v>
      </c>
      <c r="AN127" s="27" t="n">
        <f aca="false">SUMIFS(super1[Qtde],super1[Item],tab_higiene[[#This Row],[Item]],super1[Bairro],mercado4)+SUMIFS(supercb[Qtde],supercb[Item],tab_higiene[[#This Row],[Item]],supercb[Bairro],mercado4)</f>
        <v>0</v>
      </c>
      <c r="AO127" s="27" t="n">
        <f aca="false">SUMIFS(super1[Qtde],super1[Item],tab_higiene[[#This Row],[Item]],super1[Bairro],mercado5)+SUMIFS(supercb[Qtde],supercb[Item],tab_higiene[[#This Row],[Item]],supercb[Bairro],mercado5)</f>
        <v>4</v>
      </c>
      <c r="AP127" s="27" t="n">
        <f aca="false">SUMIFS(super1[Qtde],super1[Item],tab_higiene[[#This Row],[Item]],super1[Bairro],mercado6)+SUMIFS(supercb[Qtde],supercb[Item],tab_higiene[[#This Row],[Item]],supercb[Bairro],mercado6)</f>
        <v>1</v>
      </c>
      <c r="AQ127" s="27" t="n">
        <f aca="false">SUMIFS(super1[Qtde],super1[Item],tab_higiene[[#This Row],[Item]],super1[Bairro],mercado7)+SUMIFS(supercb[Qtde],supercb[Item],tab_higiene[[#This Row],[Item]],supercb[Bairro],mercado7)</f>
        <v>0</v>
      </c>
      <c r="AR127" s="27" t="n">
        <f aca="false">SUMIFS(super1[Qtde],super1[Item],tab_higiene[[#This Row],[Item]],super1[Bairro],mercado8)+SUMIFS(supercb[Qtde],supercb[Item],tab_higiene[[#This Row],[Item]],supercb[Bairro],mercado8)</f>
        <v>1</v>
      </c>
      <c r="AS127" s="27" t="n">
        <f aca="false">SUMIFS(super1[Qtde],super1[Item],tab_higiene[[#This Row],[Item]],super1[Bairro],mercado9)+SUMIFS(supercb[Qtde],supercb[Item],tab_higiene[[#This Row],[Item]],supercb[Bairro],mercado9)</f>
        <v>3</v>
      </c>
      <c r="AT127" s="27" t="n">
        <f aca="false">SUMIFS(super1[Qtde],super1[Item],tab_higiene[[#This Row],[Item]],super1[Bairro],mercado10)+SUMIFS(supercb[Qtde],supercb[Item],tab_higiene[[#This Row],[Item]],supercb[Bairro],mercado10)</f>
        <v>6</v>
      </c>
      <c r="AU127" s="27" t="n">
        <f aca="false">SUMIFS(super1[Qtde],super1[Item],tab_higiene[[#This Row],[Item]],super1[Bairro],mercado11)+SUMIFS(supercb[Qtde],supercb[Item],tab_higiene[[#This Row],[Item]],supercb[Bairro],mercado11)</f>
        <v>0</v>
      </c>
      <c r="AV127" s="27" t="n">
        <f aca="false">SUMIFS(super1[Qtde],super1[Item],tab_higiene[[#This Row],[Item]],super1[Bairro],mercado12)+SUMIFS(supercb[Qtde],supercb[Item],tab_higiene[[#This Row],[Item]],supercb[Bairro],mercado12)</f>
        <v>0</v>
      </c>
      <c r="AW127" s="27" t="n">
        <f aca="false">SUMIFS(super1[Qtde],super1[Item],tab_higiene[[#This Row],[Item]],super1[Bairro],mercado13)+SUMIFS(supercb[Qtde],supercb[Item],tab_higiene[[#This Row],[Item]],supercb[Bairro],mercado13)</f>
        <v>1</v>
      </c>
      <c r="AX127" s="27" t="n">
        <f aca="false">SUMIFS(super1[Qtde],super1[Item],tab_higiene[[#This Row],[Item]],super1[Bairro],mercado14)+SUMIFS(supercb[Qtde],supercb[Item],tab_higiene[[#This Row],[Item]],supercb[Bairro],mercado14)</f>
        <v>0</v>
      </c>
      <c r="AY127" s="27" t="n">
        <f aca="false">SUMIFS(super1[Qtde],super1[Item],tab_higiene[[#This Row],[Item]],super1[Bairro],mercado15)+SUMIFS(supercb[Qtde],supercb[Item],tab_higiene[[#This Row],[Item]],supercb[Bairro],mercado15)</f>
        <v>0</v>
      </c>
      <c r="AZ127" s="27" t="n">
        <f aca="false">SUMIFS(super1[Qtde],super1[Item],tab_higiene[[#This Row],[Item]],super1[Bairro],mercado16)+SUMIFS(supercb[Qtde],supercb[Item],tab_higiene[[#This Row],[Item]],supercb[Bairro],mercado16)</f>
        <v>0</v>
      </c>
      <c r="BA127" s="27" t="n">
        <f aca="false">SUMIFS(super1[Qtde],super1[Item],tab_higiene[[#This Row],[Item]],super1[Bairro],mercado17)+SUMIFS(supercb[Qtde],supercb[Item],tab_higiene[[#This Row],[Item]],supercb[Bairro],mercado17)</f>
        <v>0</v>
      </c>
      <c r="BB127" s="27" t="n">
        <f aca="false">SUMIFS(super1[Qtde],super1[Item],tab_higiene[[#This Row],[Item]],super1[Bairro],mercado18)+SUMIFS(supercb[Qtde],supercb[Item],tab_higiene[[#This Row],[Item]],supercb[Bairro],mercado18)</f>
        <v>0</v>
      </c>
      <c r="BC127" s="27" t="n">
        <f aca="false">SUMIFS(super1[Qtde],super1[Item],tab_higiene[[#This Row],[Item]],super1[Bairro],extras)+SUMIFS(supercb[Qtde],supercb[Item],tab_higiene[[#This Row],[Item]],supercb[Bairro],extras)</f>
        <v>0</v>
      </c>
      <c r="BD127" s="27" t="n">
        <f aca="false">SUM(AK127:BB127)</f>
        <v>17</v>
      </c>
      <c r="BE127" s="27" t="n">
        <f aca="false">IFERROR(BD127*AJ127,0)</f>
        <v>129.795</v>
      </c>
      <c r="BF127" s="28" t="n">
        <f aca="false">IFERROR(AI127*BD127,0)</f>
        <v>39.1844333456935</v>
      </c>
      <c r="BI127" s="22" t="str">
        <f aca="false">tab_alimentos[[#This Row],[Item]]</f>
        <v>Feijão (500g)</v>
      </c>
      <c r="BJ127" s="22" t="n">
        <f aca="false">IFERROR(FIND(" (",BI127),0)</f>
        <v>7</v>
      </c>
      <c r="BK127" s="22" t="str">
        <f aca="false">IF(BJ127=0,BI127,LEFT(BI127,BJ127-1))</f>
        <v>Feijão</v>
      </c>
      <c r="BL127" s="22" t="n">
        <f aca="false">tab_alimentos[[#This Row],[kg]]</f>
        <v>1</v>
      </c>
      <c r="BN127" s="22" t="n">
        <f aca="false">SUMIF($BJ$5:$BJ$158,BM127,$BK$5:$BK$158)</f>
        <v>0</v>
      </c>
      <c r="BP127" s="22" t="str">
        <f aca="false">tab_higiene[[#This Row],[Item]]</f>
        <v>Lâmina de Barbear (7un)</v>
      </c>
      <c r="BQ127" s="22" t="n">
        <f aca="false">IFERROR(FIND(" (",BP127),0)</f>
        <v>18</v>
      </c>
      <c r="BR127" s="22" t="str">
        <f aca="false">IF(BQ127=0,BP127,LEFT(BP127,BQ127-1))</f>
        <v>Lâmina de Barbear</v>
      </c>
      <c r="BS127" s="22" t="n">
        <f aca="false">higiene[[#This Row],[Quantidade]]</f>
        <v>0.45</v>
      </c>
      <c r="BT127" s="22" t="n">
        <f aca="false">tab_higiene[Qtde (tot)]</f>
        <v>17</v>
      </c>
      <c r="BU127" s="22" t="n">
        <f aca="false">BS127*BT127</f>
        <v>7.65</v>
      </c>
      <c r="BW127" s="22" t="n">
        <f aca="false">SUMIF($BR$5:$BR$142,BV127,$BU$5:$BU$142)</f>
        <v>0</v>
      </c>
    </row>
    <row r="128" customFormat="false" ht="15" hidden="false" customHeight="false" outlineLevel="0" collapsed="false">
      <c r="I128" s="26" t="str">
        <f aca="false">alimentos[[#This Row],[Item]]</f>
        <v>Feijoada enlatada (830g)</v>
      </c>
      <c r="J128" s="27" t="n">
        <f aca="false">IFERROR(alimentos[[#This Row],[kg/embalagem]],0)</f>
        <v>0.83</v>
      </c>
      <c r="K128" s="27" t="n">
        <f aca="false">IFERROR(alimentos[[#This Row],[Preço]],0)</f>
        <v>11.89</v>
      </c>
      <c r="L128" s="27" t="n">
        <f aca="false">SUMIFS(super1[Qtde],super1[Item],tab_alimentos[[#This Row],[Item]],super1[Bairro],mercado1)+SUMIFS(supercb[Qtde],supercb[Item],tab_alimentos[[#This Row],[Item]],supercb[Bairro],mercado1)</f>
        <v>0</v>
      </c>
      <c r="M128" s="27" t="n">
        <f aca="false">SUMIFS(super1[Qtde],super1[Item],tab_alimentos[[#This Row],[Item]],super1[Bairro],mercado2)+SUMIFS(supercb[Qtde],supercb[Item],tab_alimentos[[#This Row],[Item]],supercb[Bairro],mercado2)</f>
        <v>0</v>
      </c>
      <c r="N128" s="27" t="n">
        <f aca="false">SUMIFS(super1[Qtde],super1[Item],tab_alimentos[[#This Row],[Item]],super1[Bairro],mercado3)+SUMIFS(supercb[Qtde],supercb[Item],tab_alimentos[[#This Row],[Item]],supercb[Bairro],mercado3)</f>
        <v>0</v>
      </c>
      <c r="O128" s="27" t="n">
        <f aca="false">SUMIFS(super1[Qtde],super1[Item],tab_alimentos[[#This Row],[Item]],super1[Bairro],mercado4)+SUMIFS(supercb[Qtde],supercb[Item],tab_alimentos[[#This Row],[Item]],supercb[Bairro],mercado4)</f>
        <v>0</v>
      </c>
      <c r="P128" s="27" t="n">
        <f aca="false">SUMIFS(super1[Qtde],super1[Item],tab_alimentos[[#This Row],[Item]],super1[Bairro],mercado5)+SUMIFS(supercb[Qtde],supercb[Item],tab_alimentos[[#This Row],[Item]],supercb[Bairro],mercado5)</f>
        <v>0</v>
      </c>
      <c r="Q128" s="27" t="n">
        <f aca="false">SUMIFS(super1[Qtde],super1[Item],tab_alimentos[[#This Row],[Item]],super1[Bairro],mercado6)+SUMIFS(supercb[Qtde],supercb[Item],tab_alimentos[[#This Row],[Item]],supercb[Bairro],mercado6)</f>
        <v>0</v>
      </c>
      <c r="R128" s="27" t="n">
        <f aca="false">SUMIFS(super1[Qtde],super1[Item],tab_alimentos[[#This Row],[Item]],super1[Bairro],mercado7)+SUMIFS(supercb[Qtde],supercb[Item],tab_alimentos[[#This Row],[Item]],supercb[Bairro],mercado7)</f>
        <v>0</v>
      </c>
      <c r="S128" s="27" t="n">
        <f aca="false">SUMIFS(super1[Qtde],super1[Item],tab_alimentos[[#This Row],[Item]],super1[Bairro],mercado8)+SUMIFS(supercb[Qtde],supercb[Item],tab_alimentos[[#This Row],[Item]],supercb[Bairro],mercado8)</f>
        <v>0</v>
      </c>
      <c r="T128" s="27" t="n">
        <f aca="false">SUMIFS(super1[Qtde],super1[Item],tab_alimentos[[#This Row],[Item]],super1[Bairro],mercado9)+SUMIFS(supercb[Qtde],supercb[Item],tab_alimentos[[#This Row],[Item]],supercb[Bairro],mercado9)</f>
        <v>0</v>
      </c>
      <c r="U128" s="27" t="n">
        <f aca="false">SUMIFS(super1[Qtde],super1[Item],tab_alimentos[[#This Row],[Item]],super1[Bairro],mercado10)+SUMIFS(supercb[Qtde],supercb[Item],tab_alimentos[[#This Row],[Item]],supercb[Bairro],mercado10)</f>
        <v>0</v>
      </c>
      <c r="V128" s="27" t="n">
        <f aca="false">SUMIFS(super1[Qtde],super1[Item],tab_alimentos[[#This Row],[Item]],super1[Bairro],mercado11)+SUMIFS(supercb[Qtde],supercb[Item],tab_alimentos[[#This Row],[Item]],supercb[Bairro],mercado11)</f>
        <v>0</v>
      </c>
      <c r="W128" s="27" t="n">
        <f aca="false">SUMIFS(super1[Qtde],super1[Item],tab_alimentos[[#This Row],[Item]],super1[Bairro],mercado12)+SUMIFS(supercb[Qtde],supercb[Item],tab_alimentos[[#This Row],[Item]],supercb[Bairro],mercado12)</f>
        <v>0</v>
      </c>
      <c r="X128" s="27" t="n">
        <f aca="false">SUMIFS(super1[Qtde],super1[Item],tab_alimentos[[#This Row],[Item]],super1[Bairro],mercado13)+SUMIFS(supercb[Qtde],supercb[Item],tab_alimentos[[#This Row],[Item]],supercb[Bairro],mercado13)</f>
        <v>0</v>
      </c>
      <c r="Y128" s="27" t="n">
        <f aca="false">SUMIFS(super1[Qtde],super1[Item],tab_alimentos[[#This Row],[Item]],super1[Bairro],mercado14)+SUMIFS(supercb[Qtde],supercb[Item],tab_alimentos[[#This Row],[Item]],supercb[Bairro],mercado14)</f>
        <v>0</v>
      </c>
      <c r="Z128" s="27" t="n">
        <f aca="false">SUMIFS(super1[Qtde],super1[Item],tab_alimentos[[#This Row],[Item]],super1[Bairro],mercado15)+SUMIFS(supercb[Qtde],supercb[Item],tab_alimentos[[#This Row],[Item]],supercb[Bairro],mercado15)</f>
        <v>0</v>
      </c>
      <c r="AA128" s="27" t="n">
        <f aca="false">SUMIFS(super1[Qtde],super1[Item],tab_alimentos[[#This Row],[Item]],super1[Bairro],mercado16)+SUMIFS(supercb[Qtde],supercb[Item],tab_alimentos[[#This Row],[Item]],supercb[Bairro],mercado16)</f>
        <v>0</v>
      </c>
      <c r="AB128" s="27" t="n">
        <f aca="false">SUMIFS(super1[Qtde],super1[Item],tab_alimentos[[#This Row],[Item]],super1[Bairro],mercado17)+SUMIFS(supercb[Qtde],supercb[Item],tab_alimentos[[#This Row],[Item]],supercb[Bairro],mercado17)</f>
        <v>0</v>
      </c>
      <c r="AC128" s="27" t="n">
        <f aca="false">SUMIFS(super1[Qtde],super1[Item],tab_alimentos[[#This Row],[Item]],super1[Bairro],mercado18)+SUMIFS(supercb[Qtde],supercb[Item],tab_alimentos[[#This Row],[Item]],supercb[Bairro],mercado18)</f>
        <v>0</v>
      </c>
      <c r="AD128" s="27" t="n">
        <f aca="false">SUMIFS(super1[Qtde],super1[Item],tab_alimentos[[#This Row],[Item]],super1[Bairro],extras)+SUMIFS(supercb[Qtde],supercb[Item],tab_alimentos[[#This Row],[Item]],supercb[Bairro],extras)</f>
        <v>0</v>
      </c>
      <c r="AE128" s="27" t="n">
        <f aca="false">SUM(L128:AC128)</f>
        <v>0</v>
      </c>
      <c r="AF128" s="27" t="n">
        <f aca="false">IFERROR(AE128*K128,0)</f>
        <v>0</v>
      </c>
      <c r="AG128" s="28" t="n">
        <f aca="false">IFERROR(J128*AE128,0)</f>
        <v>0</v>
      </c>
      <c r="AH128" s="26" t="str">
        <f aca="false">higiene[[#This Row],[Item]]</f>
        <v>Lâmina de barbear (8un)</v>
      </c>
      <c r="AI128" s="27" t="n">
        <f aca="false">IFERROR(higiene[[#This Row],[Kg equivalente]],0)</f>
        <v>1.80533080170459</v>
      </c>
      <c r="AJ128" s="27" t="n">
        <f aca="false">IFERROR(higiene[[#This Row],[Preço por produto]],0)</f>
        <v>5.98</v>
      </c>
      <c r="AK128" s="27" t="n">
        <f aca="false">SUMIFS(super1[Qtde],super1[Item],tab_higiene[[#This Row],[Item]],super1[Bairro],mercado1)+SUMIFS(supercb[Qtde],supercb[Item],tab_higiene[[#This Row],[Item]],supercb[Bairro],mercado1)</f>
        <v>0</v>
      </c>
      <c r="AL128" s="27" t="n">
        <f aca="false">SUMIFS(super1[Qtde],super1[Item],tab_higiene[[#This Row],[Item]],super1[Bairro],mercado2)+SUMIFS(supercb[Qtde],supercb[Item],tab_higiene[[#This Row],[Item]],supercb[Bairro],mercado2)</f>
        <v>0</v>
      </c>
      <c r="AM128" s="27" t="n">
        <f aca="false">SUMIFS(super1[Qtde],super1[Item],tab_higiene[[#This Row],[Item]],super1[Bairro],mercado3)+SUMIFS(supercb[Qtde],supercb[Item],tab_higiene[[#This Row],[Item]],supercb[Bairro],mercado3)</f>
        <v>0</v>
      </c>
      <c r="AN128" s="27" t="n">
        <f aca="false">SUMIFS(super1[Qtde],super1[Item],tab_higiene[[#This Row],[Item]],super1[Bairro],mercado4)+SUMIFS(supercb[Qtde],supercb[Item],tab_higiene[[#This Row],[Item]],supercb[Bairro],mercado4)</f>
        <v>0</v>
      </c>
      <c r="AO128" s="27" t="n">
        <f aca="false">SUMIFS(super1[Qtde],super1[Item],tab_higiene[[#This Row],[Item]],super1[Bairro],mercado5)+SUMIFS(supercb[Qtde],supercb[Item],tab_higiene[[#This Row],[Item]],supercb[Bairro],mercado5)</f>
        <v>0</v>
      </c>
      <c r="AP128" s="27" t="n">
        <f aca="false">SUMIFS(super1[Qtde],super1[Item],tab_higiene[[#This Row],[Item]],super1[Bairro],mercado6)+SUMIFS(supercb[Qtde],supercb[Item],tab_higiene[[#This Row],[Item]],supercb[Bairro],mercado6)</f>
        <v>0</v>
      </c>
      <c r="AQ128" s="27" t="n">
        <f aca="false">SUMIFS(super1[Qtde],super1[Item],tab_higiene[[#This Row],[Item]],super1[Bairro],mercado7)+SUMIFS(supercb[Qtde],supercb[Item],tab_higiene[[#This Row],[Item]],supercb[Bairro],mercado7)</f>
        <v>0</v>
      </c>
      <c r="AR128" s="27" t="n">
        <f aca="false">SUMIFS(super1[Qtde],super1[Item],tab_higiene[[#This Row],[Item]],super1[Bairro],mercado8)+SUMIFS(supercb[Qtde],supercb[Item],tab_higiene[[#This Row],[Item]],supercb[Bairro],mercado8)</f>
        <v>0</v>
      </c>
      <c r="AS128" s="27" t="n">
        <f aca="false">SUMIFS(super1[Qtde],super1[Item],tab_higiene[[#This Row],[Item]],super1[Bairro],mercado9)+SUMIFS(supercb[Qtde],supercb[Item],tab_higiene[[#This Row],[Item]],supercb[Bairro],mercado9)</f>
        <v>0</v>
      </c>
      <c r="AT128" s="27" t="n">
        <f aca="false">SUMIFS(super1[Qtde],super1[Item],tab_higiene[[#This Row],[Item]],super1[Bairro],mercado10)+SUMIFS(supercb[Qtde],supercb[Item],tab_higiene[[#This Row],[Item]],supercb[Bairro],mercado10)</f>
        <v>0</v>
      </c>
      <c r="AU128" s="27" t="n">
        <f aca="false">SUMIFS(super1[Qtde],super1[Item],tab_higiene[[#This Row],[Item]],super1[Bairro],mercado11)+SUMIFS(supercb[Qtde],supercb[Item],tab_higiene[[#This Row],[Item]],supercb[Bairro],mercado11)</f>
        <v>0</v>
      </c>
      <c r="AV128" s="27" t="n">
        <f aca="false">SUMIFS(super1[Qtde],super1[Item],tab_higiene[[#This Row],[Item]],super1[Bairro],mercado12)+SUMIFS(supercb[Qtde],supercb[Item],tab_higiene[[#This Row],[Item]],supercb[Bairro],mercado12)</f>
        <v>0</v>
      </c>
      <c r="AW128" s="27" t="n">
        <f aca="false">SUMIFS(super1[Qtde],super1[Item],tab_higiene[[#This Row],[Item]],super1[Bairro],mercado13)+SUMIFS(supercb[Qtde],supercb[Item],tab_higiene[[#This Row],[Item]],supercb[Bairro],mercado13)</f>
        <v>0</v>
      </c>
      <c r="AX128" s="27" t="n">
        <f aca="false">SUMIFS(super1[Qtde],super1[Item],tab_higiene[[#This Row],[Item]],super1[Bairro],mercado14)+SUMIFS(supercb[Qtde],supercb[Item],tab_higiene[[#This Row],[Item]],supercb[Bairro],mercado14)</f>
        <v>0</v>
      </c>
      <c r="AY128" s="27" t="n">
        <f aca="false">SUMIFS(super1[Qtde],super1[Item],tab_higiene[[#This Row],[Item]],super1[Bairro],mercado15)+SUMIFS(supercb[Qtde],supercb[Item],tab_higiene[[#This Row],[Item]],supercb[Bairro],mercado15)</f>
        <v>0</v>
      </c>
      <c r="AZ128" s="27" t="n">
        <f aca="false">SUMIFS(super1[Qtde],super1[Item],tab_higiene[[#This Row],[Item]],super1[Bairro],mercado16)+SUMIFS(supercb[Qtde],supercb[Item],tab_higiene[[#This Row],[Item]],supercb[Bairro],mercado16)</f>
        <v>0</v>
      </c>
      <c r="BA128" s="27" t="n">
        <f aca="false">SUMIFS(super1[Qtde],super1[Item],tab_higiene[[#This Row],[Item]],super1[Bairro],mercado17)+SUMIFS(supercb[Qtde],supercb[Item],tab_higiene[[#This Row],[Item]],supercb[Bairro],mercado17)</f>
        <v>0</v>
      </c>
      <c r="BB128" s="27" t="n">
        <f aca="false">SUMIFS(super1[Qtde],super1[Item],tab_higiene[[#This Row],[Item]],super1[Bairro],mercado18)+SUMIFS(supercb[Qtde],supercb[Item],tab_higiene[[#This Row],[Item]],supercb[Bairro],mercado18)</f>
        <v>0</v>
      </c>
      <c r="BC128" s="27" t="n">
        <f aca="false">SUMIFS(super1[Qtde],super1[Item],tab_higiene[[#This Row],[Item]],super1[Bairro],extras)+SUMIFS(supercb[Qtde],supercb[Item],tab_higiene[[#This Row],[Item]],supercb[Bairro],extras)</f>
        <v>0</v>
      </c>
      <c r="BD128" s="27" t="n">
        <f aca="false">SUM(AK128:BB128)</f>
        <v>0</v>
      </c>
      <c r="BE128" s="27" t="n">
        <f aca="false">IFERROR(BD128*AJ128,0)</f>
        <v>0</v>
      </c>
      <c r="BF128" s="28" t="n">
        <f aca="false">IFERROR(AI128*BD128,0)</f>
        <v>0</v>
      </c>
      <c r="BI128" s="22" t="str">
        <f aca="false">tab_alimentos[[#This Row],[Item]]</f>
        <v>Feijoada enlatada (830g)</v>
      </c>
      <c r="BJ128" s="22" t="n">
        <f aca="false">IFERROR(FIND(" (",BI128),0)</f>
        <v>18</v>
      </c>
      <c r="BK128" s="22" t="str">
        <f aca="false">IF(BJ128=0,BI128,LEFT(BI128,BJ128-1))</f>
        <v>Feijoada enlatada</v>
      </c>
      <c r="BL128" s="22" t="n">
        <f aca="false">tab_alimentos[[#This Row],[kg]]</f>
        <v>0</v>
      </c>
      <c r="BN128" s="22" t="n">
        <f aca="false">SUMIF($BJ$5:$BJ$158,BM128,$BK$5:$BK$158)</f>
        <v>0</v>
      </c>
      <c r="BP128" s="22" t="str">
        <f aca="false">tab_higiene[[#This Row],[Item]]</f>
        <v>Lâmina de barbear (8un)</v>
      </c>
      <c r="BQ128" s="22" t="n">
        <f aca="false">IFERROR(FIND(" (",BP128),0)</f>
        <v>18</v>
      </c>
      <c r="BR128" s="22" t="str">
        <f aca="false">IF(BQ128=0,BP128,LEFT(BP128,BQ128-1))</f>
        <v>Lâmina de barbear</v>
      </c>
      <c r="BS128" s="22" t="n">
        <f aca="false">higiene[[#This Row],[Quantidade]]</f>
        <v>0</v>
      </c>
      <c r="BT128" s="22" t="n">
        <f aca="false">tab_higiene[Qtde (tot)]</f>
        <v>0</v>
      </c>
      <c r="BU128" s="22" t="n">
        <f aca="false">BS128*BT128</f>
        <v>0</v>
      </c>
      <c r="BW128" s="22" t="n">
        <f aca="false">SUMIF($BR$5:$BR$142,BV128,$BU$5:$BU$142)</f>
        <v>0</v>
      </c>
    </row>
    <row r="129" customFormat="false" ht="15" hidden="false" customHeight="false" outlineLevel="0" collapsed="false">
      <c r="I129" s="26" t="str">
        <f aca="false">alimentos[[#This Row],[Item]]</f>
        <v>Fermento (100g)</v>
      </c>
      <c r="J129" s="27" t="n">
        <f aca="false">IFERROR(alimentos[[#This Row],[kg/embalagem]],0)</f>
        <v>0.1</v>
      </c>
      <c r="K129" s="27" t="n">
        <f aca="false">IFERROR(alimentos[[#This Row],[Preço]],0)</f>
        <v>2.51833333333333</v>
      </c>
      <c r="L129" s="27" t="n">
        <f aca="false">SUMIFS(super1[Qtde],super1[Item],tab_alimentos[[#This Row],[Item]],super1[Bairro],mercado1)+SUMIFS(supercb[Qtde],supercb[Item],tab_alimentos[[#This Row],[Item]],supercb[Bairro],mercado1)</f>
        <v>0</v>
      </c>
      <c r="M129" s="27" t="n">
        <f aca="false">SUMIFS(super1[Qtde],super1[Item],tab_alimentos[[#This Row],[Item]],super1[Bairro],mercado2)+SUMIFS(supercb[Qtde],supercb[Item],tab_alimentos[[#This Row],[Item]],supercb[Bairro],mercado2)</f>
        <v>0</v>
      </c>
      <c r="N129" s="27" t="n">
        <f aca="false">SUMIFS(super1[Qtde],super1[Item],tab_alimentos[[#This Row],[Item]],super1[Bairro],mercado3)+SUMIFS(supercb[Qtde],supercb[Item],tab_alimentos[[#This Row],[Item]],supercb[Bairro],mercado3)</f>
        <v>0</v>
      </c>
      <c r="O129" s="27" t="n">
        <f aca="false">SUMIFS(super1[Qtde],super1[Item],tab_alimentos[[#This Row],[Item]],super1[Bairro],mercado4)+SUMIFS(supercb[Qtde],supercb[Item],tab_alimentos[[#This Row],[Item]],supercb[Bairro],mercado4)</f>
        <v>0</v>
      </c>
      <c r="P129" s="27" t="n">
        <f aca="false">SUMIFS(super1[Qtde],super1[Item],tab_alimentos[[#This Row],[Item]],super1[Bairro],mercado5)+SUMIFS(supercb[Qtde],supercb[Item],tab_alimentos[[#This Row],[Item]],supercb[Bairro],mercado5)</f>
        <v>0</v>
      </c>
      <c r="Q129" s="27" t="n">
        <f aca="false">SUMIFS(super1[Qtde],super1[Item],tab_alimentos[[#This Row],[Item]],super1[Bairro],mercado6)+SUMIFS(supercb[Qtde],supercb[Item],tab_alimentos[[#This Row],[Item]],supercb[Bairro],mercado6)</f>
        <v>0</v>
      </c>
      <c r="R129" s="27" t="n">
        <f aca="false">SUMIFS(super1[Qtde],super1[Item],tab_alimentos[[#This Row],[Item]],super1[Bairro],mercado7)+SUMIFS(supercb[Qtde],supercb[Item],tab_alimentos[[#This Row],[Item]],supercb[Bairro],mercado7)</f>
        <v>0</v>
      </c>
      <c r="S129" s="27" t="n">
        <f aca="false">SUMIFS(super1[Qtde],super1[Item],tab_alimentos[[#This Row],[Item]],super1[Bairro],mercado8)+SUMIFS(supercb[Qtde],supercb[Item],tab_alimentos[[#This Row],[Item]],supercb[Bairro],mercado8)</f>
        <v>0</v>
      </c>
      <c r="T129" s="27" t="n">
        <f aca="false">SUMIFS(super1[Qtde],super1[Item],tab_alimentos[[#This Row],[Item]],super1[Bairro],mercado9)+SUMIFS(supercb[Qtde],supercb[Item],tab_alimentos[[#This Row],[Item]],supercb[Bairro],mercado9)</f>
        <v>0</v>
      </c>
      <c r="U129" s="27" t="n">
        <f aca="false">SUMIFS(super1[Qtde],super1[Item],tab_alimentos[[#This Row],[Item]],super1[Bairro],mercado10)+SUMIFS(supercb[Qtde],supercb[Item],tab_alimentos[[#This Row],[Item]],supercb[Bairro],mercado10)</f>
        <v>0</v>
      </c>
      <c r="V129" s="27" t="n">
        <f aca="false">SUMIFS(super1[Qtde],super1[Item],tab_alimentos[[#This Row],[Item]],super1[Bairro],mercado11)+SUMIFS(supercb[Qtde],supercb[Item],tab_alimentos[[#This Row],[Item]],supercb[Bairro],mercado11)</f>
        <v>0</v>
      </c>
      <c r="W129" s="27" t="n">
        <f aca="false">SUMIFS(super1[Qtde],super1[Item],tab_alimentos[[#This Row],[Item]],super1[Bairro],mercado12)+SUMIFS(supercb[Qtde],supercb[Item],tab_alimentos[[#This Row],[Item]],supercb[Bairro],mercado12)</f>
        <v>0</v>
      </c>
      <c r="X129" s="27" t="n">
        <f aca="false">SUMIFS(super1[Qtde],super1[Item],tab_alimentos[[#This Row],[Item]],super1[Bairro],mercado13)+SUMIFS(supercb[Qtde],supercb[Item],tab_alimentos[[#This Row],[Item]],supercb[Bairro],mercado13)</f>
        <v>0</v>
      </c>
      <c r="Y129" s="27" t="n">
        <f aca="false">SUMIFS(super1[Qtde],super1[Item],tab_alimentos[[#This Row],[Item]],super1[Bairro],mercado14)+SUMIFS(supercb[Qtde],supercb[Item],tab_alimentos[[#This Row],[Item]],supercb[Bairro],mercado14)</f>
        <v>0</v>
      </c>
      <c r="Z129" s="27" t="n">
        <f aca="false">SUMIFS(super1[Qtde],super1[Item],tab_alimentos[[#This Row],[Item]],super1[Bairro],mercado15)+SUMIFS(supercb[Qtde],supercb[Item],tab_alimentos[[#This Row],[Item]],supercb[Bairro],mercado15)</f>
        <v>0</v>
      </c>
      <c r="AA129" s="27" t="n">
        <f aca="false">SUMIFS(super1[Qtde],super1[Item],tab_alimentos[[#This Row],[Item]],super1[Bairro],mercado16)+SUMIFS(supercb[Qtde],supercb[Item],tab_alimentos[[#This Row],[Item]],supercb[Bairro],mercado16)</f>
        <v>0</v>
      </c>
      <c r="AB129" s="27" t="n">
        <f aca="false">SUMIFS(super1[Qtde],super1[Item],tab_alimentos[[#This Row],[Item]],super1[Bairro],mercado17)+SUMIFS(supercb[Qtde],supercb[Item],tab_alimentos[[#This Row],[Item]],supercb[Bairro],mercado17)</f>
        <v>0</v>
      </c>
      <c r="AC129" s="27" t="n">
        <f aca="false">SUMIFS(super1[Qtde],super1[Item],tab_alimentos[[#This Row],[Item]],super1[Bairro],mercado18)+SUMIFS(supercb[Qtde],supercb[Item],tab_alimentos[[#This Row],[Item]],supercb[Bairro],mercado18)</f>
        <v>0</v>
      </c>
      <c r="AD129" s="27" t="n">
        <f aca="false">SUMIFS(super1[Qtde],super1[Item],tab_alimentos[[#This Row],[Item]],super1[Bairro],extras)+SUMIFS(supercb[Qtde],supercb[Item],tab_alimentos[[#This Row],[Item]],supercb[Bairro],extras)</f>
        <v>0</v>
      </c>
      <c r="AE129" s="27" t="n">
        <f aca="false">SUM(L129:AC129)</f>
        <v>0</v>
      </c>
      <c r="AF129" s="27" t="n">
        <f aca="false">IFERROR(AE129*K129,0)</f>
        <v>0</v>
      </c>
      <c r="AG129" s="28" t="n">
        <f aca="false">IFERROR(J129*AE129,0)</f>
        <v>0</v>
      </c>
      <c r="AH129" s="26" t="str">
        <f aca="false">higiene[[#This Row],[Item]]</f>
        <v>Lâmina refil (2un)</v>
      </c>
      <c r="AI129" s="27" t="n">
        <f aca="false">IFERROR(higiene[[#This Row],[Kg equivalente]],0)</f>
        <v>5.81449351853351</v>
      </c>
      <c r="AJ129" s="27" t="n">
        <f aca="false">IFERROR(higiene[[#This Row],[Preço por produto]],0)</f>
        <v>19.26</v>
      </c>
      <c r="AK129" s="27" t="n">
        <f aca="false">SUMIFS(super1[Qtde],super1[Item],tab_higiene[[#This Row],[Item]],super1[Bairro],mercado1)+SUMIFS(supercb[Qtde],supercb[Item],tab_higiene[[#This Row],[Item]],supercb[Bairro],mercado1)</f>
        <v>0</v>
      </c>
      <c r="AL129" s="27" t="n">
        <f aca="false">SUMIFS(super1[Qtde],super1[Item],tab_higiene[[#This Row],[Item]],super1[Bairro],mercado2)+SUMIFS(supercb[Qtde],supercb[Item],tab_higiene[[#This Row],[Item]],supercb[Bairro],mercado2)</f>
        <v>0</v>
      </c>
      <c r="AM129" s="27" t="n">
        <f aca="false">SUMIFS(super1[Qtde],super1[Item],tab_higiene[[#This Row],[Item]],super1[Bairro],mercado3)+SUMIFS(supercb[Qtde],supercb[Item],tab_higiene[[#This Row],[Item]],supercb[Bairro],mercado3)</f>
        <v>0</v>
      </c>
      <c r="AN129" s="27" t="n">
        <f aca="false">SUMIFS(super1[Qtde],super1[Item],tab_higiene[[#This Row],[Item]],super1[Bairro],mercado4)+SUMIFS(supercb[Qtde],supercb[Item],tab_higiene[[#This Row],[Item]],supercb[Bairro],mercado4)</f>
        <v>0</v>
      </c>
      <c r="AO129" s="27" t="n">
        <f aca="false">SUMIFS(super1[Qtde],super1[Item],tab_higiene[[#This Row],[Item]],super1[Bairro],mercado5)+SUMIFS(supercb[Qtde],supercb[Item],tab_higiene[[#This Row],[Item]],supercb[Bairro],mercado5)</f>
        <v>0</v>
      </c>
      <c r="AP129" s="27" t="n">
        <f aca="false">SUMIFS(super1[Qtde],super1[Item],tab_higiene[[#This Row],[Item]],super1[Bairro],mercado6)+SUMIFS(supercb[Qtde],supercb[Item],tab_higiene[[#This Row],[Item]],supercb[Bairro],mercado6)</f>
        <v>0</v>
      </c>
      <c r="AQ129" s="27" t="n">
        <f aca="false">SUMIFS(super1[Qtde],super1[Item],tab_higiene[[#This Row],[Item]],super1[Bairro],mercado7)+SUMIFS(supercb[Qtde],supercb[Item],tab_higiene[[#This Row],[Item]],supercb[Bairro],mercado7)</f>
        <v>0</v>
      </c>
      <c r="AR129" s="27" t="n">
        <f aca="false">SUMIFS(super1[Qtde],super1[Item],tab_higiene[[#This Row],[Item]],super1[Bairro],mercado8)+SUMIFS(supercb[Qtde],supercb[Item],tab_higiene[[#This Row],[Item]],supercb[Bairro],mercado8)</f>
        <v>1</v>
      </c>
      <c r="AS129" s="27" t="n">
        <f aca="false">SUMIFS(super1[Qtde],super1[Item],tab_higiene[[#This Row],[Item]],super1[Bairro],mercado9)+SUMIFS(supercb[Qtde],supercb[Item],tab_higiene[[#This Row],[Item]],supercb[Bairro],mercado9)</f>
        <v>0</v>
      </c>
      <c r="AT129" s="27" t="n">
        <f aca="false">SUMIFS(super1[Qtde],super1[Item],tab_higiene[[#This Row],[Item]],super1[Bairro],mercado10)+SUMIFS(supercb[Qtde],supercb[Item],tab_higiene[[#This Row],[Item]],supercb[Bairro],mercado10)</f>
        <v>0</v>
      </c>
      <c r="AU129" s="27" t="n">
        <f aca="false">SUMIFS(super1[Qtde],super1[Item],tab_higiene[[#This Row],[Item]],super1[Bairro],mercado11)+SUMIFS(supercb[Qtde],supercb[Item],tab_higiene[[#This Row],[Item]],supercb[Bairro],mercado11)</f>
        <v>0</v>
      </c>
      <c r="AV129" s="27" t="n">
        <f aca="false">SUMIFS(super1[Qtde],super1[Item],tab_higiene[[#This Row],[Item]],super1[Bairro],mercado12)+SUMIFS(supercb[Qtde],supercb[Item],tab_higiene[[#This Row],[Item]],supercb[Bairro],mercado12)</f>
        <v>0</v>
      </c>
      <c r="AW129" s="27" t="n">
        <f aca="false">SUMIFS(super1[Qtde],super1[Item],tab_higiene[[#This Row],[Item]],super1[Bairro],mercado13)+SUMIFS(supercb[Qtde],supercb[Item],tab_higiene[[#This Row],[Item]],supercb[Bairro],mercado13)</f>
        <v>0</v>
      </c>
      <c r="AX129" s="27" t="n">
        <f aca="false">SUMIFS(super1[Qtde],super1[Item],tab_higiene[[#This Row],[Item]],super1[Bairro],mercado14)+SUMIFS(supercb[Qtde],supercb[Item],tab_higiene[[#This Row],[Item]],supercb[Bairro],mercado14)</f>
        <v>0</v>
      </c>
      <c r="AY129" s="27" t="n">
        <f aca="false">SUMIFS(super1[Qtde],super1[Item],tab_higiene[[#This Row],[Item]],super1[Bairro],mercado15)+SUMIFS(supercb[Qtde],supercb[Item],tab_higiene[[#This Row],[Item]],supercb[Bairro],mercado15)</f>
        <v>0</v>
      </c>
      <c r="AZ129" s="27" t="n">
        <f aca="false">SUMIFS(super1[Qtde],super1[Item],tab_higiene[[#This Row],[Item]],super1[Bairro],mercado16)+SUMIFS(supercb[Qtde],supercb[Item],tab_higiene[[#This Row],[Item]],supercb[Bairro],mercado16)</f>
        <v>0</v>
      </c>
      <c r="BA129" s="27" t="n">
        <f aca="false">SUMIFS(super1[Qtde],super1[Item],tab_higiene[[#This Row],[Item]],super1[Bairro],mercado17)+SUMIFS(supercb[Qtde],supercb[Item],tab_higiene[[#This Row],[Item]],supercb[Bairro],mercado17)</f>
        <v>0</v>
      </c>
      <c r="BB129" s="27" t="n">
        <f aca="false">SUMIFS(super1[Qtde],super1[Item],tab_higiene[[#This Row],[Item]],super1[Bairro],mercado18)+SUMIFS(supercb[Qtde],supercb[Item],tab_higiene[[#This Row],[Item]],supercb[Bairro],mercado18)</f>
        <v>0</v>
      </c>
      <c r="BC129" s="27" t="n">
        <f aca="false">SUMIFS(super1[Qtde],super1[Item],tab_higiene[[#This Row],[Item]],super1[Bairro],extras)+SUMIFS(supercb[Qtde],supercb[Item],tab_higiene[[#This Row],[Item]],supercb[Bairro],extras)</f>
        <v>0</v>
      </c>
      <c r="BD129" s="27" t="n">
        <f aca="false">SUM(AK129:BB129)</f>
        <v>1</v>
      </c>
      <c r="BE129" s="27" t="n">
        <f aca="false">IFERROR(BD129*AJ129,0)</f>
        <v>19.26</v>
      </c>
      <c r="BF129" s="28" t="n">
        <f aca="false">IFERROR(AI129*BD129,0)</f>
        <v>5.81449351853351</v>
      </c>
      <c r="BI129" s="22" t="str">
        <f aca="false">tab_alimentos[[#This Row],[Item]]</f>
        <v>Fermento (100g)</v>
      </c>
      <c r="BJ129" s="22" t="n">
        <f aca="false">IFERROR(FIND(" (",BI129),0)</f>
        <v>9</v>
      </c>
      <c r="BK129" s="22" t="str">
        <f aca="false">IF(BJ129=0,BI129,LEFT(BI129,BJ129-1))</f>
        <v>Fermento</v>
      </c>
      <c r="BL129" s="22" t="n">
        <f aca="false">tab_alimentos[[#This Row],[kg]]</f>
        <v>0</v>
      </c>
      <c r="BN129" s="22" t="n">
        <f aca="false">SUMIF($BJ$5:$BJ$158,BM129,$BK$5:$BK$158)</f>
        <v>0</v>
      </c>
      <c r="BP129" s="22" t="str">
        <f aca="false">tab_higiene[[#This Row],[Item]]</f>
        <v>Lâmina refil (2un)</v>
      </c>
      <c r="BQ129" s="22" t="n">
        <f aca="false">IFERROR(FIND(" (",BP129),0)</f>
        <v>13</v>
      </c>
      <c r="BR129" s="22" t="str">
        <f aca="false">IF(BQ129=0,BP129,LEFT(BP129,BQ129-1))</f>
        <v>Lâmina refil</v>
      </c>
      <c r="BS129" s="22" t="n">
        <f aca="false">higiene[[#This Row],[Quantidade]]</f>
        <v>1</v>
      </c>
      <c r="BT129" s="22" t="n">
        <f aca="false">tab_higiene[Qtde (tot)]</f>
        <v>1</v>
      </c>
      <c r="BU129" s="22" t="n">
        <f aca="false">BS129*BT129</f>
        <v>1</v>
      </c>
      <c r="BW129" s="22" t="n">
        <f aca="false">SUMIF($BR$5:$BR$142,BV129,$BU$5:$BU$142)</f>
        <v>0</v>
      </c>
    </row>
    <row r="130" customFormat="false" ht="15" hidden="false" customHeight="false" outlineLevel="0" collapsed="false">
      <c r="I130" s="26" t="str">
        <f aca="false">alimentos[[#This Row],[Item]]</f>
        <v>Fuba (1kg)</v>
      </c>
      <c r="J130" s="27" t="n">
        <f aca="false">IFERROR(alimentos[[#This Row],[kg/embalagem]],0)</f>
        <v>1</v>
      </c>
      <c r="K130" s="27" t="n">
        <f aca="false">IFERROR(alimentos[[#This Row],[Preço]],0)</f>
        <v>4.80333333333333</v>
      </c>
      <c r="L130" s="27" t="n">
        <f aca="false">SUMIFS(super1[Qtde],super1[Item],tab_alimentos[[#This Row],[Item]],super1[Bairro],mercado1)+SUMIFS(supercb[Qtde],supercb[Item],tab_alimentos[[#This Row],[Item]],supercb[Bairro],mercado1)</f>
        <v>0</v>
      </c>
      <c r="M130" s="27" t="n">
        <f aca="false">SUMIFS(super1[Qtde],super1[Item],tab_alimentos[[#This Row],[Item]],super1[Bairro],mercado2)+SUMIFS(supercb[Qtde],supercb[Item],tab_alimentos[[#This Row],[Item]],supercb[Bairro],mercado2)</f>
        <v>0</v>
      </c>
      <c r="N130" s="27" t="n">
        <f aca="false">SUMIFS(super1[Qtde],super1[Item],tab_alimentos[[#This Row],[Item]],super1[Bairro],mercado3)+SUMIFS(supercb[Qtde],supercb[Item],tab_alimentos[[#This Row],[Item]],supercb[Bairro],mercado3)</f>
        <v>0</v>
      </c>
      <c r="O130" s="27" t="n">
        <f aca="false">SUMIFS(super1[Qtde],super1[Item],tab_alimentos[[#This Row],[Item]],super1[Bairro],mercado4)+SUMIFS(supercb[Qtde],supercb[Item],tab_alimentos[[#This Row],[Item]],supercb[Bairro],mercado4)</f>
        <v>0</v>
      </c>
      <c r="P130" s="27" t="n">
        <f aca="false">SUMIFS(super1[Qtde],super1[Item],tab_alimentos[[#This Row],[Item]],super1[Bairro],mercado5)+SUMIFS(supercb[Qtde],supercb[Item],tab_alimentos[[#This Row],[Item]],supercb[Bairro],mercado5)</f>
        <v>0</v>
      </c>
      <c r="Q130" s="27" t="n">
        <f aca="false">SUMIFS(super1[Qtde],super1[Item],tab_alimentos[[#This Row],[Item]],super1[Bairro],mercado6)+SUMIFS(supercb[Qtde],supercb[Item],tab_alimentos[[#This Row],[Item]],supercb[Bairro],mercado6)</f>
        <v>0</v>
      </c>
      <c r="R130" s="27" t="n">
        <f aca="false">SUMIFS(super1[Qtde],super1[Item],tab_alimentos[[#This Row],[Item]],super1[Bairro],mercado7)+SUMIFS(supercb[Qtde],supercb[Item],tab_alimentos[[#This Row],[Item]],supercb[Bairro],mercado7)</f>
        <v>0</v>
      </c>
      <c r="S130" s="27" t="n">
        <f aca="false">SUMIFS(super1[Qtde],super1[Item],tab_alimentos[[#This Row],[Item]],super1[Bairro],mercado8)+SUMIFS(supercb[Qtde],supercb[Item],tab_alimentos[[#This Row],[Item]],supercb[Bairro],mercado8)</f>
        <v>0</v>
      </c>
      <c r="T130" s="27" t="n">
        <f aca="false">SUMIFS(super1[Qtde],super1[Item],tab_alimentos[[#This Row],[Item]],super1[Bairro],mercado9)+SUMIFS(supercb[Qtde],supercb[Item],tab_alimentos[[#This Row],[Item]],supercb[Bairro],mercado9)</f>
        <v>1</v>
      </c>
      <c r="U130" s="27" t="n">
        <f aca="false">SUMIFS(super1[Qtde],super1[Item],tab_alimentos[[#This Row],[Item]],super1[Bairro],mercado10)+SUMIFS(supercb[Qtde],supercb[Item],tab_alimentos[[#This Row],[Item]],supercb[Bairro],mercado10)</f>
        <v>5</v>
      </c>
      <c r="V130" s="27" t="n">
        <f aca="false">SUMIFS(super1[Qtde],super1[Item],tab_alimentos[[#This Row],[Item]],super1[Bairro],mercado11)+SUMIFS(supercb[Qtde],supercb[Item],tab_alimentos[[#This Row],[Item]],supercb[Bairro],mercado11)</f>
        <v>0</v>
      </c>
      <c r="W130" s="27" t="n">
        <f aca="false">SUMIFS(super1[Qtde],super1[Item],tab_alimentos[[#This Row],[Item]],super1[Bairro],mercado12)+SUMIFS(supercb[Qtde],supercb[Item],tab_alimentos[[#This Row],[Item]],supercb[Bairro],mercado12)</f>
        <v>0</v>
      </c>
      <c r="X130" s="27" t="n">
        <f aca="false">SUMIFS(super1[Qtde],super1[Item],tab_alimentos[[#This Row],[Item]],super1[Bairro],mercado13)+SUMIFS(supercb[Qtde],supercb[Item],tab_alimentos[[#This Row],[Item]],supercb[Bairro],mercado13)</f>
        <v>1</v>
      </c>
      <c r="Y130" s="27" t="n">
        <f aca="false">SUMIFS(super1[Qtde],super1[Item],tab_alimentos[[#This Row],[Item]],super1[Bairro],mercado14)+SUMIFS(supercb[Qtde],supercb[Item],tab_alimentos[[#This Row],[Item]],supercb[Bairro],mercado14)</f>
        <v>0</v>
      </c>
      <c r="Z130" s="27" t="n">
        <f aca="false">SUMIFS(super1[Qtde],super1[Item],tab_alimentos[[#This Row],[Item]],super1[Bairro],mercado15)+SUMIFS(supercb[Qtde],supercb[Item],tab_alimentos[[#This Row],[Item]],supercb[Bairro],mercado15)</f>
        <v>0</v>
      </c>
      <c r="AA130" s="27" t="n">
        <f aca="false">SUMIFS(super1[Qtde],super1[Item],tab_alimentos[[#This Row],[Item]],super1[Bairro],mercado16)+SUMIFS(supercb[Qtde],supercb[Item],tab_alimentos[[#This Row],[Item]],supercb[Bairro],mercado16)</f>
        <v>0</v>
      </c>
      <c r="AB130" s="27" t="n">
        <f aca="false">SUMIFS(super1[Qtde],super1[Item],tab_alimentos[[#This Row],[Item]],super1[Bairro],mercado17)+SUMIFS(supercb[Qtde],supercb[Item],tab_alimentos[[#This Row],[Item]],supercb[Bairro],mercado17)</f>
        <v>0</v>
      </c>
      <c r="AC130" s="27" t="n">
        <f aca="false">SUMIFS(super1[Qtde],super1[Item],tab_alimentos[[#This Row],[Item]],super1[Bairro],mercado18)+SUMIFS(supercb[Qtde],supercb[Item],tab_alimentos[[#This Row],[Item]],supercb[Bairro],mercado18)</f>
        <v>0</v>
      </c>
      <c r="AD130" s="27" t="n">
        <f aca="false">SUMIFS(super1[Qtde],super1[Item],tab_alimentos[[#This Row],[Item]],super1[Bairro],extras)+SUMIFS(supercb[Qtde],supercb[Item],tab_alimentos[[#This Row],[Item]],supercb[Bairro],extras)</f>
        <v>0</v>
      </c>
      <c r="AE130" s="27" t="n">
        <f aca="false">SUM(L130:AC130)</f>
        <v>7</v>
      </c>
      <c r="AF130" s="27" t="n">
        <f aca="false">IFERROR(AE130*K130,0)</f>
        <v>33.6233333333333</v>
      </c>
      <c r="AG130" s="28" t="n">
        <f aca="false">IFERROR(J130*AE130,0)</f>
        <v>7</v>
      </c>
      <c r="AH130" s="26" t="str">
        <f aca="false">higiene[[#This Row],[Item]]</f>
        <v>Lâmina refil (4un)</v>
      </c>
      <c r="AI130" s="27" t="n">
        <f aca="false">IFERROR(higiene[[#This Row],[Kg equivalente]],0)</f>
        <v>12.0697534200919</v>
      </c>
      <c r="AJ130" s="27" t="n">
        <f aca="false">IFERROR(higiene[[#This Row],[Preço por produto]],0)</f>
        <v>39.98</v>
      </c>
      <c r="AK130" s="27" t="n">
        <f aca="false">SUMIFS(super1[Qtde],super1[Item],tab_higiene[[#This Row],[Item]],super1[Bairro],mercado1)+SUMIFS(supercb[Qtde],supercb[Item],tab_higiene[[#This Row],[Item]],supercb[Bairro],mercado1)</f>
        <v>0</v>
      </c>
      <c r="AL130" s="27" t="n">
        <f aca="false">SUMIFS(super1[Qtde],super1[Item],tab_higiene[[#This Row],[Item]],super1[Bairro],mercado2)+SUMIFS(supercb[Qtde],supercb[Item],tab_higiene[[#This Row],[Item]],supercb[Bairro],mercado2)</f>
        <v>0</v>
      </c>
      <c r="AM130" s="27" t="n">
        <f aca="false">SUMIFS(super1[Qtde],super1[Item],tab_higiene[[#This Row],[Item]],super1[Bairro],mercado3)+SUMIFS(supercb[Qtde],supercb[Item],tab_higiene[[#This Row],[Item]],supercb[Bairro],mercado3)</f>
        <v>0</v>
      </c>
      <c r="AN130" s="27" t="n">
        <f aca="false">SUMIFS(super1[Qtde],super1[Item],tab_higiene[[#This Row],[Item]],super1[Bairro],mercado4)+SUMIFS(supercb[Qtde],supercb[Item],tab_higiene[[#This Row],[Item]],supercb[Bairro],mercado4)</f>
        <v>0</v>
      </c>
      <c r="AO130" s="27" t="n">
        <f aca="false">SUMIFS(super1[Qtde],super1[Item],tab_higiene[[#This Row],[Item]],super1[Bairro],mercado5)+SUMIFS(supercb[Qtde],supercb[Item],tab_higiene[[#This Row],[Item]],supercb[Bairro],mercado5)</f>
        <v>0</v>
      </c>
      <c r="AP130" s="27" t="n">
        <f aca="false">SUMIFS(super1[Qtde],super1[Item],tab_higiene[[#This Row],[Item]],super1[Bairro],mercado6)+SUMIFS(supercb[Qtde],supercb[Item],tab_higiene[[#This Row],[Item]],supercb[Bairro],mercado6)</f>
        <v>0</v>
      </c>
      <c r="AQ130" s="27" t="n">
        <f aca="false">SUMIFS(super1[Qtde],super1[Item],tab_higiene[[#This Row],[Item]],super1[Bairro],mercado7)+SUMIFS(supercb[Qtde],supercb[Item],tab_higiene[[#This Row],[Item]],supercb[Bairro],mercado7)</f>
        <v>0</v>
      </c>
      <c r="AR130" s="27" t="n">
        <f aca="false">SUMIFS(super1[Qtde],super1[Item],tab_higiene[[#This Row],[Item]],super1[Bairro],mercado8)+SUMIFS(supercb[Qtde],supercb[Item],tab_higiene[[#This Row],[Item]],supercb[Bairro],mercado8)</f>
        <v>0</v>
      </c>
      <c r="AS130" s="27" t="n">
        <f aca="false">SUMIFS(super1[Qtde],super1[Item],tab_higiene[[#This Row],[Item]],super1[Bairro],mercado9)+SUMIFS(supercb[Qtde],supercb[Item],tab_higiene[[#This Row],[Item]],supercb[Bairro],mercado9)</f>
        <v>0</v>
      </c>
      <c r="AT130" s="27" t="n">
        <f aca="false">SUMIFS(super1[Qtde],super1[Item],tab_higiene[[#This Row],[Item]],super1[Bairro],mercado10)+SUMIFS(supercb[Qtde],supercb[Item],tab_higiene[[#This Row],[Item]],supercb[Bairro],mercado10)</f>
        <v>0</v>
      </c>
      <c r="AU130" s="27" t="n">
        <f aca="false">SUMIFS(super1[Qtde],super1[Item],tab_higiene[[#This Row],[Item]],super1[Bairro],mercado11)+SUMIFS(supercb[Qtde],supercb[Item],tab_higiene[[#This Row],[Item]],supercb[Bairro],mercado11)</f>
        <v>0</v>
      </c>
      <c r="AV130" s="27" t="n">
        <f aca="false">SUMIFS(super1[Qtde],super1[Item],tab_higiene[[#This Row],[Item]],super1[Bairro],mercado12)+SUMIFS(supercb[Qtde],supercb[Item],tab_higiene[[#This Row],[Item]],supercb[Bairro],mercado12)</f>
        <v>0</v>
      </c>
      <c r="AW130" s="27" t="n">
        <f aca="false">SUMIFS(super1[Qtde],super1[Item],tab_higiene[[#This Row],[Item]],super1[Bairro],mercado13)+SUMIFS(supercb[Qtde],supercb[Item],tab_higiene[[#This Row],[Item]],supercb[Bairro],mercado13)</f>
        <v>0</v>
      </c>
      <c r="AX130" s="27" t="n">
        <f aca="false">SUMIFS(super1[Qtde],super1[Item],tab_higiene[[#This Row],[Item]],super1[Bairro],mercado14)+SUMIFS(supercb[Qtde],supercb[Item],tab_higiene[[#This Row],[Item]],supercb[Bairro],mercado14)</f>
        <v>0</v>
      </c>
      <c r="AY130" s="27" t="n">
        <f aca="false">SUMIFS(super1[Qtde],super1[Item],tab_higiene[[#This Row],[Item]],super1[Bairro],mercado15)+SUMIFS(supercb[Qtde],supercb[Item],tab_higiene[[#This Row],[Item]],supercb[Bairro],mercado15)</f>
        <v>0</v>
      </c>
      <c r="AZ130" s="27" t="n">
        <f aca="false">SUMIFS(super1[Qtde],super1[Item],tab_higiene[[#This Row],[Item]],super1[Bairro],mercado16)+SUMIFS(supercb[Qtde],supercb[Item],tab_higiene[[#This Row],[Item]],supercb[Bairro],mercado16)</f>
        <v>0</v>
      </c>
      <c r="BA130" s="27" t="n">
        <f aca="false">SUMIFS(super1[Qtde],super1[Item],tab_higiene[[#This Row],[Item]],super1[Bairro],mercado17)+SUMIFS(supercb[Qtde],supercb[Item],tab_higiene[[#This Row],[Item]],supercb[Bairro],mercado17)</f>
        <v>0</v>
      </c>
      <c r="BB130" s="27" t="n">
        <f aca="false">SUMIFS(super1[Qtde],super1[Item],tab_higiene[[#This Row],[Item]],super1[Bairro],mercado18)+SUMIFS(supercb[Qtde],supercb[Item],tab_higiene[[#This Row],[Item]],supercb[Bairro],mercado18)</f>
        <v>0</v>
      </c>
      <c r="BC130" s="27" t="n">
        <f aca="false">SUMIFS(super1[Qtde],super1[Item],tab_higiene[[#This Row],[Item]],super1[Bairro],extras)+SUMIFS(supercb[Qtde],supercb[Item],tab_higiene[[#This Row],[Item]],supercb[Bairro],extras)</f>
        <v>0</v>
      </c>
      <c r="BD130" s="27" t="n">
        <f aca="false">SUM(AK130:BB130)</f>
        <v>0</v>
      </c>
      <c r="BE130" s="27" t="n">
        <f aca="false">IFERROR(BD130*AJ130,0)</f>
        <v>0</v>
      </c>
      <c r="BF130" s="28" t="n">
        <f aca="false">IFERROR(AI130*BD130,0)</f>
        <v>0</v>
      </c>
      <c r="BI130" s="22" t="str">
        <f aca="false">tab_alimentos[[#This Row],[Item]]</f>
        <v>Fuba (1kg)</v>
      </c>
      <c r="BJ130" s="22" t="n">
        <f aca="false">IFERROR(FIND(" (",BI130),0)</f>
        <v>5</v>
      </c>
      <c r="BK130" s="22" t="str">
        <f aca="false">IF(BJ130=0,BI130,LEFT(BI130,BJ130-1))</f>
        <v>Fuba</v>
      </c>
      <c r="BL130" s="22" t="n">
        <f aca="false">tab_alimentos[[#This Row],[kg]]</f>
        <v>7</v>
      </c>
      <c r="BN130" s="22" t="n">
        <f aca="false">SUMIF($BJ$5:$BJ$158,BM130,$BK$5:$BK$158)</f>
        <v>0</v>
      </c>
      <c r="BP130" s="22" t="str">
        <f aca="false">tab_higiene[[#This Row],[Item]]</f>
        <v>Lâmina refil (4un)</v>
      </c>
      <c r="BQ130" s="22" t="n">
        <f aca="false">IFERROR(FIND(" (",BP130),0)</f>
        <v>13</v>
      </c>
      <c r="BR130" s="22" t="str">
        <f aca="false">IF(BQ130=0,BP130,LEFT(BP130,BQ130-1))</f>
        <v>Lâmina refil</v>
      </c>
      <c r="BS130" s="22" t="n">
        <f aca="false">higiene[[#This Row],[Quantidade]]</f>
        <v>5</v>
      </c>
      <c r="BT130" s="22" t="n">
        <f aca="false">tab_higiene[Qtde (tot)]</f>
        <v>0</v>
      </c>
      <c r="BU130" s="22" t="n">
        <f aca="false">BS130*BT130</f>
        <v>0</v>
      </c>
      <c r="BW130" s="22" t="n">
        <f aca="false">SUMIF($BR$5:$BR$142,BV130,$BU$5:$BU$142)</f>
        <v>0</v>
      </c>
    </row>
    <row r="131" customFormat="false" ht="15" hidden="false" customHeight="false" outlineLevel="0" collapsed="false">
      <c r="I131" s="26" t="str">
        <f aca="false">alimentos[[#This Row],[Item]]</f>
        <v>Fuba (500g)</v>
      </c>
      <c r="J131" s="27" t="n">
        <f aca="false">IFERROR(alimentos[[#This Row],[kg/embalagem]],0)</f>
        <v>0.5</v>
      </c>
      <c r="K131" s="27" t="n">
        <f aca="false">IFERROR(alimentos[[#This Row],[Preço]],0)</f>
        <v>1.74</v>
      </c>
      <c r="L131" s="27" t="n">
        <f aca="false">SUMIFS(super1[Qtde],super1[Item],tab_alimentos[[#This Row],[Item]],super1[Bairro],mercado1)+SUMIFS(supercb[Qtde],supercb[Item],tab_alimentos[[#This Row],[Item]],supercb[Bairro],mercado1)</f>
        <v>0</v>
      </c>
      <c r="M131" s="27" t="n">
        <f aca="false">SUMIFS(super1[Qtde],super1[Item],tab_alimentos[[#This Row],[Item]],super1[Bairro],mercado2)+SUMIFS(supercb[Qtde],supercb[Item],tab_alimentos[[#This Row],[Item]],supercb[Bairro],mercado2)</f>
        <v>0</v>
      </c>
      <c r="N131" s="27" t="n">
        <f aca="false">SUMIFS(super1[Qtde],super1[Item],tab_alimentos[[#This Row],[Item]],super1[Bairro],mercado3)+SUMIFS(supercb[Qtde],supercb[Item],tab_alimentos[[#This Row],[Item]],supercb[Bairro],mercado3)</f>
        <v>2</v>
      </c>
      <c r="O131" s="27" t="n">
        <f aca="false">SUMIFS(super1[Qtde],super1[Item],tab_alimentos[[#This Row],[Item]],super1[Bairro],mercado4)+SUMIFS(supercb[Qtde],supercb[Item],tab_alimentos[[#This Row],[Item]],supercb[Bairro],mercado4)</f>
        <v>1</v>
      </c>
      <c r="P131" s="27" t="n">
        <f aca="false">SUMIFS(super1[Qtde],super1[Item],tab_alimentos[[#This Row],[Item]],super1[Bairro],mercado5)+SUMIFS(supercb[Qtde],supercb[Item],tab_alimentos[[#This Row],[Item]],supercb[Bairro],mercado5)</f>
        <v>2</v>
      </c>
      <c r="Q131" s="27" t="n">
        <f aca="false">SUMIFS(super1[Qtde],super1[Item],tab_alimentos[[#This Row],[Item]],super1[Bairro],mercado6)+SUMIFS(supercb[Qtde],supercb[Item],tab_alimentos[[#This Row],[Item]],supercb[Bairro],mercado6)</f>
        <v>3</v>
      </c>
      <c r="R131" s="27" t="n">
        <f aca="false">SUMIFS(super1[Qtde],super1[Item],tab_alimentos[[#This Row],[Item]],super1[Bairro],mercado7)+SUMIFS(supercb[Qtde],supercb[Item],tab_alimentos[[#This Row],[Item]],supercb[Bairro],mercado7)</f>
        <v>3</v>
      </c>
      <c r="S131" s="27" t="n">
        <f aca="false">SUMIFS(super1[Qtde],super1[Item],tab_alimentos[[#This Row],[Item]],super1[Bairro],mercado8)+SUMIFS(supercb[Qtde],supercb[Item],tab_alimentos[[#This Row],[Item]],supercb[Bairro],mercado8)</f>
        <v>6</v>
      </c>
      <c r="T131" s="27" t="n">
        <f aca="false">SUMIFS(super1[Qtde],super1[Item],tab_alimentos[[#This Row],[Item]],super1[Bairro],mercado9)+SUMIFS(supercb[Qtde],supercb[Item],tab_alimentos[[#This Row],[Item]],supercb[Bairro],mercado9)</f>
        <v>3</v>
      </c>
      <c r="U131" s="27" t="n">
        <f aca="false">SUMIFS(super1[Qtde],super1[Item],tab_alimentos[[#This Row],[Item]],super1[Bairro],mercado10)+SUMIFS(supercb[Qtde],supercb[Item],tab_alimentos[[#This Row],[Item]],supercb[Bairro],mercado10)</f>
        <v>4</v>
      </c>
      <c r="V131" s="27" t="n">
        <f aca="false">SUMIFS(super1[Qtde],super1[Item],tab_alimentos[[#This Row],[Item]],super1[Bairro],mercado11)+SUMIFS(supercb[Qtde],supercb[Item],tab_alimentos[[#This Row],[Item]],supercb[Bairro],mercado11)</f>
        <v>5</v>
      </c>
      <c r="W131" s="27" t="n">
        <f aca="false">SUMIFS(super1[Qtde],super1[Item],tab_alimentos[[#This Row],[Item]],super1[Bairro],mercado12)+SUMIFS(supercb[Qtde],supercb[Item],tab_alimentos[[#This Row],[Item]],supercb[Bairro],mercado12)</f>
        <v>0</v>
      </c>
      <c r="X131" s="27" t="n">
        <f aca="false">SUMIFS(super1[Qtde],super1[Item],tab_alimentos[[#This Row],[Item]],super1[Bairro],mercado13)+SUMIFS(supercb[Qtde],supercb[Item],tab_alimentos[[#This Row],[Item]],supercb[Bairro],mercado13)</f>
        <v>5</v>
      </c>
      <c r="Y131" s="27" t="n">
        <f aca="false">SUMIFS(super1[Qtde],super1[Item],tab_alimentos[[#This Row],[Item]],super1[Bairro],mercado14)+SUMIFS(supercb[Qtde],supercb[Item],tab_alimentos[[#This Row],[Item]],supercb[Bairro],mercado14)</f>
        <v>0</v>
      </c>
      <c r="Z131" s="27" t="n">
        <f aca="false">SUMIFS(super1[Qtde],super1[Item],tab_alimentos[[#This Row],[Item]],super1[Bairro],mercado15)+SUMIFS(supercb[Qtde],supercb[Item],tab_alimentos[[#This Row],[Item]],supercb[Bairro],mercado15)</f>
        <v>0</v>
      </c>
      <c r="AA131" s="27" t="n">
        <f aca="false">SUMIFS(super1[Qtde],super1[Item],tab_alimentos[[#This Row],[Item]],super1[Bairro],mercado16)+SUMIFS(supercb[Qtde],supercb[Item],tab_alimentos[[#This Row],[Item]],supercb[Bairro],mercado16)</f>
        <v>0</v>
      </c>
      <c r="AB131" s="27" t="n">
        <f aca="false">SUMIFS(super1[Qtde],super1[Item],tab_alimentos[[#This Row],[Item]],super1[Bairro],mercado17)+SUMIFS(supercb[Qtde],supercb[Item],tab_alimentos[[#This Row],[Item]],supercb[Bairro],mercado17)</f>
        <v>0</v>
      </c>
      <c r="AC131" s="27" t="n">
        <f aca="false">SUMIFS(super1[Qtde],super1[Item],tab_alimentos[[#This Row],[Item]],super1[Bairro],mercado18)+SUMIFS(supercb[Qtde],supercb[Item],tab_alimentos[[#This Row],[Item]],supercb[Bairro],mercado18)</f>
        <v>0</v>
      </c>
      <c r="AD131" s="27" t="n">
        <f aca="false">SUMIFS(super1[Qtde],super1[Item],tab_alimentos[[#This Row],[Item]],super1[Bairro],extras)+SUMIFS(supercb[Qtde],supercb[Item],tab_alimentos[[#This Row],[Item]],supercb[Bairro],extras)</f>
        <v>0</v>
      </c>
      <c r="AE131" s="27" t="n">
        <f aca="false">SUM(L131:AC131)</f>
        <v>34</v>
      </c>
      <c r="AF131" s="27" t="n">
        <f aca="false">IFERROR(AE131*K131,0)</f>
        <v>59.16</v>
      </c>
      <c r="AG131" s="28" t="n">
        <f aca="false">IFERROR(J131*AE131,0)</f>
        <v>17</v>
      </c>
      <c r="AH131" s="26" t="str">
        <f aca="false">higiene[[#This Row],[Item]]</f>
        <v>Lâmina refil (5un)</v>
      </c>
      <c r="AI131" s="27" t="n">
        <f aca="false">IFERROR(higiene[[#This Row],[Kg equivalente]],0)</f>
        <v>6.7126304976424</v>
      </c>
      <c r="AJ131" s="27" t="n">
        <f aca="false">IFERROR(higiene[[#This Row],[Preço por produto]],0)</f>
        <v>22.235</v>
      </c>
      <c r="AK131" s="27" t="n">
        <f aca="false">SUMIFS(super1[Qtde],super1[Item],tab_higiene[[#This Row],[Item]],super1[Bairro],mercado1)+SUMIFS(supercb[Qtde],supercb[Item],tab_higiene[[#This Row],[Item]],supercb[Bairro],mercado1)</f>
        <v>0</v>
      </c>
      <c r="AL131" s="27" t="n">
        <f aca="false">SUMIFS(super1[Qtde],super1[Item],tab_higiene[[#This Row],[Item]],super1[Bairro],mercado2)+SUMIFS(supercb[Qtde],supercb[Item],tab_higiene[[#This Row],[Item]],supercb[Bairro],mercado2)</f>
        <v>0</v>
      </c>
      <c r="AM131" s="27" t="n">
        <f aca="false">SUMIFS(super1[Qtde],super1[Item],tab_higiene[[#This Row],[Item]],super1[Bairro],mercado3)+SUMIFS(supercb[Qtde],supercb[Item],tab_higiene[[#This Row],[Item]],supercb[Bairro],mercado3)</f>
        <v>0</v>
      </c>
      <c r="AN131" s="27" t="n">
        <f aca="false">SUMIFS(super1[Qtde],super1[Item],tab_higiene[[#This Row],[Item]],super1[Bairro],mercado4)+SUMIFS(supercb[Qtde],supercb[Item],tab_higiene[[#This Row],[Item]],supercb[Bairro],mercado4)</f>
        <v>0</v>
      </c>
      <c r="AO131" s="27" t="n">
        <f aca="false">SUMIFS(super1[Qtde],super1[Item],tab_higiene[[#This Row],[Item]],super1[Bairro],mercado5)+SUMIFS(supercb[Qtde],supercb[Item],tab_higiene[[#This Row],[Item]],supercb[Bairro],mercado5)</f>
        <v>0</v>
      </c>
      <c r="AP131" s="27" t="n">
        <f aca="false">SUMIFS(super1[Qtde],super1[Item],tab_higiene[[#This Row],[Item]],super1[Bairro],mercado6)+SUMIFS(supercb[Qtde],supercb[Item],tab_higiene[[#This Row],[Item]],supercb[Bairro],mercado6)</f>
        <v>0</v>
      </c>
      <c r="AQ131" s="27" t="n">
        <f aca="false">SUMIFS(super1[Qtde],super1[Item],tab_higiene[[#This Row],[Item]],super1[Bairro],mercado7)+SUMIFS(supercb[Qtde],supercb[Item],tab_higiene[[#This Row],[Item]],supercb[Bairro],mercado7)</f>
        <v>0</v>
      </c>
      <c r="AR131" s="27" t="n">
        <f aca="false">SUMIFS(super1[Qtde],super1[Item],tab_higiene[[#This Row],[Item]],super1[Bairro],mercado8)+SUMIFS(supercb[Qtde],supercb[Item],tab_higiene[[#This Row],[Item]],supercb[Bairro],mercado8)</f>
        <v>0</v>
      </c>
      <c r="AS131" s="27" t="n">
        <f aca="false">SUMIFS(super1[Qtde],super1[Item],tab_higiene[[#This Row],[Item]],super1[Bairro],mercado9)+SUMIFS(supercb[Qtde],supercb[Item],tab_higiene[[#This Row],[Item]],supercb[Bairro],mercado9)</f>
        <v>0</v>
      </c>
      <c r="AT131" s="27" t="n">
        <f aca="false">SUMIFS(super1[Qtde],super1[Item],tab_higiene[[#This Row],[Item]],super1[Bairro],mercado10)+SUMIFS(supercb[Qtde],supercb[Item],tab_higiene[[#This Row],[Item]],supercb[Bairro],mercado10)</f>
        <v>0</v>
      </c>
      <c r="AU131" s="27" t="n">
        <f aca="false">SUMIFS(super1[Qtde],super1[Item],tab_higiene[[#This Row],[Item]],super1[Bairro],mercado11)+SUMIFS(supercb[Qtde],supercb[Item],tab_higiene[[#This Row],[Item]],supercb[Bairro],mercado11)</f>
        <v>0</v>
      </c>
      <c r="AV131" s="27" t="n">
        <f aca="false">SUMIFS(super1[Qtde],super1[Item],tab_higiene[[#This Row],[Item]],super1[Bairro],mercado12)+SUMIFS(supercb[Qtde],supercb[Item],tab_higiene[[#This Row],[Item]],supercb[Bairro],mercado12)</f>
        <v>0</v>
      </c>
      <c r="AW131" s="27" t="n">
        <f aca="false">SUMIFS(super1[Qtde],super1[Item],tab_higiene[[#This Row],[Item]],super1[Bairro],mercado13)+SUMIFS(supercb[Qtde],supercb[Item],tab_higiene[[#This Row],[Item]],supercb[Bairro],mercado13)</f>
        <v>0</v>
      </c>
      <c r="AX131" s="27" t="n">
        <f aca="false">SUMIFS(super1[Qtde],super1[Item],tab_higiene[[#This Row],[Item]],super1[Bairro],mercado14)+SUMIFS(supercb[Qtde],supercb[Item],tab_higiene[[#This Row],[Item]],supercb[Bairro],mercado14)</f>
        <v>0</v>
      </c>
      <c r="AY131" s="27" t="n">
        <f aca="false">SUMIFS(super1[Qtde],super1[Item],tab_higiene[[#This Row],[Item]],super1[Bairro],mercado15)+SUMIFS(supercb[Qtde],supercb[Item],tab_higiene[[#This Row],[Item]],supercb[Bairro],mercado15)</f>
        <v>0</v>
      </c>
      <c r="AZ131" s="27" t="n">
        <f aca="false">SUMIFS(super1[Qtde],super1[Item],tab_higiene[[#This Row],[Item]],super1[Bairro],mercado16)+SUMIFS(supercb[Qtde],supercb[Item],tab_higiene[[#This Row],[Item]],supercb[Bairro],mercado16)</f>
        <v>0</v>
      </c>
      <c r="BA131" s="27" t="n">
        <f aca="false">SUMIFS(super1[Qtde],super1[Item],tab_higiene[[#This Row],[Item]],super1[Bairro],mercado17)+SUMIFS(supercb[Qtde],supercb[Item],tab_higiene[[#This Row],[Item]],supercb[Bairro],mercado17)</f>
        <v>0</v>
      </c>
      <c r="BB131" s="27" t="n">
        <f aca="false">SUMIFS(super1[Qtde],super1[Item],tab_higiene[[#This Row],[Item]],super1[Bairro],mercado18)+SUMIFS(supercb[Qtde],supercb[Item],tab_higiene[[#This Row],[Item]],supercb[Bairro],mercado18)</f>
        <v>0</v>
      </c>
      <c r="BC131" s="27" t="n">
        <f aca="false">SUMIFS(super1[Qtde],super1[Item],tab_higiene[[#This Row],[Item]],super1[Bairro],extras)+SUMIFS(supercb[Qtde],supercb[Item],tab_higiene[[#This Row],[Item]],supercb[Bairro],extras)</f>
        <v>0</v>
      </c>
      <c r="BD131" s="27" t="n">
        <f aca="false">SUM(AK131:BB131)</f>
        <v>0</v>
      </c>
      <c r="BE131" s="27" t="n">
        <f aca="false">IFERROR(BD131*AJ131,0)</f>
        <v>0</v>
      </c>
      <c r="BF131" s="28" t="n">
        <f aca="false">IFERROR(AI131*BD131,0)</f>
        <v>0</v>
      </c>
      <c r="BI131" s="22" t="str">
        <f aca="false">tab_alimentos[[#This Row],[Item]]</f>
        <v>Fuba (500g)</v>
      </c>
      <c r="BJ131" s="22" t="n">
        <f aca="false">IFERROR(FIND(" (",BI131),0)</f>
        <v>5</v>
      </c>
      <c r="BK131" s="22" t="str">
        <f aca="false">IF(BJ131=0,BI131,LEFT(BI131,BJ131-1))</f>
        <v>Fuba</v>
      </c>
      <c r="BL131" s="22" t="n">
        <f aca="false">tab_alimentos[[#This Row],[kg]]</f>
        <v>17</v>
      </c>
      <c r="BN131" s="22" t="n">
        <f aca="false">SUMIF($BJ$5:$BJ$158,BM131,$BK$5:$BK$158)</f>
        <v>0</v>
      </c>
      <c r="BP131" s="22" t="str">
        <f aca="false">tab_higiene[[#This Row],[Item]]</f>
        <v>Lâmina refil (5un)</v>
      </c>
      <c r="BQ131" s="22" t="n">
        <f aca="false">IFERROR(FIND(" (",BP131),0)</f>
        <v>13</v>
      </c>
      <c r="BR131" s="22" t="str">
        <f aca="false">IF(BQ131=0,BP131,LEFT(BP131,BQ131-1))</f>
        <v>Lâmina refil</v>
      </c>
      <c r="BS131" s="22" t="n">
        <f aca="false">higiene[[#This Row],[Quantidade]]</f>
        <v>1</v>
      </c>
      <c r="BT131" s="22" t="n">
        <f aca="false">tab_higiene[Qtde (tot)]</f>
        <v>0</v>
      </c>
      <c r="BU131" s="22" t="n">
        <f aca="false">BS131*BT131</f>
        <v>0</v>
      </c>
      <c r="BW131" s="22" t="n">
        <f aca="false">SUMIF($BR$5:$BR$142,BV131,$BU$5:$BU$142)</f>
        <v>0</v>
      </c>
    </row>
    <row r="132" customFormat="false" ht="15" hidden="false" customHeight="false" outlineLevel="0" collapsed="false">
      <c r="I132" s="26" t="str">
        <f aca="false">alimentos[[#This Row],[Item]]</f>
        <v>G</v>
      </c>
      <c r="J132" s="27" t="n">
        <f aca="false">IFERROR(alimentos[[#This Row],[kg/embalagem]],0)</f>
        <v>0</v>
      </c>
      <c r="K132" s="27" t="n">
        <f aca="false">IFERROR(alimentos[[#This Row],[Preço]],0)</f>
        <v>0</v>
      </c>
      <c r="L132" s="27" t="n">
        <f aca="false">SUMIFS(super1[Qtde],super1[Item],tab_alimentos[[#This Row],[Item]],super1[Bairro],mercado1)+SUMIFS(supercb[Qtde],supercb[Item],tab_alimentos[[#This Row],[Item]],supercb[Bairro],mercado1)</f>
        <v>0</v>
      </c>
      <c r="M132" s="27" t="n">
        <f aca="false">SUMIFS(super1[Qtde],super1[Item],tab_alimentos[[#This Row],[Item]],super1[Bairro],mercado2)+SUMIFS(supercb[Qtde],supercb[Item],tab_alimentos[[#This Row],[Item]],supercb[Bairro],mercado2)</f>
        <v>0</v>
      </c>
      <c r="N132" s="27" t="n">
        <f aca="false">SUMIFS(super1[Qtde],super1[Item],tab_alimentos[[#This Row],[Item]],super1[Bairro],mercado3)+SUMIFS(supercb[Qtde],supercb[Item],tab_alimentos[[#This Row],[Item]],supercb[Bairro],mercado3)</f>
        <v>0</v>
      </c>
      <c r="O132" s="27" t="n">
        <f aca="false">SUMIFS(super1[Qtde],super1[Item],tab_alimentos[[#This Row],[Item]],super1[Bairro],mercado4)+SUMIFS(supercb[Qtde],supercb[Item],tab_alimentos[[#This Row],[Item]],supercb[Bairro],mercado4)</f>
        <v>0</v>
      </c>
      <c r="P132" s="27" t="n">
        <f aca="false">SUMIFS(super1[Qtde],super1[Item],tab_alimentos[[#This Row],[Item]],super1[Bairro],mercado5)+SUMIFS(supercb[Qtde],supercb[Item],tab_alimentos[[#This Row],[Item]],supercb[Bairro],mercado5)</f>
        <v>0</v>
      </c>
      <c r="Q132" s="27" t="n">
        <f aca="false">SUMIFS(super1[Qtde],super1[Item],tab_alimentos[[#This Row],[Item]],super1[Bairro],mercado6)+SUMIFS(supercb[Qtde],supercb[Item],tab_alimentos[[#This Row],[Item]],supercb[Bairro],mercado6)</f>
        <v>0</v>
      </c>
      <c r="R132" s="27" t="n">
        <f aca="false">SUMIFS(super1[Qtde],super1[Item],tab_alimentos[[#This Row],[Item]],super1[Bairro],mercado7)+SUMIFS(supercb[Qtde],supercb[Item],tab_alimentos[[#This Row],[Item]],supercb[Bairro],mercado7)</f>
        <v>0</v>
      </c>
      <c r="S132" s="27" t="n">
        <f aca="false">SUMIFS(super1[Qtde],super1[Item],tab_alimentos[[#This Row],[Item]],super1[Bairro],mercado8)+SUMIFS(supercb[Qtde],supercb[Item],tab_alimentos[[#This Row],[Item]],supercb[Bairro],mercado8)</f>
        <v>0</v>
      </c>
      <c r="T132" s="27" t="n">
        <f aca="false">SUMIFS(super1[Qtde],super1[Item],tab_alimentos[[#This Row],[Item]],super1[Bairro],mercado9)+SUMIFS(supercb[Qtde],supercb[Item],tab_alimentos[[#This Row],[Item]],supercb[Bairro],mercado9)</f>
        <v>0</v>
      </c>
      <c r="U132" s="27" t="n">
        <f aca="false">SUMIFS(super1[Qtde],super1[Item],tab_alimentos[[#This Row],[Item]],super1[Bairro],mercado10)+SUMIFS(supercb[Qtde],supercb[Item],tab_alimentos[[#This Row],[Item]],supercb[Bairro],mercado10)</f>
        <v>0</v>
      </c>
      <c r="V132" s="27" t="n">
        <f aca="false">SUMIFS(super1[Qtde],super1[Item],tab_alimentos[[#This Row],[Item]],super1[Bairro],mercado11)+SUMIFS(supercb[Qtde],supercb[Item],tab_alimentos[[#This Row],[Item]],supercb[Bairro],mercado11)</f>
        <v>0</v>
      </c>
      <c r="W132" s="27" t="n">
        <f aca="false">SUMIFS(super1[Qtde],super1[Item],tab_alimentos[[#This Row],[Item]],super1[Bairro],mercado12)+SUMIFS(supercb[Qtde],supercb[Item],tab_alimentos[[#This Row],[Item]],supercb[Bairro],mercado12)</f>
        <v>0</v>
      </c>
      <c r="X132" s="27" t="n">
        <f aca="false">SUMIFS(super1[Qtde],super1[Item],tab_alimentos[[#This Row],[Item]],super1[Bairro],mercado13)+SUMIFS(supercb[Qtde],supercb[Item],tab_alimentos[[#This Row],[Item]],supercb[Bairro],mercado13)</f>
        <v>0</v>
      </c>
      <c r="Y132" s="27" t="n">
        <f aca="false">SUMIFS(super1[Qtde],super1[Item],tab_alimentos[[#This Row],[Item]],super1[Bairro],mercado14)+SUMIFS(supercb[Qtde],supercb[Item],tab_alimentos[[#This Row],[Item]],supercb[Bairro],mercado14)</f>
        <v>0</v>
      </c>
      <c r="Z132" s="27" t="n">
        <f aca="false">SUMIFS(super1[Qtde],super1[Item],tab_alimentos[[#This Row],[Item]],super1[Bairro],mercado15)+SUMIFS(supercb[Qtde],supercb[Item],tab_alimentos[[#This Row],[Item]],supercb[Bairro],mercado15)</f>
        <v>0</v>
      </c>
      <c r="AA132" s="27" t="n">
        <f aca="false">SUMIFS(super1[Qtde],super1[Item],tab_alimentos[[#This Row],[Item]],super1[Bairro],mercado16)+SUMIFS(supercb[Qtde],supercb[Item],tab_alimentos[[#This Row],[Item]],supercb[Bairro],mercado16)</f>
        <v>0</v>
      </c>
      <c r="AB132" s="27" t="n">
        <f aca="false">SUMIFS(super1[Qtde],super1[Item],tab_alimentos[[#This Row],[Item]],super1[Bairro],mercado17)+SUMIFS(supercb[Qtde],supercb[Item],tab_alimentos[[#This Row],[Item]],supercb[Bairro],mercado17)</f>
        <v>0</v>
      </c>
      <c r="AC132" s="27" t="n">
        <f aca="false">SUMIFS(super1[Qtde],super1[Item],tab_alimentos[[#This Row],[Item]],super1[Bairro],mercado18)+SUMIFS(supercb[Qtde],supercb[Item],tab_alimentos[[#This Row],[Item]],supercb[Bairro],mercado18)</f>
        <v>0</v>
      </c>
      <c r="AD132" s="27" t="n">
        <f aca="false">SUMIFS(super1[Qtde],super1[Item],tab_alimentos[[#This Row],[Item]],super1[Bairro],extras)+SUMIFS(supercb[Qtde],supercb[Item],tab_alimentos[[#This Row],[Item]],supercb[Bairro],extras)</f>
        <v>0</v>
      </c>
      <c r="AE132" s="27" t="n">
        <f aca="false">SUM(L132:AC132)</f>
        <v>0</v>
      </c>
      <c r="AF132" s="27" t="n">
        <f aca="false">IFERROR(AE132*K132,0)</f>
        <v>0</v>
      </c>
      <c r="AG132" s="28" t="n">
        <f aca="false">IFERROR(J132*AE132,0)</f>
        <v>0</v>
      </c>
      <c r="AH132" s="26" t="str">
        <f aca="false">higiene[[#This Row],[Item]]</f>
        <v>Lenços de papel (50un)</v>
      </c>
      <c r="AI132" s="27" t="n">
        <f aca="false">IFERROR(higiene[[#This Row],[Kg equivalente]],0)</f>
        <v>0.970591727003388</v>
      </c>
      <c r="AJ132" s="27" t="n">
        <f aca="false">IFERROR(higiene[[#This Row],[Preço por produto]],0)</f>
        <v>3.215</v>
      </c>
      <c r="AK132" s="27" t="n">
        <f aca="false">SUMIFS(super1[Qtde],super1[Item],tab_higiene[[#This Row],[Item]],super1[Bairro],mercado1)+SUMIFS(supercb[Qtde],supercb[Item],tab_higiene[[#This Row],[Item]],supercb[Bairro],mercado1)</f>
        <v>0</v>
      </c>
      <c r="AL132" s="27" t="n">
        <f aca="false">SUMIFS(super1[Qtde],super1[Item],tab_higiene[[#This Row],[Item]],super1[Bairro],mercado2)+SUMIFS(supercb[Qtde],supercb[Item],tab_higiene[[#This Row],[Item]],supercb[Bairro],mercado2)</f>
        <v>0</v>
      </c>
      <c r="AM132" s="27" t="n">
        <f aca="false">SUMIFS(super1[Qtde],super1[Item],tab_higiene[[#This Row],[Item]],super1[Bairro],mercado3)+SUMIFS(supercb[Qtde],supercb[Item],tab_higiene[[#This Row],[Item]],supercb[Bairro],mercado3)</f>
        <v>0</v>
      </c>
      <c r="AN132" s="27" t="n">
        <f aca="false">SUMIFS(super1[Qtde],super1[Item],tab_higiene[[#This Row],[Item]],super1[Bairro],mercado4)+SUMIFS(supercb[Qtde],supercb[Item],tab_higiene[[#This Row],[Item]],supercb[Bairro],mercado4)</f>
        <v>0</v>
      </c>
      <c r="AO132" s="27" t="n">
        <f aca="false">SUMIFS(super1[Qtde],super1[Item],tab_higiene[[#This Row],[Item]],super1[Bairro],mercado5)+SUMIFS(supercb[Qtde],supercb[Item],tab_higiene[[#This Row],[Item]],supercb[Bairro],mercado5)</f>
        <v>0</v>
      </c>
      <c r="AP132" s="27" t="n">
        <f aca="false">SUMIFS(super1[Qtde],super1[Item],tab_higiene[[#This Row],[Item]],super1[Bairro],mercado6)+SUMIFS(supercb[Qtde],supercb[Item],tab_higiene[[#This Row],[Item]],supercb[Bairro],mercado6)</f>
        <v>0</v>
      </c>
      <c r="AQ132" s="27" t="n">
        <f aca="false">SUMIFS(super1[Qtde],super1[Item],tab_higiene[[#This Row],[Item]],super1[Bairro],mercado7)+SUMIFS(supercb[Qtde],supercb[Item],tab_higiene[[#This Row],[Item]],supercb[Bairro],mercado7)</f>
        <v>0</v>
      </c>
      <c r="AR132" s="27" t="n">
        <f aca="false">SUMIFS(super1[Qtde],super1[Item],tab_higiene[[#This Row],[Item]],super1[Bairro],mercado8)+SUMIFS(supercb[Qtde],supercb[Item],tab_higiene[[#This Row],[Item]],supercb[Bairro],mercado8)</f>
        <v>0</v>
      </c>
      <c r="AS132" s="27" t="n">
        <f aca="false">SUMIFS(super1[Qtde],super1[Item],tab_higiene[[#This Row],[Item]],super1[Bairro],mercado9)+SUMIFS(supercb[Qtde],supercb[Item],tab_higiene[[#This Row],[Item]],supercb[Bairro],mercado9)</f>
        <v>0</v>
      </c>
      <c r="AT132" s="27" t="n">
        <f aca="false">SUMIFS(super1[Qtde],super1[Item],tab_higiene[[#This Row],[Item]],super1[Bairro],mercado10)+SUMIFS(supercb[Qtde],supercb[Item],tab_higiene[[#This Row],[Item]],supercb[Bairro],mercado10)</f>
        <v>0</v>
      </c>
      <c r="AU132" s="27" t="n">
        <f aca="false">SUMIFS(super1[Qtde],super1[Item],tab_higiene[[#This Row],[Item]],super1[Bairro],mercado11)+SUMIFS(supercb[Qtde],supercb[Item],tab_higiene[[#This Row],[Item]],supercb[Bairro],mercado11)</f>
        <v>0</v>
      </c>
      <c r="AV132" s="27" t="n">
        <f aca="false">SUMIFS(super1[Qtde],super1[Item],tab_higiene[[#This Row],[Item]],super1[Bairro],mercado12)+SUMIFS(supercb[Qtde],supercb[Item],tab_higiene[[#This Row],[Item]],supercb[Bairro],mercado12)</f>
        <v>0</v>
      </c>
      <c r="AW132" s="27" t="n">
        <f aca="false">SUMIFS(super1[Qtde],super1[Item],tab_higiene[[#This Row],[Item]],super1[Bairro],mercado13)+SUMIFS(supercb[Qtde],supercb[Item],tab_higiene[[#This Row],[Item]],supercb[Bairro],mercado13)</f>
        <v>0</v>
      </c>
      <c r="AX132" s="27" t="n">
        <f aca="false">SUMIFS(super1[Qtde],super1[Item],tab_higiene[[#This Row],[Item]],super1[Bairro],mercado14)+SUMIFS(supercb[Qtde],supercb[Item],tab_higiene[[#This Row],[Item]],supercb[Bairro],mercado14)</f>
        <v>0</v>
      </c>
      <c r="AY132" s="27" t="n">
        <f aca="false">SUMIFS(super1[Qtde],super1[Item],tab_higiene[[#This Row],[Item]],super1[Bairro],mercado15)+SUMIFS(supercb[Qtde],supercb[Item],tab_higiene[[#This Row],[Item]],supercb[Bairro],mercado15)</f>
        <v>0</v>
      </c>
      <c r="AZ132" s="27" t="n">
        <f aca="false">SUMIFS(super1[Qtde],super1[Item],tab_higiene[[#This Row],[Item]],super1[Bairro],mercado16)+SUMIFS(supercb[Qtde],supercb[Item],tab_higiene[[#This Row],[Item]],supercb[Bairro],mercado16)</f>
        <v>0</v>
      </c>
      <c r="BA132" s="27" t="n">
        <f aca="false">SUMIFS(super1[Qtde],super1[Item],tab_higiene[[#This Row],[Item]],super1[Bairro],mercado17)+SUMIFS(supercb[Qtde],supercb[Item],tab_higiene[[#This Row],[Item]],supercb[Bairro],mercado17)</f>
        <v>0</v>
      </c>
      <c r="BB132" s="27" t="n">
        <f aca="false">SUMIFS(super1[Qtde],super1[Item],tab_higiene[[#This Row],[Item]],super1[Bairro],mercado18)+SUMIFS(supercb[Qtde],supercb[Item],tab_higiene[[#This Row],[Item]],supercb[Bairro],mercado18)</f>
        <v>0</v>
      </c>
      <c r="BC132" s="27" t="n">
        <f aca="false">SUMIFS(super1[Qtde],super1[Item],tab_higiene[[#This Row],[Item]],super1[Bairro],extras)+SUMIFS(supercb[Qtde],supercb[Item],tab_higiene[[#This Row],[Item]],supercb[Bairro],extras)</f>
        <v>0</v>
      </c>
      <c r="BD132" s="27" t="n">
        <f aca="false">SUM(AK132:BB132)</f>
        <v>0</v>
      </c>
      <c r="BE132" s="27" t="n">
        <f aca="false">IFERROR(BD132*AJ132,0)</f>
        <v>0</v>
      </c>
      <c r="BF132" s="28" t="n">
        <f aca="false">IFERROR(AI132*BD132,0)</f>
        <v>0</v>
      </c>
      <c r="BI132" s="22" t="str">
        <f aca="false">tab_alimentos[[#This Row],[Item]]</f>
        <v>G</v>
      </c>
      <c r="BJ132" s="22" t="n">
        <f aca="false">IFERROR(FIND(" (",BI132),0)</f>
        <v>0</v>
      </c>
      <c r="BK132" s="22" t="str">
        <f aca="false">IF(BJ132=0,BI132,LEFT(BI132,BJ132-1))</f>
        <v>G</v>
      </c>
      <c r="BL132" s="22" t="n">
        <f aca="false">tab_alimentos[[#This Row],[kg]]</f>
        <v>0</v>
      </c>
      <c r="BN132" s="22" t="n">
        <f aca="false">SUMIF($BJ$5:$BJ$158,BM132,$BK$5:$BK$158)</f>
        <v>0</v>
      </c>
      <c r="BP132" s="22" t="str">
        <f aca="false">tab_higiene[[#This Row],[Item]]</f>
        <v>Lenços de papel (50un)</v>
      </c>
      <c r="BQ132" s="22" t="n">
        <f aca="false">IFERROR(FIND(" (",BP132),0)</f>
        <v>16</v>
      </c>
      <c r="BR132" s="22" t="str">
        <f aca="false">IF(BQ132=0,BP132,LEFT(BP132,BQ132-1))</f>
        <v>Lenços de papel</v>
      </c>
      <c r="BS132" s="22" t="n">
        <f aca="false">higiene[[#This Row],[Quantidade]]</f>
        <v>2.8</v>
      </c>
      <c r="BT132" s="22" t="n">
        <f aca="false">tab_higiene[Qtde (tot)]</f>
        <v>0</v>
      </c>
      <c r="BU132" s="22" t="n">
        <f aca="false">BS132*BT132</f>
        <v>0</v>
      </c>
      <c r="BW132" s="22" t="n">
        <f aca="false">SUMIF($BR$5:$BR$142,BV132,$BU$5:$BU$142)</f>
        <v>0</v>
      </c>
    </row>
    <row r="133" customFormat="false" ht="15" hidden="false" customHeight="false" outlineLevel="0" collapsed="false">
      <c r="I133" s="26" t="str">
        <f aca="false">alimentos[[#This Row],[Item]]</f>
        <v>Gelatina (30g)</v>
      </c>
      <c r="J133" s="27" t="n">
        <f aca="false">IFERROR(alimentos[[#This Row],[kg/embalagem]],0)</f>
        <v>0.03</v>
      </c>
      <c r="K133" s="27" t="n">
        <f aca="false">IFERROR(alimentos[[#This Row],[Preço]],0)</f>
        <v>0.99</v>
      </c>
      <c r="L133" s="27" t="n">
        <f aca="false">SUMIFS(super1[Qtde],super1[Item],tab_alimentos[[#This Row],[Item]],super1[Bairro],mercado1)+SUMIFS(supercb[Qtde],supercb[Item],tab_alimentos[[#This Row],[Item]],supercb[Bairro],mercado1)</f>
        <v>0</v>
      </c>
      <c r="M133" s="27" t="n">
        <f aca="false">SUMIFS(super1[Qtde],super1[Item],tab_alimentos[[#This Row],[Item]],super1[Bairro],mercado2)+SUMIFS(supercb[Qtde],supercb[Item],tab_alimentos[[#This Row],[Item]],supercb[Bairro],mercado2)</f>
        <v>2</v>
      </c>
      <c r="N133" s="27" t="n">
        <f aca="false">SUMIFS(super1[Qtde],super1[Item],tab_alimentos[[#This Row],[Item]],super1[Bairro],mercado3)+SUMIFS(supercb[Qtde],supercb[Item],tab_alimentos[[#This Row],[Item]],supercb[Bairro],mercado3)</f>
        <v>0</v>
      </c>
      <c r="O133" s="27" t="n">
        <f aca="false">SUMIFS(super1[Qtde],super1[Item],tab_alimentos[[#This Row],[Item]],super1[Bairro],mercado4)+SUMIFS(supercb[Qtde],supercb[Item],tab_alimentos[[#This Row],[Item]],supercb[Bairro],mercado4)</f>
        <v>0</v>
      </c>
      <c r="P133" s="27" t="n">
        <f aca="false">SUMIFS(super1[Qtde],super1[Item],tab_alimentos[[#This Row],[Item]],super1[Bairro],mercado5)+SUMIFS(supercb[Qtde],supercb[Item],tab_alimentos[[#This Row],[Item]],supercb[Bairro],mercado5)</f>
        <v>0</v>
      </c>
      <c r="Q133" s="27" t="n">
        <f aca="false">SUMIFS(super1[Qtde],super1[Item],tab_alimentos[[#This Row],[Item]],super1[Bairro],mercado6)+SUMIFS(supercb[Qtde],supercb[Item],tab_alimentos[[#This Row],[Item]],supercb[Bairro],mercado6)</f>
        <v>0</v>
      </c>
      <c r="R133" s="27" t="n">
        <f aca="false">SUMIFS(super1[Qtde],super1[Item],tab_alimentos[[#This Row],[Item]],super1[Bairro],mercado7)+SUMIFS(supercb[Qtde],supercb[Item],tab_alimentos[[#This Row],[Item]],supercb[Bairro],mercado7)</f>
        <v>3</v>
      </c>
      <c r="S133" s="27" t="n">
        <f aca="false">SUMIFS(super1[Qtde],super1[Item],tab_alimentos[[#This Row],[Item]],super1[Bairro],mercado8)+SUMIFS(supercb[Qtde],supercb[Item],tab_alimentos[[#This Row],[Item]],supercb[Bairro],mercado8)</f>
        <v>0</v>
      </c>
      <c r="T133" s="27" t="n">
        <f aca="false">SUMIFS(super1[Qtde],super1[Item],tab_alimentos[[#This Row],[Item]],super1[Bairro],mercado9)+SUMIFS(supercb[Qtde],supercb[Item],tab_alimentos[[#This Row],[Item]],supercb[Bairro],mercado9)</f>
        <v>0</v>
      </c>
      <c r="U133" s="27" t="n">
        <f aca="false">SUMIFS(super1[Qtde],super1[Item],tab_alimentos[[#This Row],[Item]],super1[Bairro],mercado10)+SUMIFS(supercb[Qtde],supercb[Item],tab_alimentos[[#This Row],[Item]],supercb[Bairro],mercado10)</f>
        <v>0</v>
      </c>
      <c r="V133" s="27" t="n">
        <f aca="false">SUMIFS(super1[Qtde],super1[Item],tab_alimentos[[#This Row],[Item]],super1[Bairro],mercado11)+SUMIFS(supercb[Qtde],supercb[Item],tab_alimentos[[#This Row],[Item]],supercb[Bairro],mercado11)</f>
        <v>0</v>
      </c>
      <c r="W133" s="27" t="n">
        <f aca="false">SUMIFS(super1[Qtde],super1[Item],tab_alimentos[[#This Row],[Item]],super1[Bairro],mercado12)+SUMIFS(supercb[Qtde],supercb[Item],tab_alimentos[[#This Row],[Item]],supercb[Bairro],mercado12)</f>
        <v>0</v>
      </c>
      <c r="X133" s="27" t="n">
        <f aca="false">SUMIFS(super1[Qtde],super1[Item],tab_alimentos[[#This Row],[Item]],super1[Bairro],mercado13)+SUMIFS(supercb[Qtde],supercb[Item],tab_alimentos[[#This Row],[Item]],supercb[Bairro],mercado13)</f>
        <v>0</v>
      </c>
      <c r="Y133" s="27" t="n">
        <f aca="false">SUMIFS(super1[Qtde],super1[Item],tab_alimentos[[#This Row],[Item]],super1[Bairro],mercado14)+SUMIFS(supercb[Qtde],supercb[Item],tab_alimentos[[#This Row],[Item]],supercb[Bairro],mercado14)</f>
        <v>0</v>
      </c>
      <c r="Z133" s="27" t="n">
        <f aca="false">SUMIFS(super1[Qtde],super1[Item],tab_alimentos[[#This Row],[Item]],super1[Bairro],mercado15)+SUMIFS(supercb[Qtde],supercb[Item],tab_alimentos[[#This Row],[Item]],supercb[Bairro],mercado15)</f>
        <v>0</v>
      </c>
      <c r="AA133" s="27" t="n">
        <f aca="false">SUMIFS(super1[Qtde],super1[Item],tab_alimentos[[#This Row],[Item]],super1[Bairro],mercado16)+SUMIFS(supercb[Qtde],supercb[Item],tab_alimentos[[#This Row],[Item]],supercb[Bairro],mercado16)</f>
        <v>0</v>
      </c>
      <c r="AB133" s="27" t="n">
        <f aca="false">SUMIFS(super1[Qtde],super1[Item],tab_alimentos[[#This Row],[Item]],super1[Bairro],mercado17)+SUMIFS(supercb[Qtde],supercb[Item],tab_alimentos[[#This Row],[Item]],supercb[Bairro],mercado17)</f>
        <v>0</v>
      </c>
      <c r="AC133" s="27" t="n">
        <f aca="false">SUMIFS(super1[Qtde],super1[Item],tab_alimentos[[#This Row],[Item]],super1[Bairro],mercado18)+SUMIFS(supercb[Qtde],supercb[Item],tab_alimentos[[#This Row],[Item]],supercb[Bairro],mercado18)</f>
        <v>0</v>
      </c>
      <c r="AD133" s="27" t="n">
        <f aca="false">SUMIFS(super1[Qtde],super1[Item],tab_alimentos[[#This Row],[Item]],super1[Bairro],extras)+SUMIFS(supercb[Qtde],supercb[Item],tab_alimentos[[#This Row],[Item]],supercb[Bairro],extras)</f>
        <v>0</v>
      </c>
      <c r="AE133" s="27" t="n">
        <f aca="false">SUM(L133:AC133)</f>
        <v>5</v>
      </c>
      <c r="AF133" s="27" t="n">
        <f aca="false">IFERROR(AE133*K133,0)</f>
        <v>4.95</v>
      </c>
      <c r="AG133" s="28" t="n">
        <f aca="false">IFERROR(J133*AE133,0)</f>
        <v>0.15</v>
      </c>
      <c r="AH133" s="26" t="str">
        <f aca="false">higiene[[#This Row],[Item]]</f>
        <v>lenços papel 100 un</v>
      </c>
      <c r="AI133" s="27" t="n">
        <f aca="false">IFERROR(higiene[[#This Row],[Kg equivalente]],0)</f>
        <v>1.44607601006104</v>
      </c>
      <c r="AJ133" s="27" t="n">
        <f aca="false">IFERROR(higiene[[#This Row],[Preço por produto]],0)</f>
        <v>4.79</v>
      </c>
      <c r="AK133" s="27" t="n">
        <f aca="false">SUMIFS(super1[Qtde],super1[Item],tab_higiene[[#This Row],[Item]],super1[Bairro],mercado1)+SUMIFS(supercb[Qtde],supercb[Item],tab_higiene[[#This Row],[Item]],supercb[Bairro],mercado1)</f>
        <v>0</v>
      </c>
      <c r="AL133" s="27" t="n">
        <f aca="false">SUMIFS(super1[Qtde],super1[Item],tab_higiene[[#This Row],[Item]],super1[Bairro],mercado2)+SUMIFS(supercb[Qtde],supercb[Item],tab_higiene[[#This Row],[Item]],supercb[Bairro],mercado2)</f>
        <v>0</v>
      </c>
      <c r="AM133" s="27" t="n">
        <f aca="false">SUMIFS(super1[Qtde],super1[Item],tab_higiene[[#This Row],[Item]],super1[Bairro],mercado3)+SUMIFS(supercb[Qtde],supercb[Item],tab_higiene[[#This Row],[Item]],supercb[Bairro],mercado3)</f>
        <v>0</v>
      </c>
      <c r="AN133" s="27" t="n">
        <f aca="false">SUMIFS(super1[Qtde],super1[Item],tab_higiene[[#This Row],[Item]],super1[Bairro],mercado4)+SUMIFS(supercb[Qtde],supercb[Item],tab_higiene[[#This Row],[Item]],supercb[Bairro],mercado4)</f>
        <v>0</v>
      </c>
      <c r="AO133" s="27" t="n">
        <f aca="false">SUMIFS(super1[Qtde],super1[Item],tab_higiene[[#This Row],[Item]],super1[Bairro],mercado5)+SUMIFS(supercb[Qtde],supercb[Item],tab_higiene[[#This Row],[Item]],supercb[Bairro],mercado5)</f>
        <v>0</v>
      </c>
      <c r="AP133" s="27" t="n">
        <f aca="false">SUMIFS(super1[Qtde],super1[Item],tab_higiene[[#This Row],[Item]],super1[Bairro],mercado6)+SUMIFS(supercb[Qtde],supercb[Item],tab_higiene[[#This Row],[Item]],supercb[Bairro],mercado6)</f>
        <v>0</v>
      </c>
      <c r="AQ133" s="27" t="n">
        <f aca="false">SUMIFS(super1[Qtde],super1[Item],tab_higiene[[#This Row],[Item]],super1[Bairro],mercado7)+SUMIFS(supercb[Qtde],supercb[Item],tab_higiene[[#This Row],[Item]],supercb[Bairro],mercado7)</f>
        <v>0</v>
      </c>
      <c r="AR133" s="27" t="n">
        <f aca="false">SUMIFS(super1[Qtde],super1[Item],tab_higiene[[#This Row],[Item]],super1[Bairro],mercado8)+SUMIFS(supercb[Qtde],supercb[Item],tab_higiene[[#This Row],[Item]],supercb[Bairro],mercado8)</f>
        <v>0</v>
      </c>
      <c r="AS133" s="27" t="n">
        <f aca="false">SUMIFS(super1[Qtde],super1[Item],tab_higiene[[#This Row],[Item]],super1[Bairro],mercado9)+SUMIFS(supercb[Qtde],supercb[Item],tab_higiene[[#This Row],[Item]],supercb[Bairro],mercado9)</f>
        <v>0</v>
      </c>
      <c r="AT133" s="27" t="n">
        <f aca="false">SUMIFS(super1[Qtde],super1[Item],tab_higiene[[#This Row],[Item]],super1[Bairro],mercado10)+SUMIFS(supercb[Qtde],supercb[Item],tab_higiene[[#This Row],[Item]],supercb[Bairro],mercado10)</f>
        <v>0</v>
      </c>
      <c r="AU133" s="27" t="n">
        <f aca="false">SUMIFS(super1[Qtde],super1[Item],tab_higiene[[#This Row],[Item]],super1[Bairro],mercado11)+SUMIFS(supercb[Qtde],supercb[Item],tab_higiene[[#This Row],[Item]],supercb[Bairro],mercado11)</f>
        <v>0</v>
      </c>
      <c r="AV133" s="27" t="n">
        <f aca="false">SUMIFS(super1[Qtde],super1[Item],tab_higiene[[#This Row],[Item]],super1[Bairro],mercado12)+SUMIFS(supercb[Qtde],supercb[Item],tab_higiene[[#This Row],[Item]],supercb[Bairro],mercado12)</f>
        <v>0</v>
      </c>
      <c r="AW133" s="27" t="n">
        <f aca="false">SUMIFS(super1[Qtde],super1[Item],tab_higiene[[#This Row],[Item]],super1[Bairro],mercado13)+SUMIFS(supercb[Qtde],supercb[Item],tab_higiene[[#This Row],[Item]],supercb[Bairro],mercado13)</f>
        <v>0</v>
      </c>
      <c r="AX133" s="27" t="n">
        <f aca="false">SUMIFS(super1[Qtde],super1[Item],tab_higiene[[#This Row],[Item]],super1[Bairro],mercado14)+SUMIFS(supercb[Qtde],supercb[Item],tab_higiene[[#This Row],[Item]],supercb[Bairro],mercado14)</f>
        <v>0</v>
      </c>
      <c r="AY133" s="27" t="n">
        <f aca="false">SUMIFS(super1[Qtde],super1[Item],tab_higiene[[#This Row],[Item]],super1[Bairro],mercado15)+SUMIFS(supercb[Qtde],supercb[Item],tab_higiene[[#This Row],[Item]],supercb[Bairro],mercado15)</f>
        <v>0</v>
      </c>
      <c r="AZ133" s="27" t="n">
        <f aca="false">SUMIFS(super1[Qtde],super1[Item],tab_higiene[[#This Row],[Item]],super1[Bairro],mercado16)+SUMIFS(supercb[Qtde],supercb[Item],tab_higiene[[#This Row],[Item]],supercb[Bairro],mercado16)</f>
        <v>0</v>
      </c>
      <c r="BA133" s="27" t="n">
        <f aca="false">SUMIFS(super1[Qtde],super1[Item],tab_higiene[[#This Row],[Item]],super1[Bairro],mercado17)+SUMIFS(supercb[Qtde],supercb[Item],tab_higiene[[#This Row],[Item]],supercb[Bairro],mercado17)</f>
        <v>0</v>
      </c>
      <c r="BB133" s="27" t="n">
        <f aca="false">SUMIFS(super1[Qtde],super1[Item],tab_higiene[[#This Row],[Item]],super1[Bairro],mercado18)+SUMIFS(supercb[Qtde],supercb[Item],tab_higiene[[#This Row],[Item]],supercb[Bairro],mercado18)</f>
        <v>0</v>
      </c>
      <c r="BC133" s="27" t="n">
        <f aca="false">SUMIFS(super1[Qtde],super1[Item],tab_higiene[[#This Row],[Item]],super1[Bairro],extras)+SUMIFS(supercb[Qtde],supercb[Item],tab_higiene[[#This Row],[Item]],supercb[Bairro],extras)</f>
        <v>0</v>
      </c>
      <c r="BD133" s="27" t="n">
        <f aca="false">SUM(AK133:BB133)</f>
        <v>0</v>
      </c>
      <c r="BE133" s="27" t="n">
        <f aca="false">IFERROR(BD133*AJ133,0)</f>
        <v>0</v>
      </c>
      <c r="BF133" s="28" t="n">
        <f aca="false">IFERROR(AI133*BD133,0)</f>
        <v>0</v>
      </c>
      <c r="BI133" s="22" t="str">
        <f aca="false">tab_alimentos[[#This Row],[Item]]</f>
        <v>Gelatina (30g)</v>
      </c>
      <c r="BJ133" s="22" t="n">
        <f aca="false">IFERROR(FIND(" (",BI133),0)</f>
        <v>9</v>
      </c>
      <c r="BK133" s="22" t="str">
        <f aca="false">IF(BJ133=0,BI133,LEFT(BI133,BJ133-1))</f>
        <v>Gelatina</v>
      </c>
      <c r="BL133" s="22" t="n">
        <f aca="false">tab_alimentos[[#This Row],[kg]]</f>
        <v>0.15</v>
      </c>
      <c r="BN133" s="22" t="n">
        <f aca="false">SUMIF($BJ$5:$BJ$158,BM133,$BK$5:$BK$158)</f>
        <v>0</v>
      </c>
      <c r="BP133" s="22" t="str">
        <f aca="false">tab_higiene[[#This Row],[Item]]</f>
        <v>lenços papel 100 un</v>
      </c>
      <c r="BQ133" s="22" t="n">
        <f aca="false">IFERROR(FIND(" (",BP133),0)</f>
        <v>0</v>
      </c>
      <c r="BR133" s="22" t="str">
        <f aca="false">IF(BQ133=0,BP133,LEFT(BP133,BQ133-1))</f>
        <v>lenços papel 100 un</v>
      </c>
      <c r="BS133" s="22" t="n">
        <f aca="false">higiene[[#This Row],[Quantidade]]</f>
        <v>2</v>
      </c>
      <c r="BT133" s="22" t="n">
        <f aca="false">tab_higiene[Qtde (tot)]</f>
        <v>0</v>
      </c>
      <c r="BU133" s="22" t="n">
        <f aca="false">BS133*BT133</f>
        <v>0</v>
      </c>
      <c r="BW133" s="22" t="n">
        <f aca="false">SUMIF($BR$5:$BR$142,BV133,$BU$5:$BU$142)</f>
        <v>0</v>
      </c>
    </row>
    <row r="134" customFormat="false" ht="15" hidden="false" customHeight="false" outlineLevel="0" collapsed="false">
      <c r="I134" s="26" t="str">
        <f aca="false">alimentos[[#This Row],[Item]]</f>
        <v>Gelatina (35g)</v>
      </c>
      <c r="J134" s="27" t="n">
        <f aca="false">IFERROR(alimentos[[#This Row],[kg/embalagem]],0)</f>
        <v>0.035</v>
      </c>
      <c r="K134" s="27" t="n">
        <f aca="false">IFERROR(alimentos[[#This Row],[Preço]],0)</f>
        <v>1.185</v>
      </c>
      <c r="L134" s="27" t="n">
        <f aca="false">SUMIFS(super1[Qtde],super1[Item],tab_alimentos[[#This Row],[Item]],super1[Bairro],mercado1)+SUMIFS(supercb[Qtde],supercb[Item],tab_alimentos[[#This Row],[Item]],supercb[Bairro],mercado1)</f>
        <v>0</v>
      </c>
      <c r="M134" s="27" t="n">
        <f aca="false">SUMIFS(super1[Qtde],super1[Item],tab_alimentos[[#This Row],[Item]],super1[Bairro],mercado2)+SUMIFS(supercb[Qtde],supercb[Item],tab_alimentos[[#This Row],[Item]],supercb[Bairro],mercado2)</f>
        <v>0</v>
      </c>
      <c r="N134" s="27" t="n">
        <f aca="false">SUMIFS(super1[Qtde],super1[Item],tab_alimentos[[#This Row],[Item]],super1[Bairro],mercado3)+SUMIFS(supercb[Qtde],supercb[Item],tab_alimentos[[#This Row],[Item]],supercb[Bairro],mercado3)</f>
        <v>1</v>
      </c>
      <c r="O134" s="27" t="n">
        <f aca="false">SUMIFS(super1[Qtde],super1[Item],tab_alimentos[[#This Row],[Item]],super1[Bairro],mercado4)+SUMIFS(supercb[Qtde],supercb[Item],tab_alimentos[[#This Row],[Item]],supercb[Bairro],mercado4)</f>
        <v>0</v>
      </c>
      <c r="P134" s="27" t="n">
        <f aca="false">SUMIFS(super1[Qtde],super1[Item],tab_alimentos[[#This Row],[Item]],super1[Bairro],mercado5)+SUMIFS(supercb[Qtde],supercb[Item],tab_alimentos[[#This Row],[Item]],supercb[Bairro],mercado5)</f>
        <v>0</v>
      </c>
      <c r="Q134" s="27" t="n">
        <f aca="false">SUMIFS(super1[Qtde],super1[Item],tab_alimentos[[#This Row],[Item]],super1[Bairro],mercado6)+SUMIFS(supercb[Qtde],supercb[Item],tab_alimentos[[#This Row],[Item]],supercb[Bairro],mercado6)</f>
        <v>0</v>
      </c>
      <c r="R134" s="27" t="n">
        <f aca="false">SUMIFS(super1[Qtde],super1[Item],tab_alimentos[[#This Row],[Item]],super1[Bairro],mercado7)+SUMIFS(supercb[Qtde],supercb[Item],tab_alimentos[[#This Row],[Item]],supercb[Bairro],mercado7)</f>
        <v>0</v>
      </c>
      <c r="S134" s="27" t="n">
        <f aca="false">SUMIFS(super1[Qtde],super1[Item],tab_alimentos[[#This Row],[Item]],super1[Bairro],mercado8)+SUMIFS(supercb[Qtde],supercb[Item],tab_alimentos[[#This Row],[Item]],supercb[Bairro],mercado8)</f>
        <v>0</v>
      </c>
      <c r="T134" s="27" t="n">
        <f aca="false">SUMIFS(super1[Qtde],super1[Item],tab_alimentos[[#This Row],[Item]],super1[Bairro],mercado9)+SUMIFS(supercb[Qtde],supercb[Item],tab_alimentos[[#This Row],[Item]],supercb[Bairro],mercado9)</f>
        <v>0</v>
      </c>
      <c r="U134" s="27" t="n">
        <f aca="false">SUMIFS(super1[Qtde],super1[Item],tab_alimentos[[#This Row],[Item]],super1[Bairro],mercado10)+SUMIFS(supercb[Qtde],supercb[Item],tab_alimentos[[#This Row],[Item]],supercb[Bairro],mercado10)</f>
        <v>1</v>
      </c>
      <c r="V134" s="27" t="n">
        <f aca="false">SUMIFS(super1[Qtde],super1[Item],tab_alimentos[[#This Row],[Item]],super1[Bairro],mercado11)+SUMIFS(supercb[Qtde],supercb[Item],tab_alimentos[[#This Row],[Item]],supercb[Bairro],mercado11)</f>
        <v>0</v>
      </c>
      <c r="W134" s="27" t="n">
        <f aca="false">SUMIFS(super1[Qtde],super1[Item],tab_alimentos[[#This Row],[Item]],super1[Bairro],mercado12)+SUMIFS(supercb[Qtde],supercb[Item],tab_alimentos[[#This Row],[Item]],supercb[Bairro],mercado12)</f>
        <v>0</v>
      </c>
      <c r="X134" s="27" t="n">
        <f aca="false">SUMIFS(super1[Qtde],super1[Item],tab_alimentos[[#This Row],[Item]],super1[Bairro],mercado13)+SUMIFS(supercb[Qtde],supercb[Item],tab_alimentos[[#This Row],[Item]],supercb[Bairro],mercado13)</f>
        <v>0</v>
      </c>
      <c r="Y134" s="27" t="n">
        <f aca="false">SUMIFS(super1[Qtde],super1[Item],tab_alimentos[[#This Row],[Item]],super1[Bairro],mercado14)+SUMIFS(supercb[Qtde],supercb[Item],tab_alimentos[[#This Row],[Item]],supercb[Bairro],mercado14)</f>
        <v>0</v>
      </c>
      <c r="Z134" s="27" t="n">
        <f aca="false">SUMIFS(super1[Qtde],super1[Item],tab_alimentos[[#This Row],[Item]],super1[Bairro],mercado15)+SUMIFS(supercb[Qtde],supercb[Item],tab_alimentos[[#This Row],[Item]],supercb[Bairro],mercado15)</f>
        <v>0</v>
      </c>
      <c r="AA134" s="27" t="n">
        <f aca="false">SUMIFS(super1[Qtde],super1[Item],tab_alimentos[[#This Row],[Item]],super1[Bairro],mercado16)+SUMIFS(supercb[Qtde],supercb[Item],tab_alimentos[[#This Row],[Item]],supercb[Bairro],mercado16)</f>
        <v>0</v>
      </c>
      <c r="AB134" s="27" t="n">
        <f aca="false">SUMIFS(super1[Qtde],super1[Item],tab_alimentos[[#This Row],[Item]],super1[Bairro],mercado17)+SUMIFS(supercb[Qtde],supercb[Item],tab_alimentos[[#This Row],[Item]],supercb[Bairro],mercado17)</f>
        <v>0</v>
      </c>
      <c r="AC134" s="27" t="n">
        <f aca="false">SUMIFS(super1[Qtde],super1[Item],tab_alimentos[[#This Row],[Item]],super1[Bairro],mercado18)+SUMIFS(supercb[Qtde],supercb[Item],tab_alimentos[[#This Row],[Item]],supercb[Bairro],mercado18)</f>
        <v>0</v>
      </c>
      <c r="AD134" s="27" t="n">
        <f aca="false">SUMIFS(super1[Qtde],super1[Item],tab_alimentos[[#This Row],[Item]],super1[Bairro],extras)+SUMIFS(supercb[Qtde],supercb[Item],tab_alimentos[[#This Row],[Item]],supercb[Bairro],extras)</f>
        <v>0</v>
      </c>
      <c r="AE134" s="27" t="n">
        <f aca="false">SUM(L134:AC134)</f>
        <v>2</v>
      </c>
      <c r="AF134" s="27" t="n">
        <f aca="false">IFERROR(AE134*K134,0)</f>
        <v>2.37</v>
      </c>
      <c r="AG134" s="28" t="n">
        <f aca="false">IFERROR(J134*AE134,0)</f>
        <v>0.07</v>
      </c>
      <c r="AH134" s="26" t="str">
        <f aca="false">higiene[[#This Row],[Item]]</f>
        <v>Lenços Umidecidos (1pcte)</v>
      </c>
      <c r="AI134" s="27" t="n">
        <f aca="false">IFERROR(higiene[[#This Row],[Kg equivalente]],0)</f>
        <v>0.751718009405423</v>
      </c>
      <c r="AJ134" s="27" t="n">
        <f aca="false">IFERROR(higiene[[#This Row],[Preço por produto]],0)</f>
        <v>2.49</v>
      </c>
      <c r="AK134" s="27" t="n">
        <f aca="false">SUMIFS(super1[Qtde],super1[Item],tab_higiene[[#This Row],[Item]],super1[Bairro],mercado1)+SUMIFS(supercb[Qtde],supercb[Item],tab_higiene[[#This Row],[Item]],supercb[Bairro],mercado1)</f>
        <v>0</v>
      </c>
      <c r="AL134" s="27" t="n">
        <f aca="false">SUMIFS(super1[Qtde],super1[Item],tab_higiene[[#This Row],[Item]],super1[Bairro],mercado2)+SUMIFS(supercb[Qtde],supercb[Item],tab_higiene[[#This Row],[Item]],supercb[Bairro],mercado2)</f>
        <v>0</v>
      </c>
      <c r="AM134" s="27" t="n">
        <f aca="false">SUMIFS(super1[Qtde],super1[Item],tab_higiene[[#This Row],[Item]],super1[Bairro],mercado3)+SUMIFS(supercb[Qtde],supercb[Item],tab_higiene[[#This Row],[Item]],supercb[Bairro],mercado3)</f>
        <v>0</v>
      </c>
      <c r="AN134" s="27" t="n">
        <f aca="false">SUMIFS(super1[Qtde],super1[Item],tab_higiene[[#This Row],[Item]],super1[Bairro],mercado4)+SUMIFS(supercb[Qtde],supercb[Item],tab_higiene[[#This Row],[Item]],supercb[Bairro],mercado4)</f>
        <v>1</v>
      </c>
      <c r="AO134" s="27" t="n">
        <f aca="false">SUMIFS(super1[Qtde],super1[Item],tab_higiene[[#This Row],[Item]],super1[Bairro],mercado5)+SUMIFS(supercb[Qtde],supercb[Item],tab_higiene[[#This Row],[Item]],supercb[Bairro],mercado5)</f>
        <v>0</v>
      </c>
      <c r="AP134" s="27" t="n">
        <f aca="false">SUMIFS(super1[Qtde],super1[Item],tab_higiene[[#This Row],[Item]],super1[Bairro],mercado6)+SUMIFS(supercb[Qtde],supercb[Item],tab_higiene[[#This Row],[Item]],supercb[Bairro],mercado6)</f>
        <v>0</v>
      </c>
      <c r="AQ134" s="27" t="n">
        <f aca="false">SUMIFS(super1[Qtde],super1[Item],tab_higiene[[#This Row],[Item]],super1[Bairro],mercado7)+SUMIFS(supercb[Qtde],supercb[Item],tab_higiene[[#This Row],[Item]],supercb[Bairro],mercado7)</f>
        <v>0</v>
      </c>
      <c r="AR134" s="27" t="n">
        <f aca="false">SUMIFS(super1[Qtde],super1[Item],tab_higiene[[#This Row],[Item]],super1[Bairro],mercado8)+SUMIFS(supercb[Qtde],supercb[Item],tab_higiene[[#This Row],[Item]],supercb[Bairro],mercado8)</f>
        <v>2</v>
      </c>
      <c r="AS134" s="27" t="n">
        <f aca="false">SUMIFS(super1[Qtde],super1[Item],tab_higiene[[#This Row],[Item]],super1[Bairro],mercado9)+SUMIFS(supercb[Qtde],supercb[Item],tab_higiene[[#This Row],[Item]],supercb[Bairro],mercado9)</f>
        <v>0</v>
      </c>
      <c r="AT134" s="27" t="n">
        <f aca="false">SUMIFS(super1[Qtde],super1[Item],tab_higiene[[#This Row],[Item]],super1[Bairro],mercado10)+SUMIFS(supercb[Qtde],supercb[Item],tab_higiene[[#This Row],[Item]],supercb[Bairro],mercado10)</f>
        <v>0</v>
      </c>
      <c r="AU134" s="27" t="n">
        <f aca="false">SUMIFS(super1[Qtde],super1[Item],tab_higiene[[#This Row],[Item]],super1[Bairro],mercado11)+SUMIFS(supercb[Qtde],supercb[Item],tab_higiene[[#This Row],[Item]],supercb[Bairro],mercado11)</f>
        <v>0</v>
      </c>
      <c r="AV134" s="27" t="n">
        <f aca="false">SUMIFS(super1[Qtde],super1[Item],tab_higiene[[#This Row],[Item]],super1[Bairro],mercado12)+SUMIFS(supercb[Qtde],supercb[Item],tab_higiene[[#This Row],[Item]],supercb[Bairro],mercado12)</f>
        <v>0</v>
      </c>
      <c r="AW134" s="27" t="n">
        <f aca="false">SUMIFS(super1[Qtde],super1[Item],tab_higiene[[#This Row],[Item]],super1[Bairro],mercado13)+SUMIFS(supercb[Qtde],supercb[Item],tab_higiene[[#This Row],[Item]],supercb[Bairro],mercado13)</f>
        <v>0</v>
      </c>
      <c r="AX134" s="27" t="n">
        <f aca="false">SUMIFS(super1[Qtde],super1[Item],tab_higiene[[#This Row],[Item]],super1[Bairro],mercado14)+SUMIFS(supercb[Qtde],supercb[Item],tab_higiene[[#This Row],[Item]],supercb[Bairro],mercado14)</f>
        <v>0</v>
      </c>
      <c r="AY134" s="27" t="n">
        <f aca="false">SUMIFS(super1[Qtde],super1[Item],tab_higiene[[#This Row],[Item]],super1[Bairro],mercado15)+SUMIFS(supercb[Qtde],supercb[Item],tab_higiene[[#This Row],[Item]],supercb[Bairro],mercado15)</f>
        <v>0</v>
      </c>
      <c r="AZ134" s="27" t="n">
        <f aca="false">SUMIFS(super1[Qtde],super1[Item],tab_higiene[[#This Row],[Item]],super1[Bairro],mercado16)+SUMIFS(supercb[Qtde],supercb[Item],tab_higiene[[#This Row],[Item]],supercb[Bairro],mercado16)</f>
        <v>0</v>
      </c>
      <c r="BA134" s="27" t="n">
        <f aca="false">SUMIFS(super1[Qtde],super1[Item],tab_higiene[[#This Row],[Item]],super1[Bairro],mercado17)+SUMIFS(supercb[Qtde],supercb[Item],tab_higiene[[#This Row],[Item]],supercb[Bairro],mercado17)</f>
        <v>0</v>
      </c>
      <c r="BB134" s="27" t="n">
        <f aca="false">SUMIFS(super1[Qtde],super1[Item],tab_higiene[[#This Row],[Item]],super1[Bairro],mercado18)+SUMIFS(supercb[Qtde],supercb[Item],tab_higiene[[#This Row],[Item]],supercb[Bairro],mercado18)</f>
        <v>0</v>
      </c>
      <c r="BC134" s="27" t="n">
        <f aca="false">SUMIFS(super1[Qtde],super1[Item],tab_higiene[[#This Row],[Item]],super1[Bairro],extras)+SUMIFS(supercb[Qtde],supercb[Item],tab_higiene[[#This Row],[Item]],supercb[Bairro],extras)</f>
        <v>0</v>
      </c>
      <c r="BD134" s="27" t="n">
        <f aca="false">SUM(AK134:BB134)</f>
        <v>3</v>
      </c>
      <c r="BE134" s="27" t="n">
        <f aca="false">IFERROR(BD134*AJ134,0)</f>
        <v>7.47</v>
      </c>
      <c r="BF134" s="28" t="n">
        <f aca="false">IFERROR(AI134*BD134,0)</f>
        <v>2.25515402821627</v>
      </c>
      <c r="BI134" s="22" t="str">
        <f aca="false">tab_alimentos[[#This Row],[Item]]</f>
        <v>Gelatina (35g)</v>
      </c>
      <c r="BJ134" s="22" t="n">
        <f aca="false">IFERROR(FIND(" (",BI134),0)</f>
        <v>9</v>
      </c>
      <c r="BK134" s="22" t="str">
        <f aca="false">IF(BJ134=0,BI134,LEFT(BI134,BJ134-1))</f>
        <v>Gelatina</v>
      </c>
      <c r="BL134" s="22" t="n">
        <f aca="false">tab_alimentos[[#This Row],[kg]]</f>
        <v>0.07</v>
      </c>
      <c r="BN134" s="22" t="n">
        <f aca="false">SUMIF($BJ$5:$BJ$158,BM134,$BK$5:$BK$158)</f>
        <v>0</v>
      </c>
      <c r="BP134" s="22" t="str">
        <f aca="false">tab_higiene[[#This Row],[Item]]</f>
        <v>Lenços Umidecidos (1pcte)</v>
      </c>
      <c r="BQ134" s="22" t="n">
        <f aca="false">IFERROR(FIND(" (",BP134),0)</f>
        <v>18</v>
      </c>
      <c r="BR134" s="22" t="str">
        <f aca="false">IF(BQ134=0,BP134,LEFT(BP134,BQ134-1))</f>
        <v>Lenços Umidecidos</v>
      </c>
      <c r="BS134" s="22" t="n">
        <f aca="false">higiene[[#This Row],[Quantidade]]</f>
        <v>3</v>
      </c>
      <c r="BT134" s="22" t="n">
        <f aca="false">tab_higiene[Qtde (tot)]</f>
        <v>3</v>
      </c>
      <c r="BU134" s="22" t="n">
        <f aca="false">BS134*BT134</f>
        <v>9</v>
      </c>
      <c r="BW134" s="22" t="n">
        <f aca="false">SUMIF($BR$5:$BR$142,BV134,$BU$5:$BU$142)</f>
        <v>0</v>
      </c>
    </row>
    <row r="135" customFormat="false" ht="15" hidden="false" customHeight="false" outlineLevel="0" collapsed="false">
      <c r="I135" s="26" t="str">
        <f aca="false">alimentos[[#This Row],[Item]]</f>
        <v>Geleia de goiaba (100g)</v>
      </c>
      <c r="J135" s="27" t="n">
        <f aca="false">IFERROR(alimentos[[#This Row],[kg/embalagem]],0)</f>
        <v>0.1</v>
      </c>
      <c r="K135" s="27" t="n">
        <f aca="false">IFERROR(alimentos[[#This Row],[Preço]],0)</f>
        <v>4.58</v>
      </c>
      <c r="L135" s="27" t="n">
        <f aca="false">SUMIFS(super1[Qtde],super1[Item],tab_alimentos[[#This Row],[Item]],super1[Bairro],mercado1)+SUMIFS(supercb[Qtde],supercb[Item],tab_alimentos[[#This Row],[Item]],supercb[Bairro],mercado1)</f>
        <v>0</v>
      </c>
      <c r="M135" s="27" t="n">
        <f aca="false">SUMIFS(super1[Qtde],super1[Item],tab_alimentos[[#This Row],[Item]],super1[Bairro],mercado2)+SUMIFS(supercb[Qtde],supercb[Item],tab_alimentos[[#This Row],[Item]],supercb[Bairro],mercado2)</f>
        <v>0</v>
      </c>
      <c r="N135" s="27" t="n">
        <f aca="false">SUMIFS(super1[Qtde],super1[Item],tab_alimentos[[#This Row],[Item]],super1[Bairro],mercado3)+SUMIFS(supercb[Qtde],supercb[Item],tab_alimentos[[#This Row],[Item]],supercb[Bairro],mercado3)</f>
        <v>0</v>
      </c>
      <c r="O135" s="27" t="n">
        <f aca="false">SUMIFS(super1[Qtde],super1[Item],tab_alimentos[[#This Row],[Item]],super1[Bairro],mercado4)+SUMIFS(supercb[Qtde],supercb[Item],tab_alimentos[[#This Row],[Item]],supercb[Bairro],mercado4)</f>
        <v>0</v>
      </c>
      <c r="P135" s="27" t="n">
        <f aca="false">SUMIFS(super1[Qtde],super1[Item],tab_alimentos[[#This Row],[Item]],super1[Bairro],mercado5)+SUMIFS(supercb[Qtde],supercb[Item],tab_alimentos[[#This Row],[Item]],supercb[Bairro],mercado5)</f>
        <v>0</v>
      </c>
      <c r="Q135" s="27" t="n">
        <f aca="false">SUMIFS(super1[Qtde],super1[Item],tab_alimentos[[#This Row],[Item]],super1[Bairro],mercado6)+SUMIFS(supercb[Qtde],supercb[Item],tab_alimentos[[#This Row],[Item]],supercb[Bairro],mercado6)</f>
        <v>0</v>
      </c>
      <c r="R135" s="27" t="n">
        <f aca="false">SUMIFS(super1[Qtde],super1[Item],tab_alimentos[[#This Row],[Item]],super1[Bairro],mercado7)+SUMIFS(supercb[Qtde],supercb[Item],tab_alimentos[[#This Row],[Item]],supercb[Bairro],mercado7)</f>
        <v>0</v>
      </c>
      <c r="S135" s="27" t="n">
        <f aca="false">SUMIFS(super1[Qtde],super1[Item],tab_alimentos[[#This Row],[Item]],super1[Bairro],mercado8)+SUMIFS(supercb[Qtde],supercb[Item],tab_alimentos[[#This Row],[Item]],supercb[Bairro],mercado8)</f>
        <v>0</v>
      </c>
      <c r="T135" s="27" t="n">
        <f aca="false">SUMIFS(super1[Qtde],super1[Item],tab_alimentos[[#This Row],[Item]],super1[Bairro],mercado9)+SUMIFS(supercb[Qtde],supercb[Item],tab_alimentos[[#This Row],[Item]],supercb[Bairro],mercado9)</f>
        <v>0</v>
      </c>
      <c r="U135" s="27" t="n">
        <f aca="false">SUMIFS(super1[Qtde],super1[Item],tab_alimentos[[#This Row],[Item]],super1[Bairro],mercado10)+SUMIFS(supercb[Qtde],supercb[Item],tab_alimentos[[#This Row],[Item]],supercb[Bairro],mercado10)</f>
        <v>0</v>
      </c>
      <c r="V135" s="27" t="n">
        <f aca="false">SUMIFS(super1[Qtde],super1[Item],tab_alimentos[[#This Row],[Item]],super1[Bairro],mercado11)+SUMIFS(supercb[Qtde],supercb[Item],tab_alimentos[[#This Row],[Item]],supercb[Bairro],mercado11)</f>
        <v>0</v>
      </c>
      <c r="W135" s="27" t="n">
        <f aca="false">SUMIFS(super1[Qtde],super1[Item],tab_alimentos[[#This Row],[Item]],super1[Bairro],mercado12)+SUMIFS(supercb[Qtde],supercb[Item],tab_alimentos[[#This Row],[Item]],supercb[Bairro],mercado12)</f>
        <v>0</v>
      </c>
      <c r="X135" s="27" t="n">
        <f aca="false">SUMIFS(super1[Qtde],super1[Item],tab_alimentos[[#This Row],[Item]],super1[Bairro],mercado13)+SUMIFS(supercb[Qtde],supercb[Item],tab_alimentos[[#This Row],[Item]],supercb[Bairro],mercado13)</f>
        <v>0</v>
      </c>
      <c r="Y135" s="27" t="n">
        <f aca="false">SUMIFS(super1[Qtde],super1[Item],tab_alimentos[[#This Row],[Item]],super1[Bairro],mercado14)+SUMIFS(supercb[Qtde],supercb[Item],tab_alimentos[[#This Row],[Item]],supercb[Bairro],mercado14)</f>
        <v>0</v>
      </c>
      <c r="Z135" s="27" t="n">
        <f aca="false">SUMIFS(super1[Qtde],super1[Item],tab_alimentos[[#This Row],[Item]],super1[Bairro],mercado15)+SUMIFS(supercb[Qtde],supercb[Item],tab_alimentos[[#This Row],[Item]],supercb[Bairro],mercado15)</f>
        <v>0</v>
      </c>
      <c r="AA135" s="27" t="n">
        <f aca="false">SUMIFS(super1[Qtde],super1[Item],tab_alimentos[[#This Row],[Item]],super1[Bairro],mercado16)+SUMIFS(supercb[Qtde],supercb[Item],tab_alimentos[[#This Row],[Item]],supercb[Bairro],mercado16)</f>
        <v>0</v>
      </c>
      <c r="AB135" s="27" t="n">
        <f aca="false">SUMIFS(super1[Qtde],super1[Item],tab_alimentos[[#This Row],[Item]],super1[Bairro],mercado17)+SUMIFS(supercb[Qtde],supercb[Item],tab_alimentos[[#This Row],[Item]],supercb[Bairro],mercado17)</f>
        <v>0</v>
      </c>
      <c r="AC135" s="27" t="n">
        <f aca="false">SUMIFS(super1[Qtde],super1[Item],tab_alimentos[[#This Row],[Item]],super1[Bairro],mercado18)+SUMIFS(supercb[Qtde],supercb[Item],tab_alimentos[[#This Row],[Item]],supercb[Bairro],mercado18)</f>
        <v>0</v>
      </c>
      <c r="AD135" s="27" t="n">
        <f aca="false">SUMIFS(super1[Qtde],super1[Item],tab_alimentos[[#This Row],[Item]],super1[Bairro],extras)+SUMIFS(supercb[Qtde],supercb[Item],tab_alimentos[[#This Row],[Item]],supercb[Bairro],extras)</f>
        <v>0</v>
      </c>
      <c r="AE135" s="27" t="n">
        <f aca="false">SUM(L135:AC135)</f>
        <v>0</v>
      </c>
      <c r="AF135" s="27" t="n">
        <f aca="false">IFERROR(AE135*K135,0)</f>
        <v>0</v>
      </c>
      <c r="AG135" s="28" t="n">
        <f aca="false">IFERROR(J135*AE135,0)</f>
        <v>0</v>
      </c>
      <c r="AH135" s="26" t="str">
        <f aca="false">higiene[[#This Row],[Item]]</f>
        <v>Limpador(1L)</v>
      </c>
      <c r="AI135" s="27" t="n">
        <f aca="false">IFERROR(higiene[[#This Row],[Kg equivalente]],0)</f>
        <v>2.32157088045289</v>
      </c>
      <c r="AJ135" s="27" t="n">
        <f aca="false">IFERROR(higiene[[#This Row],[Preço por produto]],0)</f>
        <v>7.69</v>
      </c>
      <c r="AK135" s="27" t="n">
        <f aca="false">SUMIFS(super1[Qtde],super1[Item],tab_higiene[[#This Row],[Item]],super1[Bairro],mercado1)+SUMIFS(supercb[Qtde],supercb[Item],tab_higiene[[#This Row],[Item]],supercb[Bairro],mercado1)</f>
        <v>0</v>
      </c>
      <c r="AL135" s="27" t="n">
        <f aca="false">SUMIFS(super1[Qtde],super1[Item],tab_higiene[[#This Row],[Item]],super1[Bairro],mercado2)+SUMIFS(supercb[Qtde],supercb[Item],tab_higiene[[#This Row],[Item]],supercb[Bairro],mercado2)</f>
        <v>0</v>
      </c>
      <c r="AM135" s="27" t="n">
        <f aca="false">SUMIFS(super1[Qtde],super1[Item],tab_higiene[[#This Row],[Item]],super1[Bairro],mercado3)+SUMIFS(supercb[Qtde],supercb[Item],tab_higiene[[#This Row],[Item]],supercb[Bairro],mercado3)</f>
        <v>0</v>
      </c>
      <c r="AN135" s="27" t="n">
        <f aca="false">SUMIFS(super1[Qtde],super1[Item],tab_higiene[[#This Row],[Item]],super1[Bairro],mercado4)+SUMIFS(supercb[Qtde],supercb[Item],tab_higiene[[#This Row],[Item]],supercb[Bairro],mercado4)</f>
        <v>0</v>
      </c>
      <c r="AO135" s="27" t="n">
        <f aca="false">SUMIFS(super1[Qtde],super1[Item],tab_higiene[[#This Row],[Item]],super1[Bairro],mercado5)+SUMIFS(supercb[Qtde],supercb[Item],tab_higiene[[#This Row],[Item]],supercb[Bairro],mercado5)</f>
        <v>0</v>
      </c>
      <c r="AP135" s="27" t="n">
        <f aca="false">SUMIFS(super1[Qtde],super1[Item],tab_higiene[[#This Row],[Item]],super1[Bairro],mercado6)+SUMIFS(supercb[Qtde],supercb[Item],tab_higiene[[#This Row],[Item]],supercb[Bairro],mercado6)</f>
        <v>0</v>
      </c>
      <c r="AQ135" s="27" t="n">
        <f aca="false">SUMIFS(super1[Qtde],super1[Item],tab_higiene[[#This Row],[Item]],super1[Bairro],mercado7)+SUMIFS(supercb[Qtde],supercb[Item],tab_higiene[[#This Row],[Item]],supercb[Bairro],mercado7)</f>
        <v>0</v>
      </c>
      <c r="AR135" s="27" t="n">
        <f aca="false">SUMIFS(super1[Qtde],super1[Item],tab_higiene[[#This Row],[Item]],super1[Bairro],mercado8)+SUMIFS(supercb[Qtde],supercb[Item],tab_higiene[[#This Row],[Item]],supercb[Bairro],mercado8)</f>
        <v>0</v>
      </c>
      <c r="AS135" s="27" t="n">
        <f aca="false">SUMIFS(super1[Qtde],super1[Item],tab_higiene[[#This Row],[Item]],super1[Bairro],mercado9)+SUMIFS(supercb[Qtde],supercb[Item],tab_higiene[[#This Row],[Item]],supercb[Bairro],mercado9)</f>
        <v>0</v>
      </c>
      <c r="AT135" s="27" t="n">
        <f aca="false">SUMIFS(super1[Qtde],super1[Item],tab_higiene[[#This Row],[Item]],super1[Bairro],mercado10)+SUMIFS(supercb[Qtde],supercb[Item],tab_higiene[[#This Row],[Item]],supercb[Bairro],mercado10)</f>
        <v>2</v>
      </c>
      <c r="AU135" s="27" t="n">
        <f aca="false">SUMIFS(super1[Qtde],super1[Item],tab_higiene[[#This Row],[Item]],super1[Bairro],mercado11)+SUMIFS(supercb[Qtde],supercb[Item],tab_higiene[[#This Row],[Item]],supercb[Bairro],mercado11)</f>
        <v>1</v>
      </c>
      <c r="AV135" s="27" t="n">
        <f aca="false">SUMIFS(super1[Qtde],super1[Item],tab_higiene[[#This Row],[Item]],super1[Bairro],mercado12)+SUMIFS(supercb[Qtde],supercb[Item],tab_higiene[[#This Row],[Item]],supercb[Bairro],mercado12)</f>
        <v>0</v>
      </c>
      <c r="AW135" s="27" t="n">
        <f aca="false">SUMIFS(super1[Qtde],super1[Item],tab_higiene[[#This Row],[Item]],super1[Bairro],mercado13)+SUMIFS(supercb[Qtde],supercb[Item],tab_higiene[[#This Row],[Item]],supercb[Bairro],mercado13)</f>
        <v>0</v>
      </c>
      <c r="AX135" s="27" t="n">
        <f aca="false">SUMIFS(super1[Qtde],super1[Item],tab_higiene[[#This Row],[Item]],super1[Bairro],mercado14)+SUMIFS(supercb[Qtde],supercb[Item],tab_higiene[[#This Row],[Item]],supercb[Bairro],mercado14)</f>
        <v>0</v>
      </c>
      <c r="AY135" s="27" t="n">
        <f aca="false">SUMIFS(super1[Qtde],super1[Item],tab_higiene[[#This Row],[Item]],super1[Bairro],mercado15)+SUMIFS(supercb[Qtde],supercb[Item],tab_higiene[[#This Row],[Item]],supercb[Bairro],mercado15)</f>
        <v>0</v>
      </c>
      <c r="AZ135" s="27" t="n">
        <f aca="false">SUMIFS(super1[Qtde],super1[Item],tab_higiene[[#This Row],[Item]],super1[Bairro],mercado16)+SUMIFS(supercb[Qtde],supercb[Item],tab_higiene[[#This Row],[Item]],supercb[Bairro],mercado16)</f>
        <v>0</v>
      </c>
      <c r="BA135" s="27" t="n">
        <f aca="false">SUMIFS(super1[Qtde],super1[Item],tab_higiene[[#This Row],[Item]],super1[Bairro],mercado17)+SUMIFS(supercb[Qtde],supercb[Item],tab_higiene[[#This Row],[Item]],supercb[Bairro],mercado17)</f>
        <v>0</v>
      </c>
      <c r="BB135" s="27" t="n">
        <f aca="false">SUMIFS(super1[Qtde],super1[Item],tab_higiene[[#This Row],[Item]],super1[Bairro],mercado18)+SUMIFS(supercb[Qtde],supercb[Item],tab_higiene[[#This Row],[Item]],supercb[Bairro],mercado18)</f>
        <v>0</v>
      </c>
      <c r="BC135" s="27" t="n">
        <f aca="false">SUMIFS(super1[Qtde],super1[Item],tab_higiene[[#This Row],[Item]],super1[Bairro],extras)+SUMIFS(supercb[Qtde],supercb[Item],tab_higiene[[#This Row],[Item]],supercb[Bairro],extras)</f>
        <v>0</v>
      </c>
      <c r="BD135" s="27" t="n">
        <f aca="false">SUM(AK135:BB135)</f>
        <v>3</v>
      </c>
      <c r="BE135" s="27" t="n">
        <f aca="false">IFERROR(BD135*AJ135,0)</f>
        <v>23.07</v>
      </c>
      <c r="BF135" s="28" t="n">
        <f aca="false">IFERROR(AI135*BD135,0)</f>
        <v>6.96471264135868</v>
      </c>
      <c r="BI135" s="22" t="str">
        <f aca="false">tab_alimentos[[#This Row],[Item]]</f>
        <v>Geleia de goiaba (100g)</v>
      </c>
      <c r="BJ135" s="22" t="n">
        <f aca="false">IFERROR(FIND(" (",BI135),0)</f>
        <v>17</v>
      </c>
      <c r="BK135" s="22" t="str">
        <f aca="false">IF(BJ135=0,BI135,LEFT(BI135,BJ135-1))</f>
        <v>Geleia de goiaba</v>
      </c>
      <c r="BL135" s="22" t="n">
        <f aca="false">tab_alimentos[[#This Row],[kg]]</f>
        <v>0</v>
      </c>
      <c r="BN135" s="22" t="n">
        <f aca="false">SUMIF($BJ$5:$BJ$158,BM135,$BK$5:$BK$158)</f>
        <v>0</v>
      </c>
      <c r="BP135" s="22" t="str">
        <f aca="false">tab_higiene[[#This Row],[Item]]</f>
        <v>Limpador(1L)</v>
      </c>
      <c r="BQ135" s="22" t="n">
        <f aca="false">IFERROR(FIND(" (",BP135),0)</f>
        <v>0</v>
      </c>
      <c r="BR135" s="22" t="str">
        <f aca="false">IF(BQ135=0,BP135,LEFT(BP135,BQ135-1))</f>
        <v>Limpador(1L)</v>
      </c>
      <c r="BS135" s="22" t="n">
        <f aca="false">higiene[[#This Row],[Quantidade]]</f>
        <v>1</v>
      </c>
      <c r="BT135" s="22" t="n">
        <f aca="false">tab_higiene[Qtde (tot)]</f>
        <v>3</v>
      </c>
      <c r="BU135" s="22" t="n">
        <f aca="false">BS135*BT135</f>
        <v>3</v>
      </c>
      <c r="BW135" s="22" t="n">
        <f aca="false">SUMIF($BR$5:$BR$142,BV135,$BU$5:$BU$142)</f>
        <v>0</v>
      </c>
    </row>
    <row r="136" customFormat="false" ht="15" hidden="false" customHeight="false" outlineLevel="0" collapsed="false">
      <c r="I136" s="26" t="str">
        <f aca="false">alimentos[[#This Row],[Item]]</f>
        <v>Goiabada (300g)</v>
      </c>
      <c r="J136" s="27" t="n">
        <f aca="false">IFERROR(alimentos[[#This Row],[kg/embalagem]],0)</f>
        <v>0.3</v>
      </c>
      <c r="K136" s="27" t="n">
        <f aca="false">IFERROR(alimentos[[#This Row],[Preço]],0)</f>
        <v>2.684</v>
      </c>
      <c r="L136" s="27" t="n">
        <f aca="false">SUMIFS(super1[Qtde],super1[Item],tab_alimentos[[#This Row],[Item]],super1[Bairro],mercado1)+SUMIFS(supercb[Qtde],supercb[Item],tab_alimentos[[#This Row],[Item]],supercb[Bairro],mercado1)</f>
        <v>0</v>
      </c>
      <c r="M136" s="27" t="n">
        <f aca="false">SUMIFS(super1[Qtde],super1[Item],tab_alimentos[[#This Row],[Item]],super1[Bairro],mercado2)+SUMIFS(supercb[Qtde],supercb[Item],tab_alimentos[[#This Row],[Item]],supercb[Bairro],mercado2)</f>
        <v>0</v>
      </c>
      <c r="N136" s="27" t="n">
        <f aca="false">SUMIFS(super1[Qtde],super1[Item],tab_alimentos[[#This Row],[Item]],super1[Bairro],mercado3)+SUMIFS(supercb[Qtde],supercb[Item],tab_alimentos[[#This Row],[Item]],supercb[Bairro],mercado3)</f>
        <v>0</v>
      </c>
      <c r="O136" s="27" t="n">
        <f aca="false">SUMIFS(super1[Qtde],super1[Item],tab_alimentos[[#This Row],[Item]],super1[Bairro],mercado4)+SUMIFS(supercb[Qtde],supercb[Item],tab_alimentos[[#This Row],[Item]],supercb[Bairro],mercado4)</f>
        <v>0</v>
      </c>
      <c r="P136" s="27" t="n">
        <f aca="false">SUMIFS(super1[Qtde],super1[Item],tab_alimentos[[#This Row],[Item]],super1[Bairro],mercado5)+SUMIFS(supercb[Qtde],supercb[Item],tab_alimentos[[#This Row],[Item]],supercb[Bairro],mercado5)</f>
        <v>0</v>
      </c>
      <c r="Q136" s="27" t="n">
        <f aca="false">SUMIFS(super1[Qtde],super1[Item],tab_alimentos[[#This Row],[Item]],super1[Bairro],mercado6)+SUMIFS(supercb[Qtde],supercb[Item],tab_alimentos[[#This Row],[Item]],supercb[Bairro],mercado6)</f>
        <v>0</v>
      </c>
      <c r="R136" s="27" t="n">
        <f aca="false">SUMIFS(super1[Qtde],super1[Item],tab_alimentos[[#This Row],[Item]],super1[Bairro],mercado7)+SUMIFS(supercb[Qtde],supercb[Item],tab_alimentos[[#This Row],[Item]],supercb[Bairro],mercado7)</f>
        <v>0</v>
      </c>
      <c r="S136" s="27" t="n">
        <f aca="false">SUMIFS(super1[Qtde],super1[Item],tab_alimentos[[#This Row],[Item]],super1[Bairro],mercado8)+SUMIFS(supercb[Qtde],supercb[Item],tab_alimentos[[#This Row],[Item]],supercb[Bairro],mercado8)</f>
        <v>0</v>
      </c>
      <c r="T136" s="27" t="n">
        <f aca="false">SUMIFS(super1[Qtde],super1[Item],tab_alimentos[[#This Row],[Item]],super1[Bairro],mercado9)+SUMIFS(supercb[Qtde],supercb[Item],tab_alimentos[[#This Row],[Item]],supercb[Bairro],mercado9)</f>
        <v>0</v>
      </c>
      <c r="U136" s="27" t="n">
        <f aca="false">SUMIFS(super1[Qtde],super1[Item],tab_alimentos[[#This Row],[Item]],super1[Bairro],mercado10)+SUMIFS(supercb[Qtde],supercb[Item],tab_alimentos[[#This Row],[Item]],supercb[Bairro],mercado10)</f>
        <v>0</v>
      </c>
      <c r="V136" s="27" t="n">
        <f aca="false">SUMIFS(super1[Qtde],super1[Item],tab_alimentos[[#This Row],[Item]],super1[Bairro],mercado11)+SUMIFS(supercb[Qtde],supercb[Item],tab_alimentos[[#This Row],[Item]],supercb[Bairro],mercado11)</f>
        <v>0</v>
      </c>
      <c r="W136" s="27" t="n">
        <f aca="false">SUMIFS(super1[Qtde],super1[Item],tab_alimentos[[#This Row],[Item]],super1[Bairro],mercado12)+SUMIFS(supercb[Qtde],supercb[Item],tab_alimentos[[#This Row],[Item]],supercb[Bairro],mercado12)</f>
        <v>0</v>
      </c>
      <c r="X136" s="27" t="n">
        <f aca="false">SUMIFS(super1[Qtde],super1[Item],tab_alimentos[[#This Row],[Item]],super1[Bairro],mercado13)+SUMIFS(supercb[Qtde],supercb[Item],tab_alimentos[[#This Row],[Item]],supercb[Bairro],mercado13)</f>
        <v>0</v>
      </c>
      <c r="Y136" s="27" t="n">
        <f aca="false">SUMIFS(super1[Qtde],super1[Item],tab_alimentos[[#This Row],[Item]],super1[Bairro],mercado14)+SUMIFS(supercb[Qtde],supercb[Item],tab_alimentos[[#This Row],[Item]],supercb[Bairro],mercado14)</f>
        <v>0</v>
      </c>
      <c r="Z136" s="27" t="n">
        <f aca="false">SUMIFS(super1[Qtde],super1[Item],tab_alimentos[[#This Row],[Item]],super1[Bairro],mercado15)+SUMIFS(supercb[Qtde],supercb[Item],tab_alimentos[[#This Row],[Item]],supercb[Bairro],mercado15)</f>
        <v>0</v>
      </c>
      <c r="AA136" s="27" t="n">
        <f aca="false">SUMIFS(super1[Qtde],super1[Item],tab_alimentos[[#This Row],[Item]],super1[Bairro],mercado16)+SUMIFS(supercb[Qtde],supercb[Item],tab_alimentos[[#This Row],[Item]],supercb[Bairro],mercado16)</f>
        <v>0</v>
      </c>
      <c r="AB136" s="27" t="n">
        <f aca="false">SUMIFS(super1[Qtde],super1[Item],tab_alimentos[[#This Row],[Item]],super1[Bairro],mercado17)+SUMIFS(supercb[Qtde],supercb[Item],tab_alimentos[[#This Row],[Item]],supercb[Bairro],mercado17)</f>
        <v>0</v>
      </c>
      <c r="AC136" s="27" t="n">
        <f aca="false">SUMIFS(super1[Qtde],super1[Item],tab_alimentos[[#This Row],[Item]],super1[Bairro],mercado18)+SUMIFS(supercb[Qtde],supercb[Item],tab_alimentos[[#This Row],[Item]],supercb[Bairro],mercado18)</f>
        <v>0</v>
      </c>
      <c r="AD136" s="27" t="n">
        <f aca="false">SUMIFS(super1[Qtde],super1[Item],tab_alimentos[[#This Row],[Item]],super1[Bairro],extras)+SUMIFS(supercb[Qtde],supercb[Item],tab_alimentos[[#This Row],[Item]],supercb[Bairro],extras)</f>
        <v>0</v>
      </c>
      <c r="AE136" s="27" t="n">
        <f aca="false">SUM(L136:AC136)</f>
        <v>0</v>
      </c>
      <c r="AF136" s="27" t="n">
        <f aca="false">IFERROR(AE136*K136,0)</f>
        <v>0</v>
      </c>
      <c r="AG136" s="28" t="n">
        <f aca="false">IFERROR(J136*AE136,0)</f>
        <v>0</v>
      </c>
      <c r="AH136" s="26" t="str">
        <f aca="false">higiene[[#This Row],[Item]]</f>
        <v>Limpador(2L)</v>
      </c>
      <c r="AI136" s="27" t="n">
        <f aca="false">IFERROR(higiene[[#This Row],[Kg equivalente]],0)</f>
        <v>4.07256062123661</v>
      </c>
      <c r="AJ136" s="27" t="n">
        <f aca="false">IFERROR(higiene[[#This Row],[Preço por produto]],0)</f>
        <v>13.49</v>
      </c>
      <c r="AK136" s="27" t="n">
        <f aca="false">SUMIFS(super1[Qtde],super1[Item],tab_higiene[[#This Row],[Item]],super1[Bairro],mercado1)+SUMIFS(supercb[Qtde],supercb[Item],tab_higiene[[#This Row],[Item]],supercb[Bairro],mercado1)</f>
        <v>0</v>
      </c>
      <c r="AL136" s="27" t="n">
        <f aca="false">SUMIFS(super1[Qtde],super1[Item],tab_higiene[[#This Row],[Item]],super1[Bairro],mercado2)+SUMIFS(supercb[Qtde],supercb[Item],tab_higiene[[#This Row],[Item]],supercb[Bairro],mercado2)</f>
        <v>0</v>
      </c>
      <c r="AM136" s="27" t="n">
        <f aca="false">SUMIFS(super1[Qtde],super1[Item],tab_higiene[[#This Row],[Item]],super1[Bairro],mercado3)+SUMIFS(supercb[Qtde],supercb[Item],tab_higiene[[#This Row],[Item]],supercb[Bairro],mercado3)</f>
        <v>0</v>
      </c>
      <c r="AN136" s="27" t="n">
        <f aca="false">SUMIFS(super1[Qtde],super1[Item],tab_higiene[[#This Row],[Item]],super1[Bairro],mercado4)+SUMIFS(supercb[Qtde],supercb[Item],tab_higiene[[#This Row],[Item]],supercb[Bairro],mercado4)</f>
        <v>0</v>
      </c>
      <c r="AO136" s="27" t="n">
        <f aca="false">SUMIFS(super1[Qtde],super1[Item],tab_higiene[[#This Row],[Item]],super1[Bairro],mercado5)+SUMIFS(supercb[Qtde],supercb[Item],tab_higiene[[#This Row],[Item]],supercb[Bairro],mercado5)</f>
        <v>0</v>
      </c>
      <c r="AP136" s="27" t="n">
        <f aca="false">SUMIFS(super1[Qtde],super1[Item],tab_higiene[[#This Row],[Item]],super1[Bairro],mercado6)+SUMIFS(supercb[Qtde],supercb[Item],tab_higiene[[#This Row],[Item]],supercb[Bairro],mercado6)</f>
        <v>0</v>
      </c>
      <c r="AQ136" s="27" t="n">
        <f aca="false">SUMIFS(super1[Qtde],super1[Item],tab_higiene[[#This Row],[Item]],super1[Bairro],mercado7)+SUMIFS(supercb[Qtde],supercb[Item],tab_higiene[[#This Row],[Item]],supercb[Bairro],mercado7)</f>
        <v>0</v>
      </c>
      <c r="AR136" s="27" t="n">
        <f aca="false">SUMIFS(super1[Qtde],super1[Item],tab_higiene[[#This Row],[Item]],super1[Bairro],mercado8)+SUMIFS(supercb[Qtde],supercb[Item],tab_higiene[[#This Row],[Item]],supercb[Bairro],mercado8)</f>
        <v>0</v>
      </c>
      <c r="AS136" s="27" t="n">
        <f aca="false">SUMIFS(super1[Qtde],super1[Item],tab_higiene[[#This Row],[Item]],super1[Bairro],mercado9)+SUMIFS(supercb[Qtde],supercb[Item],tab_higiene[[#This Row],[Item]],supercb[Bairro],mercado9)</f>
        <v>0</v>
      </c>
      <c r="AT136" s="27" t="n">
        <f aca="false">SUMIFS(super1[Qtde],super1[Item],tab_higiene[[#This Row],[Item]],super1[Bairro],mercado10)+SUMIFS(supercb[Qtde],supercb[Item],tab_higiene[[#This Row],[Item]],supercb[Bairro],mercado10)</f>
        <v>0</v>
      </c>
      <c r="AU136" s="27" t="n">
        <f aca="false">SUMIFS(super1[Qtde],super1[Item],tab_higiene[[#This Row],[Item]],super1[Bairro],mercado11)+SUMIFS(supercb[Qtde],supercb[Item],tab_higiene[[#This Row],[Item]],supercb[Bairro],mercado11)</f>
        <v>0</v>
      </c>
      <c r="AV136" s="27" t="n">
        <f aca="false">SUMIFS(super1[Qtde],super1[Item],tab_higiene[[#This Row],[Item]],super1[Bairro],mercado12)+SUMIFS(supercb[Qtde],supercb[Item],tab_higiene[[#This Row],[Item]],supercb[Bairro],mercado12)</f>
        <v>0</v>
      </c>
      <c r="AW136" s="27" t="n">
        <f aca="false">SUMIFS(super1[Qtde],super1[Item],tab_higiene[[#This Row],[Item]],super1[Bairro],mercado13)+SUMIFS(supercb[Qtde],supercb[Item],tab_higiene[[#This Row],[Item]],supercb[Bairro],mercado13)</f>
        <v>0</v>
      </c>
      <c r="AX136" s="27" t="n">
        <f aca="false">SUMIFS(super1[Qtde],super1[Item],tab_higiene[[#This Row],[Item]],super1[Bairro],mercado14)+SUMIFS(supercb[Qtde],supercb[Item],tab_higiene[[#This Row],[Item]],supercb[Bairro],mercado14)</f>
        <v>0</v>
      </c>
      <c r="AY136" s="27" t="n">
        <f aca="false">SUMIFS(super1[Qtde],super1[Item],tab_higiene[[#This Row],[Item]],super1[Bairro],mercado15)+SUMIFS(supercb[Qtde],supercb[Item],tab_higiene[[#This Row],[Item]],supercb[Bairro],mercado15)</f>
        <v>0</v>
      </c>
      <c r="AZ136" s="27" t="n">
        <f aca="false">SUMIFS(super1[Qtde],super1[Item],tab_higiene[[#This Row],[Item]],super1[Bairro],mercado16)+SUMIFS(supercb[Qtde],supercb[Item],tab_higiene[[#This Row],[Item]],supercb[Bairro],mercado16)</f>
        <v>0</v>
      </c>
      <c r="BA136" s="27" t="n">
        <f aca="false">SUMIFS(super1[Qtde],super1[Item],tab_higiene[[#This Row],[Item]],super1[Bairro],mercado17)+SUMIFS(supercb[Qtde],supercb[Item],tab_higiene[[#This Row],[Item]],supercb[Bairro],mercado17)</f>
        <v>0</v>
      </c>
      <c r="BB136" s="27" t="n">
        <f aca="false">SUMIFS(super1[Qtde],super1[Item],tab_higiene[[#This Row],[Item]],super1[Bairro],mercado18)+SUMIFS(supercb[Qtde],supercb[Item],tab_higiene[[#This Row],[Item]],supercb[Bairro],mercado18)</f>
        <v>0</v>
      </c>
      <c r="BC136" s="27" t="n">
        <f aca="false">SUMIFS(super1[Qtde],super1[Item],tab_higiene[[#This Row],[Item]],super1[Bairro],extras)+SUMIFS(supercb[Qtde],supercb[Item],tab_higiene[[#This Row],[Item]],supercb[Bairro],extras)</f>
        <v>0</v>
      </c>
      <c r="BD136" s="27" t="n">
        <f aca="false">SUM(AK136:BB136)</f>
        <v>0</v>
      </c>
      <c r="BE136" s="27" t="n">
        <f aca="false">IFERROR(BD136*AJ136,0)</f>
        <v>0</v>
      </c>
      <c r="BF136" s="28" t="n">
        <f aca="false">IFERROR(AI136*BD136,0)</f>
        <v>0</v>
      </c>
      <c r="BI136" s="22" t="str">
        <f aca="false">tab_alimentos[[#This Row],[Item]]</f>
        <v>Goiabada (300g)</v>
      </c>
      <c r="BJ136" s="22" t="n">
        <f aca="false">IFERROR(FIND(" (",BI136),0)</f>
        <v>9</v>
      </c>
      <c r="BK136" s="22" t="str">
        <f aca="false">IF(BJ136=0,BI136,LEFT(BI136,BJ136-1))</f>
        <v>Goiabada</v>
      </c>
      <c r="BL136" s="22" t="n">
        <f aca="false">tab_alimentos[[#This Row],[kg]]</f>
        <v>0</v>
      </c>
      <c r="BN136" s="22" t="n">
        <f aca="false">SUMIF($BJ$5:$BJ$158,BM136,$BK$5:$BK$158)</f>
        <v>0</v>
      </c>
      <c r="BP136" s="22" t="str">
        <f aca="false">tab_higiene[[#This Row],[Item]]</f>
        <v>Limpador(2L)</v>
      </c>
      <c r="BQ136" s="22" t="n">
        <f aca="false">IFERROR(FIND(" (",BP136),0)</f>
        <v>0</v>
      </c>
      <c r="BR136" s="22" t="str">
        <f aca="false">IF(BQ136=0,BP136,LEFT(BP136,BQ136-1))</f>
        <v>Limpador(2L)</v>
      </c>
      <c r="BS136" s="22" t="n">
        <f aca="false">higiene[[#This Row],[Quantidade]]</f>
        <v>5</v>
      </c>
      <c r="BT136" s="22" t="n">
        <f aca="false">tab_higiene[Qtde (tot)]</f>
        <v>0</v>
      </c>
      <c r="BU136" s="22" t="n">
        <f aca="false">BS136*BT136</f>
        <v>0</v>
      </c>
      <c r="BW136" s="22" t="n">
        <f aca="false">SUMIF($BR$5:$BR$142,BV136,$BU$5:$BU$142)</f>
        <v>0</v>
      </c>
    </row>
    <row r="137" customFormat="false" ht="15" hidden="false" customHeight="false" outlineLevel="0" collapsed="false">
      <c r="I137" s="26" t="str">
        <f aca="false">alimentos[[#This Row],[Item]]</f>
        <v>Goiabada (400g)</v>
      </c>
      <c r="J137" s="27" t="n">
        <f aca="false">IFERROR(alimentos[[#This Row],[kg/embalagem]],0)</f>
        <v>0.4</v>
      </c>
      <c r="K137" s="27" t="n">
        <f aca="false">IFERROR(alimentos[[#This Row],[Preço]],0)</f>
        <v>3.83</v>
      </c>
      <c r="L137" s="27" t="n">
        <f aca="false">SUMIFS(super1[Qtde],super1[Item],tab_alimentos[[#This Row],[Item]],super1[Bairro],mercado1)+SUMIFS(supercb[Qtde],supercb[Item],tab_alimentos[[#This Row],[Item]],supercb[Bairro],mercado1)</f>
        <v>0</v>
      </c>
      <c r="M137" s="27" t="n">
        <f aca="false">SUMIFS(super1[Qtde],super1[Item],tab_alimentos[[#This Row],[Item]],super1[Bairro],mercado2)+SUMIFS(supercb[Qtde],supercb[Item],tab_alimentos[[#This Row],[Item]],supercb[Bairro],mercado2)</f>
        <v>0</v>
      </c>
      <c r="N137" s="27" t="n">
        <f aca="false">SUMIFS(super1[Qtde],super1[Item],tab_alimentos[[#This Row],[Item]],super1[Bairro],mercado3)+SUMIFS(supercb[Qtde],supercb[Item],tab_alimentos[[#This Row],[Item]],supercb[Bairro],mercado3)</f>
        <v>1</v>
      </c>
      <c r="O137" s="27" t="n">
        <f aca="false">SUMIFS(super1[Qtde],super1[Item],tab_alimentos[[#This Row],[Item]],super1[Bairro],mercado4)+SUMIFS(supercb[Qtde],supercb[Item],tab_alimentos[[#This Row],[Item]],supercb[Bairro],mercado4)</f>
        <v>0</v>
      </c>
      <c r="P137" s="27" t="n">
        <f aca="false">SUMIFS(super1[Qtde],super1[Item],tab_alimentos[[#This Row],[Item]],super1[Bairro],mercado5)+SUMIFS(supercb[Qtde],supercb[Item],tab_alimentos[[#This Row],[Item]],supercb[Bairro],mercado5)</f>
        <v>0</v>
      </c>
      <c r="Q137" s="27" t="n">
        <f aca="false">SUMIFS(super1[Qtde],super1[Item],tab_alimentos[[#This Row],[Item]],super1[Bairro],mercado6)+SUMIFS(supercb[Qtde],supercb[Item],tab_alimentos[[#This Row],[Item]],supercb[Bairro],mercado6)</f>
        <v>0</v>
      </c>
      <c r="R137" s="27" t="n">
        <f aca="false">SUMIFS(super1[Qtde],super1[Item],tab_alimentos[[#This Row],[Item]],super1[Bairro],mercado7)+SUMIFS(supercb[Qtde],supercb[Item],tab_alimentos[[#This Row],[Item]],supercb[Bairro],mercado7)</f>
        <v>0</v>
      </c>
      <c r="S137" s="27" t="n">
        <f aca="false">SUMIFS(super1[Qtde],super1[Item],tab_alimentos[[#This Row],[Item]],super1[Bairro],mercado8)+SUMIFS(supercb[Qtde],supercb[Item],tab_alimentos[[#This Row],[Item]],supercb[Bairro],mercado8)</f>
        <v>0</v>
      </c>
      <c r="T137" s="27" t="n">
        <f aca="false">SUMIFS(super1[Qtde],super1[Item],tab_alimentos[[#This Row],[Item]],super1[Bairro],mercado9)+SUMIFS(supercb[Qtde],supercb[Item],tab_alimentos[[#This Row],[Item]],supercb[Bairro],mercado9)</f>
        <v>0</v>
      </c>
      <c r="U137" s="27" t="n">
        <f aca="false">SUMIFS(super1[Qtde],super1[Item],tab_alimentos[[#This Row],[Item]],super1[Bairro],mercado10)+SUMIFS(supercb[Qtde],supercb[Item],tab_alimentos[[#This Row],[Item]],supercb[Bairro],mercado10)</f>
        <v>0</v>
      </c>
      <c r="V137" s="27" t="n">
        <f aca="false">SUMIFS(super1[Qtde],super1[Item],tab_alimentos[[#This Row],[Item]],super1[Bairro],mercado11)+SUMIFS(supercb[Qtde],supercb[Item],tab_alimentos[[#This Row],[Item]],supercb[Bairro],mercado11)</f>
        <v>0</v>
      </c>
      <c r="W137" s="27" t="n">
        <f aca="false">SUMIFS(super1[Qtde],super1[Item],tab_alimentos[[#This Row],[Item]],super1[Bairro],mercado12)+SUMIFS(supercb[Qtde],supercb[Item],tab_alimentos[[#This Row],[Item]],supercb[Bairro],mercado12)</f>
        <v>0</v>
      </c>
      <c r="X137" s="27" t="n">
        <f aca="false">SUMIFS(super1[Qtde],super1[Item],tab_alimentos[[#This Row],[Item]],super1[Bairro],mercado13)+SUMIFS(supercb[Qtde],supercb[Item],tab_alimentos[[#This Row],[Item]],supercb[Bairro],mercado13)</f>
        <v>0</v>
      </c>
      <c r="Y137" s="27" t="n">
        <f aca="false">SUMIFS(super1[Qtde],super1[Item],tab_alimentos[[#This Row],[Item]],super1[Bairro],mercado14)+SUMIFS(supercb[Qtde],supercb[Item],tab_alimentos[[#This Row],[Item]],supercb[Bairro],mercado14)</f>
        <v>0</v>
      </c>
      <c r="Z137" s="27" t="n">
        <f aca="false">SUMIFS(super1[Qtde],super1[Item],tab_alimentos[[#This Row],[Item]],super1[Bairro],mercado15)+SUMIFS(supercb[Qtde],supercb[Item],tab_alimentos[[#This Row],[Item]],supercb[Bairro],mercado15)</f>
        <v>0</v>
      </c>
      <c r="AA137" s="27" t="n">
        <f aca="false">SUMIFS(super1[Qtde],super1[Item],tab_alimentos[[#This Row],[Item]],super1[Bairro],mercado16)+SUMIFS(supercb[Qtde],supercb[Item],tab_alimentos[[#This Row],[Item]],supercb[Bairro],mercado16)</f>
        <v>0</v>
      </c>
      <c r="AB137" s="27" t="n">
        <f aca="false">SUMIFS(super1[Qtde],super1[Item],tab_alimentos[[#This Row],[Item]],super1[Bairro],mercado17)+SUMIFS(supercb[Qtde],supercb[Item],tab_alimentos[[#This Row],[Item]],supercb[Bairro],mercado17)</f>
        <v>0</v>
      </c>
      <c r="AC137" s="27" t="n">
        <f aca="false">SUMIFS(super1[Qtde],super1[Item],tab_alimentos[[#This Row],[Item]],super1[Bairro],mercado18)+SUMIFS(supercb[Qtde],supercb[Item],tab_alimentos[[#This Row],[Item]],supercb[Bairro],mercado18)</f>
        <v>0</v>
      </c>
      <c r="AD137" s="27" t="n">
        <f aca="false">SUMIFS(super1[Qtde],super1[Item],tab_alimentos[[#This Row],[Item]],super1[Bairro],extras)+SUMIFS(supercb[Qtde],supercb[Item],tab_alimentos[[#This Row],[Item]],supercb[Bairro],extras)</f>
        <v>0</v>
      </c>
      <c r="AE137" s="27" t="n">
        <f aca="false">SUM(L137:AC137)</f>
        <v>1</v>
      </c>
      <c r="AF137" s="27" t="n">
        <f aca="false">IFERROR(AE137*K137,0)</f>
        <v>3.83</v>
      </c>
      <c r="AG137" s="28" t="n">
        <f aca="false">IFERROR(J137*AE137,0)</f>
        <v>0.4</v>
      </c>
      <c r="AH137" s="26" t="str">
        <f aca="false">higiene[[#This Row],[Item]]</f>
        <v>Limpador(500ml)</v>
      </c>
      <c r="AI137" s="27" t="n">
        <f aca="false">IFERROR(higiene[[#This Row],[Kg equivalente]],0)</f>
        <v>1.28305282729841</v>
      </c>
      <c r="AJ137" s="27" t="n">
        <f aca="false">IFERROR(higiene[[#This Row],[Preço por produto]],0)</f>
        <v>4.25</v>
      </c>
      <c r="AK137" s="27" t="n">
        <f aca="false">SUMIFS(super1[Qtde],super1[Item],tab_higiene[[#This Row],[Item]],super1[Bairro],mercado1)+SUMIFS(supercb[Qtde],supercb[Item],tab_higiene[[#This Row],[Item]],supercb[Bairro],mercado1)</f>
        <v>0</v>
      </c>
      <c r="AL137" s="27" t="n">
        <f aca="false">SUMIFS(super1[Qtde],super1[Item],tab_higiene[[#This Row],[Item]],super1[Bairro],mercado2)+SUMIFS(supercb[Qtde],supercb[Item],tab_higiene[[#This Row],[Item]],supercb[Bairro],mercado2)</f>
        <v>0</v>
      </c>
      <c r="AM137" s="27" t="n">
        <f aca="false">SUMIFS(super1[Qtde],super1[Item],tab_higiene[[#This Row],[Item]],super1[Bairro],mercado3)+SUMIFS(supercb[Qtde],supercb[Item],tab_higiene[[#This Row],[Item]],supercb[Bairro],mercado3)</f>
        <v>0</v>
      </c>
      <c r="AN137" s="27" t="n">
        <f aca="false">SUMIFS(super1[Qtde],super1[Item],tab_higiene[[#This Row],[Item]],super1[Bairro],mercado4)+SUMIFS(supercb[Qtde],supercb[Item],tab_higiene[[#This Row],[Item]],supercb[Bairro],mercado4)</f>
        <v>0</v>
      </c>
      <c r="AO137" s="27" t="n">
        <f aca="false">SUMIFS(super1[Qtde],super1[Item],tab_higiene[[#This Row],[Item]],super1[Bairro],mercado5)+SUMIFS(supercb[Qtde],supercb[Item],tab_higiene[[#This Row],[Item]],supercb[Bairro],mercado5)</f>
        <v>0</v>
      </c>
      <c r="AP137" s="27" t="n">
        <f aca="false">SUMIFS(super1[Qtde],super1[Item],tab_higiene[[#This Row],[Item]],super1[Bairro],mercado6)+SUMIFS(supercb[Qtde],supercb[Item],tab_higiene[[#This Row],[Item]],supercb[Bairro],mercado6)</f>
        <v>0</v>
      </c>
      <c r="AQ137" s="27" t="n">
        <f aca="false">SUMIFS(super1[Qtde],super1[Item],tab_higiene[[#This Row],[Item]],super1[Bairro],mercado7)+SUMIFS(supercb[Qtde],supercb[Item],tab_higiene[[#This Row],[Item]],supercb[Bairro],mercado7)</f>
        <v>0</v>
      </c>
      <c r="AR137" s="27" t="n">
        <f aca="false">SUMIFS(super1[Qtde],super1[Item],tab_higiene[[#This Row],[Item]],super1[Bairro],mercado8)+SUMIFS(supercb[Qtde],supercb[Item],tab_higiene[[#This Row],[Item]],supercb[Bairro],mercado8)</f>
        <v>3</v>
      </c>
      <c r="AS137" s="27" t="n">
        <f aca="false">SUMIFS(super1[Qtde],super1[Item],tab_higiene[[#This Row],[Item]],super1[Bairro],mercado9)+SUMIFS(supercb[Qtde],supercb[Item],tab_higiene[[#This Row],[Item]],supercb[Bairro],mercado9)</f>
        <v>1</v>
      </c>
      <c r="AT137" s="27" t="n">
        <f aca="false">SUMIFS(super1[Qtde],super1[Item],tab_higiene[[#This Row],[Item]],super1[Bairro],mercado10)+SUMIFS(supercb[Qtde],supercb[Item],tab_higiene[[#This Row],[Item]],supercb[Bairro],mercado10)</f>
        <v>1</v>
      </c>
      <c r="AU137" s="27" t="n">
        <f aca="false">SUMIFS(super1[Qtde],super1[Item],tab_higiene[[#This Row],[Item]],super1[Bairro],mercado11)+SUMIFS(supercb[Qtde],supercb[Item],tab_higiene[[#This Row],[Item]],supercb[Bairro],mercado11)</f>
        <v>2</v>
      </c>
      <c r="AV137" s="27" t="n">
        <f aca="false">SUMIFS(super1[Qtde],super1[Item],tab_higiene[[#This Row],[Item]],super1[Bairro],mercado12)+SUMIFS(supercb[Qtde],supercb[Item],tab_higiene[[#This Row],[Item]],supercb[Bairro],mercado12)</f>
        <v>0</v>
      </c>
      <c r="AW137" s="27" t="n">
        <f aca="false">SUMIFS(super1[Qtde],super1[Item],tab_higiene[[#This Row],[Item]],super1[Bairro],mercado13)+SUMIFS(supercb[Qtde],supercb[Item],tab_higiene[[#This Row],[Item]],supercb[Bairro],mercado13)</f>
        <v>2</v>
      </c>
      <c r="AX137" s="27" t="n">
        <f aca="false">SUMIFS(super1[Qtde],super1[Item],tab_higiene[[#This Row],[Item]],super1[Bairro],mercado14)+SUMIFS(supercb[Qtde],supercb[Item],tab_higiene[[#This Row],[Item]],supercb[Bairro],mercado14)</f>
        <v>0</v>
      </c>
      <c r="AY137" s="27" t="n">
        <f aca="false">SUMIFS(super1[Qtde],super1[Item],tab_higiene[[#This Row],[Item]],super1[Bairro],mercado15)+SUMIFS(supercb[Qtde],supercb[Item],tab_higiene[[#This Row],[Item]],supercb[Bairro],mercado15)</f>
        <v>0</v>
      </c>
      <c r="AZ137" s="27" t="n">
        <f aca="false">SUMIFS(super1[Qtde],super1[Item],tab_higiene[[#This Row],[Item]],super1[Bairro],mercado16)+SUMIFS(supercb[Qtde],supercb[Item],tab_higiene[[#This Row],[Item]],supercb[Bairro],mercado16)</f>
        <v>0</v>
      </c>
      <c r="BA137" s="27" t="n">
        <f aca="false">SUMIFS(super1[Qtde],super1[Item],tab_higiene[[#This Row],[Item]],super1[Bairro],mercado17)+SUMIFS(supercb[Qtde],supercb[Item],tab_higiene[[#This Row],[Item]],supercb[Bairro],mercado17)</f>
        <v>0</v>
      </c>
      <c r="BB137" s="27" t="n">
        <f aca="false">SUMIFS(super1[Qtde],super1[Item],tab_higiene[[#This Row],[Item]],super1[Bairro],mercado18)+SUMIFS(supercb[Qtde],supercb[Item],tab_higiene[[#This Row],[Item]],supercb[Bairro],mercado18)</f>
        <v>0</v>
      </c>
      <c r="BC137" s="27" t="n">
        <f aca="false">SUMIFS(super1[Qtde],super1[Item],tab_higiene[[#This Row],[Item]],super1[Bairro],extras)+SUMIFS(supercb[Qtde],supercb[Item],tab_higiene[[#This Row],[Item]],supercb[Bairro],extras)</f>
        <v>0</v>
      </c>
      <c r="BD137" s="27" t="n">
        <f aca="false">SUM(AK137:BB137)</f>
        <v>9</v>
      </c>
      <c r="BE137" s="27" t="n">
        <f aca="false">IFERROR(BD137*AJ137,0)</f>
        <v>38.25</v>
      </c>
      <c r="BF137" s="28" t="n">
        <f aca="false">IFERROR(AI137*BD137,0)</f>
        <v>11.5474754456857</v>
      </c>
      <c r="BI137" s="22" t="str">
        <f aca="false">tab_alimentos[[#This Row],[Item]]</f>
        <v>Goiabada (400g)</v>
      </c>
      <c r="BJ137" s="22" t="n">
        <f aca="false">IFERROR(FIND(" (",BI137),0)</f>
        <v>9</v>
      </c>
      <c r="BK137" s="22" t="str">
        <f aca="false">IF(BJ137=0,BI137,LEFT(BI137,BJ137-1))</f>
        <v>Goiabada</v>
      </c>
      <c r="BL137" s="22" t="n">
        <f aca="false">tab_alimentos[[#This Row],[kg]]</f>
        <v>0.4</v>
      </c>
      <c r="BN137" s="22" t="n">
        <f aca="false">SUMIF($BJ$5:$BJ$158,BM137,$BK$5:$BK$158)</f>
        <v>0</v>
      </c>
      <c r="BP137" s="22" t="str">
        <f aca="false">tab_higiene[[#This Row],[Item]]</f>
        <v>Limpador(500ml)</v>
      </c>
      <c r="BQ137" s="22" t="n">
        <f aca="false">IFERROR(FIND(" (",BP137),0)</f>
        <v>0</v>
      </c>
      <c r="BR137" s="22" t="str">
        <f aca="false">IF(BQ137=0,BP137,LEFT(BP137,BQ137-1))</f>
        <v>Limpador(500ml)</v>
      </c>
      <c r="BS137" s="22" t="n">
        <f aca="false">higiene[[#This Row],[Quantidade]]</f>
        <v>1</v>
      </c>
      <c r="BT137" s="22" t="n">
        <f aca="false">tab_higiene[Qtde (tot)]</f>
        <v>9</v>
      </c>
      <c r="BU137" s="22" t="n">
        <f aca="false">BS137*BT137</f>
        <v>9</v>
      </c>
      <c r="BW137" s="22" t="n">
        <f aca="false">SUMIF($BR$5:$BR$142,BV137,$BU$5:$BU$142)</f>
        <v>0</v>
      </c>
    </row>
    <row r="138" customFormat="false" ht="15" hidden="false" customHeight="false" outlineLevel="0" collapsed="false">
      <c r="I138" s="26" t="str">
        <f aca="false">alimentos[[#This Row],[Item]]</f>
        <v>Goiabada (500g)</v>
      </c>
      <c r="J138" s="27" t="n">
        <f aca="false">IFERROR(alimentos[[#This Row],[kg/embalagem]],0)</f>
        <v>0.5</v>
      </c>
      <c r="K138" s="27" t="n">
        <f aca="false">IFERROR(alimentos[[#This Row],[Preço]],0)</f>
        <v>6.015</v>
      </c>
      <c r="L138" s="27" t="n">
        <f aca="false">SUMIFS(super1[Qtde],super1[Item],tab_alimentos[[#This Row],[Item]],super1[Bairro],mercado1)+SUMIFS(supercb[Qtde],supercb[Item],tab_alimentos[[#This Row],[Item]],supercb[Bairro],mercado1)</f>
        <v>0</v>
      </c>
      <c r="M138" s="27" t="n">
        <f aca="false">SUMIFS(super1[Qtde],super1[Item],tab_alimentos[[#This Row],[Item]],super1[Bairro],mercado2)+SUMIFS(supercb[Qtde],supercb[Item],tab_alimentos[[#This Row],[Item]],supercb[Bairro],mercado2)</f>
        <v>0</v>
      </c>
      <c r="N138" s="27" t="n">
        <f aca="false">SUMIFS(super1[Qtde],super1[Item],tab_alimentos[[#This Row],[Item]],super1[Bairro],mercado3)+SUMIFS(supercb[Qtde],supercb[Item],tab_alimentos[[#This Row],[Item]],supercb[Bairro],mercado3)</f>
        <v>0</v>
      </c>
      <c r="O138" s="27" t="n">
        <f aca="false">SUMIFS(super1[Qtde],super1[Item],tab_alimentos[[#This Row],[Item]],super1[Bairro],mercado4)+SUMIFS(supercb[Qtde],supercb[Item],tab_alimentos[[#This Row],[Item]],supercb[Bairro],mercado4)</f>
        <v>0</v>
      </c>
      <c r="P138" s="27" t="n">
        <f aca="false">SUMIFS(super1[Qtde],super1[Item],tab_alimentos[[#This Row],[Item]],super1[Bairro],mercado5)+SUMIFS(supercb[Qtde],supercb[Item],tab_alimentos[[#This Row],[Item]],supercb[Bairro],mercado5)</f>
        <v>0</v>
      </c>
      <c r="Q138" s="27" t="n">
        <f aca="false">SUMIFS(super1[Qtde],super1[Item],tab_alimentos[[#This Row],[Item]],super1[Bairro],mercado6)+SUMIFS(supercb[Qtde],supercb[Item],tab_alimentos[[#This Row],[Item]],supercb[Bairro],mercado6)</f>
        <v>0</v>
      </c>
      <c r="R138" s="27" t="n">
        <f aca="false">SUMIFS(super1[Qtde],super1[Item],tab_alimentos[[#This Row],[Item]],super1[Bairro],mercado7)+SUMIFS(supercb[Qtde],supercb[Item],tab_alimentos[[#This Row],[Item]],supercb[Bairro],mercado7)</f>
        <v>0</v>
      </c>
      <c r="S138" s="27" t="n">
        <f aca="false">SUMIFS(super1[Qtde],super1[Item],tab_alimentos[[#This Row],[Item]],super1[Bairro],mercado8)+SUMIFS(supercb[Qtde],supercb[Item],tab_alimentos[[#This Row],[Item]],supercb[Bairro],mercado8)</f>
        <v>0</v>
      </c>
      <c r="T138" s="27" t="n">
        <f aca="false">SUMIFS(super1[Qtde],super1[Item],tab_alimentos[[#This Row],[Item]],super1[Bairro],mercado9)+SUMIFS(supercb[Qtde],supercb[Item],tab_alimentos[[#This Row],[Item]],supercb[Bairro],mercado9)</f>
        <v>0</v>
      </c>
      <c r="U138" s="27" t="n">
        <f aca="false">SUMIFS(super1[Qtde],super1[Item],tab_alimentos[[#This Row],[Item]],super1[Bairro],mercado10)+SUMIFS(supercb[Qtde],supercb[Item],tab_alimentos[[#This Row],[Item]],supercb[Bairro],mercado10)</f>
        <v>0</v>
      </c>
      <c r="V138" s="27" t="n">
        <f aca="false">SUMIFS(super1[Qtde],super1[Item],tab_alimentos[[#This Row],[Item]],super1[Bairro],mercado11)+SUMIFS(supercb[Qtde],supercb[Item],tab_alimentos[[#This Row],[Item]],supercb[Bairro],mercado11)</f>
        <v>0</v>
      </c>
      <c r="W138" s="27" t="n">
        <f aca="false">SUMIFS(super1[Qtde],super1[Item],tab_alimentos[[#This Row],[Item]],super1[Bairro],mercado12)+SUMIFS(supercb[Qtde],supercb[Item],tab_alimentos[[#This Row],[Item]],supercb[Bairro],mercado12)</f>
        <v>0</v>
      </c>
      <c r="X138" s="27" t="n">
        <f aca="false">SUMIFS(super1[Qtde],super1[Item],tab_alimentos[[#This Row],[Item]],super1[Bairro],mercado13)+SUMIFS(supercb[Qtde],supercb[Item],tab_alimentos[[#This Row],[Item]],supercb[Bairro],mercado13)</f>
        <v>0</v>
      </c>
      <c r="Y138" s="27" t="n">
        <f aca="false">SUMIFS(super1[Qtde],super1[Item],tab_alimentos[[#This Row],[Item]],super1[Bairro],mercado14)+SUMIFS(supercb[Qtde],supercb[Item],tab_alimentos[[#This Row],[Item]],supercb[Bairro],mercado14)</f>
        <v>0</v>
      </c>
      <c r="Z138" s="27" t="n">
        <f aca="false">SUMIFS(super1[Qtde],super1[Item],tab_alimentos[[#This Row],[Item]],super1[Bairro],mercado15)+SUMIFS(supercb[Qtde],supercb[Item],tab_alimentos[[#This Row],[Item]],supercb[Bairro],mercado15)</f>
        <v>0</v>
      </c>
      <c r="AA138" s="27" t="n">
        <f aca="false">SUMIFS(super1[Qtde],super1[Item],tab_alimentos[[#This Row],[Item]],super1[Bairro],mercado16)+SUMIFS(supercb[Qtde],supercb[Item],tab_alimentos[[#This Row],[Item]],supercb[Bairro],mercado16)</f>
        <v>0</v>
      </c>
      <c r="AB138" s="27" t="n">
        <f aca="false">SUMIFS(super1[Qtde],super1[Item],tab_alimentos[[#This Row],[Item]],super1[Bairro],mercado17)+SUMIFS(supercb[Qtde],supercb[Item],tab_alimentos[[#This Row],[Item]],supercb[Bairro],mercado17)</f>
        <v>0</v>
      </c>
      <c r="AC138" s="27" t="n">
        <f aca="false">SUMIFS(super1[Qtde],super1[Item],tab_alimentos[[#This Row],[Item]],super1[Bairro],mercado18)+SUMIFS(supercb[Qtde],supercb[Item],tab_alimentos[[#This Row],[Item]],supercb[Bairro],mercado18)</f>
        <v>0</v>
      </c>
      <c r="AD138" s="27" t="n">
        <f aca="false">SUMIFS(super1[Qtde],super1[Item],tab_alimentos[[#This Row],[Item]],super1[Bairro],extras)+SUMIFS(supercb[Qtde],supercb[Item],tab_alimentos[[#This Row],[Item]],supercb[Bairro],extras)</f>
        <v>0</v>
      </c>
      <c r="AE138" s="27" t="n">
        <f aca="false">SUM(L138:AC138)</f>
        <v>0</v>
      </c>
      <c r="AF138" s="27" t="n">
        <f aca="false">IFERROR(AE138*K138,0)</f>
        <v>0</v>
      </c>
      <c r="AG138" s="28" t="n">
        <f aca="false">IFERROR(J138*AE138,0)</f>
        <v>0</v>
      </c>
      <c r="AH138" s="26" t="str">
        <f aca="false">higiene[[#This Row],[Item]]</f>
        <v>M</v>
      </c>
      <c r="AI138" s="27" t="n">
        <f aca="false">IFERROR(higiene[[#This Row],[Kg equivalente]],0)</f>
        <v>0</v>
      </c>
      <c r="AJ138" s="27" t="n">
        <f aca="false">IFERROR(higiene[[#This Row],[Preço por produto]],0)</f>
        <v>0</v>
      </c>
      <c r="AK138" s="27" t="n">
        <f aca="false">SUMIFS(super1[Qtde],super1[Item],tab_higiene[[#This Row],[Item]],super1[Bairro],mercado1)+SUMIFS(supercb[Qtde],supercb[Item],tab_higiene[[#This Row],[Item]],supercb[Bairro],mercado1)</f>
        <v>0</v>
      </c>
      <c r="AL138" s="27" t="n">
        <f aca="false">SUMIFS(super1[Qtde],super1[Item],tab_higiene[[#This Row],[Item]],super1[Bairro],mercado2)+SUMIFS(supercb[Qtde],supercb[Item],tab_higiene[[#This Row],[Item]],supercb[Bairro],mercado2)</f>
        <v>0</v>
      </c>
      <c r="AM138" s="27" t="n">
        <f aca="false">SUMIFS(super1[Qtde],super1[Item],tab_higiene[[#This Row],[Item]],super1[Bairro],mercado3)+SUMIFS(supercb[Qtde],supercb[Item],tab_higiene[[#This Row],[Item]],supercb[Bairro],mercado3)</f>
        <v>0</v>
      </c>
      <c r="AN138" s="27" t="n">
        <f aca="false">SUMIFS(super1[Qtde],super1[Item],tab_higiene[[#This Row],[Item]],super1[Bairro],mercado4)+SUMIFS(supercb[Qtde],supercb[Item],tab_higiene[[#This Row],[Item]],supercb[Bairro],mercado4)</f>
        <v>0</v>
      </c>
      <c r="AO138" s="27" t="n">
        <f aca="false">SUMIFS(super1[Qtde],super1[Item],tab_higiene[[#This Row],[Item]],super1[Bairro],mercado5)+SUMIFS(supercb[Qtde],supercb[Item],tab_higiene[[#This Row],[Item]],supercb[Bairro],mercado5)</f>
        <v>0</v>
      </c>
      <c r="AP138" s="27" t="n">
        <f aca="false">SUMIFS(super1[Qtde],super1[Item],tab_higiene[[#This Row],[Item]],super1[Bairro],mercado6)+SUMIFS(supercb[Qtde],supercb[Item],tab_higiene[[#This Row],[Item]],supercb[Bairro],mercado6)</f>
        <v>0</v>
      </c>
      <c r="AQ138" s="27" t="n">
        <f aca="false">SUMIFS(super1[Qtde],super1[Item],tab_higiene[[#This Row],[Item]],super1[Bairro],mercado7)+SUMIFS(supercb[Qtde],supercb[Item],tab_higiene[[#This Row],[Item]],supercb[Bairro],mercado7)</f>
        <v>0</v>
      </c>
      <c r="AR138" s="27" t="n">
        <f aca="false">SUMIFS(super1[Qtde],super1[Item],tab_higiene[[#This Row],[Item]],super1[Bairro],mercado8)+SUMIFS(supercb[Qtde],supercb[Item],tab_higiene[[#This Row],[Item]],supercb[Bairro],mercado8)</f>
        <v>0</v>
      </c>
      <c r="AS138" s="27" t="n">
        <f aca="false">SUMIFS(super1[Qtde],super1[Item],tab_higiene[[#This Row],[Item]],super1[Bairro],mercado9)+SUMIFS(supercb[Qtde],supercb[Item],tab_higiene[[#This Row],[Item]],supercb[Bairro],mercado9)</f>
        <v>0</v>
      </c>
      <c r="AT138" s="27" t="n">
        <f aca="false">SUMIFS(super1[Qtde],super1[Item],tab_higiene[[#This Row],[Item]],super1[Bairro],mercado10)+SUMIFS(supercb[Qtde],supercb[Item],tab_higiene[[#This Row],[Item]],supercb[Bairro],mercado10)</f>
        <v>0</v>
      </c>
      <c r="AU138" s="27" t="n">
        <f aca="false">SUMIFS(super1[Qtde],super1[Item],tab_higiene[[#This Row],[Item]],super1[Bairro],mercado11)+SUMIFS(supercb[Qtde],supercb[Item],tab_higiene[[#This Row],[Item]],supercb[Bairro],mercado11)</f>
        <v>0</v>
      </c>
      <c r="AV138" s="27" t="n">
        <f aca="false">SUMIFS(super1[Qtde],super1[Item],tab_higiene[[#This Row],[Item]],super1[Bairro],mercado12)+SUMIFS(supercb[Qtde],supercb[Item],tab_higiene[[#This Row],[Item]],supercb[Bairro],mercado12)</f>
        <v>0</v>
      </c>
      <c r="AW138" s="27" t="n">
        <f aca="false">SUMIFS(super1[Qtde],super1[Item],tab_higiene[[#This Row],[Item]],super1[Bairro],mercado13)+SUMIFS(supercb[Qtde],supercb[Item],tab_higiene[[#This Row],[Item]],supercb[Bairro],mercado13)</f>
        <v>0</v>
      </c>
      <c r="AX138" s="27" t="n">
        <f aca="false">SUMIFS(super1[Qtde],super1[Item],tab_higiene[[#This Row],[Item]],super1[Bairro],mercado14)+SUMIFS(supercb[Qtde],supercb[Item],tab_higiene[[#This Row],[Item]],supercb[Bairro],mercado14)</f>
        <v>0</v>
      </c>
      <c r="AY138" s="27" t="n">
        <f aca="false">SUMIFS(super1[Qtde],super1[Item],tab_higiene[[#This Row],[Item]],super1[Bairro],mercado15)+SUMIFS(supercb[Qtde],supercb[Item],tab_higiene[[#This Row],[Item]],supercb[Bairro],mercado15)</f>
        <v>0</v>
      </c>
      <c r="AZ138" s="27" t="n">
        <f aca="false">SUMIFS(super1[Qtde],super1[Item],tab_higiene[[#This Row],[Item]],super1[Bairro],mercado16)+SUMIFS(supercb[Qtde],supercb[Item],tab_higiene[[#This Row],[Item]],supercb[Bairro],mercado16)</f>
        <v>0</v>
      </c>
      <c r="BA138" s="27" t="n">
        <f aca="false">SUMIFS(super1[Qtde],super1[Item],tab_higiene[[#This Row],[Item]],super1[Bairro],mercado17)+SUMIFS(supercb[Qtde],supercb[Item],tab_higiene[[#This Row],[Item]],supercb[Bairro],mercado17)</f>
        <v>0</v>
      </c>
      <c r="BB138" s="27" t="n">
        <f aca="false">SUMIFS(super1[Qtde],super1[Item],tab_higiene[[#This Row],[Item]],super1[Bairro],mercado18)+SUMIFS(supercb[Qtde],supercb[Item],tab_higiene[[#This Row],[Item]],supercb[Bairro],mercado18)</f>
        <v>0</v>
      </c>
      <c r="BC138" s="27" t="n">
        <f aca="false">SUMIFS(super1[Qtde],super1[Item],tab_higiene[[#This Row],[Item]],super1[Bairro],extras)+SUMIFS(supercb[Qtde],supercb[Item],tab_higiene[[#This Row],[Item]],supercb[Bairro],extras)</f>
        <v>0</v>
      </c>
      <c r="BD138" s="27" t="n">
        <f aca="false">SUM(AK138:BB138)</f>
        <v>0</v>
      </c>
      <c r="BE138" s="27" t="n">
        <f aca="false">IFERROR(BD138*AJ138,0)</f>
        <v>0</v>
      </c>
      <c r="BF138" s="28" t="n">
        <f aca="false">IFERROR(AI138*BD138,0)</f>
        <v>0</v>
      </c>
      <c r="BI138" s="22" t="str">
        <f aca="false">tab_alimentos[[#This Row],[Item]]</f>
        <v>Goiabada (500g)</v>
      </c>
      <c r="BJ138" s="22" t="n">
        <f aca="false">IFERROR(FIND(" (",BI138),0)</f>
        <v>9</v>
      </c>
      <c r="BK138" s="22" t="str">
        <f aca="false">IF(BJ138=0,BI138,LEFT(BI138,BJ138-1))</f>
        <v>Goiabada</v>
      </c>
      <c r="BL138" s="22" t="n">
        <f aca="false">tab_alimentos[[#This Row],[kg]]</f>
        <v>0</v>
      </c>
      <c r="BN138" s="22" t="n">
        <f aca="false">SUMIF($BJ$5:$BJ$158,BM138,$BK$5:$BK$158)</f>
        <v>0</v>
      </c>
      <c r="BP138" s="22" t="str">
        <f aca="false">tab_higiene[[#This Row],[Item]]</f>
        <v>M</v>
      </c>
      <c r="BQ138" s="22" t="n">
        <f aca="false">IFERROR(FIND(" (",BP138),0)</f>
        <v>0</v>
      </c>
      <c r="BR138" s="22" t="str">
        <f aca="false">IF(BQ138=0,BP138,LEFT(BP138,BQ138-1))</f>
        <v>M</v>
      </c>
      <c r="BS138" s="22" t="n">
        <f aca="false">higiene[[#This Row],[Quantidade]]</f>
        <v>0.18</v>
      </c>
      <c r="BT138" s="22" t="n">
        <f aca="false">tab_higiene[Qtde (tot)]</f>
        <v>0</v>
      </c>
      <c r="BU138" s="22" t="n">
        <f aca="false">BS138*BT138</f>
        <v>0</v>
      </c>
      <c r="BW138" s="22" t="n">
        <f aca="false">SUMIF($BR$5:$BR$142,BV138,$BU$5:$BU$142)</f>
        <v>0</v>
      </c>
    </row>
    <row r="139" customFormat="false" ht="15" hidden="false" customHeight="false" outlineLevel="0" collapsed="false">
      <c r="I139" s="26" t="str">
        <f aca="false">alimentos[[#This Row],[Item]]</f>
        <v>Granulado (130g)</v>
      </c>
      <c r="J139" s="27" t="n">
        <f aca="false">IFERROR(alimentos[[#This Row],[kg/embalagem]],0)</f>
        <v>0.13</v>
      </c>
      <c r="K139" s="27" t="n">
        <f aca="false">IFERROR(alimentos[[#This Row],[Preço]],0)</f>
        <v>3.49</v>
      </c>
      <c r="L139" s="27" t="n">
        <f aca="false">SUMIFS(super1[Qtde],super1[Item],tab_alimentos[[#This Row],[Item]],super1[Bairro],mercado1)+SUMIFS(supercb[Qtde],supercb[Item],tab_alimentos[[#This Row],[Item]],supercb[Bairro],mercado1)</f>
        <v>0</v>
      </c>
      <c r="M139" s="27" t="n">
        <f aca="false">SUMIFS(super1[Qtde],super1[Item],tab_alimentos[[#This Row],[Item]],super1[Bairro],mercado2)+SUMIFS(supercb[Qtde],supercb[Item],tab_alimentos[[#This Row],[Item]],supercb[Bairro],mercado2)</f>
        <v>0</v>
      </c>
      <c r="N139" s="27" t="n">
        <f aca="false">SUMIFS(super1[Qtde],super1[Item],tab_alimentos[[#This Row],[Item]],super1[Bairro],mercado3)+SUMIFS(supercb[Qtde],supercb[Item],tab_alimentos[[#This Row],[Item]],supercb[Bairro],mercado3)</f>
        <v>0</v>
      </c>
      <c r="O139" s="27" t="n">
        <f aca="false">SUMIFS(super1[Qtde],super1[Item],tab_alimentos[[#This Row],[Item]],super1[Bairro],mercado4)+SUMIFS(supercb[Qtde],supercb[Item],tab_alimentos[[#This Row],[Item]],supercb[Bairro],mercado4)</f>
        <v>0</v>
      </c>
      <c r="P139" s="27" t="n">
        <f aca="false">SUMIFS(super1[Qtde],super1[Item],tab_alimentos[[#This Row],[Item]],super1[Bairro],mercado5)+SUMIFS(supercb[Qtde],supercb[Item],tab_alimentos[[#This Row],[Item]],supercb[Bairro],mercado5)</f>
        <v>0</v>
      </c>
      <c r="Q139" s="27" t="n">
        <f aca="false">SUMIFS(super1[Qtde],super1[Item],tab_alimentos[[#This Row],[Item]],super1[Bairro],mercado6)+SUMIFS(supercb[Qtde],supercb[Item],tab_alimentos[[#This Row],[Item]],supercb[Bairro],mercado6)</f>
        <v>0</v>
      </c>
      <c r="R139" s="27" t="n">
        <f aca="false">SUMIFS(super1[Qtde],super1[Item],tab_alimentos[[#This Row],[Item]],super1[Bairro],mercado7)+SUMIFS(supercb[Qtde],supercb[Item],tab_alimentos[[#This Row],[Item]],supercb[Bairro],mercado7)</f>
        <v>0</v>
      </c>
      <c r="S139" s="27" t="n">
        <f aca="false">SUMIFS(super1[Qtde],super1[Item],tab_alimentos[[#This Row],[Item]],super1[Bairro],mercado8)+SUMIFS(supercb[Qtde],supercb[Item],tab_alimentos[[#This Row],[Item]],supercb[Bairro],mercado8)</f>
        <v>0</v>
      </c>
      <c r="T139" s="27" t="n">
        <f aca="false">SUMIFS(super1[Qtde],super1[Item],tab_alimentos[[#This Row],[Item]],super1[Bairro],mercado9)+SUMIFS(supercb[Qtde],supercb[Item],tab_alimentos[[#This Row],[Item]],supercb[Bairro],mercado9)</f>
        <v>0</v>
      </c>
      <c r="U139" s="27" t="n">
        <f aca="false">SUMIFS(super1[Qtde],super1[Item],tab_alimentos[[#This Row],[Item]],super1[Bairro],mercado10)+SUMIFS(supercb[Qtde],supercb[Item],tab_alimentos[[#This Row],[Item]],supercb[Bairro],mercado10)</f>
        <v>0</v>
      </c>
      <c r="V139" s="27" t="n">
        <f aca="false">SUMIFS(super1[Qtde],super1[Item],tab_alimentos[[#This Row],[Item]],super1[Bairro],mercado11)+SUMIFS(supercb[Qtde],supercb[Item],tab_alimentos[[#This Row],[Item]],supercb[Bairro],mercado11)</f>
        <v>0</v>
      </c>
      <c r="W139" s="27" t="n">
        <f aca="false">SUMIFS(super1[Qtde],super1[Item],tab_alimentos[[#This Row],[Item]],super1[Bairro],mercado12)+SUMIFS(supercb[Qtde],supercb[Item],tab_alimentos[[#This Row],[Item]],supercb[Bairro],mercado12)</f>
        <v>0</v>
      </c>
      <c r="X139" s="27" t="n">
        <f aca="false">SUMIFS(super1[Qtde],super1[Item],tab_alimentos[[#This Row],[Item]],super1[Bairro],mercado13)+SUMIFS(supercb[Qtde],supercb[Item],tab_alimentos[[#This Row],[Item]],supercb[Bairro],mercado13)</f>
        <v>0</v>
      </c>
      <c r="Y139" s="27" t="n">
        <f aca="false">SUMIFS(super1[Qtde],super1[Item],tab_alimentos[[#This Row],[Item]],super1[Bairro],mercado14)+SUMIFS(supercb[Qtde],supercb[Item],tab_alimentos[[#This Row],[Item]],supercb[Bairro],mercado14)</f>
        <v>0</v>
      </c>
      <c r="Z139" s="27" t="n">
        <f aca="false">SUMIFS(super1[Qtde],super1[Item],tab_alimentos[[#This Row],[Item]],super1[Bairro],mercado15)+SUMIFS(supercb[Qtde],supercb[Item],tab_alimentos[[#This Row],[Item]],supercb[Bairro],mercado15)</f>
        <v>0</v>
      </c>
      <c r="AA139" s="27" t="n">
        <f aca="false">SUMIFS(super1[Qtde],super1[Item],tab_alimentos[[#This Row],[Item]],super1[Bairro],mercado16)+SUMIFS(supercb[Qtde],supercb[Item],tab_alimentos[[#This Row],[Item]],supercb[Bairro],mercado16)</f>
        <v>0</v>
      </c>
      <c r="AB139" s="27" t="n">
        <f aca="false">SUMIFS(super1[Qtde],super1[Item],tab_alimentos[[#This Row],[Item]],super1[Bairro],mercado17)+SUMIFS(supercb[Qtde],supercb[Item],tab_alimentos[[#This Row],[Item]],supercb[Bairro],mercado17)</f>
        <v>0</v>
      </c>
      <c r="AC139" s="27" t="n">
        <f aca="false">SUMIFS(super1[Qtde],super1[Item],tab_alimentos[[#This Row],[Item]],super1[Bairro],mercado18)+SUMIFS(supercb[Qtde],supercb[Item],tab_alimentos[[#This Row],[Item]],supercb[Bairro],mercado18)</f>
        <v>0</v>
      </c>
      <c r="AD139" s="27" t="n">
        <f aca="false">SUMIFS(super1[Qtde],super1[Item],tab_alimentos[[#This Row],[Item]],super1[Bairro],extras)+SUMIFS(supercb[Qtde],supercb[Item],tab_alimentos[[#This Row],[Item]],supercb[Bairro],extras)</f>
        <v>0</v>
      </c>
      <c r="AE139" s="27" t="n">
        <f aca="false">SUM(L139:AC139)</f>
        <v>0</v>
      </c>
      <c r="AF139" s="27" t="n">
        <f aca="false">IFERROR(AE139*K139,0)</f>
        <v>0</v>
      </c>
      <c r="AG139" s="28" t="n">
        <f aca="false">IFERROR(J139*AE139,0)</f>
        <v>0</v>
      </c>
      <c r="AH139" s="26" t="str">
        <f aca="false">higiene[[#This Row],[Item]]</f>
        <v>multiuso</v>
      </c>
      <c r="AI139" s="27" t="n">
        <f aca="false">IFERROR(higiene[[#This Row],[Kg equivalente]],0)</f>
        <v>2.89818991577994</v>
      </c>
      <c r="AJ139" s="27" t="n">
        <f aca="false">IFERROR(higiene[[#This Row],[Preço por produto]],0)</f>
        <v>9.6</v>
      </c>
      <c r="AK139" s="27" t="n">
        <f aca="false">SUMIFS(super1[Qtde],super1[Item],tab_higiene[[#This Row],[Item]],super1[Bairro],mercado1)+SUMIFS(supercb[Qtde],supercb[Item],tab_higiene[[#This Row],[Item]],supercb[Bairro],mercado1)</f>
        <v>0</v>
      </c>
      <c r="AL139" s="27" t="n">
        <f aca="false">SUMIFS(super1[Qtde],super1[Item],tab_higiene[[#This Row],[Item]],super1[Bairro],mercado2)+SUMIFS(supercb[Qtde],supercb[Item],tab_higiene[[#This Row],[Item]],supercb[Bairro],mercado2)</f>
        <v>0</v>
      </c>
      <c r="AM139" s="27" t="n">
        <f aca="false">SUMIFS(super1[Qtde],super1[Item],tab_higiene[[#This Row],[Item]],super1[Bairro],mercado3)+SUMIFS(supercb[Qtde],supercb[Item],tab_higiene[[#This Row],[Item]],supercb[Bairro],mercado3)</f>
        <v>0</v>
      </c>
      <c r="AN139" s="27" t="n">
        <f aca="false">SUMIFS(super1[Qtde],super1[Item],tab_higiene[[#This Row],[Item]],super1[Bairro],mercado4)+SUMIFS(supercb[Qtde],supercb[Item],tab_higiene[[#This Row],[Item]],supercb[Bairro],mercado4)</f>
        <v>0</v>
      </c>
      <c r="AO139" s="27" t="n">
        <f aca="false">SUMIFS(super1[Qtde],super1[Item],tab_higiene[[#This Row],[Item]],super1[Bairro],mercado5)+SUMIFS(supercb[Qtde],supercb[Item],tab_higiene[[#This Row],[Item]],supercb[Bairro],mercado5)</f>
        <v>0</v>
      </c>
      <c r="AP139" s="27" t="n">
        <f aca="false">SUMIFS(super1[Qtde],super1[Item],tab_higiene[[#This Row],[Item]],super1[Bairro],mercado6)+SUMIFS(supercb[Qtde],supercb[Item],tab_higiene[[#This Row],[Item]],supercb[Bairro],mercado6)</f>
        <v>0</v>
      </c>
      <c r="AQ139" s="27" t="n">
        <f aca="false">SUMIFS(super1[Qtde],super1[Item],tab_higiene[[#This Row],[Item]],super1[Bairro],mercado7)+SUMIFS(supercb[Qtde],supercb[Item],tab_higiene[[#This Row],[Item]],supercb[Bairro],mercado7)</f>
        <v>0</v>
      </c>
      <c r="AR139" s="27" t="n">
        <f aca="false">SUMIFS(super1[Qtde],super1[Item],tab_higiene[[#This Row],[Item]],super1[Bairro],mercado8)+SUMIFS(supercb[Qtde],supercb[Item],tab_higiene[[#This Row],[Item]],supercb[Bairro],mercado8)</f>
        <v>0</v>
      </c>
      <c r="AS139" s="27" t="n">
        <f aca="false">SUMIFS(super1[Qtde],super1[Item],tab_higiene[[#This Row],[Item]],super1[Bairro],mercado9)+SUMIFS(supercb[Qtde],supercb[Item],tab_higiene[[#This Row],[Item]],supercb[Bairro],mercado9)</f>
        <v>0</v>
      </c>
      <c r="AT139" s="27" t="n">
        <f aca="false">SUMIFS(super1[Qtde],super1[Item],tab_higiene[[#This Row],[Item]],super1[Bairro],mercado10)+SUMIFS(supercb[Qtde],supercb[Item],tab_higiene[[#This Row],[Item]],supercb[Bairro],mercado10)</f>
        <v>2</v>
      </c>
      <c r="AU139" s="27" t="n">
        <f aca="false">SUMIFS(super1[Qtde],super1[Item],tab_higiene[[#This Row],[Item]],super1[Bairro],mercado11)+SUMIFS(supercb[Qtde],supercb[Item],tab_higiene[[#This Row],[Item]],supercb[Bairro],mercado11)</f>
        <v>0</v>
      </c>
      <c r="AV139" s="27" t="n">
        <f aca="false">SUMIFS(super1[Qtde],super1[Item],tab_higiene[[#This Row],[Item]],super1[Bairro],mercado12)+SUMIFS(supercb[Qtde],supercb[Item],tab_higiene[[#This Row],[Item]],supercb[Bairro],mercado12)</f>
        <v>0</v>
      </c>
      <c r="AW139" s="27" t="n">
        <f aca="false">SUMIFS(super1[Qtde],super1[Item],tab_higiene[[#This Row],[Item]],super1[Bairro],mercado13)+SUMIFS(supercb[Qtde],supercb[Item],tab_higiene[[#This Row],[Item]],supercb[Bairro],mercado13)</f>
        <v>0</v>
      </c>
      <c r="AX139" s="27" t="n">
        <f aca="false">SUMIFS(super1[Qtde],super1[Item],tab_higiene[[#This Row],[Item]],super1[Bairro],mercado14)+SUMIFS(supercb[Qtde],supercb[Item],tab_higiene[[#This Row],[Item]],supercb[Bairro],mercado14)</f>
        <v>0</v>
      </c>
      <c r="AY139" s="27" t="n">
        <f aca="false">SUMIFS(super1[Qtde],super1[Item],tab_higiene[[#This Row],[Item]],super1[Bairro],mercado15)+SUMIFS(supercb[Qtde],supercb[Item],tab_higiene[[#This Row],[Item]],supercb[Bairro],mercado15)</f>
        <v>0</v>
      </c>
      <c r="AZ139" s="27" t="n">
        <f aca="false">SUMIFS(super1[Qtde],super1[Item],tab_higiene[[#This Row],[Item]],super1[Bairro],mercado16)+SUMIFS(supercb[Qtde],supercb[Item],tab_higiene[[#This Row],[Item]],supercb[Bairro],mercado16)</f>
        <v>0</v>
      </c>
      <c r="BA139" s="27" t="n">
        <f aca="false">SUMIFS(super1[Qtde],super1[Item],tab_higiene[[#This Row],[Item]],super1[Bairro],mercado17)+SUMIFS(supercb[Qtde],supercb[Item],tab_higiene[[#This Row],[Item]],supercb[Bairro],mercado17)</f>
        <v>0</v>
      </c>
      <c r="BB139" s="27" t="n">
        <f aca="false">SUMIFS(super1[Qtde],super1[Item],tab_higiene[[#This Row],[Item]],super1[Bairro],mercado18)+SUMIFS(supercb[Qtde],supercb[Item],tab_higiene[[#This Row],[Item]],supercb[Bairro],mercado18)</f>
        <v>0</v>
      </c>
      <c r="BC139" s="27" t="n">
        <f aca="false">SUMIFS(super1[Qtde],super1[Item],tab_higiene[[#This Row],[Item]],super1[Bairro],extras)+SUMIFS(supercb[Qtde],supercb[Item],tab_higiene[[#This Row],[Item]],supercb[Bairro],extras)</f>
        <v>0</v>
      </c>
      <c r="BD139" s="27" t="n">
        <f aca="false">SUM(AK139:BB139)</f>
        <v>2</v>
      </c>
      <c r="BE139" s="27" t="n">
        <f aca="false">IFERROR(BD139*AJ139,0)</f>
        <v>19.2</v>
      </c>
      <c r="BF139" s="28" t="n">
        <f aca="false">IFERROR(AI139*BD139,0)</f>
        <v>5.79637983155989</v>
      </c>
      <c r="BI139" s="22" t="str">
        <f aca="false">tab_alimentos[[#This Row],[Item]]</f>
        <v>Granulado (130g)</v>
      </c>
      <c r="BJ139" s="22" t="n">
        <f aca="false">IFERROR(FIND(" (",BI139),0)</f>
        <v>10</v>
      </c>
      <c r="BK139" s="22" t="str">
        <f aca="false">IF(BJ139=0,BI139,LEFT(BI139,BJ139-1))</f>
        <v>Granulado</v>
      </c>
      <c r="BL139" s="22" t="n">
        <f aca="false">tab_alimentos[[#This Row],[kg]]</f>
        <v>0</v>
      </c>
      <c r="BN139" s="22" t="n">
        <f aca="false">SUMIF($BJ$5:$BJ$158,BM139,$BK$5:$BK$158)</f>
        <v>0</v>
      </c>
      <c r="BP139" s="22" t="str">
        <f aca="false">tab_higiene[[#This Row],[Item]]</f>
        <v>multiuso</v>
      </c>
      <c r="BQ139" s="22" t="n">
        <f aca="false">IFERROR(FIND(" (",BP139),0)</f>
        <v>0</v>
      </c>
      <c r="BR139" s="22" t="str">
        <f aca="false">IF(BQ139=0,BP139,LEFT(BP139,BQ139-1))</f>
        <v>multiuso</v>
      </c>
      <c r="BS139" s="22" t="n">
        <f aca="false">higiene[[#This Row],[Quantidade]]</f>
        <v>4</v>
      </c>
      <c r="BT139" s="22" t="n">
        <f aca="false">tab_higiene[Qtde (tot)]</f>
        <v>2</v>
      </c>
      <c r="BU139" s="22" t="n">
        <f aca="false">BS139*BT139</f>
        <v>8</v>
      </c>
      <c r="BW139" s="22" t="n">
        <f aca="false">SUMIF($BR$5:$BR$142,BV139,$BU$5:$BU$142)</f>
        <v>0</v>
      </c>
    </row>
    <row r="140" customFormat="false" ht="15" hidden="false" customHeight="false" outlineLevel="0" collapsed="false">
      <c r="I140" s="26" t="str">
        <f aca="false">alimentos[[#This Row],[Item]]</f>
        <v>Granulado (150g)</v>
      </c>
      <c r="J140" s="27" t="n">
        <f aca="false">IFERROR(alimentos[[#This Row],[kg/embalagem]],0)</f>
        <v>0.15</v>
      </c>
      <c r="K140" s="27" t="n">
        <f aca="false">IFERROR(alimentos[[#This Row],[Preço]],0)</f>
        <v>3.49</v>
      </c>
      <c r="L140" s="27" t="n">
        <f aca="false">SUMIFS(super1[Qtde],super1[Item],tab_alimentos[[#This Row],[Item]],super1[Bairro],mercado1)+SUMIFS(supercb[Qtde],supercb[Item],tab_alimentos[[#This Row],[Item]],supercb[Bairro],mercado1)</f>
        <v>0</v>
      </c>
      <c r="M140" s="27" t="n">
        <f aca="false">SUMIFS(super1[Qtde],super1[Item],tab_alimentos[[#This Row],[Item]],super1[Bairro],mercado2)+SUMIFS(supercb[Qtde],supercb[Item],tab_alimentos[[#This Row],[Item]],supercb[Bairro],mercado2)</f>
        <v>0</v>
      </c>
      <c r="N140" s="27" t="n">
        <f aca="false">SUMIFS(super1[Qtde],super1[Item],tab_alimentos[[#This Row],[Item]],super1[Bairro],mercado3)+SUMIFS(supercb[Qtde],supercb[Item],tab_alimentos[[#This Row],[Item]],supercb[Bairro],mercado3)</f>
        <v>0</v>
      </c>
      <c r="O140" s="27" t="n">
        <f aca="false">SUMIFS(super1[Qtde],super1[Item],tab_alimentos[[#This Row],[Item]],super1[Bairro],mercado4)+SUMIFS(supercb[Qtde],supercb[Item],tab_alimentos[[#This Row],[Item]],supercb[Bairro],mercado4)</f>
        <v>0</v>
      </c>
      <c r="P140" s="27" t="n">
        <f aca="false">SUMIFS(super1[Qtde],super1[Item],tab_alimentos[[#This Row],[Item]],super1[Bairro],mercado5)+SUMIFS(supercb[Qtde],supercb[Item],tab_alimentos[[#This Row],[Item]],supercb[Bairro],mercado5)</f>
        <v>0</v>
      </c>
      <c r="Q140" s="27" t="n">
        <f aca="false">SUMIFS(super1[Qtde],super1[Item],tab_alimentos[[#This Row],[Item]],super1[Bairro],mercado6)+SUMIFS(supercb[Qtde],supercb[Item],tab_alimentos[[#This Row],[Item]],supercb[Bairro],mercado6)</f>
        <v>0</v>
      </c>
      <c r="R140" s="27" t="n">
        <f aca="false">SUMIFS(super1[Qtde],super1[Item],tab_alimentos[[#This Row],[Item]],super1[Bairro],mercado7)+SUMIFS(supercb[Qtde],supercb[Item],tab_alimentos[[#This Row],[Item]],supercb[Bairro],mercado7)</f>
        <v>0</v>
      </c>
      <c r="S140" s="27" t="n">
        <f aca="false">SUMIFS(super1[Qtde],super1[Item],tab_alimentos[[#This Row],[Item]],super1[Bairro],mercado8)+SUMIFS(supercb[Qtde],supercb[Item],tab_alimentos[[#This Row],[Item]],supercb[Bairro],mercado8)</f>
        <v>0</v>
      </c>
      <c r="T140" s="27" t="n">
        <f aca="false">SUMIFS(super1[Qtde],super1[Item],tab_alimentos[[#This Row],[Item]],super1[Bairro],mercado9)+SUMIFS(supercb[Qtde],supercb[Item],tab_alimentos[[#This Row],[Item]],supercb[Bairro],mercado9)</f>
        <v>0</v>
      </c>
      <c r="U140" s="27" t="n">
        <f aca="false">SUMIFS(super1[Qtde],super1[Item],tab_alimentos[[#This Row],[Item]],super1[Bairro],mercado10)+SUMIFS(supercb[Qtde],supercb[Item],tab_alimentos[[#This Row],[Item]],supercb[Bairro],mercado10)</f>
        <v>0</v>
      </c>
      <c r="V140" s="27" t="n">
        <f aca="false">SUMIFS(super1[Qtde],super1[Item],tab_alimentos[[#This Row],[Item]],super1[Bairro],mercado11)+SUMIFS(supercb[Qtde],supercb[Item],tab_alimentos[[#This Row],[Item]],supercb[Bairro],mercado11)</f>
        <v>0</v>
      </c>
      <c r="W140" s="27" t="n">
        <f aca="false">SUMIFS(super1[Qtde],super1[Item],tab_alimentos[[#This Row],[Item]],super1[Bairro],mercado12)+SUMIFS(supercb[Qtde],supercb[Item],tab_alimentos[[#This Row],[Item]],supercb[Bairro],mercado12)</f>
        <v>0</v>
      </c>
      <c r="X140" s="27" t="n">
        <f aca="false">SUMIFS(super1[Qtde],super1[Item],tab_alimentos[[#This Row],[Item]],super1[Bairro],mercado13)+SUMIFS(supercb[Qtde],supercb[Item],tab_alimentos[[#This Row],[Item]],supercb[Bairro],mercado13)</f>
        <v>0</v>
      </c>
      <c r="Y140" s="27" t="n">
        <f aca="false">SUMIFS(super1[Qtde],super1[Item],tab_alimentos[[#This Row],[Item]],super1[Bairro],mercado14)+SUMIFS(supercb[Qtde],supercb[Item],tab_alimentos[[#This Row],[Item]],supercb[Bairro],mercado14)</f>
        <v>0</v>
      </c>
      <c r="Z140" s="27" t="n">
        <f aca="false">SUMIFS(super1[Qtde],super1[Item],tab_alimentos[[#This Row],[Item]],super1[Bairro],mercado15)+SUMIFS(supercb[Qtde],supercb[Item],tab_alimentos[[#This Row],[Item]],supercb[Bairro],mercado15)</f>
        <v>0</v>
      </c>
      <c r="AA140" s="27" t="n">
        <f aca="false">SUMIFS(super1[Qtde],super1[Item],tab_alimentos[[#This Row],[Item]],super1[Bairro],mercado16)+SUMIFS(supercb[Qtde],supercb[Item],tab_alimentos[[#This Row],[Item]],supercb[Bairro],mercado16)</f>
        <v>0</v>
      </c>
      <c r="AB140" s="27" t="n">
        <f aca="false">SUMIFS(super1[Qtde],super1[Item],tab_alimentos[[#This Row],[Item]],super1[Bairro],mercado17)+SUMIFS(supercb[Qtde],supercb[Item],tab_alimentos[[#This Row],[Item]],supercb[Bairro],mercado17)</f>
        <v>0</v>
      </c>
      <c r="AC140" s="27" t="n">
        <f aca="false">SUMIFS(super1[Qtde],super1[Item],tab_alimentos[[#This Row],[Item]],super1[Bairro],mercado18)+SUMIFS(supercb[Qtde],supercb[Item],tab_alimentos[[#This Row],[Item]],supercb[Bairro],mercado18)</f>
        <v>0</v>
      </c>
      <c r="AD140" s="27" t="n">
        <f aca="false">SUMIFS(super1[Qtde],super1[Item],tab_alimentos[[#This Row],[Item]],super1[Bairro],extras)+SUMIFS(supercb[Qtde],supercb[Item],tab_alimentos[[#This Row],[Item]],supercb[Bairro],extras)</f>
        <v>0</v>
      </c>
      <c r="AE140" s="27" t="n">
        <f aca="false">SUM(L140:AC140)</f>
        <v>0</v>
      </c>
      <c r="AF140" s="27" t="n">
        <f aca="false">IFERROR(AE140*K140,0)</f>
        <v>0</v>
      </c>
      <c r="AG140" s="28" t="n">
        <f aca="false">IFERROR(J140*AE140,0)</f>
        <v>0</v>
      </c>
      <c r="AH140" s="26" t="str">
        <f aca="false">higiene[[#This Row],[Item]]</f>
        <v>Multiuso (1L)</v>
      </c>
      <c r="AI140" s="27" t="n">
        <f aca="false">IFERROR(higiene[[#This Row],[Kg equivalente]],0)</f>
        <v>2.71403409821476</v>
      </c>
      <c r="AJ140" s="27" t="n">
        <f aca="false">IFERROR(higiene[[#This Row],[Preço por produto]],0)</f>
        <v>8.99</v>
      </c>
      <c r="AK140" s="27" t="n">
        <f aca="false">SUMIFS(super1[Qtde],super1[Item],tab_higiene[[#This Row],[Item]],super1[Bairro],mercado1)+SUMIFS(supercb[Qtde],supercb[Item],tab_higiene[[#This Row],[Item]],supercb[Bairro],mercado1)</f>
        <v>0</v>
      </c>
      <c r="AL140" s="27" t="n">
        <f aca="false">SUMIFS(super1[Qtde],super1[Item],tab_higiene[[#This Row],[Item]],super1[Bairro],mercado2)+SUMIFS(supercb[Qtde],supercb[Item],tab_higiene[[#This Row],[Item]],supercb[Bairro],mercado2)</f>
        <v>0</v>
      </c>
      <c r="AM140" s="27" t="n">
        <f aca="false">SUMIFS(super1[Qtde],super1[Item],tab_higiene[[#This Row],[Item]],super1[Bairro],mercado3)+SUMIFS(supercb[Qtde],supercb[Item],tab_higiene[[#This Row],[Item]],supercb[Bairro],mercado3)</f>
        <v>0</v>
      </c>
      <c r="AN140" s="27" t="n">
        <f aca="false">SUMIFS(super1[Qtde],super1[Item],tab_higiene[[#This Row],[Item]],super1[Bairro],mercado4)+SUMIFS(supercb[Qtde],supercb[Item],tab_higiene[[#This Row],[Item]],supercb[Bairro],mercado4)</f>
        <v>0</v>
      </c>
      <c r="AO140" s="27" t="n">
        <f aca="false">SUMIFS(super1[Qtde],super1[Item],tab_higiene[[#This Row],[Item]],super1[Bairro],mercado5)+SUMIFS(supercb[Qtde],supercb[Item],tab_higiene[[#This Row],[Item]],supercb[Bairro],mercado5)</f>
        <v>0</v>
      </c>
      <c r="AP140" s="27" t="n">
        <f aca="false">SUMIFS(super1[Qtde],super1[Item],tab_higiene[[#This Row],[Item]],super1[Bairro],mercado6)+SUMIFS(supercb[Qtde],supercb[Item],tab_higiene[[#This Row],[Item]],supercb[Bairro],mercado6)</f>
        <v>0</v>
      </c>
      <c r="AQ140" s="27" t="n">
        <f aca="false">SUMIFS(super1[Qtde],super1[Item],tab_higiene[[#This Row],[Item]],super1[Bairro],mercado7)+SUMIFS(supercb[Qtde],supercb[Item],tab_higiene[[#This Row],[Item]],supercb[Bairro],mercado7)</f>
        <v>0</v>
      </c>
      <c r="AR140" s="27" t="n">
        <f aca="false">SUMIFS(super1[Qtde],super1[Item],tab_higiene[[#This Row],[Item]],super1[Bairro],mercado8)+SUMIFS(supercb[Qtde],supercb[Item],tab_higiene[[#This Row],[Item]],supercb[Bairro],mercado8)</f>
        <v>0</v>
      </c>
      <c r="AS140" s="27" t="n">
        <f aca="false">SUMIFS(super1[Qtde],super1[Item],tab_higiene[[#This Row],[Item]],super1[Bairro],mercado9)+SUMIFS(supercb[Qtde],supercb[Item],tab_higiene[[#This Row],[Item]],supercb[Bairro],mercado9)</f>
        <v>0</v>
      </c>
      <c r="AT140" s="27" t="n">
        <f aca="false">SUMIFS(super1[Qtde],super1[Item],tab_higiene[[#This Row],[Item]],super1[Bairro],mercado10)+SUMIFS(supercb[Qtde],supercb[Item],tab_higiene[[#This Row],[Item]],supercb[Bairro],mercado10)</f>
        <v>0</v>
      </c>
      <c r="AU140" s="27" t="n">
        <f aca="false">SUMIFS(super1[Qtde],super1[Item],tab_higiene[[#This Row],[Item]],super1[Bairro],mercado11)+SUMIFS(supercb[Qtde],supercb[Item],tab_higiene[[#This Row],[Item]],supercb[Bairro],mercado11)</f>
        <v>0</v>
      </c>
      <c r="AV140" s="27" t="n">
        <f aca="false">SUMIFS(super1[Qtde],super1[Item],tab_higiene[[#This Row],[Item]],super1[Bairro],mercado12)+SUMIFS(supercb[Qtde],supercb[Item],tab_higiene[[#This Row],[Item]],supercb[Bairro],mercado12)</f>
        <v>0</v>
      </c>
      <c r="AW140" s="27" t="n">
        <f aca="false">SUMIFS(super1[Qtde],super1[Item],tab_higiene[[#This Row],[Item]],super1[Bairro],mercado13)+SUMIFS(supercb[Qtde],supercb[Item],tab_higiene[[#This Row],[Item]],supercb[Bairro],mercado13)</f>
        <v>0</v>
      </c>
      <c r="AX140" s="27" t="n">
        <f aca="false">SUMIFS(super1[Qtde],super1[Item],tab_higiene[[#This Row],[Item]],super1[Bairro],mercado14)+SUMIFS(supercb[Qtde],supercb[Item],tab_higiene[[#This Row],[Item]],supercb[Bairro],mercado14)</f>
        <v>0</v>
      </c>
      <c r="AY140" s="27" t="n">
        <f aca="false">SUMIFS(super1[Qtde],super1[Item],tab_higiene[[#This Row],[Item]],super1[Bairro],mercado15)+SUMIFS(supercb[Qtde],supercb[Item],tab_higiene[[#This Row],[Item]],supercb[Bairro],mercado15)</f>
        <v>0</v>
      </c>
      <c r="AZ140" s="27" t="n">
        <f aca="false">SUMIFS(super1[Qtde],super1[Item],tab_higiene[[#This Row],[Item]],super1[Bairro],mercado16)+SUMIFS(supercb[Qtde],supercb[Item],tab_higiene[[#This Row],[Item]],supercb[Bairro],mercado16)</f>
        <v>0</v>
      </c>
      <c r="BA140" s="27" t="n">
        <f aca="false">SUMIFS(super1[Qtde],super1[Item],tab_higiene[[#This Row],[Item]],super1[Bairro],mercado17)+SUMIFS(supercb[Qtde],supercb[Item],tab_higiene[[#This Row],[Item]],supercb[Bairro],mercado17)</f>
        <v>0</v>
      </c>
      <c r="BB140" s="27" t="n">
        <f aca="false">SUMIFS(super1[Qtde],super1[Item],tab_higiene[[#This Row],[Item]],super1[Bairro],mercado18)+SUMIFS(supercb[Qtde],supercb[Item],tab_higiene[[#This Row],[Item]],supercb[Bairro],mercado18)</f>
        <v>0</v>
      </c>
      <c r="BC140" s="27" t="n">
        <f aca="false">SUMIFS(super1[Qtde],super1[Item],tab_higiene[[#This Row],[Item]],super1[Bairro],extras)+SUMIFS(supercb[Qtde],supercb[Item],tab_higiene[[#This Row],[Item]],supercb[Bairro],extras)</f>
        <v>0</v>
      </c>
      <c r="BD140" s="27" t="n">
        <f aca="false">SUM(AK140:BB140)</f>
        <v>0</v>
      </c>
      <c r="BE140" s="27" t="n">
        <f aca="false">IFERROR(BD140*AJ140,0)</f>
        <v>0</v>
      </c>
      <c r="BF140" s="28" t="n">
        <f aca="false">IFERROR(AI140*BD140,0)</f>
        <v>0</v>
      </c>
      <c r="BI140" s="22" t="str">
        <f aca="false">tab_alimentos[[#This Row],[Item]]</f>
        <v>Granulado (150g)</v>
      </c>
      <c r="BJ140" s="22" t="n">
        <f aca="false">IFERROR(FIND(" (",BI140),0)</f>
        <v>10</v>
      </c>
      <c r="BK140" s="22" t="str">
        <f aca="false">IF(BJ140=0,BI140,LEFT(BI140,BJ140-1))</f>
        <v>Granulado</v>
      </c>
      <c r="BL140" s="22" t="n">
        <f aca="false">tab_alimentos[[#This Row],[kg]]</f>
        <v>0</v>
      </c>
      <c r="BN140" s="22" t="n">
        <f aca="false">SUMIF($BJ$5:$BJ$158,BM140,$BK$5:$BK$158)</f>
        <v>0</v>
      </c>
      <c r="BP140" s="22" t="str">
        <f aca="false">tab_higiene[[#This Row],[Item]]</f>
        <v>Multiuso (1L)</v>
      </c>
      <c r="BQ140" s="22" t="n">
        <f aca="false">IFERROR(FIND(" (",BP140),0)</f>
        <v>9</v>
      </c>
      <c r="BR140" s="22" t="str">
        <f aca="false">IF(BQ140=0,BP140,LEFT(BP140,BQ140-1))</f>
        <v>Multiuso</v>
      </c>
      <c r="BS140" s="22" t="n">
        <f aca="false">higiene[[#This Row],[Quantidade]]</f>
        <v>1</v>
      </c>
      <c r="BT140" s="22" t="n">
        <f aca="false">tab_higiene[Qtde (tot)]</f>
        <v>0</v>
      </c>
      <c r="BU140" s="22" t="n">
        <f aca="false">BS140*BT140</f>
        <v>0</v>
      </c>
      <c r="BW140" s="22" t="n">
        <f aca="false">SUMIF($BR$5:$BR$142,BV140,$BU$5:$BU$142)</f>
        <v>0</v>
      </c>
    </row>
    <row r="141" customFormat="false" ht="15" hidden="false" customHeight="false" outlineLevel="0" collapsed="false">
      <c r="I141" s="26" t="str">
        <f aca="false">alimentos[[#This Row],[Item]]</f>
        <v>Granulado (1kg)</v>
      </c>
      <c r="J141" s="27" t="n">
        <f aca="false">IFERROR(alimentos[[#This Row],[kg/embalagem]],0)</f>
        <v>1</v>
      </c>
      <c r="K141" s="27" t="n">
        <f aca="false">IFERROR(alimentos[[#This Row],[Preço]],0)</f>
        <v>18.21</v>
      </c>
      <c r="L141" s="27" t="n">
        <f aca="false">SUMIFS(super1[Qtde],super1[Item],tab_alimentos[[#This Row],[Item]],super1[Bairro],mercado1)+SUMIFS(supercb[Qtde],supercb[Item],tab_alimentos[[#This Row],[Item]],supercb[Bairro],mercado1)</f>
        <v>0</v>
      </c>
      <c r="M141" s="27" t="n">
        <f aca="false">SUMIFS(super1[Qtde],super1[Item],tab_alimentos[[#This Row],[Item]],super1[Bairro],mercado2)+SUMIFS(supercb[Qtde],supercb[Item],tab_alimentos[[#This Row],[Item]],supercb[Bairro],mercado2)</f>
        <v>0</v>
      </c>
      <c r="N141" s="27" t="n">
        <f aca="false">SUMIFS(super1[Qtde],super1[Item],tab_alimentos[[#This Row],[Item]],super1[Bairro],mercado3)+SUMIFS(supercb[Qtde],supercb[Item],tab_alimentos[[#This Row],[Item]],supercb[Bairro],mercado3)</f>
        <v>0</v>
      </c>
      <c r="O141" s="27" t="n">
        <f aca="false">SUMIFS(super1[Qtde],super1[Item],tab_alimentos[[#This Row],[Item]],super1[Bairro],mercado4)+SUMIFS(supercb[Qtde],supercb[Item],tab_alimentos[[#This Row],[Item]],supercb[Bairro],mercado4)</f>
        <v>0</v>
      </c>
      <c r="P141" s="27" t="n">
        <f aca="false">SUMIFS(super1[Qtde],super1[Item],tab_alimentos[[#This Row],[Item]],super1[Bairro],mercado5)+SUMIFS(supercb[Qtde],supercb[Item],tab_alimentos[[#This Row],[Item]],supercb[Bairro],mercado5)</f>
        <v>0</v>
      </c>
      <c r="Q141" s="27" t="n">
        <f aca="false">SUMIFS(super1[Qtde],super1[Item],tab_alimentos[[#This Row],[Item]],super1[Bairro],mercado6)+SUMIFS(supercb[Qtde],supercb[Item],tab_alimentos[[#This Row],[Item]],supercb[Bairro],mercado6)</f>
        <v>0</v>
      </c>
      <c r="R141" s="27" t="n">
        <f aca="false">SUMIFS(super1[Qtde],super1[Item],tab_alimentos[[#This Row],[Item]],super1[Bairro],mercado7)+SUMIFS(supercb[Qtde],supercb[Item],tab_alimentos[[#This Row],[Item]],supercb[Bairro],mercado7)</f>
        <v>0</v>
      </c>
      <c r="S141" s="27" t="n">
        <f aca="false">SUMIFS(super1[Qtde],super1[Item],tab_alimentos[[#This Row],[Item]],super1[Bairro],mercado8)+SUMIFS(supercb[Qtde],supercb[Item],tab_alimentos[[#This Row],[Item]],supercb[Bairro],mercado8)</f>
        <v>0</v>
      </c>
      <c r="T141" s="27" t="n">
        <f aca="false">SUMIFS(super1[Qtde],super1[Item],tab_alimentos[[#This Row],[Item]],super1[Bairro],mercado9)+SUMIFS(supercb[Qtde],supercb[Item],tab_alimentos[[#This Row],[Item]],supercb[Bairro],mercado9)</f>
        <v>0</v>
      </c>
      <c r="U141" s="27" t="n">
        <f aca="false">SUMIFS(super1[Qtde],super1[Item],tab_alimentos[[#This Row],[Item]],super1[Bairro],mercado10)+SUMIFS(supercb[Qtde],supercb[Item],tab_alimentos[[#This Row],[Item]],supercb[Bairro],mercado10)</f>
        <v>0</v>
      </c>
      <c r="V141" s="27" t="n">
        <f aca="false">SUMIFS(super1[Qtde],super1[Item],tab_alimentos[[#This Row],[Item]],super1[Bairro],mercado11)+SUMIFS(supercb[Qtde],supercb[Item],tab_alimentos[[#This Row],[Item]],supercb[Bairro],mercado11)</f>
        <v>0</v>
      </c>
      <c r="W141" s="27" t="n">
        <f aca="false">SUMIFS(super1[Qtde],super1[Item],tab_alimentos[[#This Row],[Item]],super1[Bairro],mercado12)+SUMIFS(supercb[Qtde],supercb[Item],tab_alimentos[[#This Row],[Item]],supercb[Bairro],mercado12)</f>
        <v>0</v>
      </c>
      <c r="X141" s="27" t="n">
        <f aca="false">SUMIFS(super1[Qtde],super1[Item],tab_alimentos[[#This Row],[Item]],super1[Bairro],mercado13)+SUMIFS(supercb[Qtde],supercb[Item],tab_alimentos[[#This Row],[Item]],supercb[Bairro],mercado13)</f>
        <v>0</v>
      </c>
      <c r="Y141" s="27" t="n">
        <f aca="false">SUMIFS(super1[Qtde],super1[Item],tab_alimentos[[#This Row],[Item]],super1[Bairro],mercado14)+SUMIFS(supercb[Qtde],supercb[Item],tab_alimentos[[#This Row],[Item]],supercb[Bairro],mercado14)</f>
        <v>0</v>
      </c>
      <c r="Z141" s="27" t="n">
        <f aca="false">SUMIFS(super1[Qtde],super1[Item],tab_alimentos[[#This Row],[Item]],super1[Bairro],mercado15)+SUMIFS(supercb[Qtde],supercb[Item],tab_alimentos[[#This Row],[Item]],supercb[Bairro],mercado15)</f>
        <v>0</v>
      </c>
      <c r="AA141" s="27" t="n">
        <f aca="false">SUMIFS(super1[Qtde],super1[Item],tab_alimentos[[#This Row],[Item]],super1[Bairro],mercado16)+SUMIFS(supercb[Qtde],supercb[Item],tab_alimentos[[#This Row],[Item]],supercb[Bairro],mercado16)</f>
        <v>0</v>
      </c>
      <c r="AB141" s="27" t="n">
        <f aca="false">SUMIFS(super1[Qtde],super1[Item],tab_alimentos[[#This Row],[Item]],super1[Bairro],mercado17)+SUMIFS(supercb[Qtde],supercb[Item],tab_alimentos[[#This Row],[Item]],supercb[Bairro],mercado17)</f>
        <v>0</v>
      </c>
      <c r="AC141" s="27" t="n">
        <f aca="false">SUMIFS(super1[Qtde],super1[Item],tab_alimentos[[#This Row],[Item]],super1[Bairro],mercado18)+SUMIFS(supercb[Qtde],supercb[Item],tab_alimentos[[#This Row],[Item]],supercb[Bairro],mercado18)</f>
        <v>0</v>
      </c>
      <c r="AD141" s="27" t="n">
        <f aca="false">SUMIFS(super1[Qtde],super1[Item],tab_alimentos[[#This Row],[Item]],super1[Bairro],extras)+SUMIFS(supercb[Qtde],supercb[Item],tab_alimentos[[#This Row],[Item]],supercb[Bairro],extras)</f>
        <v>0</v>
      </c>
      <c r="AE141" s="27" t="n">
        <f aca="false">SUM(L141:AC141)</f>
        <v>0</v>
      </c>
      <c r="AF141" s="27" t="n">
        <f aca="false">IFERROR(AE141*K141,0)</f>
        <v>0</v>
      </c>
      <c r="AG141" s="28" t="n">
        <f aca="false">IFERROR(J141*AE141,0)</f>
        <v>0</v>
      </c>
      <c r="AH141" s="26" t="str">
        <f aca="false">higiene[[#This Row],[Item]]</f>
        <v>Multiuso (200ml)</v>
      </c>
      <c r="AI141" s="27" t="n">
        <f aca="false">IFERROR(higiene[[#This Row],[Kg equivalente]],0)</f>
        <v>0.676244313681987</v>
      </c>
      <c r="AJ141" s="27" t="n">
        <f aca="false">IFERROR(higiene[[#This Row],[Preço por produto]],0)</f>
        <v>2.24</v>
      </c>
      <c r="AK141" s="27" t="n">
        <f aca="false">SUMIFS(super1[Qtde],super1[Item],tab_higiene[[#This Row],[Item]],super1[Bairro],mercado1)+SUMIFS(supercb[Qtde],supercb[Item],tab_higiene[[#This Row],[Item]],supercb[Bairro],mercado1)</f>
        <v>0</v>
      </c>
      <c r="AL141" s="27" t="n">
        <f aca="false">SUMIFS(super1[Qtde],super1[Item],tab_higiene[[#This Row],[Item]],super1[Bairro],mercado2)+SUMIFS(supercb[Qtde],supercb[Item],tab_higiene[[#This Row],[Item]],supercb[Bairro],mercado2)</f>
        <v>0</v>
      </c>
      <c r="AM141" s="27" t="n">
        <f aca="false">SUMIFS(super1[Qtde],super1[Item],tab_higiene[[#This Row],[Item]],super1[Bairro],mercado3)+SUMIFS(supercb[Qtde],supercb[Item],tab_higiene[[#This Row],[Item]],supercb[Bairro],mercado3)</f>
        <v>0</v>
      </c>
      <c r="AN141" s="27" t="n">
        <f aca="false">SUMIFS(super1[Qtde],super1[Item],tab_higiene[[#This Row],[Item]],super1[Bairro],mercado4)+SUMIFS(supercb[Qtde],supercb[Item],tab_higiene[[#This Row],[Item]],supercb[Bairro],mercado4)</f>
        <v>0</v>
      </c>
      <c r="AO141" s="27" t="n">
        <f aca="false">SUMIFS(super1[Qtde],super1[Item],tab_higiene[[#This Row],[Item]],super1[Bairro],mercado5)+SUMIFS(supercb[Qtde],supercb[Item],tab_higiene[[#This Row],[Item]],supercb[Bairro],mercado5)</f>
        <v>0</v>
      </c>
      <c r="AP141" s="27" t="n">
        <f aca="false">SUMIFS(super1[Qtde],super1[Item],tab_higiene[[#This Row],[Item]],super1[Bairro],mercado6)+SUMIFS(supercb[Qtde],supercb[Item],tab_higiene[[#This Row],[Item]],supercb[Bairro],mercado6)</f>
        <v>0</v>
      </c>
      <c r="AQ141" s="27" t="n">
        <f aca="false">SUMIFS(super1[Qtde],super1[Item],tab_higiene[[#This Row],[Item]],super1[Bairro],mercado7)+SUMIFS(supercb[Qtde],supercb[Item],tab_higiene[[#This Row],[Item]],supercb[Bairro],mercado7)</f>
        <v>0</v>
      </c>
      <c r="AR141" s="27" t="n">
        <f aca="false">SUMIFS(super1[Qtde],super1[Item],tab_higiene[[#This Row],[Item]],super1[Bairro],mercado8)+SUMIFS(supercb[Qtde],supercb[Item],tab_higiene[[#This Row],[Item]],supercb[Bairro],mercado8)</f>
        <v>0</v>
      </c>
      <c r="AS141" s="27" t="n">
        <f aca="false">SUMIFS(super1[Qtde],super1[Item],tab_higiene[[#This Row],[Item]],super1[Bairro],mercado9)+SUMIFS(supercb[Qtde],supercb[Item],tab_higiene[[#This Row],[Item]],supercb[Bairro],mercado9)</f>
        <v>0</v>
      </c>
      <c r="AT141" s="27" t="n">
        <f aca="false">SUMIFS(super1[Qtde],super1[Item],tab_higiene[[#This Row],[Item]],super1[Bairro],mercado10)+SUMIFS(supercb[Qtde],supercb[Item],tab_higiene[[#This Row],[Item]],supercb[Bairro],mercado10)</f>
        <v>0</v>
      </c>
      <c r="AU141" s="27" t="n">
        <f aca="false">SUMIFS(super1[Qtde],super1[Item],tab_higiene[[#This Row],[Item]],super1[Bairro],mercado11)+SUMIFS(supercb[Qtde],supercb[Item],tab_higiene[[#This Row],[Item]],supercb[Bairro],mercado11)</f>
        <v>0</v>
      </c>
      <c r="AV141" s="27" t="n">
        <f aca="false">SUMIFS(super1[Qtde],super1[Item],tab_higiene[[#This Row],[Item]],super1[Bairro],mercado12)+SUMIFS(supercb[Qtde],supercb[Item],tab_higiene[[#This Row],[Item]],supercb[Bairro],mercado12)</f>
        <v>0</v>
      </c>
      <c r="AW141" s="27" t="n">
        <f aca="false">SUMIFS(super1[Qtde],super1[Item],tab_higiene[[#This Row],[Item]],super1[Bairro],mercado13)+SUMIFS(supercb[Qtde],supercb[Item],tab_higiene[[#This Row],[Item]],supercb[Bairro],mercado13)</f>
        <v>0</v>
      </c>
      <c r="AX141" s="27" t="n">
        <f aca="false">SUMIFS(super1[Qtde],super1[Item],tab_higiene[[#This Row],[Item]],super1[Bairro],mercado14)+SUMIFS(supercb[Qtde],supercb[Item],tab_higiene[[#This Row],[Item]],supercb[Bairro],mercado14)</f>
        <v>0</v>
      </c>
      <c r="AY141" s="27" t="n">
        <f aca="false">SUMIFS(super1[Qtde],super1[Item],tab_higiene[[#This Row],[Item]],super1[Bairro],mercado15)+SUMIFS(supercb[Qtde],supercb[Item],tab_higiene[[#This Row],[Item]],supercb[Bairro],mercado15)</f>
        <v>0</v>
      </c>
      <c r="AZ141" s="27" t="n">
        <f aca="false">SUMIFS(super1[Qtde],super1[Item],tab_higiene[[#This Row],[Item]],super1[Bairro],mercado16)+SUMIFS(supercb[Qtde],supercb[Item],tab_higiene[[#This Row],[Item]],supercb[Bairro],mercado16)</f>
        <v>0</v>
      </c>
      <c r="BA141" s="27" t="n">
        <f aca="false">SUMIFS(super1[Qtde],super1[Item],tab_higiene[[#This Row],[Item]],super1[Bairro],mercado17)+SUMIFS(supercb[Qtde],supercb[Item],tab_higiene[[#This Row],[Item]],supercb[Bairro],mercado17)</f>
        <v>0</v>
      </c>
      <c r="BB141" s="27" t="n">
        <f aca="false">SUMIFS(super1[Qtde],super1[Item],tab_higiene[[#This Row],[Item]],super1[Bairro],mercado18)+SUMIFS(supercb[Qtde],supercb[Item],tab_higiene[[#This Row],[Item]],supercb[Bairro],mercado18)</f>
        <v>0</v>
      </c>
      <c r="BC141" s="27" t="n">
        <f aca="false">SUMIFS(super1[Qtde],super1[Item],tab_higiene[[#This Row],[Item]],super1[Bairro],extras)+SUMIFS(supercb[Qtde],supercb[Item],tab_higiene[[#This Row],[Item]],supercb[Bairro],extras)</f>
        <v>0</v>
      </c>
      <c r="BD141" s="27" t="n">
        <f aca="false">SUM(AK141:BB141)</f>
        <v>0</v>
      </c>
      <c r="BE141" s="27" t="n">
        <f aca="false">IFERROR(BD141*AJ141,0)</f>
        <v>0</v>
      </c>
      <c r="BF141" s="28" t="n">
        <f aca="false">IFERROR(AI141*BD141,0)</f>
        <v>0</v>
      </c>
      <c r="BI141" s="22" t="str">
        <f aca="false">tab_alimentos[[#This Row],[Item]]</f>
        <v>Granulado (1kg)</v>
      </c>
      <c r="BJ141" s="22" t="n">
        <f aca="false">IFERROR(FIND(" (",BI141),0)</f>
        <v>10</v>
      </c>
      <c r="BK141" s="22" t="str">
        <f aca="false">IF(BJ141=0,BI141,LEFT(BI141,BJ141-1))</f>
        <v>Granulado</v>
      </c>
      <c r="BL141" s="22" t="n">
        <f aca="false">tab_alimentos[[#This Row],[kg]]</f>
        <v>0</v>
      </c>
      <c r="BN141" s="22" t="n">
        <f aca="false">SUMIF($BJ$5:$BJ$158,BM141,$BK$5:$BK$158)</f>
        <v>0</v>
      </c>
      <c r="BP141" s="22" t="str">
        <f aca="false">tab_higiene[[#This Row],[Item]]</f>
        <v>Multiuso (200ml)</v>
      </c>
      <c r="BQ141" s="22" t="n">
        <f aca="false">IFERROR(FIND(" (",BP141),0)</f>
        <v>9</v>
      </c>
      <c r="BR141" s="22" t="str">
        <f aca="false">IF(BQ141=0,BP141,LEFT(BP141,BQ141-1))</f>
        <v>Multiuso</v>
      </c>
      <c r="BS141" s="22" t="n">
        <f aca="false">higiene[[#This Row],[Quantidade]]</f>
        <v>4</v>
      </c>
      <c r="BT141" s="22" t="n">
        <f aca="false">tab_higiene[Qtde (tot)]</f>
        <v>0</v>
      </c>
      <c r="BU141" s="22" t="n">
        <f aca="false">BS141*BT141</f>
        <v>0</v>
      </c>
      <c r="BW141" s="22" t="n">
        <f aca="false">SUMIF($BR$5:$BR$142,BV141,$BU$5:$BU$142)</f>
        <v>0</v>
      </c>
    </row>
    <row r="142" customFormat="false" ht="15" hidden="false" customHeight="false" outlineLevel="0" collapsed="false">
      <c r="I142" s="26" t="str">
        <f aca="false">alimentos[[#This Row],[Item]]</f>
        <v>Granulado (500g)</v>
      </c>
      <c r="J142" s="27" t="n">
        <f aca="false">IFERROR(alimentos[[#This Row],[kg/embalagem]],0)</f>
        <v>0.5</v>
      </c>
      <c r="K142" s="27" t="n">
        <f aca="false">IFERROR(alimentos[[#This Row],[Preço]],0)</f>
        <v>9.69</v>
      </c>
      <c r="L142" s="27" t="n">
        <f aca="false">SUMIFS(super1[Qtde],super1[Item],tab_alimentos[[#This Row],[Item]],super1[Bairro],mercado1)+SUMIFS(supercb[Qtde],supercb[Item],tab_alimentos[[#This Row],[Item]],supercb[Bairro],mercado1)</f>
        <v>0</v>
      </c>
      <c r="M142" s="27" t="n">
        <f aca="false">SUMIFS(super1[Qtde],super1[Item],tab_alimentos[[#This Row],[Item]],super1[Bairro],mercado2)+SUMIFS(supercb[Qtde],supercb[Item],tab_alimentos[[#This Row],[Item]],supercb[Bairro],mercado2)</f>
        <v>0</v>
      </c>
      <c r="N142" s="27" t="n">
        <f aca="false">SUMIFS(super1[Qtde],super1[Item],tab_alimentos[[#This Row],[Item]],super1[Bairro],mercado3)+SUMIFS(supercb[Qtde],supercb[Item],tab_alimentos[[#This Row],[Item]],supercb[Bairro],mercado3)</f>
        <v>0</v>
      </c>
      <c r="O142" s="27" t="n">
        <f aca="false">SUMIFS(super1[Qtde],super1[Item],tab_alimentos[[#This Row],[Item]],super1[Bairro],mercado4)+SUMIFS(supercb[Qtde],supercb[Item],tab_alimentos[[#This Row],[Item]],supercb[Bairro],mercado4)</f>
        <v>0</v>
      </c>
      <c r="P142" s="27" t="n">
        <f aca="false">SUMIFS(super1[Qtde],super1[Item],tab_alimentos[[#This Row],[Item]],super1[Bairro],mercado5)+SUMIFS(supercb[Qtde],supercb[Item],tab_alimentos[[#This Row],[Item]],supercb[Bairro],mercado5)</f>
        <v>0</v>
      </c>
      <c r="Q142" s="27" t="n">
        <f aca="false">SUMIFS(super1[Qtde],super1[Item],tab_alimentos[[#This Row],[Item]],super1[Bairro],mercado6)+SUMIFS(supercb[Qtde],supercb[Item],tab_alimentos[[#This Row],[Item]],supercb[Bairro],mercado6)</f>
        <v>0</v>
      </c>
      <c r="R142" s="27" t="n">
        <f aca="false">SUMIFS(super1[Qtde],super1[Item],tab_alimentos[[#This Row],[Item]],super1[Bairro],mercado7)+SUMIFS(supercb[Qtde],supercb[Item],tab_alimentos[[#This Row],[Item]],supercb[Bairro],mercado7)</f>
        <v>0</v>
      </c>
      <c r="S142" s="27" t="n">
        <f aca="false">SUMIFS(super1[Qtde],super1[Item],tab_alimentos[[#This Row],[Item]],super1[Bairro],mercado8)+SUMIFS(supercb[Qtde],supercb[Item],tab_alimentos[[#This Row],[Item]],supercb[Bairro],mercado8)</f>
        <v>0</v>
      </c>
      <c r="T142" s="27" t="n">
        <f aca="false">SUMIFS(super1[Qtde],super1[Item],tab_alimentos[[#This Row],[Item]],super1[Bairro],mercado9)+SUMIFS(supercb[Qtde],supercb[Item],tab_alimentos[[#This Row],[Item]],supercb[Bairro],mercado9)</f>
        <v>0</v>
      </c>
      <c r="U142" s="27" t="n">
        <f aca="false">SUMIFS(super1[Qtde],super1[Item],tab_alimentos[[#This Row],[Item]],super1[Bairro],mercado10)+SUMIFS(supercb[Qtde],supercb[Item],tab_alimentos[[#This Row],[Item]],supercb[Bairro],mercado10)</f>
        <v>0</v>
      </c>
      <c r="V142" s="27" t="n">
        <f aca="false">SUMIFS(super1[Qtde],super1[Item],tab_alimentos[[#This Row],[Item]],super1[Bairro],mercado11)+SUMIFS(supercb[Qtde],supercb[Item],tab_alimentos[[#This Row],[Item]],supercb[Bairro],mercado11)</f>
        <v>0</v>
      </c>
      <c r="W142" s="27" t="n">
        <f aca="false">SUMIFS(super1[Qtde],super1[Item],tab_alimentos[[#This Row],[Item]],super1[Bairro],mercado12)+SUMIFS(supercb[Qtde],supercb[Item],tab_alimentos[[#This Row],[Item]],supercb[Bairro],mercado12)</f>
        <v>0</v>
      </c>
      <c r="X142" s="27" t="n">
        <f aca="false">SUMIFS(super1[Qtde],super1[Item],tab_alimentos[[#This Row],[Item]],super1[Bairro],mercado13)+SUMIFS(supercb[Qtde],supercb[Item],tab_alimentos[[#This Row],[Item]],supercb[Bairro],mercado13)</f>
        <v>0</v>
      </c>
      <c r="Y142" s="27" t="n">
        <f aca="false">SUMIFS(super1[Qtde],super1[Item],tab_alimentos[[#This Row],[Item]],super1[Bairro],mercado14)+SUMIFS(supercb[Qtde],supercb[Item],tab_alimentos[[#This Row],[Item]],supercb[Bairro],mercado14)</f>
        <v>0</v>
      </c>
      <c r="Z142" s="27" t="n">
        <f aca="false">SUMIFS(super1[Qtde],super1[Item],tab_alimentos[[#This Row],[Item]],super1[Bairro],mercado15)+SUMIFS(supercb[Qtde],supercb[Item],tab_alimentos[[#This Row],[Item]],supercb[Bairro],mercado15)</f>
        <v>0</v>
      </c>
      <c r="AA142" s="27" t="n">
        <f aca="false">SUMIFS(super1[Qtde],super1[Item],tab_alimentos[[#This Row],[Item]],super1[Bairro],mercado16)+SUMIFS(supercb[Qtde],supercb[Item],tab_alimentos[[#This Row],[Item]],supercb[Bairro],mercado16)</f>
        <v>0</v>
      </c>
      <c r="AB142" s="27" t="n">
        <f aca="false">SUMIFS(super1[Qtde],super1[Item],tab_alimentos[[#This Row],[Item]],super1[Bairro],mercado17)+SUMIFS(supercb[Qtde],supercb[Item],tab_alimentos[[#This Row],[Item]],supercb[Bairro],mercado17)</f>
        <v>0</v>
      </c>
      <c r="AC142" s="27" t="n">
        <f aca="false">SUMIFS(super1[Qtde],super1[Item],tab_alimentos[[#This Row],[Item]],super1[Bairro],mercado18)+SUMIFS(supercb[Qtde],supercb[Item],tab_alimentos[[#This Row],[Item]],supercb[Bairro],mercado18)</f>
        <v>0</v>
      </c>
      <c r="AD142" s="27" t="n">
        <f aca="false">SUMIFS(super1[Qtde],super1[Item],tab_alimentos[[#This Row],[Item]],super1[Bairro],extras)+SUMIFS(supercb[Qtde],supercb[Item],tab_alimentos[[#This Row],[Item]],supercb[Bairro],extras)</f>
        <v>0</v>
      </c>
      <c r="AE142" s="27" t="n">
        <f aca="false">SUM(L142:AC142)</f>
        <v>0</v>
      </c>
      <c r="AF142" s="27" t="n">
        <f aca="false">IFERROR(AE142*K142,0)</f>
        <v>0</v>
      </c>
      <c r="AG142" s="28" t="n">
        <f aca="false">IFERROR(J142*AE142,0)</f>
        <v>0</v>
      </c>
      <c r="AH142" s="26" t="str">
        <f aca="false">higiene[[#This Row],[Item]]</f>
        <v>Multiuso (3un 500ml)</v>
      </c>
      <c r="AI142" s="27" t="n">
        <f aca="false">IFERROR(higiene[[#This Row],[Kg equivalente]],0)</f>
        <v>3.11178047467727</v>
      </c>
      <c r="AJ142" s="27" t="n">
        <f aca="false">IFERROR(higiene[[#This Row],[Preço por produto]],0)</f>
        <v>10.3075</v>
      </c>
      <c r="AK142" s="27" t="n">
        <f aca="false">SUMIFS(super1[Qtde],super1[Item],tab_higiene[[#This Row],[Item]],super1[Bairro],mercado1)+SUMIFS(supercb[Qtde],supercb[Item],tab_higiene[[#This Row],[Item]],supercb[Bairro],mercado1)</f>
        <v>0</v>
      </c>
      <c r="AL142" s="27" t="n">
        <f aca="false">SUMIFS(super1[Qtde],super1[Item],tab_higiene[[#This Row],[Item]],super1[Bairro],mercado2)+SUMIFS(supercb[Qtde],supercb[Item],tab_higiene[[#This Row],[Item]],supercb[Bairro],mercado2)</f>
        <v>0</v>
      </c>
      <c r="AM142" s="27" t="n">
        <f aca="false">SUMIFS(super1[Qtde],super1[Item],tab_higiene[[#This Row],[Item]],super1[Bairro],mercado3)+SUMIFS(supercb[Qtde],supercb[Item],tab_higiene[[#This Row],[Item]],supercb[Bairro],mercado3)</f>
        <v>0</v>
      </c>
      <c r="AN142" s="27" t="n">
        <f aca="false">SUMIFS(super1[Qtde],super1[Item],tab_higiene[[#This Row],[Item]],super1[Bairro],mercado4)+SUMIFS(supercb[Qtde],supercb[Item],tab_higiene[[#This Row],[Item]],supercb[Bairro],mercado4)</f>
        <v>0</v>
      </c>
      <c r="AO142" s="27" t="n">
        <f aca="false">SUMIFS(super1[Qtde],super1[Item],tab_higiene[[#This Row],[Item]],super1[Bairro],mercado5)+SUMIFS(supercb[Qtde],supercb[Item],tab_higiene[[#This Row],[Item]],supercb[Bairro],mercado5)</f>
        <v>0</v>
      </c>
      <c r="AP142" s="27" t="n">
        <f aca="false">SUMIFS(super1[Qtde],super1[Item],tab_higiene[[#This Row],[Item]],super1[Bairro],mercado6)+SUMIFS(supercb[Qtde],supercb[Item],tab_higiene[[#This Row],[Item]],supercb[Bairro],mercado6)</f>
        <v>0</v>
      </c>
      <c r="AQ142" s="27" t="n">
        <f aca="false">SUMIFS(super1[Qtde],super1[Item],tab_higiene[[#This Row],[Item]],super1[Bairro],mercado7)+SUMIFS(supercb[Qtde],supercb[Item],tab_higiene[[#This Row],[Item]],supercb[Bairro],mercado7)</f>
        <v>0</v>
      </c>
      <c r="AR142" s="27" t="n">
        <f aca="false">SUMIFS(super1[Qtde],super1[Item],tab_higiene[[#This Row],[Item]],super1[Bairro],mercado8)+SUMIFS(supercb[Qtde],supercb[Item],tab_higiene[[#This Row],[Item]],supercb[Bairro],mercado8)</f>
        <v>0</v>
      </c>
      <c r="AS142" s="27" t="n">
        <f aca="false">SUMIFS(super1[Qtde],super1[Item],tab_higiene[[#This Row],[Item]],super1[Bairro],mercado9)+SUMIFS(supercb[Qtde],supercb[Item],tab_higiene[[#This Row],[Item]],supercb[Bairro],mercado9)</f>
        <v>1</v>
      </c>
      <c r="AT142" s="27" t="n">
        <f aca="false">SUMIFS(super1[Qtde],super1[Item],tab_higiene[[#This Row],[Item]],super1[Bairro],mercado10)+SUMIFS(supercb[Qtde],supercb[Item],tab_higiene[[#This Row],[Item]],supercb[Bairro],mercado10)</f>
        <v>0</v>
      </c>
      <c r="AU142" s="27" t="n">
        <f aca="false">SUMIFS(super1[Qtde],super1[Item],tab_higiene[[#This Row],[Item]],super1[Bairro],mercado11)+SUMIFS(supercb[Qtde],supercb[Item],tab_higiene[[#This Row],[Item]],supercb[Bairro],mercado11)</f>
        <v>0</v>
      </c>
      <c r="AV142" s="27" t="n">
        <f aca="false">SUMIFS(super1[Qtde],super1[Item],tab_higiene[[#This Row],[Item]],super1[Bairro],mercado12)+SUMIFS(supercb[Qtde],supercb[Item],tab_higiene[[#This Row],[Item]],supercb[Bairro],mercado12)</f>
        <v>0</v>
      </c>
      <c r="AW142" s="27" t="n">
        <f aca="false">SUMIFS(super1[Qtde],super1[Item],tab_higiene[[#This Row],[Item]],super1[Bairro],mercado13)+SUMIFS(supercb[Qtde],supercb[Item],tab_higiene[[#This Row],[Item]],supercb[Bairro],mercado13)</f>
        <v>0</v>
      </c>
      <c r="AX142" s="27" t="n">
        <f aca="false">SUMIFS(super1[Qtde],super1[Item],tab_higiene[[#This Row],[Item]],super1[Bairro],mercado14)+SUMIFS(supercb[Qtde],supercb[Item],tab_higiene[[#This Row],[Item]],supercb[Bairro],mercado14)</f>
        <v>0</v>
      </c>
      <c r="AY142" s="27" t="n">
        <f aca="false">SUMIFS(super1[Qtde],super1[Item],tab_higiene[[#This Row],[Item]],super1[Bairro],mercado15)+SUMIFS(supercb[Qtde],supercb[Item],tab_higiene[[#This Row],[Item]],supercb[Bairro],mercado15)</f>
        <v>0</v>
      </c>
      <c r="AZ142" s="27" t="n">
        <f aca="false">SUMIFS(super1[Qtde],super1[Item],tab_higiene[[#This Row],[Item]],super1[Bairro],mercado16)+SUMIFS(supercb[Qtde],supercb[Item],tab_higiene[[#This Row],[Item]],supercb[Bairro],mercado16)</f>
        <v>0</v>
      </c>
      <c r="BA142" s="27" t="n">
        <f aca="false">SUMIFS(super1[Qtde],super1[Item],tab_higiene[[#This Row],[Item]],super1[Bairro],mercado17)+SUMIFS(supercb[Qtde],supercb[Item],tab_higiene[[#This Row],[Item]],supercb[Bairro],mercado17)</f>
        <v>0</v>
      </c>
      <c r="BB142" s="27" t="n">
        <f aca="false">SUMIFS(super1[Qtde],super1[Item],tab_higiene[[#This Row],[Item]],super1[Bairro],mercado18)+SUMIFS(supercb[Qtde],supercb[Item],tab_higiene[[#This Row],[Item]],supercb[Bairro],mercado18)</f>
        <v>0</v>
      </c>
      <c r="BC142" s="27" t="n">
        <f aca="false">SUMIFS(super1[Qtde],super1[Item],tab_higiene[[#This Row],[Item]],super1[Bairro],extras)+SUMIFS(supercb[Qtde],supercb[Item],tab_higiene[[#This Row],[Item]],supercb[Bairro],extras)</f>
        <v>0</v>
      </c>
      <c r="BD142" s="27" t="n">
        <f aca="false">SUM(AK142:BB142)</f>
        <v>1</v>
      </c>
      <c r="BE142" s="27" t="n">
        <f aca="false">IFERROR(BD142*AJ142,0)</f>
        <v>10.3075</v>
      </c>
      <c r="BF142" s="28" t="n">
        <f aca="false">IFERROR(AI142*BD142,0)</f>
        <v>3.11178047467727</v>
      </c>
      <c r="BI142" s="22" t="str">
        <f aca="false">tab_alimentos[[#This Row],[Item]]</f>
        <v>Granulado (500g)</v>
      </c>
      <c r="BJ142" s="22" t="n">
        <f aca="false">IFERROR(FIND(" (",BI142),0)</f>
        <v>10</v>
      </c>
      <c r="BK142" s="22" t="str">
        <f aca="false">IF(BJ142=0,BI142,LEFT(BI142,BJ142-1))</f>
        <v>Granulado</v>
      </c>
      <c r="BL142" s="22" t="n">
        <f aca="false">tab_alimentos[[#This Row],[kg]]</f>
        <v>0</v>
      </c>
      <c r="BN142" s="22" t="n">
        <f aca="false">SUMIF($BJ$5:$BJ$158,#REF!,$BK$5:$BK$158)</f>
        <v>0</v>
      </c>
      <c r="BP142" s="22" t="str">
        <f aca="false">tab_higiene[[#This Row],[Item]]</f>
        <v>Multiuso (3un 500ml)</v>
      </c>
      <c r="BQ142" s="22" t="n">
        <f aca="false">IFERROR(FIND(" (",BP142),0)</f>
        <v>9</v>
      </c>
      <c r="BR142" s="22" t="str">
        <f aca="false">IF(BQ142=0,BP142,LEFT(BP142,BQ142-1))</f>
        <v>Multiuso</v>
      </c>
      <c r="BS142" s="22" t="n">
        <f aca="false">higiene[[#This Row],[Quantidade]]</f>
        <v>1</v>
      </c>
      <c r="BT142" s="22" t="n">
        <f aca="false">tab_higiene[Qtde (tot)]</f>
        <v>1</v>
      </c>
      <c r="BU142" s="22" t="n">
        <f aca="false">BS142*BT142</f>
        <v>1</v>
      </c>
      <c r="BW142" s="22" t="n">
        <f aca="false">SUMIF($BR$5:$BR$142,BV142,$BU$5:$BU$142)</f>
        <v>0</v>
      </c>
    </row>
    <row r="143" customFormat="false" ht="15" hidden="false" customHeight="false" outlineLevel="0" collapsed="false">
      <c r="I143" s="26" t="str">
        <f aca="false">alimentos[[#This Row],[Item]]</f>
        <v>Grão de Bico (Lata)</v>
      </c>
      <c r="J143" s="27" t="n">
        <f aca="false">IFERROR(alimentos[[#This Row],[kg/embalagem]],0)</f>
        <v>0.3</v>
      </c>
      <c r="K143" s="27" t="n">
        <f aca="false">IFERROR(alimentos[[#This Row],[Preço]],0)</f>
        <v>3.09</v>
      </c>
      <c r="L143" s="27" t="n">
        <f aca="false">SUMIFS(super1[Qtde],super1[Item],tab_alimentos[[#This Row],[Item]],super1[Bairro],mercado1)+SUMIFS(supercb[Qtde],supercb[Item],tab_alimentos[[#This Row],[Item]],supercb[Bairro],mercado1)</f>
        <v>0</v>
      </c>
      <c r="M143" s="27" t="n">
        <f aca="false">SUMIFS(super1[Qtde],super1[Item],tab_alimentos[[#This Row],[Item]],super1[Bairro],mercado2)+SUMIFS(supercb[Qtde],supercb[Item],tab_alimentos[[#This Row],[Item]],supercb[Bairro],mercado2)</f>
        <v>0</v>
      </c>
      <c r="N143" s="27" t="n">
        <f aca="false">SUMIFS(super1[Qtde],super1[Item],tab_alimentos[[#This Row],[Item]],super1[Bairro],mercado3)+SUMIFS(supercb[Qtde],supercb[Item],tab_alimentos[[#This Row],[Item]],supercb[Bairro],mercado3)</f>
        <v>0</v>
      </c>
      <c r="O143" s="27" t="n">
        <f aca="false">SUMIFS(super1[Qtde],super1[Item],tab_alimentos[[#This Row],[Item]],super1[Bairro],mercado4)+SUMIFS(supercb[Qtde],supercb[Item],tab_alimentos[[#This Row],[Item]],supercb[Bairro],mercado4)</f>
        <v>0</v>
      </c>
      <c r="P143" s="27" t="n">
        <f aca="false">SUMIFS(super1[Qtde],super1[Item],tab_alimentos[[#This Row],[Item]],super1[Bairro],mercado5)+SUMIFS(supercb[Qtde],supercb[Item],tab_alimentos[[#This Row],[Item]],supercb[Bairro],mercado5)</f>
        <v>0</v>
      </c>
      <c r="Q143" s="27" t="n">
        <f aca="false">SUMIFS(super1[Qtde],super1[Item],tab_alimentos[[#This Row],[Item]],super1[Bairro],mercado6)+SUMIFS(supercb[Qtde],supercb[Item],tab_alimentos[[#This Row],[Item]],supercb[Bairro],mercado6)</f>
        <v>0</v>
      </c>
      <c r="R143" s="27" t="n">
        <f aca="false">SUMIFS(super1[Qtde],super1[Item],tab_alimentos[[#This Row],[Item]],super1[Bairro],mercado7)+SUMIFS(supercb[Qtde],supercb[Item],tab_alimentos[[#This Row],[Item]],supercb[Bairro],mercado7)</f>
        <v>0</v>
      </c>
      <c r="S143" s="27" t="n">
        <f aca="false">SUMIFS(super1[Qtde],super1[Item],tab_alimentos[[#This Row],[Item]],super1[Bairro],mercado8)+SUMIFS(supercb[Qtde],supercb[Item],tab_alimentos[[#This Row],[Item]],supercb[Bairro],mercado8)</f>
        <v>0</v>
      </c>
      <c r="T143" s="27" t="n">
        <f aca="false">SUMIFS(super1[Qtde],super1[Item],tab_alimentos[[#This Row],[Item]],super1[Bairro],mercado9)+SUMIFS(supercb[Qtde],supercb[Item],tab_alimentos[[#This Row],[Item]],supercb[Bairro],mercado9)</f>
        <v>0</v>
      </c>
      <c r="U143" s="27" t="n">
        <f aca="false">SUMIFS(super1[Qtde],super1[Item],tab_alimentos[[#This Row],[Item]],super1[Bairro],mercado10)+SUMIFS(supercb[Qtde],supercb[Item],tab_alimentos[[#This Row],[Item]],supercb[Bairro],mercado10)</f>
        <v>0</v>
      </c>
      <c r="V143" s="27" t="n">
        <f aca="false">SUMIFS(super1[Qtde],super1[Item],tab_alimentos[[#This Row],[Item]],super1[Bairro],mercado11)+SUMIFS(supercb[Qtde],supercb[Item],tab_alimentos[[#This Row],[Item]],supercb[Bairro],mercado11)</f>
        <v>0</v>
      </c>
      <c r="W143" s="27" t="n">
        <f aca="false">SUMIFS(super1[Qtde],super1[Item],tab_alimentos[[#This Row],[Item]],super1[Bairro],mercado12)+SUMIFS(supercb[Qtde],supercb[Item],tab_alimentos[[#This Row],[Item]],supercb[Bairro],mercado12)</f>
        <v>0</v>
      </c>
      <c r="X143" s="27" t="n">
        <f aca="false">SUMIFS(super1[Qtde],super1[Item],tab_alimentos[[#This Row],[Item]],super1[Bairro],mercado13)+SUMIFS(supercb[Qtde],supercb[Item],tab_alimentos[[#This Row],[Item]],supercb[Bairro],mercado13)</f>
        <v>0</v>
      </c>
      <c r="Y143" s="27" t="n">
        <f aca="false">SUMIFS(super1[Qtde],super1[Item],tab_alimentos[[#This Row],[Item]],super1[Bairro],mercado14)+SUMIFS(supercb[Qtde],supercb[Item],tab_alimentos[[#This Row],[Item]],supercb[Bairro],mercado14)</f>
        <v>0</v>
      </c>
      <c r="Z143" s="27" t="n">
        <f aca="false">SUMIFS(super1[Qtde],super1[Item],tab_alimentos[[#This Row],[Item]],super1[Bairro],mercado15)+SUMIFS(supercb[Qtde],supercb[Item],tab_alimentos[[#This Row],[Item]],supercb[Bairro],mercado15)</f>
        <v>0</v>
      </c>
      <c r="AA143" s="27" t="n">
        <f aca="false">SUMIFS(super1[Qtde],super1[Item],tab_alimentos[[#This Row],[Item]],super1[Bairro],mercado16)+SUMIFS(supercb[Qtde],supercb[Item],tab_alimentos[[#This Row],[Item]],supercb[Bairro],mercado16)</f>
        <v>0</v>
      </c>
      <c r="AB143" s="27" t="n">
        <f aca="false">SUMIFS(super1[Qtde],super1[Item],tab_alimentos[[#This Row],[Item]],super1[Bairro],mercado17)+SUMIFS(supercb[Qtde],supercb[Item],tab_alimentos[[#This Row],[Item]],supercb[Bairro],mercado17)</f>
        <v>0</v>
      </c>
      <c r="AC143" s="27" t="n">
        <f aca="false">SUMIFS(super1[Qtde],super1[Item],tab_alimentos[[#This Row],[Item]],super1[Bairro],mercado18)+SUMIFS(supercb[Qtde],supercb[Item],tab_alimentos[[#This Row],[Item]],supercb[Bairro],mercado18)</f>
        <v>0</v>
      </c>
      <c r="AD143" s="27" t="n">
        <f aca="false">SUMIFS(super1[Qtde],super1[Item],tab_alimentos[[#This Row],[Item]],super1[Bairro],extras)+SUMIFS(supercb[Qtde],supercb[Item],tab_alimentos[[#This Row],[Item]],supercb[Bairro],extras)</f>
        <v>0</v>
      </c>
      <c r="AE143" s="27" t="n">
        <f aca="false">SUM(L143:AC143)</f>
        <v>0</v>
      </c>
      <c r="AF143" s="27" t="n">
        <f aca="false">IFERROR(AE143*K143,0)</f>
        <v>0</v>
      </c>
      <c r="AG143" s="28" t="n">
        <f aca="false">IFERROR(J143*AE143,0)</f>
        <v>0</v>
      </c>
      <c r="AH143" s="26" t="str">
        <f aca="false">higiene[[#This Row],[Item]]</f>
        <v>Multiuso (500mL)</v>
      </c>
      <c r="AI143" s="27" t="n">
        <f aca="false">IFERROR(higiene[[#This Row],[Kg equivalente]],0)</f>
        <v>0.926213193918007</v>
      </c>
      <c r="AJ143" s="27" t="n">
        <f aca="false">IFERROR(higiene[[#This Row],[Preço por produto]],0)</f>
        <v>3.068</v>
      </c>
      <c r="AK143" s="27" t="n">
        <f aca="false">SUMIFS(super1[Qtde],super1[Item],tab_higiene[[#This Row],[Item]],super1[Bairro],mercado1)+SUMIFS(supercb[Qtde],supercb[Item],tab_higiene[[#This Row],[Item]],supercb[Bairro],mercado1)</f>
        <v>0</v>
      </c>
      <c r="AL143" s="27" t="n">
        <f aca="false">SUMIFS(super1[Qtde],super1[Item],tab_higiene[[#This Row],[Item]],super1[Bairro],mercado2)+SUMIFS(supercb[Qtde],supercb[Item],tab_higiene[[#This Row],[Item]],supercb[Bairro],mercado2)</f>
        <v>0</v>
      </c>
      <c r="AM143" s="27" t="n">
        <f aca="false">SUMIFS(super1[Qtde],super1[Item],tab_higiene[[#This Row],[Item]],super1[Bairro],mercado3)+SUMIFS(supercb[Qtde],supercb[Item],tab_higiene[[#This Row],[Item]],supercb[Bairro],mercado3)</f>
        <v>0</v>
      </c>
      <c r="AN143" s="27" t="n">
        <f aca="false">SUMIFS(super1[Qtde],super1[Item],tab_higiene[[#This Row],[Item]],super1[Bairro],mercado4)+SUMIFS(supercb[Qtde],supercb[Item],tab_higiene[[#This Row],[Item]],supercb[Bairro],mercado4)</f>
        <v>0</v>
      </c>
      <c r="AO143" s="27" t="n">
        <f aca="false">SUMIFS(super1[Qtde],super1[Item],tab_higiene[[#This Row],[Item]],super1[Bairro],mercado5)+SUMIFS(supercb[Qtde],supercb[Item],tab_higiene[[#This Row],[Item]],supercb[Bairro],mercado5)</f>
        <v>2</v>
      </c>
      <c r="AP143" s="27" t="n">
        <f aca="false">SUMIFS(super1[Qtde],super1[Item],tab_higiene[[#This Row],[Item]],super1[Bairro],mercado6)+SUMIFS(supercb[Qtde],supercb[Item],tab_higiene[[#This Row],[Item]],supercb[Bairro],mercado6)</f>
        <v>0</v>
      </c>
      <c r="AQ143" s="27" t="n">
        <f aca="false">SUMIFS(super1[Qtde],super1[Item],tab_higiene[[#This Row],[Item]],super1[Bairro],mercado7)+SUMIFS(supercb[Qtde],supercb[Item],tab_higiene[[#This Row],[Item]],supercb[Bairro],mercado7)</f>
        <v>1</v>
      </c>
      <c r="AR143" s="27" t="n">
        <f aca="false">SUMIFS(super1[Qtde],super1[Item],tab_higiene[[#This Row],[Item]],super1[Bairro],mercado8)+SUMIFS(supercb[Qtde],supercb[Item],tab_higiene[[#This Row],[Item]],supercb[Bairro],mercado8)</f>
        <v>4</v>
      </c>
      <c r="AS143" s="27" t="n">
        <f aca="false">SUMIFS(super1[Qtde],super1[Item],tab_higiene[[#This Row],[Item]],super1[Bairro],mercado9)+SUMIFS(supercb[Qtde],supercb[Item],tab_higiene[[#This Row],[Item]],supercb[Bairro],mercado9)</f>
        <v>3</v>
      </c>
      <c r="AT143" s="27" t="n">
        <f aca="false">SUMIFS(super1[Qtde],super1[Item],tab_higiene[[#This Row],[Item]],super1[Bairro],mercado10)+SUMIFS(supercb[Qtde],supercb[Item],tab_higiene[[#This Row],[Item]],supercb[Bairro],mercado10)</f>
        <v>1</v>
      </c>
      <c r="AU143" s="27" t="n">
        <f aca="false">SUMIFS(super1[Qtde],super1[Item],tab_higiene[[#This Row],[Item]],super1[Bairro],mercado11)+SUMIFS(supercb[Qtde],supercb[Item],tab_higiene[[#This Row],[Item]],supercb[Bairro],mercado11)</f>
        <v>1</v>
      </c>
      <c r="AV143" s="27" t="n">
        <f aca="false">SUMIFS(super1[Qtde],super1[Item],tab_higiene[[#This Row],[Item]],super1[Bairro],mercado12)+SUMIFS(supercb[Qtde],supercb[Item],tab_higiene[[#This Row],[Item]],supercb[Bairro],mercado12)</f>
        <v>0</v>
      </c>
      <c r="AW143" s="27" t="n">
        <f aca="false">SUMIFS(super1[Qtde],super1[Item],tab_higiene[[#This Row],[Item]],super1[Bairro],mercado13)+SUMIFS(supercb[Qtde],supercb[Item],tab_higiene[[#This Row],[Item]],supercb[Bairro],mercado13)</f>
        <v>2</v>
      </c>
      <c r="AX143" s="27" t="n">
        <f aca="false">SUMIFS(super1[Qtde],super1[Item],tab_higiene[[#This Row],[Item]],super1[Bairro],mercado14)+SUMIFS(supercb[Qtde],supercb[Item],tab_higiene[[#This Row],[Item]],supercb[Bairro],mercado14)</f>
        <v>0</v>
      </c>
      <c r="AY143" s="27" t="n">
        <f aca="false">SUMIFS(super1[Qtde],super1[Item],tab_higiene[[#This Row],[Item]],super1[Bairro],mercado15)+SUMIFS(supercb[Qtde],supercb[Item],tab_higiene[[#This Row],[Item]],supercb[Bairro],mercado15)</f>
        <v>0</v>
      </c>
      <c r="AZ143" s="27" t="n">
        <f aca="false">SUMIFS(super1[Qtde],super1[Item],tab_higiene[[#This Row],[Item]],super1[Bairro],mercado16)+SUMIFS(supercb[Qtde],supercb[Item],tab_higiene[[#This Row],[Item]],supercb[Bairro],mercado16)</f>
        <v>0</v>
      </c>
      <c r="BA143" s="27" t="n">
        <f aca="false">SUMIFS(super1[Qtde],super1[Item],tab_higiene[[#This Row],[Item]],super1[Bairro],mercado17)+SUMIFS(supercb[Qtde],supercb[Item],tab_higiene[[#This Row],[Item]],supercb[Bairro],mercado17)</f>
        <v>0</v>
      </c>
      <c r="BB143" s="27" t="n">
        <f aca="false">SUMIFS(super1[Qtde],super1[Item],tab_higiene[[#This Row],[Item]],super1[Bairro],mercado18)+SUMIFS(supercb[Qtde],supercb[Item],tab_higiene[[#This Row],[Item]],supercb[Bairro],mercado18)</f>
        <v>0</v>
      </c>
      <c r="BC143" s="27" t="n">
        <f aca="false">SUMIFS(super1[Qtde],super1[Item],tab_higiene[[#This Row],[Item]],super1[Bairro],extras)+SUMIFS(supercb[Qtde],supercb[Item],tab_higiene[[#This Row],[Item]],supercb[Bairro],extras)</f>
        <v>0</v>
      </c>
      <c r="BD143" s="27" t="n">
        <f aca="false">SUM(AK143:BB143)</f>
        <v>14</v>
      </c>
      <c r="BE143" s="27" t="n">
        <f aca="false">IFERROR(BD143*AJ143,0)</f>
        <v>42.952</v>
      </c>
      <c r="BF143" s="28" t="n">
        <f aca="false">IFERROR(AI143*BD143,0)</f>
        <v>12.9669847148521</v>
      </c>
      <c r="BI143" s="22" t="str">
        <f aca="false">tab_alimentos[[#This Row],[Item]]</f>
        <v>Grão de Bico (Lata)</v>
      </c>
      <c r="BJ143" s="22" t="n">
        <f aca="false">IFERROR(FIND(" (",BI143),0)</f>
        <v>13</v>
      </c>
      <c r="BK143" s="22" t="str">
        <f aca="false">IF(BJ143=0,BI143,LEFT(BI143,BJ143-1))</f>
        <v>Grão de Bico</v>
      </c>
      <c r="BL143" s="22" t="n">
        <f aca="false">tab_alimentos[[#This Row],[kg]]</f>
        <v>0</v>
      </c>
      <c r="BN143" s="22" t="n">
        <f aca="false">SUMIF($BJ$5:$BJ$158,#REF!,$BK$5:$BK$158)</f>
        <v>0</v>
      </c>
    </row>
    <row r="144" customFormat="false" ht="15" hidden="false" customHeight="false" outlineLevel="0" collapsed="false">
      <c r="I144" s="26" t="str">
        <f aca="false">alimentos[[#This Row],[Item]]</f>
        <v>Grão de Bico (sache)</v>
      </c>
      <c r="J144" s="27" t="n">
        <f aca="false">IFERROR(alimentos[[#This Row],[kg/embalagem]],0)</f>
        <v>0.3</v>
      </c>
      <c r="K144" s="27" t="n">
        <f aca="false">IFERROR(alimentos[[#This Row],[Preço]],0)</f>
        <v>12.39</v>
      </c>
      <c r="L144" s="27" t="n">
        <f aca="false">SUMIFS(super1[Qtde],super1[Item],tab_alimentos[[#This Row],[Item]],super1[Bairro],mercado1)+SUMIFS(supercb[Qtde],supercb[Item],tab_alimentos[[#This Row],[Item]],supercb[Bairro],mercado1)</f>
        <v>0</v>
      </c>
      <c r="M144" s="27" t="n">
        <f aca="false">SUMIFS(super1[Qtde],super1[Item],tab_alimentos[[#This Row],[Item]],super1[Bairro],mercado2)+SUMIFS(supercb[Qtde],supercb[Item],tab_alimentos[[#This Row],[Item]],supercb[Bairro],mercado2)</f>
        <v>0</v>
      </c>
      <c r="N144" s="27" t="n">
        <f aca="false">SUMIFS(super1[Qtde],super1[Item],tab_alimentos[[#This Row],[Item]],super1[Bairro],mercado3)+SUMIFS(supercb[Qtde],supercb[Item],tab_alimentos[[#This Row],[Item]],supercb[Bairro],mercado3)</f>
        <v>0</v>
      </c>
      <c r="O144" s="27" t="n">
        <f aca="false">SUMIFS(super1[Qtde],super1[Item],tab_alimentos[[#This Row],[Item]],super1[Bairro],mercado4)+SUMIFS(supercb[Qtde],supercb[Item],tab_alimentos[[#This Row],[Item]],supercb[Bairro],mercado4)</f>
        <v>0</v>
      </c>
      <c r="P144" s="27" t="n">
        <f aca="false">SUMIFS(super1[Qtde],super1[Item],tab_alimentos[[#This Row],[Item]],super1[Bairro],mercado5)+SUMIFS(supercb[Qtde],supercb[Item],tab_alimentos[[#This Row],[Item]],supercb[Bairro],mercado5)</f>
        <v>0</v>
      </c>
      <c r="Q144" s="27" t="n">
        <f aca="false">SUMIFS(super1[Qtde],super1[Item],tab_alimentos[[#This Row],[Item]],super1[Bairro],mercado6)+SUMIFS(supercb[Qtde],supercb[Item],tab_alimentos[[#This Row],[Item]],supercb[Bairro],mercado6)</f>
        <v>0</v>
      </c>
      <c r="R144" s="27" t="n">
        <f aca="false">SUMIFS(super1[Qtde],super1[Item],tab_alimentos[[#This Row],[Item]],super1[Bairro],mercado7)+SUMIFS(supercb[Qtde],supercb[Item],tab_alimentos[[#This Row],[Item]],supercb[Bairro],mercado7)</f>
        <v>0</v>
      </c>
      <c r="S144" s="27" t="n">
        <f aca="false">SUMIFS(super1[Qtde],super1[Item],tab_alimentos[[#This Row],[Item]],super1[Bairro],mercado8)+SUMIFS(supercb[Qtde],supercb[Item],tab_alimentos[[#This Row],[Item]],supercb[Bairro],mercado8)</f>
        <v>0</v>
      </c>
      <c r="T144" s="27" t="n">
        <f aca="false">SUMIFS(super1[Qtde],super1[Item],tab_alimentos[[#This Row],[Item]],super1[Bairro],mercado9)+SUMIFS(supercb[Qtde],supercb[Item],tab_alimentos[[#This Row],[Item]],supercb[Bairro],mercado9)</f>
        <v>0</v>
      </c>
      <c r="U144" s="27" t="n">
        <f aca="false">SUMIFS(super1[Qtde],super1[Item],tab_alimentos[[#This Row],[Item]],super1[Bairro],mercado10)+SUMIFS(supercb[Qtde],supercb[Item],tab_alimentos[[#This Row],[Item]],supercb[Bairro],mercado10)</f>
        <v>0</v>
      </c>
      <c r="V144" s="27" t="n">
        <f aca="false">SUMIFS(super1[Qtde],super1[Item],tab_alimentos[[#This Row],[Item]],super1[Bairro],mercado11)+SUMIFS(supercb[Qtde],supercb[Item],tab_alimentos[[#This Row],[Item]],supercb[Bairro],mercado11)</f>
        <v>0</v>
      </c>
      <c r="W144" s="27" t="n">
        <f aca="false">SUMIFS(super1[Qtde],super1[Item],tab_alimentos[[#This Row],[Item]],super1[Bairro],mercado12)+SUMIFS(supercb[Qtde],supercb[Item],tab_alimentos[[#This Row],[Item]],supercb[Bairro],mercado12)</f>
        <v>0</v>
      </c>
      <c r="X144" s="27" t="n">
        <f aca="false">SUMIFS(super1[Qtde],super1[Item],tab_alimentos[[#This Row],[Item]],super1[Bairro],mercado13)+SUMIFS(supercb[Qtde],supercb[Item],tab_alimentos[[#This Row],[Item]],supercb[Bairro],mercado13)</f>
        <v>0</v>
      </c>
      <c r="Y144" s="27" t="n">
        <f aca="false">SUMIFS(super1[Qtde],super1[Item],tab_alimentos[[#This Row],[Item]],super1[Bairro],mercado14)+SUMIFS(supercb[Qtde],supercb[Item],tab_alimentos[[#This Row],[Item]],supercb[Bairro],mercado14)</f>
        <v>0</v>
      </c>
      <c r="Z144" s="27" t="n">
        <f aca="false">SUMIFS(super1[Qtde],super1[Item],tab_alimentos[[#This Row],[Item]],super1[Bairro],mercado15)+SUMIFS(supercb[Qtde],supercb[Item],tab_alimentos[[#This Row],[Item]],supercb[Bairro],mercado15)</f>
        <v>0</v>
      </c>
      <c r="AA144" s="27" t="n">
        <f aca="false">SUMIFS(super1[Qtde],super1[Item],tab_alimentos[[#This Row],[Item]],super1[Bairro],mercado16)+SUMIFS(supercb[Qtde],supercb[Item],tab_alimentos[[#This Row],[Item]],supercb[Bairro],mercado16)</f>
        <v>0</v>
      </c>
      <c r="AB144" s="27" t="n">
        <f aca="false">SUMIFS(super1[Qtde],super1[Item],tab_alimentos[[#This Row],[Item]],super1[Bairro],mercado17)+SUMIFS(supercb[Qtde],supercb[Item],tab_alimentos[[#This Row],[Item]],supercb[Bairro],mercado17)</f>
        <v>0</v>
      </c>
      <c r="AC144" s="27" t="n">
        <f aca="false">SUMIFS(super1[Qtde],super1[Item],tab_alimentos[[#This Row],[Item]],super1[Bairro],mercado18)+SUMIFS(supercb[Qtde],supercb[Item],tab_alimentos[[#This Row],[Item]],supercb[Bairro],mercado18)</f>
        <v>0</v>
      </c>
      <c r="AD144" s="27" t="n">
        <f aca="false">SUMIFS(super1[Qtde],super1[Item],tab_alimentos[[#This Row],[Item]],super1[Bairro],extras)+SUMIFS(supercb[Qtde],supercb[Item],tab_alimentos[[#This Row],[Item]],supercb[Bairro],extras)</f>
        <v>0</v>
      </c>
      <c r="AE144" s="27" t="n">
        <f aca="false">SUM(L144:AC144)</f>
        <v>0</v>
      </c>
      <c r="AF144" s="27" t="n">
        <f aca="false">IFERROR(AE144*K144,0)</f>
        <v>0</v>
      </c>
      <c r="AG144" s="28" t="n">
        <f aca="false">IFERROR(J144*AE144,0)</f>
        <v>0</v>
      </c>
      <c r="AH144" s="26" t="str">
        <f aca="false">higiene[[#This Row],[Item]]</f>
        <v>Multiuso (750mL)</v>
      </c>
      <c r="AI144" s="27" t="n">
        <f aca="false">IFERROR(higiene[[#This Row],[Kg equivalente]],0)</f>
        <v>1.87627607568462</v>
      </c>
      <c r="AJ144" s="27" t="n">
        <f aca="false">IFERROR(higiene[[#This Row],[Preço por produto]],0)</f>
        <v>6.215</v>
      </c>
      <c r="AK144" s="27" t="n">
        <f aca="false">SUMIFS(super1[Qtde],super1[Item],tab_higiene[[#This Row],[Item]],super1[Bairro],mercado1)+SUMIFS(supercb[Qtde],supercb[Item],tab_higiene[[#This Row],[Item]],supercb[Bairro],mercado1)</f>
        <v>0</v>
      </c>
      <c r="AL144" s="27" t="n">
        <f aca="false">SUMIFS(super1[Qtde],super1[Item],tab_higiene[[#This Row],[Item]],super1[Bairro],mercado2)+SUMIFS(supercb[Qtde],supercb[Item],tab_higiene[[#This Row],[Item]],supercb[Bairro],mercado2)</f>
        <v>0</v>
      </c>
      <c r="AM144" s="27" t="n">
        <f aca="false">SUMIFS(super1[Qtde],super1[Item],tab_higiene[[#This Row],[Item]],super1[Bairro],mercado3)+SUMIFS(supercb[Qtde],supercb[Item],tab_higiene[[#This Row],[Item]],supercb[Bairro],mercado3)</f>
        <v>0</v>
      </c>
      <c r="AN144" s="27" t="n">
        <f aca="false">SUMIFS(super1[Qtde],super1[Item],tab_higiene[[#This Row],[Item]],super1[Bairro],mercado4)+SUMIFS(supercb[Qtde],supercb[Item],tab_higiene[[#This Row],[Item]],supercb[Bairro],mercado4)</f>
        <v>0</v>
      </c>
      <c r="AO144" s="27" t="n">
        <f aca="false">SUMIFS(super1[Qtde],super1[Item],tab_higiene[[#This Row],[Item]],super1[Bairro],mercado5)+SUMIFS(supercb[Qtde],supercb[Item],tab_higiene[[#This Row],[Item]],supercb[Bairro],mercado5)</f>
        <v>0</v>
      </c>
      <c r="AP144" s="27" t="n">
        <f aca="false">SUMIFS(super1[Qtde],super1[Item],tab_higiene[[#This Row],[Item]],super1[Bairro],mercado6)+SUMIFS(supercb[Qtde],supercb[Item],tab_higiene[[#This Row],[Item]],supercb[Bairro],mercado6)</f>
        <v>0</v>
      </c>
      <c r="AQ144" s="27" t="n">
        <f aca="false">SUMIFS(super1[Qtde],super1[Item],tab_higiene[[#This Row],[Item]],super1[Bairro],mercado7)+SUMIFS(supercb[Qtde],supercb[Item],tab_higiene[[#This Row],[Item]],supercb[Bairro],mercado7)</f>
        <v>0</v>
      </c>
      <c r="AR144" s="27" t="n">
        <f aca="false">SUMIFS(super1[Qtde],super1[Item],tab_higiene[[#This Row],[Item]],super1[Bairro],mercado8)+SUMIFS(supercb[Qtde],supercb[Item],tab_higiene[[#This Row],[Item]],supercb[Bairro],mercado8)</f>
        <v>0</v>
      </c>
      <c r="AS144" s="27" t="n">
        <f aca="false">SUMIFS(super1[Qtde],super1[Item],tab_higiene[[#This Row],[Item]],super1[Bairro],mercado9)+SUMIFS(supercb[Qtde],supercb[Item],tab_higiene[[#This Row],[Item]],supercb[Bairro],mercado9)</f>
        <v>0</v>
      </c>
      <c r="AT144" s="27" t="n">
        <f aca="false">SUMIFS(super1[Qtde],super1[Item],tab_higiene[[#This Row],[Item]],super1[Bairro],mercado10)+SUMIFS(supercb[Qtde],supercb[Item],tab_higiene[[#This Row],[Item]],supercb[Bairro],mercado10)</f>
        <v>0</v>
      </c>
      <c r="AU144" s="27" t="n">
        <f aca="false">SUMIFS(super1[Qtde],super1[Item],tab_higiene[[#This Row],[Item]],super1[Bairro],mercado11)+SUMIFS(supercb[Qtde],supercb[Item],tab_higiene[[#This Row],[Item]],supercb[Bairro],mercado11)</f>
        <v>0</v>
      </c>
      <c r="AV144" s="27" t="n">
        <f aca="false">SUMIFS(super1[Qtde],super1[Item],tab_higiene[[#This Row],[Item]],super1[Bairro],mercado12)+SUMIFS(supercb[Qtde],supercb[Item],tab_higiene[[#This Row],[Item]],supercb[Bairro],mercado12)</f>
        <v>0</v>
      </c>
      <c r="AW144" s="27" t="n">
        <f aca="false">SUMIFS(super1[Qtde],super1[Item],tab_higiene[[#This Row],[Item]],super1[Bairro],mercado13)+SUMIFS(supercb[Qtde],supercb[Item],tab_higiene[[#This Row],[Item]],supercb[Bairro],mercado13)</f>
        <v>0</v>
      </c>
      <c r="AX144" s="27" t="n">
        <f aca="false">SUMIFS(super1[Qtde],super1[Item],tab_higiene[[#This Row],[Item]],super1[Bairro],mercado14)+SUMIFS(supercb[Qtde],supercb[Item],tab_higiene[[#This Row],[Item]],supercb[Bairro],mercado14)</f>
        <v>0</v>
      </c>
      <c r="AY144" s="27" t="n">
        <f aca="false">SUMIFS(super1[Qtde],super1[Item],tab_higiene[[#This Row],[Item]],super1[Bairro],mercado15)+SUMIFS(supercb[Qtde],supercb[Item],tab_higiene[[#This Row],[Item]],supercb[Bairro],mercado15)</f>
        <v>0</v>
      </c>
      <c r="AZ144" s="27" t="n">
        <f aca="false">SUMIFS(super1[Qtde],super1[Item],tab_higiene[[#This Row],[Item]],super1[Bairro],mercado16)+SUMIFS(supercb[Qtde],supercb[Item],tab_higiene[[#This Row],[Item]],supercb[Bairro],mercado16)</f>
        <v>0</v>
      </c>
      <c r="BA144" s="27" t="n">
        <f aca="false">SUMIFS(super1[Qtde],super1[Item],tab_higiene[[#This Row],[Item]],super1[Bairro],mercado17)+SUMIFS(supercb[Qtde],supercb[Item],tab_higiene[[#This Row],[Item]],supercb[Bairro],mercado17)</f>
        <v>0</v>
      </c>
      <c r="BB144" s="27" t="n">
        <f aca="false">SUMIFS(super1[Qtde],super1[Item],tab_higiene[[#This Row],[Item]],super1[Bairro],mercado18)+SUMIFS(supercb[Qtde],supercb[Item],tab_higiene[[#This Row],[Item]],supercb[Bairro],mercado18)</f>
        <v>0</v>
      </c>
      <c r="BC144" s="27" t="n">
        <f aca="false">SUMIFS(super1[Qtde],super1[Item],tab_higiene[[#This Row],[Item]],super1[Bairro],extras)+SUMIFS(supercb[Qtde],supercb[Item],tab_higiene[[#This Row],[Item]],supercb[Bairro],extras)</f>
        <v>0</v>
      </c>
      <c r="BD144" s="27" t="n">
        <f aca="false">SUM(AK144:BB144)</f>
        <v>0</v>
      </c>
      <c r="BE144" s="27" t="n">
        <f aca="false">IFERROR(BD144*AJ144,0)</f>
        <v>0</v>
      </c>
      <c r="BF144" s="28" t="n">
        <f aca="false">IFERROR(AI144*BD144,0)</f>
        <v>0</v>
      </c>
      <c r="BI144" s="22" t="str">
        <f aca="false">tab_alimentos[[#This Row],[Item]]</f>
        <v>Grão de Bico (sache)</v>
      </c>
      <c r="BJ144" s="22" t="n">
        <f aca="false">IFERROR(FIND(" (",BI144),0)</f>
        <v>13</v>
      </c>
      <c r="BK144" s="22" t="str">
        <f aca="false">IF(BJ144=0,BI144,LEFT(BI144,BJ144-1))</f>
        <v>Grão de Bico</v>
      </c>
      <c r="BL144" s="22" t="n">
        <f aca="false">tab_alimentos[[#This Row],[kg]]</f>
        <v>0</v>
      </c>
      <c r="BN144" s="22" t="n">
        <f aca="false">SUMIF($BJ$5:$BJ$158,#REF!,$BK$5:$BK$158)</f>
        <v>0</v>
      </c>
    </row>
    <row r="145" customFormat="false" ht="15" hidden="false" customHeight="false" outlineLevel="0" collapsed="false">
      <c r="I145" s="26" t="str">
        <f aca="false">alimentos[[#This Row],[Item]]</f>
        <v>H</v>
      </c>
      <c r="J145" s="27" t="n">
        <f aca="false">IFERROR(alimentos[[#This Row],[kg/embalagem]],0)</f>
        <v>0</v>
      </c>
      <c r="K145" s="27" t="n">
        <f aca="false">IFERROR(alimentos[[#This Row],[Preço]],0)</f>
        <v>0</v>
      </c>
      <c r="L145" s="27" t="n">
        <f aca="false">SUMIFS(super1[Qtde],super1[Item],tab_alimentos[[#This Row],[Item]],super1[Bairro],mercado1)+SUMIFS(supercb[Qtde],supercb[Item],tab_alimentos[[#This Row],[Item]],supercb[Bairro],mercado1)</f>
        <v>0</v>
      </c>
      <c r="M145" s="27" t="n">
        <f aca="false">SUMIFS(super1[Qtde],super1[Item],tab_alimentos[[#This Row],[Item]],super1[Bairro],mercado2)+SUMIFS(supercb[Qtde],supercb[Item],tab_alimentos[[#This Row],[Item]],supercb[Bairro],mercado2)</f>
        <v>0</v>
      </c>
      <c r="N145" s="27" t="n">
        <f aca="false">SUMIFS(super1[Qtde],super1[Item],tab_alimentos[[#This Row],[Item]],super1[Bairro],mercado3)+SUMIFS(supercb[Qtde],supercb[Item],tab_alimentos[[#This Row],[Item]],supercb[Bairro],mercado3)</f>
        <v>0</v>
      </c>
      <c r="O145" s="27" t="n">
        <f aca="false">SUMIFS(super1[Qtde],super1[Item],tab_alimentos[[#This Row],[Item]],super1[Bairro],mercado4)+SUMIFS(supercb[Qtde],supercb[Item],tab_alimentos[[#This Row],[Item]],supercb[Bairro],mercado4)</f>
        <v>0</v>
      </c>
      <c r="P145" s="27" t="n">
        <f aca="false">SUMIFS(super1[Qtde],super1[Item],tab_alimentos[[#This Row],[Item]],super1[Bairro],mercado5)+SUMIFS(supercb[Qtde],supercb[Item],tab_alimentos[[#This Row],[Item]],supercb[Bairro],mercado5)</f>
        <v>0</v>
      </c>
      <c r="Q145" s="27" t="n">
        <f aca="false">SUMIFS(super1[Qtde],super1[Item],tab_alimentos[[#This Row],[Item]],super1[Bairro],mercado6)+SUMIFS(supercb[Qtde],supercb[Item],tab_alimentos[[#This Row],[Item]],supercb[Bairro],mercado6)</f>
        <v>0</v>
      </c>
      <c r="R145" s="27" t="n">
        <f aca="false">SUMIFS(super1[Qtde],super1[Item],tab_alimentos[[#This Row],[Item]],super1[Bairro],mercado7)+SUMIFS(supercb[Qtde],supercb[Item],tab_alimentos[[#This Row],[Item]],supercb[Bairro],mercado7)</f>
        <v>0</v>
      </c>
      <c r="S145" s="27" t="n">
        <f aca="false">SUMIFS(super1[Qtde],super1[Item],tab_alimentos[[#This Row],[Item]],super1[Bairro],mercado8)+SUMIFS(supercb[Qtde],supercb[Item],tab_alimentos[[#This Row],[Item]],supercb[Bairro],mercado8)</f>
        <v>0</v>
      </c>
      <c r="T145" s="27" t="n">
        <f aca="false">SUMIFS(super1[Qtde],super1[Item],tab_alimentos[[#This Row],[Item]],super1[Bairro],mercado9)+SUMIFS(supercb[Qtde],supercb[Item],tab_alimentos[[#This Row],[Item]],supercb[Bairro],mercado9)</f>
        <v>0</v>
      </c>
      <c r="U145" s="27" t="n">
        <f aca="false">SUMIFS(super1[Qtde],super1[Item],tab_alimentos[[#This Row],[Item]],super1[Bairro],mercado10)+SUMIFS(supercb[Qtde],supercb[Item],tab_alimentos[[#This Row],[Item]],supercb[Bairro],mercado10)</f>
        <v>0</v>
      </c>
      <c r="V145" s="27" t="n">
        <f aca="false">SUMIFS(super1[Qtde],super1[Item],tab_alimentos[[#This Row],[Item]],super1[Bairro],mercado11)+SUMIFS(supercb[Qtde],supercb[Item],tab_alimentos[[#This Row],[Item]],supercb[Bairro],mercado11)</f>
        <v>0</v>
      </c>
      <c r="W145" s="27" t="n">
        <f aca="false">SUMIFS(super1[Qtde],super1[Item],tab_alimentos[[#This Row],[Item]],super1[Bairro],mercado12)+SUMIFS(supercb[Qtde],supercb[Item],tab_alimentos[[#This Row],[Item]],supercb[Bairro],mercado12)</f>
        <v>0</v>
      </c>
      <c r="X145" s="27" t="n">
        <f aca="false">SUMIFS(super1[Qtde],super1[Item],tab_alimentos[[#This Row],[Item]],super1[Bairro],mercado13)+SUMIFS(supercb[Qtde],supercb[Item],tab_alimentos[[#This Row],[Item]],supercb[Bairro],mercado13)</f>
        <v>0</v>
      </c>
      <c r="Y145" s="27" t="n">
        <f aca="false">SUMIFS(super1[Qtde],super1[Item],tab_alimentos[[#This Row],[Item]],super1[Bairro],mercado14)+SUMIFS(supercb[Qtde],supercb[Item],tab_alimentos[[#This Row],[Item]],supercb[Bairro],mercado14)</f>
        <v>0</v>
      </c>
      <c r="Z145" s="27" t="n">
        <f aca="false">SUMIFS(super1[Qtde],super1[Item],tab_alimentos[[#This Row],[Item]],super1[Bairro],mercado15)+SUMIFS(supercb[Qtde],supercb[Item],tab_alimentos[[#This Row],[Item]],supercb[Bairro],mercado15)</f>
        <v>0</v>
      </c>
      <c r="AA145" s="27" t="n">
        <f aca="false">SUMIFS(super1[Qtde],super1[Item],tab_alimentos[[#This Row],[Item]],super1[Bairro],mercado16)+SUMIFS(supercb[Qtde],supercb[Item],tab_alimentos[[#This Row],[Item]],supercb[Bairro],mercado16)</f>
        <v>0</v>
      </c>
      <c r="AB145" s="27" t="n">
        <f aca="false">SUMIFS(super1[Qtde],super1[Item],tab_alimentos[[#This Row],[Item]],super1[Bairro],mercado17)+SUMIFS(supercb[Qtde],supercb[Item],tab_alimentos[[#This Row],[Item]],supercb[Bairro],mercado17)</f>
        <v>0</v>
      </c>
      <c r="AC145" s="27" t="n">
        <f aca="false">SUMIFS(super1[Qtde],super1[Item],tab_alimentos[[#This Row],[Item]],super1[Bairro],mercado18)+SUMIFS(supercb[Qtde],supercb[Item],tab_alimentos[[#This Row],[Item]],supercb[Bairro],mercado18)</f>
        <v>0</v>
      </c>
      <c r="AD145" s="27" t="n">
        <f aca="false">SUMIFS(super1[Qtde],super1[Item],tab_alimentos[[#This Row],[Item]],super1[Bairro],extras)+SUMIFS(supercb[Qtde],supercb[Item],tab_alimentos[[#This Row],[Item]],supercb[Bairro],extras)</f>
        <v>0</v>
      </c>
      <c r="AE145" s="27" t="n">
        <f aca="false">SUM(L145:AC145)</f>
        <v>0</v>
      </c>
      <c r="AF145" s="27" t="n">
        <f aca="false">IFERROR(AE145*K145,0)</f>
        <v>0</v>
      </c>
      <c r="AG145" s="28" t="n">
        <f aca="false">IFERROR(J145*AE145,0)</f>
        <v>0</v>
      </c>
      <c r="AH145" s="26" t="str">
        <f aca="false">higiene[[#This Row],[Item]]</f>
        <v>N</v>
      </c>
      <c r="AI145" s="27" t="n">
        <f aca="false">IFERROR(higiene[[#This Row],[Kg equivalente]],0)</f>
        <v>0</v>
      </c>
      <c r="AJ145" s="27" t="n">
        <f aca="false">IFERROR(higiene[[#This Row],[Preço por produto]],0)</f>
        <v>0</v>
      </c>
      <c r="AK145" s="27" t="n">
        <f aca="false">SUMIFS(super1[Qtde],super1[Item],tab_higiene[[#This Row],[Item]],super1[Bairro],mercado1)+SUMIFS(supercb[Qtde],supercb[Item],tab_higiene[[#This Row],[Item]],supercb[Bairro],mercado1)</f>
        <v>0</v>
      </c>
      <c r="AL145" s="27" t="n">
        <f aca="false">SUMIFS(super1[Qtde],super1[Item],tab_higiene[[#This Row],[Item]],super1[Bairro],mercado2)+SUMIFS(supercb[Qtde],supercb[Item],tab_higiene[[#This Row],[Item]],supercb[Bairro],mercado2)</f>
        <v>0</v>
      </c>
      <c r="AM145" s="27" t="n">
        <f aca="false">SUMIFS(super1[Qtde],super1[Item],tab_higiene[[#This Row],[Item]],super1[Bairro],mercado3)+SUMIFS(supercb[Qtde],supercb[Item],tab_higiene[[#This Row],[Item]],supercb[Bairro],mercado3)</f>
        <v>0</v>
      </c>
      <c r="AN145" s="27" t="n">
        <f aca="false">SUMIFS(super1[Qtde],super1[Item],tab_higiene[[#This Row],[Item]],super1[Bairro],mercado4)+SUMIFS(supercb[Qtde],supercb[Item],tab_higiene[[#This Row],[Item]],supercb[Bairro],mercado4)</f>
        <v>0</v>
      </c>
      <c r="AO145" s="27" t="n">
        <f aca="false">SUMIFS(super1[Qtde],super1[Item],tab_higiene[[#This Row],[Item]],super1[Bairro],mercado5)+SUMIFS(supercb[Qtde],supercb[Item],tab_higiene[[#This Row],[Item]],supercb[Bairro],mercado5)</f>
        <v>0</v>
      </c>
      <c r="AP145" s="27" t="n">
        <f aca="false">SUMIFS(super1[Qtde],super1[Item],tab_higiene[[#This Row],[Item]],super1[Bairro],mercado6)+SUMIFS(supercb[Qtde],supercb[Item],tab_higiene[[#This Row],[Item]],supercb[Bairro],mercado6)</f>
        <v>0</v>
      </c>
      <c r="AQ145" s="27" t="n">
        <f aca="false">SUMIFS(super1[Qtde],super1[Item],tab_higiene[[#This Row],[Item]],super1[Bairro],mercado7)+SUMIFS(supercb[Qtde],supercb[Item],tab_higiene[[#This Row],[Item]],supercb[Bairro],mercado7)</f>
        <v>0</v>
      </c>
      <c r="AR145" s="27" t="n">
        <f aca="false">SUMIFS(super1[Qtde],super1[Item],tab_higiene[[#This Row],[Item]],super1[Bairro],mercado8)+SUMIFS(supercb[Qtde],supercb[Item],tab_higiene[[#This Row],[Item]],supercb[Bairro],mercado8)</f>
        <v>0</v>
      </c>
      <c r="AS145" s="27" t="n">
        <f aca="false">SUMIFS(super1[Qtde],super1[Item],tab_higiene[[#This Row],[Item]],super1[Bairro],mercado9)+SUMIFS(supercb[Qtde],supercb[Item],tab_higiene[[#This Row],[Item]],supercb[Bairro],mercado9)</f>
        <v>0</v>
      </c>
      <c r="AT145" s="27" t="n">
        <f aca="false">SUMIFS(super1[Qtde],super1[Item],tab_higiene[[#This Row],[Item]],super1[Bairro],mercado10)+SUMIFS(supercb[Qtde],supercb[Item],tab_higiene[[#This Row],[Item]],supercb[Bairro],mercado10)</f>
        <v>0</v>
      </c>
      <c r="AU145" s="27" t="n">
        <f aca="false">SUMIFS(super1[Qtde],super1[Item],tab_higiene[[#This Row],[Item]],super1[Bairro],mercado11)+SUMIFS(supercb[Qtde],supercb[Item],tab_higiene[[#This Row],[Item]],supercb[Bairro],mercado11)</f>
        <v>0</v>
      </c>
      <c r="AV145" s="27" t="n">
        <f aca="false">SUMIFS(super1[Qtde],super1[Item],tab_higiene[[#This Row],[Item]],super1[Bairro],mercado12)+SUMIFS(supercb[Qtde],supercb[Item],tab_higiene[[#This Row],[Item]],supercb[Bairro],mercado12)</f>
        <v>0</v>
      </c>
      <c r="AW145" s="27" t="n">
        <f aca="false">SUMIFS(super1[Qtde],super1[Item],tab_higiene[[#This Row],[Item]],super1[Bairro],mercado13)+SUMIFS(supercb[Qtde],supercb[Item],tab_higiene[[#This Row],[Item]],supercb[Bairro],mercado13)</f>
        <v>0</v>
      </c>
      <c r="AX145" s="27" t="n">
        <f aca="false">SUMIFS(super1[Qtde],super1[Item],tab_higiene[[#This Row],[Item]],super1[Bairro],mercado14)+SUMIFS(supercb[Qtde],supercb[Item],tab_higiene[[#This Row],[Item]],supercb[Bairro],mercado14)</f>
        <v>0</v>
      </c>
      <c r="AY145" s="27" t="n">
        <f aca="false">SUMIFS(super1[Qtde],super1[Item],tab_higiene[[#This Row],[Item]],super1[Bairro],mercado15)+SUMIFS(supercb[Qtde],supercb[Item],tab_higiene[[#This Row],[Item]],supercb[Bairro],mercado15)</f>
        <v>0</v>
      </c>
      <c r="AZ145" s="27" t="n">
        <f aca="false">SUMIFS(super1[Qtde],super1[Item],tab_higiene[[#This Row],[Item]],super1[Bairro],mercado16)+SUMIFS(supercb[Qtde],supercb[Item],tab_higiene[[#This Row],[Item]],supercb[Bairro],mercado16)</f>
        <v>0</v>
      </c>
      <c r="BA145" s="27" t="n">
        <f aca="false">SUMIFS(super1[Qtde],super1[Item],tab_higiene[[#This Row],[Item]],super1[Bairro],mercado17)+SUMIFS(supercb[Qtde],supercb[Item],tab_higiene[[#This Row],[Item]],supercb[Bairro],mercado17)</f>
        <v>0</v>
      </c>
      <c r="BB145" s="27" t="n">
        <f aca="false">SUMIFS(super1[Qtde],super1[Item],tab_higiene[[#This Row],[Item]],super1[Bairro],mercado18)+SUMIFS(supercb[Qtde],supercb[Item],tab_higiene[[#This Row],[Item]],supercb[Bairro],mercado18)</f>
        <v>0</v>
      </c>
      <c r="BC145" s="27" t="n">
        <f aca="false">SUMIFS(super1[Qtde],super1[Item],tab_higiene[[#This Row],[Item]],super1[Bairro],extras)+SUMIFS(supercb[Qtde],supercb[Item],tab_higiene[[#This Row],[Item]],supercb[Bairro],extras)</f>
        <v>0</v>
      </c>
      <c r="BD145" s="27" t="n">
        <f aca="false">SUM(AK145:BB145)</f>
        <v>0</v>
      </c>
      <c r="BE145" s="27" t="n">
        <f aca="false">IFERROR(BD145*AJ145,0)</f>
        <v>0</v>
      </c>
      <c r="BF145" s="28" t="n">
        <f aca="false">IFERROR(AI145*BD145,0)</f>
        <v>0</v>
      </c>
      <c r="BI145" s="22" t="str">
        <f aca="false">tab_alimentos[[#This Row],[Item]]</f>
        <v>H</v>
      </c>
      <c r="BJ145" s="22" t="n">
        <f aca="false">IFERROR(FIND(" (",BI145),0)</f>
        <v>0</v>
      </c>
      <c r="BK145" s="22" t="str">
        <f aca="false">IF(BJ145=0,BI145,LEFT(BI145,BJ145-1))</f>
        <v>H</v>
      </c>
      <c r="BL145" s="22" t="n">
        <f aca="false">tab_alimentos[[#This Row],[kg]]</f>
        <v>0</v>
      </c>
      <c r="BN145" s="22" t="n">
        <f aca="false">SUMIF($BJ$5:$BJ$158,#REF!,$BK$5:$BK$158)</f>
        <v>0</v>
      </c>
    </row>
    <row r="146" customFormat="false" ht="15" hidden="false" customHeight="false" outlineLevel="0" collapsed="false">
      <c r="I146" s="26" t="str">
        <f aca="false">alimentos[[#This Row],[Item]]</f>
        <v>I</v>
      </c>
      <c r="J146" s="27" t="n">
        <f aca="false">IFERROR(alimentos[[#This Row],[kg/embalagem]],0)</f>
        <v>0</v>
      </c>
      <c r="K146" s="27" t="n">
        <f aca="false">IFERROR(alimentos[[#This Row],[Preço]],0)</f>
        <v>0</v>
      </c>
      <c r="L146" s="27" t="n">
        <f aca="false">SUMIFS(super1[Qtde],super1[Item],tab_alimentos[[#This Row],[Item]],super1[Bairro],mercado1)+SUMIFS(supercb[Qtde],supercb[Item],tab_alimentos[[#This Row],[Item]],supercb[Bairro],mercado1)</f>
        <v>0</v>
      </c>
      <c r="M146" s="27" t="n">
        <f aca="false">SUMIFS(super1[Qtde],super1[Item],tab_alimentos[[#This Row],[Item]],super1[Bairro],mercado2)+SUMIFS(supercb[Qtde],supercb[Item],tab_alimentos[[#This Row],[Item]],supercb[Bairro],mercado2)</f>
        <v>0</v>
      </c>
      <c r="N146" s="27" t="n">
        <f aca="false">SUMIFS(super1[Qtde],super1[Item],tab_alimentos[[#This Row],[Item]],super1[Bairro],mercado3)+SUMIFS(supercb[Qtde],supercb[Item],tab_alimentos[[#This Row],[Item]],supercb[Bairro],mercado3)</f>
        <v>0</v>
      </c>
      <c r="O146" s="27" t="n">
        <f aca="false">SUMIFS(super1[Qtde],super1[Item],tab_alimentos[[#This Row],[Item]],super1[Bairro],mercado4)+SUMIFS(supercb[Qtde],supercb[Item],tab_alimentos[[#This Row],[Item]],supercb[Bairro],mercado4)</f>
        <v>0</v>
      </c>
      <c r="P146" s="27" t="n">
        <f aca="false">SUMIFS(super1[Qtde],super1[Item],tab_alimentos[[#This Row],[Item]],super1[Bairro],mercado5)+SUMIFS(supercb[Qtde],supercb[Item],tab_alimentos[[#This Row],[Item]],supercb[Bairro],mercado5)</f>
        <v>0</v>
      </c>
      <c r="Q146" s="27" t="n">
        <f aca="false">SUMIFS(super1[Qtde],super1[Item],tab_alimentos[[#This Row],[Item]],super1[Bairro],mercado6)+SUMIFS(supercb[Qtde],supercb[Item],tab_alimentos[[#This Row],[Item]],supercb[Bairro],mercado6)</f>
        <v>0</v>
      </c>
      <c r="R146" s="27" t="n">
        <f aca="false">SUMIFS(super1[Qtde],super1[Item],tab_alimentos[[#This Row],[Item]],super1[Bairro],mercado7)+SUMIFS(supercb[Qtde],supercb[Item],tab_alimentos[[#This Row],[Item]],supercb[Bairro],mercado7)</f>
        <v>0</v>
      </c>
      <c r="S146" s="27" t="n">
        <f aca="false">SUMIFS(super1[Qtde],super1[Item],tab_alimentos[[#This Row],[Item]],super1[Bairro],mercado8)+SUMIFS(supercb[Qtde],supercb[Item],tab_alimentos[[#This Row],[Item]],supercb[Bairro],mercado8)</f>
        <v>0</v>
      </c>
      <c r="T146" s="27" t="n">
        <f aca="false">SUMIFS(super1[Qtde],super1[Item],tab_alimentos[[#This Row],[Item]],super1[Bairro],mercado9)+SUMIFS(supercb[Qtde],supercb[Item],tab_alimentos[[#This Row],[Item]],supercb[Bairro],mercado9)</f>
        <v>0</v>
      </c>
      <c r="U146" s="27" t="n">
        <f aca="false">SUMIFS(super1[Qtde],super1[Item],tab_alimentos[[#This Row],[Item]],super1[Bairro],mercado10)+SUMIFS(supercb[Qtde],supercb[Item],tab_alimentos[[#This Row],[Item]],supercb[Bairro],mercado10)</f>
        <v>0</v>
      </c>
      <c r="V146" s="27" t="n">
        <f aca="false">SUMIFS(super1[Qtde],super1[Item],tab_alimentos[[#This Row],[Item]],super1[Bairro],mercado11)+SUMIFS(supercb[Qtde],supercb[Item],tab_alimentos[[#This Row],[Item]],supercb[Bairro],mercado11)</f>
        <v>0</v>
      </c>
      <c r="W146" s="27" t="n">
        <f aca="false">SUMIFS(super1[Qtde],super1[Item],tab_alimentos[[#This Row],[Item]],super1[Bairro],mercado12)+SUMIFS(supercb[Qtde],supercb[Item],tab_alimentos[[#This Row],[Item]],supercb[Bairro],mercado12)</f>
        <v>0</v>
      </c>
      <c r="X146" s="27" t="n">
        <f aca="false">SUMIFS(super1[Qtde],super1[Item],tab_alimentos[[#This Row],[Item]],super1[Bairro],mercado13)+SUMIFS(supercb[Qtde],supercb[Item],tab_alimentos[[#This Row],[Item]],supercb[Bairro],mercado13)</f>
        <v>0</v>
      </c>
      <c r="Y146" s="27" t="n">
        <f aca="false">SUMIFS(super1[Qtde],super1[Item],tab_alimentos[[#This Row],[Item]],super1[Bairro],mercado14)+SUMIFS(supercb[Qtde],supercb[Item],tab_alimentos[[#This Row],[Item]],supercb[Bairro],mercado14)</f>
        <v>0</v>
      </c>
      <c r="Z146" s="27" t="n">
        <f aca="false">SUMIFS(super1[Qtde],super1[Item],tab_alimentos[[#This Row],[Item]],super1[Bairro],mercado15)+SUMIFS(supercb[Qtde],supercb[Item],tab_alimentos[[#This Row],[Item]],supercb[Bairro],mercado15)</f>
        <v>0</v>
      </c>
      <c r="AA146" s="27" t="n">
        <f aca="false">SUMIFS(super1[Qtde],super1[Item],tab_alimentos[[#This Row],[Item]],super1[Bairro],mercado16)+SUMIFS(supercb[Qtde],supercb[Item],tab_alimentos[[#This Row],[Item]],supercb[Bairro],mercado16)</f>
        <v>0</v>
      </c>
      <c r="AB146" s="27" t="n">
        <f aca="false">SUMIFS(super1[Qtde],super1[Item],tab_alimentos[[#This Row],[Item]],super1[Bairro],mercado17)+SUMIFS(supercb[Qtde],supercb[Item],tab_alimentos[[#This Row],[Item]],supercb[Bairro],mercado17)</f>
        <v>0</v>
      </c>
      <c r="AC146" s="27" t="n">
        <f aca="false">SUMIFS(super1[Qtde],super1[Item],tab_alimentos[[#This Row],[Item]],super1[Bairro],mercado18)+SUMIFS(supercb[Qtde],supercb[Item],tab_alimentos[[#This Row],[Item]],supercb[Bairro],mercado18)</f>
        <v>0</v>
      </c>
      <c r="AD146" s="27" t="n">
        <f aca="false">SUMIFS(super1[Qtde],super1[Item],tab_alimentos[[#This Row],[Item]],super1[Bairro],extras)+SUMIFS(supercb[Qtde],supercb[Item],tab_alimentos[[#This Row],[Item]],supercb[Bairro],extras)</f>
        <v>0</v>
      </c>
      <c r="AE146" s="27" t="n">
        <f aca="false">SUM(L146:AC146)</f>
        <v>0</v>
      </c>
      <c r="AF146" s="27" t="n">
        <f aca="false">IFERROR(AE146*K146,0)</f>
        <v>0</v>
      </c>
      <c r="AG146" s="28" t="n">
        <f aca="false">IFERROR(J146*AE146,0)</f>
        <v>0</v>
      </c>
      <c r="AH146" s="26" t="str">
        <f aca="false">higiene[[#This Row],[Item]]</f>
        <v>O</v>
      </c>
      <c r="AI146" s="27" t="n">
        <f aca="false">IFERROR(higiene[[#This Row],[Kg equivalente]],0)</f>
        <v>0</v>
      </c>
      <c r="AJ146" s="27" t="n">
        <f aca="false">IFERROR(higiene[[#This Row],[Preço por produto]],0)</f>
        <v>0</v>
      </c>
      <c r="AK146" s="27" t="n">
        <f aca="false">SUMIFS(super1[Qtde],super1[Item],tab_higiene[[#This Row],[Item]],super1[Bairro],mercado1)+SUMIFS(supercb[Qtde],supercb[Item],tab_higiene[[#This Row],[Item]],supercb[Bairro],mercado1)</f>
        <v>0</v>
      </c>
      <c r="AL146" s="27" t="n">
        <f aca="false">SUMIFS(super1[Qtde],super1[Item],tab_higiene[[#This Row],[Item]],super1[Bairro],mercado2)+SUMIFS(supercb[Qtde],supercb[Item],tab_higiene[[#This Row],[Item]],supercb[Bairro],mercado2)</f>
        <v>0</v>
      </c>
      <c r="AM146" s="27" t="n">
        <f aca="false">SUMIFS(super1[Qtde],super1[Item],tab_higiene[[#This Row],[Item]],super1[Bairro],mercado3)+SUMIFS(supercb[Qtde],supercb[Item],tab_higiene[[#This Row],[Item]],supercb[Bairro],mercado3)</f>
        <v>0</v>
      </c>
      <c r="AN146" s="27" t="n">
        <f aca="false">SUMIFS(super1[Qtde],super1[Item],tab_higiene[[#This Row],[Item]],super1[Bairro],mercado4)+SUMIFS(supercb[Qtde],supercb[Item],tab_higiene[[#This Row],[Item]],supercb[Bairro],mercado4)</f>
        <v>0</v>
      </c>
      <c r="AO146" s="27" t="n">
        <f aca="false">SUMIFS(super1[Qtde],super1[Item],tab_higiene[[#This Row],[Item]],super1[Bairro],mercado5)+SUMIFS(supercb[Qtde],supercb[Item],tab_higiene[[#This Row],[Item]],supercb[Bairro],mercado5)</f>
        <v>0</v>
      </c>
      <c r="AP146" s="27" t="n">
        <f aca="false">SUMIFS(super1[Qtde],super1[Item],tab_higiene[[#This Row],[Item]],super1[Bairro],mercado6)+SUMIFS(supercb[Qtde],supercb[Item],tab_higiene[[#This Row],[Item]],supercb[Bairro],mercado6)</f>
        <v>0</v>
      </c>
      <c r="AQ146" s="27" t="n">
        <f aca="false">SUMIFS(super1[Qtde],super1[Item],tab_higiene[[#This Row],[Item]],super1[Bairro],mercado7)+SUMIFS(supercb[Qtde],supercb[Item],tab_higiene[[#This Row],[Item]],supercb[Bairro],mercado7)</f>
        <v>0</v>
      </c>
      <c r="AR146" s="27" t="n">
        <f aca="false">SUMIFS(super1[Qtde],super1[Item],tab_higiene[[#This Row],[Item]],super1[Bairro],mercado8)+SUMIFS(supercb[Qtde],supercb[Item],tab_higiene[[#This Row],[Item]],supercb[Bairro],mercado8)</f>
        <v>0</v>
      </c>
      <c r="AS146" s="27" t="n">
        <f aca="false">SUMIFS(super1[Qtde],super1[Item],tab_higiene[[#This Row],[Item]],super1[Bairro],mercado9)+SUMIFS(supercb[Qtde],supercb[Item],tab_higiene[[#This Row],[Item]],supercb[Bairro],mercado9)</f>
        <v>0</v>
      </c>
      <c r="AT146" s="27" t="n">
        <f aca="false">SUMIFS(super1[Qtde],super1[Item],tab_higiene[[#This Row],[Item]],super1[Bairro],mercado10)+SUMIFS(supercb[Qtde],supercb[Item],tab_higiene[[#This Row],[Item]],supercb[Bairro],mercado10)</f>
        <v>0</v>
      </c>
      <c r="AU146" s="27" t="n">
        <f aca="false">SUMIFS(super1[Qtde],super1[Item],tab_higiene[[#This Row],[Item]],super1[Bairro],mercado11)+SUMIFS(supercb[Qtde],supercb[Item],tab_higiene[[#This Row],[Item]],supercb[Bairro],mercado11)</f>
        <v>0</v>
      </c>
      <c r="AV146" s="27" t="n">
        <f aca="false">SUMIFS(super1[Qtde],super1[Item],tab_higiene[[#This Row],[Item]],super1[Bairro],mercado12)+SUMIFS(supercb[Qtde],supercb[Item],tab_higiene[[#This Row],[Item]],supercb[Bairro],mercado12)</f>
        <v>0</v>
      </c>
      <c r="AW146" s="27" t="n">
        <f aca="false">SUMIFS(super1[Qtde],super1[Item],tab_higiene[[#This Row],[Item]],super1[Bairro],mercado13)+SUMIFS(supercb[Qtde],supercb[Item],tab_higiene[[#This Row],[Item]],supercb[Bairro],mercado13)</f>
        <v>0</v>
      </c>
      <c r="AX146" s="27" t="n">
        <f aca="false">SUMIFS(super1[Qtde],super1[Item],tab_higiene[[#This Row],[Item]],super1[Bairro],mercado14)+SUMIFS(supercb[Qtde],supercb[Item],tab_higiene[[#This Row],[Item]],supercb[Bairro],mercado14)</f>
        <v>0</v>
      </c>
      <c r="AY146" s="27" t="n">
        <f aca="false">SUMIFS(super1[Qtde],super1[Item],tab_higiene[[#This Row],[Item]],super1[Bairro],mercado15)+SUMIFS(supercb[Qtde],supercb[Item],tab_higiene[[#This Row],[Item]],supercb[Bairro],mercado15)</f>
        <v>0</v>
      </c>
      <c r="AZ146" s="27" t="n">
        <f aca="false">SUMIFS(super1[Qtde],super1[Item],tab_higiene[[#This Row],[Item]],super1[Bairro],mercado16)+SUMIFS(supercb[Qtde],supercb[Item],tab_higiene[[#This Row],[Item]],supercb[Bairro],mercado16)</f>
        <v>0</v>
      </c>
      <c r="BA146" s="27" t="n">
        <f aca="false">SUMIFS(super1[Qtde],super1[Item],tab_higiene[[#This Row],[Item]],super1[Bairro],mercado17)+SUMIFS(supercb[Qtde],supercb[Item],tab_higiene[[#This Row],[Item]],supercb[Bairro],mercado17)</f>
        <v>0</v>
      </c>
      <c r="BB146" s="27" t="n">
        <f aca="false">SUMIFS(super1[Qtde],super1[Item],tab_higiene[[#This Row],[Item]],super1[Bairro],mercado18)+SUMIFS(supercb[Qtde],supercb[Item],tab_higiene[[#This Row],[Item]],supercb[Bairro],mercado18)</f>
        <v>0</v>
      </c>
      <c r="BC146" s="27" t="n">
        <f aca="false">SUMIFS(super1[Qtde],super1[Item],tab_higiene[[#This Row],[Item]],super1[Bairro],extras)+SUMIFS(supercb[Qtde],supercb[Item],tab_higiene[[#This Row],[Item]],supercb[Bairro],extras)</f>
        <v>0</v>
      </c>
      <c r="BD146" s="27" t="n">
        <f aca="false">SUM(AK146:BB146)</f>
        <v>0</v>
      </c>
      <c r="BE146" s="27" t="n">
        <f aca="false">IFERROR(BD146*AJ146,0)</f>
        <v>0</v>
      </c>
      <c r="BF146" s="28" t="n">
        <f aca="false">IFERROR(AI146*BD146,0)</f>
        <v>0</v>
      </c>
      <c r="BI146" s="22" t="str">
        <f aca="false">tab_alimentos[[#This Row],[Item]]</f>
        <v>I</v>
      </c>
      <c r="BJ146" s="22" t="n">
        <f aca="false">IFERROR(FIND(" (",BI146),0)</f>
        <v>0</v>
      </c>
      <c r="BK146" s="22" t="str">
        <f aca="false">IF(BJ146=0,BI146,LEFT(BI146,BJ146-1))</f>
        <v>I</v>
      </c>
      <c r="BL146" s="22" t="n">
        <f aca="false">tab_alimentos[[#This Row],[kg]]</f>
        <v>0</v>
      </c>
      <c r="BN146" s="22" t="n">
        <f aca="false">SUMIF($BJ$5:$BJ$158,#REF!,$BK$5:$BK$158)</f>
        <v>0</v>
      </c>
    </row>
    <row r="147" customFormat="false" ht="15" hidden="false" customHeight="false" outlineLevel="0" collapsed="false">
      <c r="I147" s="26" t="str">
        <f aca="false">alimentos[[#This Row],[Item]]</f>
        <v>J</v>
      </c>
      <c r="J147" s="27" t="n">
        <f aca="false">IFERROR(alimentos[[#This Row],[kg/embalagem]],0)</f>
        <v>0</v>
      </c>
      <c r="K147" s="27" t="n">
        <f aca="false">IFERROR(alimentos[[#This Row],[Preço]],0)</f>
        <v>0</v>
      </c>
      <c r="L147" s="27" t="n">
        <f aca="false">SUMIFS(super1[Qtde],super1[Item],tab_alimentos[[#This Row],[Item]],super1[Bairro],mercado1)+SUMIFS(supercb[Qtde],supercb[Item],tab_alimentos[[#This Row],[Item]],supercb[Bairro],mercado1)</f>
        <v>0</v>
      </c>
      <c r="M147" s="27" t="n">
        <f aca="false">SUMIFS(super1[Qtde],super1[Item],tab_alimentos[[#This Row],[Item]],super1[Bairro],mercado2)+SUMIFS(supercb[Qtde],supercb[Item],tab_alimentos[[#This Row],[Item]],supercb[Bairro],mercado2)</f>
        <v>0</v>
      </c>
      <c r="N147" s="27" t="n">
        <f aca="false">SUMIFS(super1[Qtde],super1[Item],tab_alimentos[[#This Row],[Item]],super1[Bairro],mercado3)+SUMIFS(supercb[Qtde],supercb[Item],tab_alimentos[[#This Row],[Item]],supercb[Bairro],mercado3)</f>
        <v>0</v>
      </c>
      <c r="O147" s="27" t="n">
        <f aca="false">SUMIFS(super1[Qtde],super1[Item],tab_alimentos[[#This Row],[Item]],super1[Bairro],mercado4)+SUMIFS(supercb[Qtde],supercb[Item],tab_alimentos[[#This Row],[Item]],supercb[Bairro],mercado4)</f>
        <v>0</v>
      </c>
      <c r="P147" s="27" t="n">
        <f aca="false">SUMIFS(super1[Qtde],super1[Item],tab_alimentos[[#This Row],[Item]],super1[Bairro],mercado5)+SUMIFS(supercb[Qtde],supercb[Item],tab_alimentos[[#This Row],[Item]],supercb[Bairro],mercado5)</f>
        <v>0</v>
      </c>
      <c r="Q147" s="27" t="n">
        <f aca="false">SUMIFS(super1[Qtde],super1[Item],tab_alimentos[[#This Row],[Item]],super1[Bairro],mercado6)+SUMIFS(supercb[Qtde],supercb[Item],tab_alimentos[[#This Row],[Item]],supercb[Bairro],mercado6)</f>
        <v>0</v>
      </c>
      <c r="R147" s="27" t="n">
        <f aca="false">SUMIFS(super1[Qtde],super1[Item],tab_alimentos[[#This Row],[Item]],super1[Bairro],mercado7)+SUMIFS(supercb[Qtde],supercb[Item],tab_alimentos[[#This Row],[Item]],supercb[Bairro],mercado7)</f>
        <v>0</v>
      </c>
      <c r="S147" s="27" t="n">
        <f aca="false">SUMIFS(super1[Qtde],super1[Item],tab_alimentos[[#This Row],[Item]],super1[Bairro],mercado8)+SUMIFS(supercb[Qtde],supercb[Item],tab_alimentos[[#This Row],[Item]],supercb[Bairro],mercado8)</f>
        <v>0</v>
      </c>
      <c r="T147" s="27" t="n">
        <f aca="false">SUMIFS(super1[Qtde],super1[Item],tab_alimentos[[#This Row],[Item]],super1[Bairro],mercado9)+SUMIFS(supercb[Qtde],supercb[Item],tab_alimentos[[#This Row],[Item]],supercb[Bairro],mercado9)</f>
        <v>0</v>
      </c>
      <c r="U147" s="27" t="n">
        <f aca="false">SUMIFS(super1[Qtde],super1[Item],tab_alimentos[[#This Row],[Item]],super1[Bairro],mercado10)+SUMIFS(supercb[Qtde],supercb[Item],tab_alimentos[[#This Row],[Item]],supercb[Bairro],mercado10)</f>
        <v>0</v>
      </c>
      <c r="V147" s="27" t="n">
        <f aca="false">SUMIFS(super1[Qtde],super1[Item],tab_alimentos[[#This Row],[Item]],super1[Bairro],mercado11)+SUMIFS(supercb[Qtde],supercb[Item],tab_alimentos[[#This Row],[Item]],supercb[Bairro],mercado11)</f>
        <v>0</v>
      </c>
      <c r="W147" s="27" t="n">
        <f aca="false">SUMIFS(super1[Qtde],super1[Item],tab_alimentos[[#This Row],[Item]],super1[Bairro],mercado12)+SUMIFS(supercb[Qtde],supercb[Item],tab_alimentos[[#This Row],[Item]],supercb[Bairro],mercado12)</f>
        <v>0</v>
      </c>
      <c r="X147" s="27" t="n">
        <f aca="false">SUMIFS(super1[Qtde],super1[Item],tab_alimentos[[#This Row],[Item]],super1[Bairro],mercado13)+SUMIFS(supercb[Qtde],supercb[Item],tab_alimentos[[#This Row],[Item]],supercb[Bairro],mercado13)</f>
        <v>0</v>
      </c>
      <c r="Y147" s="27" t="n">
        <f aca="false">SUMIFS(super1[Qtde],super1[Item],tab_alimentos[[#This Row],[Item]],super1[Bairro],mercado14)+SUMIFS(supercb[Qtde],supercb[Item],tab_alimentos[[#This Row],[Item]],supercb[Bairro],mercado14)</f>
        <v>0</v>
      </c>
      <c r="Z147" s="27" t="n">
        <f aca="false">SUMIFS(super1[Qtde],super1[Item],tab_alimentos[[#This Row],[Item]],super1[Bairro],mercado15)+SUMIFS(supercb[Qtde],supercb[Item],tab_alimentos[[#This Row],[Item]],supercb[Bairro],mercado15)</f>
        <v>0</v>
      </c>
      <c r="AA147" s="27" t="n">
        <f aca="false">SUMIFS(super1[Qtde],super1[Item],tab_alimentos[[#This Row],[Item]],super1[Bairro],mercado16)+SUMIFS(supercb[Qtde],supercb[Item],tab_alimentos[[#This Row],[Item]],supercb[Bairro],mercado16)</f>
        <v>0</v>
      </c>
      <c r="AB147" s="27" t="n">
        <f aca="false">SUMIFS(super1[Qtde],super1[Item],tab_alimentos[[#This Row],[Item]],super1[Bairro],mercado17)+SUMIFS(supercb[Qtde],supercb[Item],tab_alimentos[[#This Row],[Item]],supercb[Bairro],mercado17)</f>
        <v>0</v>
      </c>
      <c r="AC147" s="27" t="n">
        <f aca="false">SUMIFS(super1[Qtde],super1[Item],tab_alimentos[[#This Row],[Item]],super1[Bairro],mercado18)+SUMIFS(supercb[Qtde],supercb[Item],tab_alimentos[[#This Row],[Item]],supercb[Bairro],mercado18)</f>
        <v>0</v>
      </c>
      <c r="AD147" s="27" t="n">
        <f aca="false">SUMIFS(super1[Qtde],super1[Item],tab_alimentos[[#This Row],[Item]],super1[Bairro],extras)+SUMIFS(supercb[Qtde],supercb[Item],tab_alimentos[[#This Row],[Item]],supercb[Bairro],extras)</f>
        <v>0</v>
      </c>
      <c r="AE147" s="27" t="n">
        <f aca="false">SUM(L147:AC147)</f>
        <v>0</v>
      </c>
      <c r="AF147" s="27" t="n">
        <f aca="false">IFERROR(AE147*K147,0)</f>
        <v>0</v>
      </c>
      <c r="AG147" s="28" t="n">
        <f aca="false">IFERROR(J147*AE147,0)</f>
        <v>0</v>
      </c>
      <c r="AH147" s="26" t="str">
        <f aca="false">higiene[[#This Row],[Item]]</f>
        <v>P</v>
      </c>
      <c r="AI147" s="27" t="n">
        <f aca="false">IFERROR(higiene[[#This Row],[Kg equivalente]],0)</f>
        <v>0</v>
      </c>
      <c r="AJ147" s="27" t="n">
        <f aca="false">IFERROR(higiene[[#This Row],[Preço por produto]],0)</f>
        <v>0</v>
      </c>
      <c r="AK147" s="27" t="n">
        <f aca="false">SUMIFS(super1[Qtde],super1[Item],tab_higiene[[#This Row],[Item]],super1[Bairro],mercado1)+SUMIFS(supercb[Qtde],supercb[Item],tab_higiene[[#This Row],[Item]],supercb[Bairro],mercado1)</f>
        <v>0</v>
      </c>
      <c r="AL147" s="27" t="n">
        <f aca="false">SUMIFS(super1[Qtde],super1[Item],tab_higiene[[#This Row],[Item]],super1[Bairro],mercado2)+SUMIFS(supercb[Qtde],supercb[Item],tab_higiene[[#This Row],[Item]],supercb[Bairro],mercado2)</f>
        <v>0</v>
      </c>
      <c r="AM147" s="27" t="n">
        <f aca="false">SUMIFS(super1[Qtde],super1[Item],tab_higiene[[#This Row],[Item]],super1[Bairro],mercado3)+SUMIFS(supercb[Qtde],supercb[Item],tab_higiene[[#This Row],[Item]],supercb[Bairro],mercado3)</f>
        <v>0</v>
      </c>
      <c r="AN147" s="27" t="n">
        <f aca="false">SUMIFS(super1[Qtde],super1[Item],tab_higiene[[#This Row],[Item]],super1[Bairro],mercado4)+SUMIFS(supercb[Qtde],supercb[Item],tab_higiene[[#This Row],[Item]],supercb[Bairro],mercado4)</f>
        <v>0</v>
      </c>
      <c r="AO147" s="27" t="n">
        <f aca="false">SUMIFS(super1[Qtde],super1[Item],tab_higiene[[#This Row],[Item]],super1[Bairro],mercado5)+SUMIFS(supercb[Qtde],supercb[Item],tab_higiene[[#This Row],[Item]],supercb[Bairro],mercado5)</f>
        <v>0</v>
      </c>
      <c r="AP147" s="27" t="n">
        <f aca="false">SUMIFS(super1[Qtde],super1[Item],tab_higiene[[#This Row],[Item]],super1[Bairro],mercado6)+SUMIFS(supercb[Qtde],supercb[Item],tab_higiene[[#This Row],[Item]],supercb[Bairro],mercado6)</f>
        <v>0</v>
      </c>
      <c r="AQ147" s="27" t="n">
        <f aca="false">SUMIFS(super1[Qtde],super1[Item],tab_higiene[[#This Row],[Item]],super1[Bairro],mercado7)+SUMIFS(supercb[Qtde],supercb[Item],tab_higiene[[#This Row],[Item]],supercb[Bairro],mercado7)</f>
        <v>0</v>
      </c>
      <c r="AR147" s="27" t="n">
        <f aca="false">SUMIFS(super1[Qtde],super1[Item],tab_higiene[[#This Row],[Item]],super1[Bairro],mercado8)+SUMIFS(supercb[Qtde],supercb[Item],tab_higiene[[#This Row],[Item]],supercb[Bairro],mercado8)</f>
        <v>0</v>
      </c>
      <c r="AS147" s="27" t="n">
        <f aca="false">SUMIFS(super1[Qtde],super1[Item],tab_higiene[[#This Row],[Item]],super1[Bairro],mercado9)+SUMIFS(supercb[Qtde],supercb[Item],tab_higiene[[#This Row],[Item]],supercb[Bairro],mercado9)</f>
        <v>0</v>
      </c>
      <c r="AT147" s="27" t="n">
        <f aca="false">SUMIFS(super1[Qtde],super1[Item],tab_higiene[[#This Row],[Item]],super1[Bairro],mercado10)+SUMIFS(supercb[Qtde],supercb[Item],tab_higiene[[#This Row],[Item]],supercb[Bairro],mercado10)</f>
        <v>0</v>
      </c>
      <c r="AU147" s="27" t="n">
        <f aca="false">SUMIFS(super1[Qtde],super1[Item],tab_higiene[[#This Row],[Item]],super1[Bairro],mercado11)+SUMIFS(supercb[Qtde],supercb[Item],tab_higiene[[#This Row],[Item]],supercb[Bairro],mercado11)</f>
        <v>0</v>
      </c>
      <c r="AV147" s="27" t="n">
        <f aca="false">SUMIFS(super1[Qtde],super1[Item],tab_higiene[[#This Row],[Item]],super1[Bairro],mercado12)+SUMIFS(supercb[Qtde],supercb[Item],tab_higiene[[#This Row],[Item]],supercb[Bairro],mercado12)</f>
        <v>0</v>
      </c>
      <c r="AW147" s="27" t="n">
        <f aca="false">SUMIFS(super1[Qtde],super1[Item],tab_higiene[[#This Row],[Item]],super1[Bairro],mercado13)+SUMIFS(supercb[Qtde],supercb[Item],tab_higiene[[#This Row],[Item]],supercb[Bairro],mercado13)</f>
        <v>0</v>
      </c>
      <c r="AX147" s="27" t="n">
        <f aca="false">SUMIFS(super1[Qtde],super1[Item],tab_higiene[[#This Row],[Item]],super1[Bairro],mercado14)+SUMIFS(supercb[Qtde],supercb[Item],tab_higiene[[#This Row],[Item]],supercb[Bairro],mercado14)</f>
        <v>0</v>
      </c>
      <c r="AY147" s="27" t="n">
        <f aca="false">SUMIFS(super1[Qtde],super1[Item],tab_higiene[[#This Row],[Item]],super1[Bairro],mercado15)+SUMIFS(supercb[Qtde],supercb[Item],tab_higiene[[#This Row],[Item]],supercb[Bairro],mercado15)</f>
        <v>0</v>
      </c>
      <c r="AZ147" s="27" t="n">
        <f aca="false">SUMIFS(super1[Qtde],super1[Item],tab_higiene[[#This Row],[Item]],super1[Bairro],mercado16)+SUMIFS(supercb[Qtde],supercb[Item],tab_higiene[[#This Row],[Item]],supercb[Bairro],mercado16)</f>
        <v>0</v>
      </c>
      <c r="BA147" s="27" t="n">
        <f aca="false">SUMIFS(super1[Qtde],super1[Item],tab_higiene[[#This Row],[Item]],super1[Bairro],mercado17)+SUMIFS(supercb[Qtde],supercb[Item],tab_higiene[[#This Row],[Item]],supercb[Bairro],mercado17)</f>
        <v>0</v>
      </c>
      <c r="BB147" s="27" t="n">
        <f aca="false">SUMIFS(super1[Qtde],super1[Item],tab_higiene[[#This Row],[Item]],super1[Bairro],mercado18)+SUMIFS(supercb[Qtde],supercb[Item],tab_higiene[[#This Row],[Item]],supercb[Bairro],mercado18)</f>
        <v>0</v>
      </c>
      <c r="BC147" s="27" t="n">
        <f aca="false">SUMIFS(super1[Qtde],super1[Item],tab_higiene[[#This Row],[Item]],super1[Bairro],extras)+SUMIFS(supercb[Qtde],supercb[Item],tab_higiene[[#This Row],[Item]],supercb[Bairro],extras)</f>
        <v>0</v>
      </c>
      <c r="BD147" s="27" t="n">
        <f aca="false">SUM(AK147:BB147)</f>
        <v>0</v>
      </c>
      <c r="BE147" s="27" t="n">
        <f aca="false">IFERROR(BD147*AJ147,0)</f>
        <v>0</v>
      </c>
      <c r="BF147" s="28" t="n">
        <f aca="false">IFERROR(AI147*BD147,0)</f>
        <v>0</v>
      </c>
      <c r="BI147" s="22" t="str">
        <f aca="false">tab_alimentos[[#This Row],[Item]]</f>
        <v>J</v>
      </c>
      <c r="BJ147" s="22" t="n">
        <f aca="false">IFERROR(FIND(" (",BI147),0)</f>
        <v>0</v>
      </c>
      <c r="BK147" s="22" t="str">
        <f aca="false">IF(BJ147=0,BI147,LEFT(BI147,BJ147-1))</f>
        <v>J</v>
      </c>
      <c r="BL147" s="22" t="n">
        <f aca="false">tab_alimentos[[#This Row],[kg]]</f>
        <v>0</v>
      </c>
      <c r="BN147" s="22" t="n">
        <f aca="false">SUMIF($BJ$5:$BJ$158,#REF!,$BK$5:$BK$158)</f>
        <v>0</v>
      </c>
    </row>
    <row r="148" customFormat="false" ht="15" hidden="false" customHeight="false" outlineLevel="0" collapsed="false">
      <c r="I148" s="26" t="str">
        <f aca="false">alimentos[[#This Row],[Item]]</f>
        <v>Ketchup (400g)</v>
      </c>
      <c r="J148" s="27" t="n">
        <f aca="false">IFERROR(alimentos[[#This Row],[kg/embalagem]],0)</f>
        <v>0.4</v>
      </c>
      <c r="K148" s="27" t="n">
        <f aca="false">IFERROR(alimentos[[#This Row],[Preço]],0)</f>
        <v>4.192</v>
      </c>
      <c r="L148" s="27" t="n">
        <f aca="false">SUMIFS(super1[Qtde],super1[Item],tab_alimentos[[#This Row],[Item]],super1[Bairro],mercado1)+SUMIFS(supercb[Qtde],supercb[Item],tab_alimentos[[#This Row],[Item]],supercb[Bairro],mercado1)</f>
        <v>0</v>
      </c>
      <c r="M148" s="27" t="n">
        <f aca="false">SUMIFS(super1[Qtde],super1[Item],tab_alimentos[[#This Row],[Item]],super1[Bairro],mercado2)+SUMIFS(supercb[Qtde],supercb[Item],tab_alimentos[[#This Row],[Item]],supercb[Bairro],mercado2)</f>
        <v>0</v>
      </c>
      <c r="N148" s="27" t="n">
        <f aca="false">SUMIFS(super1[Qtde],super1[Item],tab_alimentos[[#This Row],[Item]],super1[Bairro],mercado3)+SUMIFS(supercb[Qtde],supercb[Item],tab_alimentos[[#This Row],[Item]],supercb[Bairro],mercado3)</f>
        <v>0</v>
      </c>
      <c r="O148" s="27" t="n">
        <f aca="false">SUMIFS(super1[Qtde],super1[Item],tab_alimentos[[#This Row],[Item]],super1[Bairro],mercado4)+SUMIFS(supercb[Qtde],supercb[Item],tab_alimentos[[#This Row],[Item]],supercb[Bairro],mercado4)</f>
        <v>0</v>
      </c>
      <c r="P148" s="27" t="n">
        <f aca="false">SUMIFS(super1[Qtde],super1[Item],tab_alimentos[[#This Row],[Item]],super1[Bairro],mercado5)+SUMIFS(supercb[Qtde],supercb[Item],tab_alimentos[[#This Row],[Item]],supercb[Bairro],mercado5)</f>
        <v>0</v>
      </c>
      <c r="Q148" s="27" t="n">
        <f aca="false">SUMIFS(super1[Qtde],super1[Item],tab_alimentos[[#This Row],[Item]],super1[Bairro],mercado6)+SUMIFS(supercb[Qtde],supercb[Item],tab_alimentos[[#This Row],[Item]],supercb[Bairro],mercado6)</f>
        <v>0</v>
      </c>
      <c r="R148" s="27" t="n">
        <f aca="false">SUMIFS(super1[Qtde],super1[Item],tab_alimentos[[#This Row],[Item]],super1[Bairro],mercado7)+SUMIFS(supercb[Qtde],supercb[Item],tab_alimentos[[#This Row],[Item]],supercb[Bairro],mercado7)</f>
        <v>0</v>
      </c>
      <c r="S148" s="27" t="n">
        <f aca="false">SUMIFS(super1[Qtde],super1[Item],tab_alimentos[[#This Row],[Item]],super1[Bairro],mercado8)+SUMIFS(supercb[Qtde],supercb[Item],tab_alimentos[[#This Row],[Item]],supercb[Bairro],mercado8)</f>
        <v>0</v>
      </c>
      <c r="T148" s="27" t="n">
        <f aca="false">SUMIFS(super1[Qtde],super1[Item],tab_alimentos[[#This Row],[Item]],super1[Bairro],mercado9)+SUMIFS(supercb[Qtde],supercb[Item],tab_alimentos[[#This Row],[Item]],supercb[Bairro],mercado9)</f>
        <v>0</v>
      </c>
      <c r="U148" s="27" t="n">
        <f aca="false">SUMIFS(super1[Qtde],super1[Item],tab_alimentos[[#This Row],[Item]],super1[Bairro],mercado10)+SUMIFS(supercb[Qtde],supercb[Item],tab_alimentos[[#This Row],[Item]],supercb[Bairro],mercado10)</f>
        <v>0</v>
      </c>
      <c r="V148" s="27" t="n">
        <f aca="false">SUMIFS(super1[Qtde],super1[Item],tab_alimentos[[#This Row],[Item]],super1[Bairro],mercado11)+SUMIFS(supercb[Qtde],supercb[Item],tab_alimentos[[#This Row],[Item]],supercb[Bairro],mercado11)</f>
        <v>0</v>
      </c>
      <c r="W148" s="27" t="n">
        <f aca="false">SUMIFS(super1[Qtde],super1[Item],tab_alimentos[[#This Row],[Item]],super1[Bairro],mercado12)+SUMIFS(supercb[Qtde],supercb[Item],tab_alimentos[[#This Row],[Item]],supercb[Bairro],mercado12)</f>
        <v>0</v>
      </c>
      <c r="X148" s="27" t="n">
        <f aca="false">SUMIFS(super1[Qtde],super1[Item],tab_alimentos[[#This Row],[Item]],super1[Bairro],mercado13)+SUMIFS(supercb[Qtde],supercb[Item],tab_alimentos[[#This Row],[Item]],supercb[Bairro],mercado13)</f>
        <v>0</v>
      </c>
      <c r="Y148" s="27" t="n">
        <f aca="false">SUMIFS(super1[Qtde],super1[Item],tab_alimentos[[#This Row],[Item]],super1[Bairro],mercado14)+SUMIFS(supercb[Qtde],supercb[Item],tab_alimentos[[#This Row],[Item]],supercb[Bairro],mercado14)</f>
        <v>0</v>
      </c>
      <c r="Z148" s="27" t="n">
        <f aca="false">SUMIFS(super1[Qtde],super1[Item],tab_alimentos[[#This Row],[Item]],super1[Bairro],mercado15)+SUMIFS(supercb[Qtde],supercb[Item],tab_alimentos[[#This Row],[Item]],supercb[Bairro],mercado15)</f>
        <v>0</v>
      </c>
      <c r="AA148" s="27" t="n">
        <f aca="false">SUMIFS(super1[Qtde],super1[Item],tab_alimentos[[#This Row],[Item]],super1[Bairro],mercado16)+SUMIFS(supercb[Qtde],supercb[Item],tab_alimentos[[#This Row],[Item]],supercb[Bairro],mercado16)</f>
        <v>0</v>
      </c>
      <c r="AB148" s="27" t="n">
        <f aca="false">SUMIFS(super1[Qtde],super1[Item],tab_alimentos[[#This Row],[Item]],super1[Bairro],mercado17)+SUMIFS(supercb[Qtde],supercb[Item],tab_alimentos[[#This Row],[Item]],supercb[Bairro],mercado17)</f>
        <v>0</v>
      </c>
      <c r="AC148" s="27" t="n">
        <f aca="false">SUMIFS(super1[Qtde],super1[Item],tab_alimentos[[#This Row],[Item]],super1[Bairro],mercado18)+SUMIFS(supercb[Qtde],supercb[Item],tab_alimentos[[#This Row],[Item]],supercb[Bairro],mercado18)</f>
        <v>0</v>
      </c>
      <c r="AD148" s="27" t="n">
        <f aca="false">SUMIFS(super1[Qtde],super1[Item],tab_alimentos[[#This Row],[Item]],super1[Bairro],extras)+SUMIFS(supercb[Qtde],supercb[Item],tab_alimentos[[#This Row],[Item]],supercb[Bairro],extras)</f>
        <v>0</v>
      </c>
      <c r="AE148" s="27" t="n">
        <f aca="false">SUM(L148:AC148)</f>
        <v>0</v>
      </c>
      <c r="AF148" s="27" t="n">
        <f aca="false">IFERROR(AE148*K148,0)</f>
        <v>0</v>
      </c>
      <c r="AG148" s="28" t="n">
        <f aca="false">IFERROR(J148*AE148,0)</f>
        <v>0</v>
      </c>
      <c r="AH148" s="26" t="str">
        <f aca="false">higiene[[#This Row],[Item]]</f>
        <v>Papel Higiênico (04un)</v>
      </c>
      <c r="AI148" s="27" t="n">
        <f aca="false">IFERROR(higiene[[#This Row],[Kg equivalente]],0)</f>
        <v>1.10392858944812</v>
      </c>
      <c r="AJ148" s="27" t="n">
        <f aca="false">IFERROR(higiene[[#This Row],[Preço por produto]],0)</f>
        <v>3.65666666666667</v>
      </c>
      <c r="AK148" s="27" t="n">
        <f aca="false">SUMIFS(super1[Qtde],super1[Item],tab_higiene[[#This Row],[Item]],super1[Bairro],mercado1)+SUMIFS(supercb[Qtde],supercb[Item],tab_higiene[[#This Row],[Item]],supercb[Bairro],mercado1)</f>
        <v>2</v>
      </c>
      <c r="AL148" s="27" t="n">
        <f aca="false">SUMIFS(super1[Qtde],super1[Item],tab_higiene[[#This Row],[Item]],super1[Bairro],mercado2)+SUMIFS(supercb[Qtde],supercb[Item],tab_higiene[[#This Row],[Item]],supercb[Bairro],mercado2)</f>
        <v>8</v>
      </c>
      <c r="AM148" s="27" t="n">
        <f aca="false">SUMIFS(super1[Qtde],super1[Item],tab_higiene[[#This Row],[Item]],super1[Bairro],mercado3)+SUMIFS(supercb[Qtde],supercb[Item],tab_higiene[[#This Row],[Item]],supercb[Bairro],mercado3)</f>
        <v>3</v>
      </c>
      <c r="AN148" s="27" t="n">
        <f aca="false">SUMIFS(super1[Qtde],super1[Item],tab_higiene[[#This Row],[Item]],super1[Bairro],mercado4)+SUMIFS(supercb[Qtde],supercb[Item],tab_higiene[[#This Row],[Item]],supercb[Bairro],mercado4)</f>
        <v>7</v>
      </c>
      <c r="AO148" s="27" t="n">
        <f aca="false">SUMIFS(super1[Qtde],super1[Item],tab_higiene[[#This Row],[Item]],super1[Bairro],mercado5)+SUMIFS(supercb[Qtde],supercb[Item],tab_higiene[[#This Row],[Item]],supercb[Bairro],mercado5)</f>
        <v>4</v>
      </c>
      <c r="AP148" s="27" t="n">
        <f aca="false">SUMIFS(super1[Qtde],super1[Item],tab_higiene[[#This Row],[Item]],super1[Bairro],mercado6)+SUMIFS(supercb[Qtde],supercb[Item],tab_higiene[[#This Row],[Item]],supercb[Bairro],mercado6)</f>
        <v>8</v>
      </c>
      <c r="AQ148" s="27" t="n">
        <f aca="false">SUMIFS(super1[Qtde],super1[Item],tab_higiene[[#This Row],[Item]],super1[Bairro],mercado7)+SUMIFS(supercb[Qtde],supercb[Item],tab_higiene[[#This Row],[Item]],supercb[Bairro],mercado7)</f>
        <v>8</v>
      </c>
      <c r="AR148" s="27" t="n">
        <f aca="false">SUMIFS(super1[Qtde],super1[Item],tab_higiene[[#This Row],[Item]],super1[Bairro],mercado8)+SUMIFS(supercb[Qtde],supercb[Item],tab_higiene[[#This Row],[Item]],supercb[Bairro],mercado8)</f>
        <v>6</v>
      </c>
      <c r="AS148" s="27" t="n">
        <f aca="false">SUMIFS(super1[Qtde],super1[Item],tab_higiene[[#This Row],[Item]],super1[Bairro],mercado9)+SUMIFS(supercb[Qtde],supercb[Item],tab_higiene[[#This Row],[Item]],supercb[Bairro],mercado9)</f>
        <v>6</v>
      </c>
      <c r="AT148" s="27" t="n">
        <f aca="false">SUMIFS(super1[Qtde],super1[Item],tab_higiene[[#This Row],[Item]],super1[Bairro],mercado10)+SUMIFS(supercb[Qtde],supercb[Item],tab_higiene[[#This Row],[Item]],supercb[Bairro],mercado10)</f>
        <v>5</v>
      </c>
      <c r="AU148" s="27" t="n">
        <f aca="false">SUMIFS(super1[Qtde],super1[Item],tab_higiene[[#This Row],[Item]],super1[Bairro],mercado11)+SUMIFS(supercb[Qtde],supercb[Item],tab_higiene[[#This Row],[Item]],supercb[Bairro],mercado11)</f>
        <v>10</v>
      </c>
      <c r="AV148" s="27" t="n">
        <f aca="false">SUMIFS(super1[Qtde],super1[Item],tab_higiene[[#This Row],[Item]],super1[Bairro],mercado12)+SUMIFS(supercb[Qtde],supercb[Item],tab_higiene[[#This Row],[Item]],supercb[Bairro],mercado12)</f>
        <v>0</v>
      </c>
      <c r="AW148" s="27" t="n">
        <f aca="false">SUMIFS(super1[Qtde],super1[Item],tab_higiene[[#This Row],[Item]],super1[Bairro],mercado13)+SUMIFS(supercb[Qtde],supercb[Item],tab_higiene[[#This Row],[Item]],supercb[Bairro],mercado13)</f>
        <v>10</v>
      </c>
      <c r="AX148" s="27" t="n">
        <f aca="false">SUMIFS(super1[Qtde],super1[Item],tab_higiene[[#This Row],[Item]],super1[Bairro],mercado14)+SUMIFS(supercb[Qtde],supercb[Item],tab_higiene[[#This Row],[Item]],supercb[Bairro],mercado14)</f>
        <v>0</v>
      </c>
      <c r="AY148" s="27" t="n">
        <f aca="false">SUMIFS(super1[Qtde],super1[Item],tab_higiene[[#This Row],[Item]],super1[Bairro],mercado15)+SUMIFS(supercb[Qtde],supercb[Item],tab_higiene[[#This Row],[Item]],supercb[Bairro],mercado15)</f>
        <v>0</v>
      </c>
      <c r="AZ148" s="27" t="n">
        <f aca="false">SUMIFS(super1[Qtde],super1[Item],tab_higiene[[#This Row],[Item]],super1[Bairro],mercado16)+SUMIFS(supercb[Qtde],supercb[Item],tab_higiene[[#This Row],[Item]],supercb[Bairro],mercado16)</f>
        <v>0</v>
      </c>
      <c r="BA148" s="27" t="n">
        <f aca="false">SUMIFS(super1[Qtde],super1[Item],tab_higiene[[#This Row],[Item]],super1[Bairro],mercado17)+SUMIFS(supercb[Qtde],supercb[Item],tab_higiene[[#This Row],[Item]],supercb[Bairro],mercado17)</f>
        <v>0</v>
      </c>
      <c r="BB148" s="27" t="n">
        <f aca="false">SUMIFS(super1[Qtde],super1[Item],tab_higiene[[#This Row],[Item]],super1[Bairro],mercado18)+SUMIFS(supercb[Qtde],supercb[Item],tab_higiene[[#This Row],[Item]],supercb[Bairro],mercado18)</f>
        <v>0</v>
      </c>
      <c r="BC148" s="27" t="n">
        <f aca="false">SUMIFS(super1[Qtde],super1[Item],tab_higiene[[#This Row],[Item]],super1[Bairro],extras)+SUMIFS(supercb[Qtde],supercb[Item],tab_higiene[[#This Row],[Item]],supercb[Bairro],extras)</f>
        <v>0</v>
      </c>
      <c r="BD148" s="27" t="n">
        <f aca="false">SUM(AK148:BB148)</f>
        <v>77</v>
      </c>
      <c r="BE148" s="27" t="n">
        <f aca="false">IFERROR(BD148*AJ148,0)</f>
        <v>281.563333333333</v>
      </c>
      <c r="BF148" s="28" t="n">
        <f aca="false">IFERROR(AI148*BD148,0)</f>
        <v>85.0025013875056</v>
      </c>
      <c r="BI148" s="22" t="str">
        <f aca="false">tab_alimentos[[#This Row],[Item]]</f>
        <v>Ketchup (400g)</v>
      </c>
      <c r="BJ148" s="22" t="n">
        <f aca="false">IFERROR(FIND(" (",BI148),0)</f>
        <v>8</v>
      </c>
      <c r="BK148" s="22" t="str">
        <f aca="false">IF(BJ148=0,BI148,LEFT(BI148,BJ148-1))</f>
        <v>Ketchup</v>
      </c>
      <c r="BL148" s="22" t="n">
        <f aca="false">tab_alimentos[[#This Row],[kg]]</f>
        <v>0</v>
      </c>
      <c r="BN148" s="22" t="n">
        <f aca="false">SUMIF($BJ$5:$BJ$158,#REF!,$BK$5:$BK$158)</f>
        <v>0</v>
      </c>
    </row>
    <row r="149" customFormat="false" ht="15" hidden="false" customHeight="false" outlineLevel="0" collapsed="false">
      <c r="I149" s="26" t="str">
        <f aca="false">alimentos[[#This Row],[Item]]</f>
        <v>Kibe (500g)</v>
      </c>
      <c r="J149" s="27" t="n">
        <f aca="false">IFERROR(alimentos[[#This Row],[kg/embalagem]],0)</f>
        <v>0.5</v>
      </c>
      <c r="K149" s="27" t="n">
        <f aca="false">IFERROR(alimentos[[#This Row],[Preço]],0)</f>
        <v>13.48</v>
      </c>
      <c r="L149" s="27" t="n">
        <f aca="false">SUMIFS(super1[Qtde],super1[Item],tab_alimentos[[#This Row],[Item]],super1[Bairro],mercado1)+SUMIFS(supercb[Qtde],supercb[Item],tab_alimentos[[#This Row],[Item]],supercb[Bairro],mercado1)</f>
        <v>0</v>
      </c>
      <c r="M149" s="27" t="n">
        <f aca="false">SUMIFS(super1[Qtde],super1[Item],tab_alimentos[[#This Row],[Item]],super1[Bairro],mercado2)+SUMIFS(supercb[Qtde],supercb[Item],tab_alimentos[[#This Row],[Item]],supercb[Bairro],mercado2)</f>
        <v>0</v>
      </c>
      <c r="N149" s="27" t="n">
        <f aca="false">SUMIFS(super1[Qtde],super1[Item],tab_alimentos[[#This Row],[Item]],super1[Bairro],mercado3)+SUMIFS(supercb[Qtde],supercb[Item],tab_alimentos[[#This Row],[Item]],supercb[Bairro],mercado3)</f>
        <v>0</v>
      </c>
      <c r="O149" s="27" t="n">
        <f aca="false">SUMIFS(super1[Qtde],super1[Item],tab_alimentos[[#This Row],[Item]],super1[Bairro],mercado4)+SUMIFS(supercb[Qtde],supercb[Item],tab_alimentos[[#This Row],[Item]],supercb[Bairro],mercado4)</f>
        <v>0</v>
      </c>
      <c r="P149" s="27" t="n">
        <f aca="false">SUMIFS(super1[Qtde],super1[Item],tab_alimentos[[#This Row],[Item]],super1[Bairro],mercado5)+SUMIFS(supercb[Qtde],supercb[Item],tab_alimentos[[#This Row],[Item]],supercb[Bairro],mercado5)</f>
        <v>0</v>
      </c>
      <c r="Q149" s="27" t="n">
        <f aca="false">SUMIFS(super1[Qtde],super1[Item],tab_alimentos[[#This Row],[Item]],super1[Bairro],mercado6)+SUMIFS(supercb[Qtde],supercb[Item],tab_alimentos[[#This Row],[Item]],supercb[Bairro],mercado6)</f>
        <v>0</v>
      </c>
      <c r="R149" s="27" t="n">
        <f aca="false">SUMIFS(super1[Qtde],super1[Item],tab_alimentos[[#This Row],[Item]],super1[Bairro],mercado7)+SUMIFS(supercb[Qtde],supercb[Item],tab_alimentos[[#This Row],[Item]],supercb[Bairro],mercado7)</f>
        <v>0</v>
      </c>
      <c r="S149" s="27" t="n">
        <f aca="false">SUMIFS(super1[Qtde],super1[Item],tab_alimentos[[#This Row],[Item]],super1[Bairro],mercado8)+SUMIFS(supercb[Qtde],supercb[Item],tab_alimentos[[#This Row],[Item]],supercb[Bairro],mercado8)</f>
        <v>0</v>
      </c>
      <c r="T149" s="27" t="n">
        <f aca="false">SUMIFS(super1[Qtde],super1[Item],tab_alimentos[[#This Row],[Item]],super1[Bairro],mercado9)+SUMIFS(supercb[Qtde],supercb[Item],tab_alimentos[[#This Row],[Item]],supercb[Bairro],mercado9)</f>
        <v>0</v>
      </c>
      <c r="U149" s="27" t="n">
        <f aca="false">SUMIFS(super1[Qtde],super1[Item],tab_alimentos[[#This Row],[Item]],super1[Bairro],mercado10)+SUMIFS(supercb[Qtde],supercb[Item],tab_alimentos[[#This Row],[Item]],supercb[Bairro],mercado10)</f>
        <v>0</v>
      </c>
      <c r="V149" s="27" t="n">
        <f aca="false">SUMIFS(super1[Qtde],super1[Item],tab_alimentos[[#This Row],[Item]],super1[Bairro],mercado11)+SUMIFS(supercb[Qtde],supercb[Item],tab_alimentos[[#This Row],[Item]],supercb[Bairro],mercado11)</f>
        <v>0</v>
      </c>
      <c r="W149" s="27" t="n">
        <f aca="false">SUMIFS(super1[Qtde],super1[Item],tab_alimentos[[#This Row],[Item]],super1[Bairro],mercado12)+SUMIFS(supercb[Qtde],supercb[Item],tab_alimentos[[#This Row],[Item]],supercb[Bairro],mercado12)</f>
        <v>0</v>
      </c>
      <c r="X149" s="27" t="n">
        <f aca="false">SUMIFS(super1[Qtde],super1[Item],tab_alimentos[[#This Row],[Item]],super1[Bairro],mercado13)+SUMIFS(supercb[Qtde],supercb[Item],tab_alimentos[[#This Row],[Item]],supercb[Bairro],mercado13)</f>
        <v>0</v>
      </c>
      <c r="Y149" s="27" t="n">
        <f aca="false">SUMIFS(super1[Qtde],super1[Item],tab_alimentos[[#This Row],[Item]],super1[Bairro],mercado14)+SUMIFS(supercb[Qtde],supercb[Item],tab_alimentos[[#This Row],[Item]],supercb[Bairro],mercado14)</f>
        <v>0</v>
      </c>
      <c r="Z149" s="27" t="n">
        <f aca="false">SUMIFS(super1[Qtde],super1[Item],tab_alimentos[[#This Row],[Item]],super1[Bairro],mercado15)+SUMIFS(supercb[Qtde],supercb[Item],tab_alimentos[[#This Row],[Item]],supercb[Bairro],mercado15)</f>
        <v>0</v>
      </c>
      <c r="AA149" s="27" t="n">
        <f aca="false">SUMIFS(super1[Qtde],super1[Item],tab_alimentos[[#This Row],[Item]],super1[Bairro],mercado16)+SUMIFS(supercb[Qtde],supercb[Item],tab_alimentos[[#This Row],[Item]],supercb[Bairro],mercado16)</f>
        <v>0</v>
      </c>
      <c r="AB149" s="27" t="n">
        <f aca="false">SUMIFS(super1[Qtde],super1[Item],tab_alimentos[[#This Row],[Item]],super1[Bairro],mercado17)+SUMIFS(supercb[Qtde],supercb[Item],tab_alimentos[[#This Row],[Item]],supercb[Bairro],mercado17)</f>
        <v>0</v>
      </c>
      <c r="AC149" s="27" t="n">
        <f aca="false">SUMIFS(super1[Qtde],super1[Item],tab_alimentos[[#This Row],[Item]],super1[Bairro],mercado18)+SUMIFS(supercb[Qtde],supercb[Item],tab_alimentos[[#This Row],[Item]],supercb[Bairro],mercado18)</f>
        <v>0</v>
      </c>
      <c r="AD149" s="27" t="n">
        <f aca="false">SUMIFS(super1[Qtde],super1[Item],tab_alimentos[[#This Row],[Item]],super1[Bairro],extras)+SUMIFS(supercb[Qtde],supercb[Item],tab_alimentos[[#This Row],[Item]],supercb[Bairro],extras)</f>
        <v>0</v>
      </c>
      <c r="AE149" s="27" t="n">
        <f aca="false">SUM(L149:AC149)</f>
        <v>0</v>
      </c>
      <c r="AF149" s="27" t="n">
        <f aca="false">IFERROR(AE149*K149,0)</f>
        <v>0</v>
      </c>
      <c r="AG149" s="28" t="n">
        <f aca="false">IFERROR(J149*AE149,0)</f>
        <v>0</v>
      </c>
      <c r="AH149" s="26" t="str">
        <f aca="false">higiene[[#This Row],[Item]]</f>
        <v>Papel Higiênico (08un)</v>
      </c>
      <c r="AI149" s="27" t="n">
        <f aca="false">IFERROR(higiene[[#This Row],[Kg equivalente]],0)</f>
        <v>1.64230761894197</v>
      </c>
      <c r="AJ149" s="27" t="n">
        <f aca="false">IFERROR(higiene[[#This Row],[Preço por produto]],0)</f>
        <v>5.44</v>
      </c>
      <c r="AK149" s="27" t="n">
        <f aca="false">SUMIFS(super1[Qtde],super1[Item],tab_higiene[[#This Row],[Item]],super1[Bairro],mercado1)+SUMIFS(supercb[Qtde],supercb[Item],tab_higiene[[#This Row],[Item]],supercb[Bairro],mercado1)</f>
        <v>2</v>
      </c>
      <c r="AL149" s="27" t="n">
        <f aca="false">SUMIFS(super1[Qtde],super1[Item],tab_higiene[[#This Row],[Item]],super1[Bairro],mercado2)+SUMIFS(supercb[Qtde],supercb[Item],tab_higiene[[#This Row],[Item]],supercb[Bairro],mercado2)</f>
        <v>4</v>
      </c>
      <c r="AM149" s="27" t="n">
        <f aca="false">SUMIFS(super1[Qtde],super1[Item],tab_higiene[[#This Row],[Item]],super1[Bairro],mercado3)+SUMIFS(supercb[Qtde],supercb[Item],tab_higiene[[#This Row],[Item]],supercb[Bairro],mercado3)</f>
        <v>1</v>
      </c>
      <c r="AN149" s="27" t="n">
        <f aca="false">SUMIFS(super1[Qtde],super1[Item],tab_higiene[[#This Row],[Item]],super1[Bairro],mercado4)+SUMIFS(supercb[Qtde],supercb[Item],tab_higiene[[#This Row],[Item]],supercb[Bairro],mercado4)</f>
        <v>1</v>
      </c>
      <c r="AO149" s="27" t="n">
        <f aca="false">SUMIFS(super1[Qtde],super1[Item],tab_higiene[[#This Row],[Item]],super1[Bairro],mercado5)+SUMIFS(supercb[Qtde],supercb[Item],tab_higiene[[#This Row],[Item]],supercb[Bairro],mercado5)</f>
        <v>5</v>
      </c>
      <c r="AP149" s="27" t="n">
        <f aca="false">SUMIFS(super1[Qtde],super1[Item],tab_higiene[[#This Row],[Item]],super1[Bairro],mercado6)+SUMIFS(supercb[Qtde],supercb[Item],tab_higiene[[#This Row],[Item]],supercb[Bairro],mercado6)</f>
        <v>1</v>
      </c>
      <c r="AQ149" s="27" t="n">
        <f aca="false">SUMIFS(super1[Qtde],super1[Item],tab_higiene[[#This Row],[Item]],super1[Bairro],mercado7)+SUMIFS(supercb[Qtde],supercb[Item],tab_higiene[[#This Row],[Item]],supercb[Bairro],mercado7)</f>
        <v>2</v>
      </c>
      <c r="AR149" s="27" t="n">
        <f aca="false">SUMIFS(super1[Qtde],super1[Item],tab_higiene[[#This Row],[Item]],super1[Bairro],mercado8)+SUMIFS(supercb[Qtde],supercb[Item],tab_higiene[[#This Row],[Item]],supercb[Bairro],mercado8)</f>
        <v>3</v>
      </c>
      <c r="AS149" s="27" t="n">
        <f aca="false">SUMIFS(super1[Qtde],super1[Item],tab_higiene[[#This Row],[Item]],super1[Bairro],mercado9)+SUMIFS(supercb[Qtde],supercb[Item],tab_higiene[[#This Row],[Item]],supercb[Bairro],mercado9)</f>
        <v>0</v>
      </c>
      <c r="AT149" s="27" t="n">
        <f aca="false">SUMIFS(super1[Qtde],super1[Item],tab_higiene[[#This Row],[Item]],super1[Bairro],mercado10)+SUMIFS(supercb[Qtde],supercb[Item],tab_higiene[[#This Row],[Item]],supercb[Bairro],mercado10)</f>
        <v>1</v>
      </c>
      <c r="AU149" s="27" t="n">
        <f aca="false">SUMIFS(super1[Qtde],super1[Item],tab_higiene[[#This Row],[Item]],super1[Bairro],mercado11)+SUMIFS(supercb[Qtde],supercb[Item],tab_higiene[[#This Row],[Item]],supercb[Bairro],mercado11)</f>
        <v>0</v>
      </c>
      <c r="AV149" s="27" t="n">
        <f aca="false">SUMIFS(super1[Qtde],super1[Item],tab_higiene[[#This Row],[Item]],super1[Bairro],mercado12)+SUMIFS(supercb[Qtde],supercb[Item],tab_higiene[[#This Row],[Item]],supercb[Bairro],mercado12)</f>
        <v>0</v>
      </c>
      <c r="AW149" s="27" t="n">
        <f aca="false">SUMIFS(super1[Qtde],super1[Item],tab_higiene[[#This Row],[Item]],super1[Bairro],mercado13)+SUMIFS(supercb[Qtde],supercb[Item],tab_higiene[[#This Row],[Item]],supercb[Bairro],mercado13)</f>
        <v>0</v>
      </c>
      <c r="AX149" s="27" t="n">
        <f aca="false">SUMIFS(super1[Qtde],super1[Item],tab_higiene[[#This Row],[Item]],super1[Bairro],mercado14)+SUMIFS(supercb[Qtde],supercb[Item],tab_higiene[[#This Row],[Item]],supercb[Bairro],mercado14)</f>
        <v>0</v>
      </c>
      <c r="AY149" s="27" t="n">
        <f aca="false">SUMIFS(super1[Qtde],super1[Item],tab_higiene[[#This Row],[Item]],super1[Bairro],mercado15)+SUMIFS(supercb[Qtde],supercb[Item],tab_higiene[[#This Row],[Item]],supercb[Bairro],mercado15)</f>
        <v>0</v>
      </c>
      <c r="AZ149" s="27" t="n">
        <f aca="false">SUMIFS(super1[Qtde],super1[Item],tab_higiene[[#This Row],[Item]],super1[Bairro],mercado16)+SUMIFS(supercb[Qtde],supercb[Item],tab_higiene[[#This Row],[Item]],supercb[Bairro],mercado16)</f>
        <v>0</v>
      </c>
      <c r="BA149" s="27" t="n">
        <f aca="false">SUMIFS(super1[Qtde],super1[Item],tab_higiene[[#This Row],[Item]],super1[Bairro],mercado17)+SUMIFS(supercb[Qtde],supercb[Item],tab_higiene[[#This Row],[Item]],supercb[Bairro],mercado17)</f>
        <v>0</v>
      </c>
      <c r="BB149" s="27" t="n">
        <f aca="false">SUMIFS(super1[Qtde],super1[Item],tab_higiene[[#This Row],[Item]],super1[Bairro],mercado18)+SUMIFS(supercb[Qtde],supercb[Item],tab_higiene[[#This Row],[Item]],supercb[Bairro],mercado18)</f>
        <v>0</v>
      </c>
      <c r="BC149" s="27" t="n">
        <f aca="false">SUMIFS(super1[Qtde],super1[Item],tab_higiene[[#This Row],[Item]],super1[Bairro],extras)+SUMIFS(supercb[Qtde],supercb[Item],tab_higiene[[#This Row],[Item]],supercb[Bairro],extras)</f>
        <v>0</v>
      </c>
      <c r="BD149" s="27" t="n">
        <f aca="false">SUM(AK149:BB149)</f>
        <v>20</v>
      </c>
      <c r="BE149" s="27" t="n">
        <f aca="false">IFERROR(BD149*AJ149,0)</f>
        <v>108.8</v>
      </c>
      <c r="BF149" s="28" t="n">
        <f aca="false">IFERROR(AI149*BD149,0)</f>
        <v>32.8461523788394</v>
      </c>
      <c r="BI149" s="22" t="str">
        <f aca="false">tab_alimentos[[#This Row],[Item]]</f>
        <v>Kibe (500g)</v>
      </c>
      <c r="BJ149" s="22" t="n">
        <f aca="false">IFERROR(FIND(" (",BI149),0)</f>
        <v>5</v>
      </c>
      <c r="BK149" s="22" t="str">
        <f aca="false">IF(BJ149=0,BI149,LEFT(BI149,BJ149-1))</f>
        <v>Kibe</v>
      </c>
      <c r="BL149" s="22" t="n">
        <f aca="false">tab_alimentos[[#This Row],[kg]]</f>
        <v>0</v>
      </c>
      <c r="BN149" s="22" t="n">
        <f aca="false">SUMIF($BJ$5:$BJ$158,#REF!,$BK$5:$BK$158)</f>
        <v>0</v>
      </c>
    </row>
    <row r="150" customFormat="false" ht="15" hidden="false" customHeight="false" outlineLevel="0" collapsed="false">
      <c r="I150" s="26" t="str">
        <f aca="false">alimentos[[#This Row],[Item]]</f>
        <v>L</v>
      </c>
      <c r="J150" s="27" t="n">
        <f aca="false">IFERROR(alimentos[[#This Row],[kg/embalagem]],0)</f>
        <v>0</v>
      </c>
      <c r="K150" s="27" t="n">
        <f aca="false">IFERROR(alimentos[[#This Row],[Preço]],0)</f>
        <v>0</v>
      </c>
      <c r="L150" s="27" t="n">
        <f aca="false">SUMIFS(super1[Qtde],super1[Item],tab_alimentos[[#This Row],[Item]],super1[Bairro],mercado1)+SUMIFS(supercb[Qtde],supercb[Item],tab_alimentos[[#This Row],[Item]],supercb[Bairro],mercado1)</f>
        <v>0</v>
      </c>
      <c r="M150" s="27" t="n">
        <f aca="false">SUMIFS(super1[Qtde],super1[Item],tab_alimentos[[#This Row],[Item]],super1[Bairro],mercado2)+SUMIFS(supercb[Qtde],supercb[Item],tab_alimentos[[#This Row],[Item]],supercb[Bairro],mercado2)</f>
        <v>0</v>
      </c>
      <c r="N150" s="27" t="n">
        <f aca="false">SUMIFS(super1[Qtde],super1[Item],tab_alimentos[[#This Row],[Item]],super1[Bairro],mercado3)+SUMIFS(supercb[Qtde],supercb[Item],tab_alimentos[[#This Row],[Item]],supercb[Bairro],mercado3)</f>
        <v>0</v>
      </c>
      <c r="O150" s="27" t="n">
        <f aca="false">SUMIFS(super1[Qtde],super1[Item],tab_alimentos[[#This Row],[Item]],super1[Bairro],mercado4)+SUMIFS(supercb[Qtde],supercb[Item],tab_alimentos[[#This Row],[Item]],supercb[Bairro],mercado4)</f>
        <v>0</v>
      </c>
      <c r="P150" s="27" t="n">
        <f aca="false">SUMIFS(super1[Qtde],super1[Item],tab_alimentos[[#This Row],[Item]],super1[Bairro],mercado5)+SUMIFS(supercb[Qtde],supercb[Item],tab_alimentos[[#This Row],[Item]],supercb[Bairro],mercado5)</f>
        <v>0</v>
      </c>
      <c r="Q150" s="27" t="n">
        <f aca="false">SUMIFS(super1[Qtde],super1[Item],tab_alimentos[[#This Row],[Item]],super1[Bairro],mercado6)+SUMIFS(supercb[Qtde],supercb[Item],tab_alimentos[[#This Row],[Item]],supercb[Bairro],mercado6)</f>
        <v>0</v>
      </c>
      <c r="R150" s="27" t="n">
        <f aca="false">SUMIFS(super1[Qtde],super1[Item],tab_alimentos[[#This Row],[Item]],super1[Bairro],mercado7)+SUMIFS(supercb[Qtde],supercb[Item],tab_alimentos[[#This Row],[Item]],supercb[Bairro],mercado7)</f>
        <v>0</v>
      </c>
      <c r="S150" s="27" t="n">
        <f aca="false">SUMIFS(super1[Qtde],super1[Item],tab_alimentos[[#This Row],[Item]],super1[Bairro],mercado8)+SUMIFS(supercb[Qtde],supercb[Item],tab_alimentos[[#This Row],[Item]],supercb[Bairro],mercado8)</f>
        <v>0</v>
      </c>
      <c r="T150" s="27" t="n">
        <f aca="false">SUMIFS(super1[Qtde],super1[Item],tab_alimentos[[#This Row],[Item]],super1[Bairro],mercado9)+SUMIFS(supercb[Qtde],supercb[Item],tab_alimentos[[#This Row],[Item]],supercb[Bairro],mercado9)</f>
        <v>0</v>
      </c>
      <c r="U150" s="27" t="n">
        <f aca="false">SUMIFS(super1[Qtde],super1[Item],tab_alimentos[[#This Row],[Item]],super1[Bairro],mercado10)+SUMIFS(supercb[Qtde],supercb[Item],tab_alimentos[[#This Row],[Item]],supercb[Bairro],mercado10)</f>
        <v>0</v>
      </c>
      <c r="V150" s="27" t="n">
        <f aca="false">SUMIFS(super1[Qtde],super1[Item],tab_alimentos[[#This Row],[Item]],super1[Bairro],mercado11)+SUMIFS(supercb[Qtde],supercb[Item],tab_alimentos[[#This Row],[Item]],supercb[Bairro],mercado11)</f>
        <v>0</v>
      </c>
      <c r="W150" s="27" t="n">
        <f aca="false">SUMIFS(super1[Qtde],super1[Item],tab_alimentos[[#This Row],[Item]],super1[Bairro],mercado12)+SUMIFS(supercb[Qtde],supercb[Item],tab_alimentos[[#This Row],[Item]],supercb[Bairro],mercado12)</f>
        <v>0</v>
      </c>
      <c r="X150" s="27" t="n">
        <f aca="false">SUMIFS(super1[Qtde],super1[Item],tab_alimentos[[#This Row],[Item]],super1[Bairro],mercado13)+SUMIFS(supercb[Qtde],supercb[Item],tab_alimentos[[#This Row],[Item]],supercb[Bairro],mercado13)</f>
        <v>0</v>
      </c>
      <c r="Y150" s="27" t="n">
        <f aca="false">SUMIFS(super1[Qtde],super1[Item],tab_alimentos[[#This Row],[Item]],super1[Bairro],mercado14)+SUMIFS(supercb[Qtde],supercb[Item],tab_alimentos[[#This Row],[Item]],supercb[Bairro],mercado14)</f>
        <v>0</v>
      </c>
      <c r="Z150" s="27" t="n">
        <f aca="false">SUMIFS(super1[Qtde],super1[Item],tab_alimentos[[#This Row],[Item]],super1[Bairro],mercado15)+SUMIFS(supercb[Qtde],supercb[Item],tab_alimentos[[#This Row],[Item]],supercb[Bairro],mercado15)</f>
        <v>0</v>
      </c>
      <c r="AA150" s="27" t="n">
        <f aca="false">SUMIFS(super1[Qtde],super1[Item],tab_alimentos[[#This Row],[Item]],super1[Bairro],mercado16)+SUMIFS(supercb[Qtde],supercb[Item],tab_alimentos[[#This Row],[Item]],supercb[Bairro],mercado16)</f>
        <v>0</v>
      </c>
      <c r="AB150" s="27" t="n">
        <f aca="false">SUMIFS(super1[Qtde],super1[Item],tab_alimentos[[#This Row],[Item]],super1[Bairro],mercado17)+SUMIFS(supercb[Qtde],supercb[Item],tab_alimentos[[#This Row],[Item]],supercb[Bairro],mercado17)</f>
        <v>0</v>
      </c>
      <c r="AC150" s="27" t="n">
        <f aca="false">SUMIFS(super1[Qtde],super1[Item],tab_alimentos[[#This Row],[Item]],super1[Bairro],mercado18)+SUMIFS(supercb[Qtde],supercb[Item],tab_alimentos[[#This Row],[Item]],supercb[Bairro],mercado18)</f>
        <v>0</v>
      </c>
      <c r="AD150" s="27" t="n">
        <f aca="false">SUMIFS(super1[Qtde],super1[Item],tab_alimentos[[#This Row],[Item]],super1[Bairro],extras)+SUMIFS(supercb[Qtde],supercb[Item],tab_alimentos[[#This Row],[Item]],supercb[Bairro],extras)</f>
        <v>0</v>
      </c>
      <c r="AE150" s="27" t="n">
        <f aca="false">SUM(L150:AC150)</f>
        <v>0</v>
      </c>
      <c r="AF150" s="27" t="n">
        <f aca="false">IFERROR(AE150*K150,0)</f>
        <v>0</v>
      </c>
      <c r="AG150" s="28" t="n">
        <f aca="false">IFERROR(J150*AE150,0)</f>
        <v>0</v>
      </c>
      <c r="AH150" s="26" t="str">
        <f aca="false">higiene[[#This Row],[Item]]</f>
        <v>Papel Higiênico (12un)</v>
      </c>
      <c r="AI150" s="27" t="n">
        <f aca="false">IFERROR(higiene[[#This Row],[Kg equivalente]],0)</f>
        <v>3.95180270807911</v>
      </c>
      <c r="AJ150" s="27" t="n">
        <f aca="false">IFERROR(higiene[[#This Row],[Preço por produto]],0)</f>
        <v>13.09</v>
      </c>
      <c r="AK150" s="27" t="n">
        <f aca="false">SUMIFS(super1[Qtde],super1[Item],tab_higiene[[#This Row],[Item]],super1[Bairro],mercado1)+SUMIFS(supercb[Qtde],supercb[Item],tab_higiene[[#This Row],[Item]],supercb[Bairro],mercado1)</f>
        <v>0</v>
      </c>
      <c r="AL150" s="27" t="n">
        <f aca="false">SUMIFS(super1[Qtde],super1[Item],tab_higiene[[#This Row],[Item]],super1[Bairro],mercado2)+SUMIFS(supercb[Qtde],supercb[Item],tab_higiene[[#This Row],[Item]],supercb[Bairro],mercado2)</f>
        <v>1</v>
      </c>
      <c r="AM150" s="27" t="n">
        <f aca="false">SUMIFS(super1[Qtde],super1[Item],tab_higiene[[#This Row],[Item]],super1[Bairro],mercado3)+SUMIFS(supercb[Qtde],supercb[Item],tab_higiene[[#This Row],[Item]],supercb[Bairro],mercado3)</f>
        <v>1</v>
      </c>
      <c r="AN150" s="27" t="n">
        <f aca="false">SUMIFS(super1[Qtde],super1[Item],tab_higiene[[#This Row],[Item]],super1[Bairro],mercado4)+SUMIFS(supercb[Qtde],supercb[Item],tab_higiene[[#This Row],[Item]],supercb[Bairro],mercado4)</f>
        <v>1</v>
      </c>
      <c r="AO150" s="27" t="n">
        <f aca="false">SUMIFS(super1[Qtde],super1[Item],tab_higiene[[#This Row],[Item]],super1[Bairro],mercado5)+SUMIFS(supercb[Qtde],supercb[Item],tab_higiene[[#This Row],[Item]],supercb[Bairro],mercado5)</f>
        <v>3</v>
      </c>
      <c r="AP150" s="27" t="n">
        <f aca="false">SUMIFS(super1[Qtde],super1[Item],tab_higiene[[#This Row],[Item]],super1[Bairro],mercado6)+SUMIFS(supercb[Qtde],supercb[Item],tab_higiene[[#This Row],[Item]],supercb[Bairro],mercado6)</f>
        <v>1</v>
      </c>
      <c r="AQ150" s="27" t="n">
        <f aca="false">SUMIFS(super1[Qtde],super1[Item],tab_higiene[[#This Row],[Item]],super1[Bairro],mercado7)+SUMIFS(supercb[Qtde],supercb[Item],tab_higiene[[#This Row],[Item]],supercb[Bairro],mercado7)</f>
        <v>2</v>
      </c>
      <c r="AR150" s="27" t="n">
        <f aca="false">SUMIFS(super1[Qtde],super1[Item],tab_higiene[[#This Row],[Item]],super1[Bairro],mercado8)+SUMIFS(supercb[Qtde],supercb[Item],tab_higiene[[#This Row],[Item]],supercb[Bairro],mercado8)</f>
        <v>0</v>
      </c>
      <c r="AS150" s="27" t="n">
        <f aca="false">SUMIFS(super1[Qtde],super1[Item],tab_higiene[[#This Row],[Item]],super1[Bairro],mercado9)+SUMIFS(supercb[Qtde],supercb[Item],tab_higiene[[#This Row],[Item]],supercb[Bairro],mercado9)</f>
        <v>1</v>
      </c>
      <c r="AT150" s="27" t="n">
        <f aca="false">SUMIFS(super1[Qtde],super1[Item],tab_higiene[[#This Row],[Item]],super1[Bairro],mercado10)+SUMIFS(supercb[Qtde],supercb[Item],tab_higiene[[#This Row],[Item]],supercb[Bairro],mercado10)</f>
        <v>3</v>
      </c>
      <c r="AU150" s="27" t="n">
        <f aca="false">SUMIFS(super1[Qtde],super1[Item],tab_higiene[[#This Row],[Item]],super1[Bairro],mercado11)+SUMIFS(supercb[Qtde],supercb[Item],tab_higiene[[#This Row],[Item]],supercb[Bairro],mercado11)</f>
        <v>1</v>
      </c>
      <c r="AV150" s="27" t="n">
        <f aca="false">SUMIFS(super1[Qtde],super1[Item],tab_higiene[[#This Row],[Item]],super1[Bairro],mercado12)+SUMIFS(supercb[Qtde],supercb[Item],tab_higiene[[#This Row],[Item]],supercb[Bairro],mercado12)</f>
        <v>0</v>
      </c>
      <c r="AW150" s="27" t="n">
        <f aca="false">SUMIFS(super1[Qtde],super1[Item],tab_higiene[[#This Row],[Item]],super1[Bairro],mercado13)+SUMIFS(supercb[Qtde],supercb[Item],tab_higiene[[#This Row],[Item]],supercb[Bairro],mercado13)</f>
        <v>2</v>
      </c>
      <c r="AX150" s="27" t="n">
        <f aca="false">SUMIFS(super1[Qtde],super1[Item],tab_higiene[[#This Row],[Item]],super1[Bairro],mercado14)+SUMIFS(supercb[Qtde],supercb[Item],tab_higiene[[#This Row],[Item]],supercb[Bairro],mercado14)</f>
        <v>0</v>
      </c>
      <c r="AY150" s="27" t="n">
        <f aca="false">SUMIFS(super1[Qtde],super1[Item],tab_higiene[[#This Row],[Item]],super1[Bairro],mercado15)+SUMIFS(supercb[Qtde],supercb[Item],tab_higiene[[#This Row],[Item]],supercb[Bairro],mercado15)</f>
        <v>0</v>
      </c>
      <c r="AZ150" s="27" t="n">
        <f aca="false">SUMIFS(super1[Qtde],super1[Item],tab_higiene[[#This Row],[Item]],super1[Bairro],mercado16)+SUMIFS(supercb[Qtde],supercb[Item],tab_higiene[[#This Row],[Item]],supercb[Bairro],mercado16)</f>
        <v>0</v>
      </c>
      <c r="BA150" s="27" t="n">
        <f aca="false">SUMIFS(super1[Qtde],super1[Item],tab_higiene[[#This Row],[Item]],super1[Bairro],mercado17)+SUMIFS(supercb[Qtde],supercb[Item],tab_higiene[[#This Row],[Item]],supercb[Bairro],mercado17)</f>
        <v>0</v>
      </c>
      <c r="BB150" s="27" t="n">
        <f aca="false">SUMIFS(super1[Qtde],super1[Item],tab_higiene[[#This Row],[Item]],super1[Bairro],mercado18)+SUMIFS(supercb[Qtde],supercb[Item],tab_higiene[[#This Row],[Item]],supercb[Bairro],mercado18)</f>
        <v>0</v>
      </c>
      <c r="BC150" s="27" t="n">
        <f aca="false">SUMIFS(super1[Qtde],super1[Item],tab_higiene[[#This Row],[Item]],super1[Bairro],extras)+SUMIFS(supercb[Qtde],supercb[Item],tab_higiene[[#This Row],[Item]],supercb[Bairro],extras)</f>
        <v>0</v>
      </c>
      <c r="BD150" s="27" t="n">
        <f aca="false">SUM(AK150:BB150)</f>
        <v>16</v>
      </c>
      <c r="BE150" s="27" t="n">
        <f aca="false">IFERROR(BD150*AJ150,0)</f>
        <v>209.44</v>
      </c>
      <c r="BF150" s="28" t="n">
        <f aca="false">IFERROR(AI150*BD150,0)</f>
        <v>63.2288433292658</v>
      </c>
      <c r="BI150" s="22" t="str">
        <f aca="false">tab_alimentos[[#This Row],[Item]]</f>
        <v>L</v>
      </c>
      <c r="BJ150" s="22" t="n">
        <f aca="false">IFERROR(FIND(" (",BI150),0)</f>
        <v>0</v>
      </c>
      <c r="BK150" s="22" t="str">
        <f aca="false">IF(BJ150=0,BI150,LEFT(BI150,BJ150-1))</f>
        <v>L</v>
      </c>
      <c r="BL150" s="22" t="n">
        <f aca="false">tab_alimentos[[#This Row],[kg]]</f>
        <v>0</v>
      </c>
      <c r="BN150" s="22" t="n">
        <f aca="false">SUMIF($BJ$5:$BJ$158,#REF!,$BK$5:$BK$158)</f>
        <v>0</v>
      </c>
    </row>
    <row r="151" customFormat="false" ht="15" hidden="false" customHeight="false" outlineLevel="0" collapsed="false">
      <c r="I151" s="26" t="str">
        <f aca="false">alimentos[[#This Row],[Item]]</f>
        <v>Leite (caixa com 12)</v>
      </c>
      <c r="J151" s="27" t="n">
        <f aca="false">IFERROR(alimentos[[#This Row],[kg/embalagem]],0)</f>
        <v>12</v>
      </c>
      <c r="K151" s="27" t="n">
        <f aca="false">IFERROR(alimentos[[#This Row],[Preço]],0)</f>
        <v>32.576</v>
      </c>
      <c r="L151" s="27" t="n">
        <f aca="false">SUMIFS(super1[Qtde],super1[Item],tab_alimentos[[#This Row],[Item]],super1[Bairro],mercado1)+SUMIFS(supercb[Qtde],supercb[Item],tab_alimentos[[#This Row],[Item]],supercb[Bairro],mercado1)</f>
        <v>0</v>
      </c>
      <c r="M151" s="27" t="n">
        <f aca="false">SUMIFS(super1[Qtde],super1[Item],tab_alimentos[[#This Row],[Item]],super1[Bairro],mercado2)+SUMIFS(supercb[Qtde],supercb[Item],tab_alimentos[[#This Row],[Item]],supercb[Bairro],mercado2)</f>
        <v>0</v>
      </c>
      <c r="N151" s="27" t="n">
        <f aca="false">SUMIFS(super1[Qtde],super1[Item],tab_alimentos[[#This Row],[Item]],super1[Bairro],mercado3)+SUMIFS(supercb[Qtde],supercb[Item],tab_alimentos[[#This Row],[Item]],supercb[Bairro],mercado3)</f>
        <v>0</v>
      </c>
      <c r="O151" s="27" t="n">
        <f aca="false">SUMIFS(super1[Qtde],super1[Item],tab_alimentos[[#This Row],[Item]],super1[Bairro],mercado4)+SUMIFS(supercb[Qtde],supercb[Item],tab_alimentos[[#This Row],[Item]],supercb[Bairro],mercado4)</f>
        <v>0</v>
      </c>
      <c r="P151" s="27" t="n">
        <f aca="false">SUMIFS(super1[Qtde],super1[Item],tab_alimentos[[#This Row],[Item]],super1[Bairro],mercado5)+SUMIFS(supercb[Qtde],supercb[Item],tab_alimentos[[#This Row],[Item]],supercb[Bairro],mercado5)</f>
        <v>0</v>
      </c>
      <c r="Q151" s="27" t="n">
        <f aca="false">SUMIFS(super1[Qtde],super1[Item],tab_alimentos[[#This Row],[Item]],super1[Bairro],mercado6)+SUMIFS(supercb[Qtde],supercb[Item],tab_alimentos[[#This Row],[Item]],supercb[Bairro],mercado6)</f>
        <v>1</v>
      </c>
      <c r="R151" s="27" t="n">
        <f aca="false">SUMIFS(super1[Qtde],super1[Item],tab_alimentos[[#This Row],[Item]],super1[Bairro],mercado7)+SUMIFS(supercb[Qtde],supercb[Item],tab_alimentos[[#This Row],[Item]],supercb[Bairro],mercado7)</f>
        <v>0</v>
      </c>
      <c r="S151" s="27" t="n">
        <f aca="false">SUMIFS(super1[Qtde],super1[Item],tab_alimentos[[#This Row],[Item]],super1[Bairro],mercado8)+SUMIFS(supercb[Qtde],supercb[Item],tab_alimentos[[#This Row],[Item]],supercb[Bairro],mercado8)</f>
        <v>0</v>
      </c>
      <c r="T151" s="27" t="n">
        <f aca="false">SUMIFS(super1[Qtde],super1[Item],tab_alimentos[[#This Row],[Item]],super1[Bairro],mercado9)+SUMIFS(supercb[Qtde],supercb[Item],tab_alimentos[[#This Row],[Item]],supercb[Bairro],mercado9)</f>
        <v>0</v>
      </c>
      <c r="U151" s="27" t="n">
        <f aca="false">SUMIFS(super1[Qtde],super1[Item],tab_alimentos[[#This Row],[Item]],super1[Bairro],mercado10)+SUMIFS(supercb[Qtde],supercb[Item],tab_alimentos[[#This Row],[Item]],supercb[Bairro],mercado10)</f>
        <v>0</v>
      </c>
      <c r="V151" s="27" t="n">
        <f aca="false">SUMIFS(super1[Qtde],super1[Item],tab_alimentos[[#This Row],[Item]],super1[Bairro],mercado11)+SUMIFS(supercb[Qtde],supercb[Item],tab_alimentos[[#This Row],[Item]],supercb[Bairro],mercado11)</f>
        <v>0</v>
      </c>
      <c r="W151" s="27" t="n">
        <f aca="false">SUMIFS(super1[Qtde],super1[Item],tab_alimentos[[#This Row],[Item]],super1[Bairro],mercado12)+SUMIFS(supercb[Qtde],supercb[Item],tab_alimentos[[#This Row],[Item]],supercb[Bairro],mercado12)</f>
        <v>0</v>
      </c>
      <c r="X151" s="27" t="n">
        <f aca="false">SUMIFS(super1[Qtde],super1[Item],tab_alimentos[[#This Row],[Item]],super1[Bairro],mercado13)+SUMIFS(supercb[Qtde],supercb[Item],tab_alimentos[[#This Row],[Item]],supercb[Bairro],mercado13)</f>
        <v>0</v>
      </c>
      <c r="Y151" s="27" t="n">
        <f aca="false">SUMIFS(super1[Qtde],super1[Item],tab_alimentos[[#This Row],[Item]],super1[Bairro],mercado14)+SUMIFS(supercb[Qtde],supercb[Item],tab_alimentos[[#This Row],[Item]],supercb[Bairro],mercado14)</f>
        <v>0</v>
      </c>
      <c r="Z151" s="27" t="n">
        <f aca="false">SUMIFS(super1[Qtde],super1[Item],tab_alimentos[[#This Row],[Item]],super1[Bairro],mercado15)+SUMIFS(supercb[Qtde],supercb[Item],tab_alimentos[[#This Row],[Item]],supercb[Bairro],mercado15)</f>
        <v>0</v>
      </c>
      <c r="AA151" s="27" t="n">
        <f aca="false">SUMIFS(super1[Qtde],super1[Item],tab_alimentos[[#This Row],[Item]],super1[Bairro],mercado16)+SUMIFS(supercb[Qtde],supercb[Item],tab_alimentos[[#This Row],[Item]],supercb[Bairro],mercado16)</f>
        <v>0</v>
      </c>
      <c r="AB151" s="27" t="n">
        <f aca="false">SUMIFS(super1[Qtde],super1[Item],tab_alimentos[[#This Row],[Item]],super1[Bairro],mercado17)+SUMIFS(supercb[Qtde],supercb[Item],tab_alimentos[[#This Row],[Item]],supercb[Bairro],mercado17)</f>
        <v>0</v>
      </c>
      <c r="AC151" s="27" t="n">
        <f aca="false">SUMIFS(super1[Qtde],super1[Item],tab_alimentos[[#This Row],[Item]],super1[Bairro],mercado18)+SUMIFS(supercb[Qtde],supercb[Item],tab_alimentos[[#This Row],[Item]],supercb[Bairro],mercado18)</f>
        <v>0</v>
      </c>
      <c r="AD151" s="27" t="n">
        <f aca="false">SUMIFS(super1[Qtde],super1[Item],tab_alimentos[[#This Row],[Item]],super1[Bairro],extras)+SUMIFS(supercb[Qtde],supercb[Item],tab_alimentos[[#This Row],[Item]],supercb[Bairro],extras)</f>
        <v>0</v>
      </c>
      <c r="AE151" s="27" t="n">
        <f aca="false">SUM(L151:AC151)</f>
        <v>1</v>
      </c>
      <c r="AF151" s="27" t="n">
        <f aca="false">IFERROR(AE151*K151,0)</f>
        <v>32.576</v>
      </c>
      <c r="AG151" s="28" t="n">
        <f aca="false">IFERROR(J151*AE151,0)</f>
        <v>12</v>
      </c>
      <c r="AH151" s="26" t="str">
        <f aca="false">higiene[[#This Row],[Item]]</f>
        <v>Papel Higiênico (16un)</v>
      </c>
      <c r="AI151" s="27" t="n">
        <f aca="false">IFERROR(higiene[[#This Row],[Kg equivalente]],0)</f>
        <v>4.43080909693719</v>
      </c>
      <c r="AJ151" s="27" t="n">
        <f aca="false">IFERROR(higiene[[#This Row],[Preço por produto]],0)</f>
        <v>14.6766666666667</v>
      </c>
      <c r="AK151" s="27" t="n">
        <f aca="false">SUMIFS(super1[Qtde],super1[Item],tab_higiene[[#This Row],[Item]],super1[Bairro],mercado1)+SUMIFS(supercb[Qtde],supercb[Item],tab_higiene[[#This Row],[Item]],supercb[Bairro],mercado1)</f>
        <v>0</v>
      </c>
      <c r="AL151" s="27" t="n">
        <f aca="false">SUMIFS(super1[Qtde],super1[Item],tab_higiene[[#This Row],[Item]],super1[Bairro],mercado2)+SUMIFS(supercb[Qtde],supercb[Item],tab_higiene[[#This Row],[Item]],supercb[Bairro],mercado2)</f>
        <v>0</v>
      </c>
      <c r="AM151" s="27" t="n">
        <f aca="false">SUMIFS(super1[Qtde],super1[Item],tab_higiene[[#This Row],[Item]],super1[Bairro],mercado3)+SUMIFS(supercb[Qtde],supercb[Item],tab_higiene[[#This Row],[Item]],supercb[Bairro],mercado3)</f>
        <v>0</v>
      </c>
      <c r="AN151" s="27" t="n">
        <f aca="false">SUMIFS(super1[Qtde],super1[Item],tab_higiene[[#This Row],[Item]],super1[Bairro],mercado4)+SUMIFS(supercb[Qtde],supercb[Item],tab_higiene[[#This Row],[Item]],supercb[Bairro],mercado4)</f>
        <v>0</v>
      </c>
      <c r="AO151" s="27" t="n">
        <f aca="false">SUMIFS(super1[Qtde],super1[Item],tab_higiene[[#This Row],[Item]],super1[Bairro],mercado5)+SUMIFS(supercb[Qtde],supercb[Item],tab_higiene[[#This Row],[Item]],supercb[Bairro],mercado5)</f>
        <v>2</v>
      </c>
      <c r="AP151" s="27" t="n">
        <f aca="false">SUMIFS(super1[Qtde],super1[Item],tab_higiene[[#This Row],[Item]],super1[Bairro],mercado6)+SUMIFS(supercb[Qtde],supercb[Item],tab_higiene[[#This Row],[Item]],supercb[Bairro],mercado6)</f>
        <v>0</v>
      </c>
      <c r="AQ151" s="27" t="n">
        <f aca="false">SUMIFS(super1[Qtde],super1[Item],tab_higiene[[#This Row],[Item]],super1[Bairro],mercado7)+SUMIFS(supercb[Qtde],supercb[Item],tab_higiene[[#This Row],[Item]],supercb[Bairro],mercado7)</f>
        <v>2</v>
      </c>
      <c r="AR151" s="27" t="n">
        <f aca="false">SUMIFS(super1[Qtde],super1[Item],tab_higiene[[#This Row],[Item]],super1[Bairro],mercado8)+SUMIFS(supercb[Qtde],supercb[Item],tab_higiene[[#This Row],[Item]],supercb[Bairro],mercado8)</f>
        <v>0</v>
      </c>
      <c r="AS151" s="27" t="n">
        <f aca="false">SUMIFS(super1[Qtde],super1[Item],tab_higiene[[#This Row],[Item]],super1[Bairro],mercado9)+SUMIFS(supercb[Qtde],supercb[Item],tab_higiene[[#This Row],[Item]],supercb[Bairro],mercado9)</f>
        <v>0</v>
      </c>
      <c r="AT151" s="27" t="n">
        <f aca="false">SUMIFS(super1[Qtde],super1[Item],tab_higiene[[#This Row],[Item]],super1[Bairro],mercado10)+SUMIFS(supercb[Qtde],supercb[Item],tab_higiene[[#This Row],[Item]],supercb[Bairro],mercado10)</f>
        <v>3</v>
      </c>
      <c r="AU151" s="27" t="n">
        <f aca="false">SUMIFS(super1[Qtde],super1[Item],tab_higiene[[#This Row],[Item]],super1[Bairro],mercado11)+SUMIFS(supercb[Qtde],supercb[Item],tab_higiene[[#This Row],[Item]],supercb[Bairro],mercado11)</f>
        <v>1</v>
      </c>
      <c r="AV151" s="27" t="n">
        <f aca="false">SUMIFS(super1[Qtde],super1[Item],tab_higiene[[#This Row],[Item]],super1[Bairro],mercado12)+SUMIFS(supercb[Qtde],supercb[Item],tab_higiene[[#This Row],[Item]],supercb[Bairro],mercado12)</f>
        <v>0</v>
      </c>
      <c r="AW151" s="27" t="n">
        <f aca="false">SUMIFS(super1[Qtde],super1[Item],tab_higiene[[#This Row],[Item]],super1[Bairro],mercado13)+SUMIFS(supercb[Qtde],supercb[Item],tab_higiene[[#This Row],[Item]],supercb[Bairro],mercado13)</f>
        <v>4</v>
      </c>
      <c r="AX151" s="27" t="n">
        <f aca="false">SUMIFS(super1[Qtde],super1[Item],tab_higiene[[#This Row],[Item]],super1[Bairro],mercado14)+SUMIFS(supercb[Qtde],supercb[Item],tab_higiene[[#This Row],[Item]],supercb[Bairro],mercado14)</f>
        <v>0</v>
      </c>
      <c r="AY151" s="27" t="n">
        <f aca="false">SUMIFS(super1[Qtde],super1[Item],tab_higiene[[#This Row],[Item]],super1[Bairro],mercado15)+SUMIFS(supercb[Qtde],supercb[Item],tab_higiene[[#This Row],[Item]],supercb[Bairro],mercado15)</f>
        <v>0</v>
      </c>
      <c r="AZ151" s="27" t="n">
        <f aca="false">SUMIFS(super1[Qtde],super1[Item],tab_higiene[[#This Row],[Item]],super1[Bairro],mercado16)+SUMIFS(supercb[Qtde],supercb[Item],tab_higiene[[#This Row],[Item]],supercb[Bairro],mercado16)</f>
        <v>0</v>
      </c>
      <c r="BA151" s="27" t="n">
        <f aca="false">SUMIFS(super1[Qtde],super1[Item],tab_higiene[[#This Row],[Item]],super1[Bairro],mercado17)+SUMIFS(supercb[Qtde],supercb[Item],tab_higiene[[#This Row],[Item]],supercb[Bairro],mercado17)</f>
        <v>0</v>
      </c>
      <c r="BB151" s="27" t="n">
        <f aca="false">SUMIFS(super1[Qtde],super1[Item],tab_higiene[[#This Row],[Item]],super1[Bairro],mercado18)+SUMIFS(supercb[Qtde],supercb[Item],tab_higiene[[#This Row],[Item]],supercb[Bairro],mercado18)</f>
        <v>0</v>
      </c>
      <c r="BC151" s="27" t="n">
        <f aca="false">SUMIFS(super1[Qtde],super1[Item],tab_higiene[[#This Row],[Item]],super1[Bairro],extras)+SUMIFS(supercb[Qtde],supercb[Item],tab_higiene[[#This Row],[Item]],supercb[Bairro],extras)</f>
        <v>0</v>
      </c>
      <c r="BD151" s="27" t="n">
        <f aca="false">SUM(AK151:BB151)</f>
        <v>12</v>
      </c>
      <c r="BE151" s="27" t="n">
        <f aca="false">IFERROR(BD151*AJ151,0)</f>
        <v>176.12</v>
      </c>
      <c r="BF151" s="28" t="n">
        <f aca="false">IFERROR(AI151*BD151,0)</f>
        <v>53.1697091632462</v>
      </c>
      <c r="BI151" s="22" t="str">
        <f aca="false">tab_alimentos[[#This Row],[Item]]</f>
        <v>Leite (caixa com 12)</v>
      </c>
      <c r="BJ151" s="22" t="n">
        <f aca="false">IFERROR(FIND(" (",BI151),0)</f>
        <v>6</v>
      </c>
      <c r="BK151" s="22" t="str">
        <f aca="false">IF(BJ151=0,BI151,LEFT(BI151,BJ151-1))</f>
        <v>Leite</v>
      </c>
      <c r="BL151" s="22" t="n">
        <f aca="false">tab_alimentos[[#This Row],[kg]]</f>
        <v>12</v>
      </c>
      <c r="BN151" s="22" t="n">
        <f aca="false">SUMIF($BJ$5:$BJ$158,#REF!,$BK$5:$BK$158)</f>
        <v>0</v>
      </c>
    </row>
    <row r="152" customFormat="false" ht="15" hidden="false" customHeight="false" outlineLevel="0" collapsed="false">
      <c r="I152" s="26" t="str">
        <f aca="false">alimentos[[#This Row],[Item]]</f>
        <v>Leite (caixa)</v>
      </c>
      <c r="J152" s="27" t="n">
        <f aca="false">IFERROR(alimentos[[#This Row],[kg/embalagem]],0)</f>
        <v>1</v>
      </c>
      <c r="K152" s="27" t="n">
        <f aca="false">IFERROR(alimentos[[#This Row],[Preço]],0)</f>
        <v>2.67</v>
      </c>
      <c r="L152" s="27" t="n">
        <f aca="false">SUMIFS(super1[Qtde],super1[Item],tab_alimentos[[#This Row],[Item]],super1[Bairro],mercado1)+SUMIFS(supercb[Qtde],supercb[Item],tab_alimentos[[#This Row],[Item]],supercb[Bairro],mercado1)</f>
        <v>29</v>
      </c>
      <c r="M152" s="27" t="n">
        <f aca="false">SUMIFS(super1[Qtde],super1[Item],tab_alimentos[[#This Row],[Item]],super1[Bairro],mercado2)+SUMIFS(supercb[Qtde],supercb[Item],tab_alimentos[[#This Row],[Item]],supercb[Bairro],mercado2)</f>
        <v>41</v>
      </c>
      <c r="N152" s="27" t="n">
        <f aca="false">SUMIFS(super1[Qtde],super1[Item],tab_alimentos[[#This Row],[Item]],super1[Bairro],mercado3)+SUMIFS(supercb[Qtde],supercb[Item],tab_alimentos[[#This Row],[Item]],supercb[Bairro],mercado3)</f>
        <v>5</v>
      </c>
      <c r="O152" s="27" t="n">
        <f aca="false">SUMIFS(super1[Qtde],super1[Item],tab_alimentos[[#This Row],[Item]],super1[Bairro],mercado4)+SUMIFS(supercb[Qtde],supercb[Item],tab_alimentos[[#This Row],[Item]],supercb[Bairro],mercado4)</f>
        <v>50</v>
      </c>
      <c r="P152" s="27" t="n">
        <f aca="false">SUMIFS(super1[Qtde],super1[Item],tab_alimentos[[#This Row],[Item]],super1[Bairro],mercado5)+SUMIFS(supercb[Qtde],supercb[Item],tab_alimentos[[#This Row],[Item]],supercb[Bairro],mercado5)</f>
        <v>94</v>
      </c>
      <c r="Q152" s="27" t="n">
        <f aca="false">SUMIFS(super1[Qtde],super1[Item],tab_alimentos[[#This Row],[Item]],super1[Bairro],mercado6)+SUMIFS(supercb[Qtde],supercb[Item],tab_alimentos[[#This Row],[Item]],supercb[Bairro],mercado6)</f>
        <v>49</v>
      </c>
      <c r="R152" s="27" t="n">
        <f aca="false">SUMIFS(super1[Qtde],super1[Item],tab_alimentos[[#This Row],[Item]],super1[Bairro],mercado7)+SUMIFS(supercb[Qtde],supercb[Item],tab_alimentos[[#This Row],[Item]],supercb[Bairro],mercado7)</f>
        <v>27</v>
      </c>
      <c r="S152" s="27" t="n">
        <f aca="false">SUMIFS(super1[Qtde],super1[Item],tab_alimentos[[#This Row],[Item]],super1[Bairro],mercado8)+SUMIFS(supercb[Qtde],supercb[Item],tab_alimentos[[#This Row],[Item]],supercb[Bairro],mercado8)</f>
        <v>28</v>
      </c>
      <c r="T152" s="27" t="n">
        <f aca="false">SUMIFS(super1[Qtde],super1[Item],tab_alimentos[[#This Row],[Item]],super1[Bairro],mercado9)+SUMIFS(supercb[Qtde],supercb[Item],tab_alimentos[[#This Row],[Item]],supercb[Bairro],mercado9)</f>
        <v>71</v>
      </c>
      <c r="U152" s="27" t="n">
        <f aca="false">SUMIFS(super1[Qtde],super1[Item],tab_alimentos[[#This Row],[Item]],super1[Bairro],mercado10)+SUMIFS(supercb[Qtde],supercb[Item],tab_alimentos[[#This Row],[Item]],supercb[Bairro],mercado10)</f>
        <v>68</v>
      </c>
      <c r="V152" s="27" t="n">
        <f aca="false">SUMIFS(super1[Qtde],super1[Item],tab_alimentos[[#This Row],[Item]],super1[Bairro],mercado11)+SUMIFS(supercb[Qtde],supercb[Item],tab_alimentos[[#This Row],[Item]],supercb[Bairro],mercado11)</f>
        <v>67</v>
      </c>
      <c r="W152" s="27" t="n">
        <f aca="false">SUMIFS(super1[Qtde],super1[Item],tab_alimentos[[#This Row],[Item]],super1[Bairro],mercado12)+SUMIFS(supercb[Qtde],supercb[Item],tab_alimentos[[#This Row],[Item]],supercb[Bairro],mercado12)</f>
        <v>0</v>
      </c>
      <c r="X152" s="27" t="n">
        <f aca="false">SUMIFS(super1[Qtde],super1[Item],tab_alimentos[[#This Row],[Item]],super1[Bairro],mercado13)+SUMIFS(supercb[Qtde],supercb[Item],tab_alimentos[[#This Row],[Item]],supercb[Bairro],mercado13)</f>
        <v>25</v>
      </c>
      <c r="Y152" s="27" t="n">
        <f aca="false">SUMIFS(super1[Qtde],super1[Item],tab_alimentos[[#This Row],[Item]],super1[Bairro],mercado14)+SUMIFS(supercb[Qtde],supercb[Item],tab_alimentos[[#This Row],[Item]],supercb[Bairro],mercado14)</f>
        <v>0</v>
      </c>
      <c r="Z152" s="27" t="n">
        <f aca="false">SUMIFS(super1[Qtde],super1[Item],tab_alimentos[[#This Row],[Item]],super1[Bairro],mercado15)+SUMIFS(supercb[Qtde],supercb[Item],tab_alimentos[[#This Row],[Item]],supercb[Bairro],mercado15)</f>
        <v>0</v>
      </c>
      <c r="AA152" s="27" t="n">
        <f aca="false">SUMIFS(super1[Qtde],super1[Item],tab_alimentos[[#This Row],[Item]],super1[Bairro],mercado16)+SUMIFS(supercb[Qtde],supercb[Item],tab_alimentos[[#This Row],[Item]],supercb[Bairro],mercado16)</f>
        <v>0</v>
      </c>
      <c r="AB152" s="27" t="n">
        <f aca="false">SUMIFS(super1[Qtde],super1[Item],tab_alimentos[[#This Row],[Item]],super1[Bairro],mercado17)+SUMIFS(supercb[Qtde],supercb[Item],tab_alimentos[[#This Row],[Item]],supercb[Bairro],mercado17)</f>
        <v>0</v>
      </c>
      <c r="AC152" s="27" t="n">
        <f aca="false">SUMIFS(super1[Qtde],super1[Item],tab_alimentos[[#This Row],[Item]],super1[Bairro],mercado18)+SUMIFS(supercb[Qtde],supercb[Item],tab_alimentos[[#This Row],[Item]],supercb[Bairro],mercado18)</f>
        <v>0</v>
      </c>
      <c r="AD152" s="27" t="n">
        <f aca="false">SUMIFS(super1[Qtde],super1[Item],tab_alimentos[[#This Row],[Item]],super1[Bairro],extras)+SUMIFS(supercb[Qtde],supercb[Item],tab_alimentos[[#This Row],[Item]],supercb[Bairro],extras)</f>
        <v>0</v>
      </c>
      <c r="AE152" s="27" t="n">
        <f aca="false">SUM(L152:AC152)</f>
        <v>554</v>
      </c>
      <c r="AF152" s="27" t="n">
        <f aca="false">IFERROR(AE152*K152,0)</f>
        <v>1479.18</v>
      </c>
      <c r="AG152" s="28" t="n">
        <f aca="false">IFERROR(J152*AE152,0)</f>
        <v>554</v>
      </c>
      <c r="AH152" s="26" t="str">
        <f aca="false">higiene[[#This Row],[Item]]</f>
        <v>Papel Higiênico (24un)</v>
      </c>
      <c r="AI152" s="27" t="n">
        <f aca="false">IFERROR(higiene[[#This Row],[Kg equivalente]],0)</f>
        <v>8.26889810345966</v>
      </c>
      <c r="AJ152" s="27" t="n">
        <f aca="false">IFERROR(higiene[[#This Row],[Preço por produto]],0)</f>
        <v>27.39</v>
      </c>
      <c r="AK152" s="27" t="n">
        <f aca="false">SUMIFS(super1[Qtde],super1[Item],tab_higiene[[#This Row],[Item]],super1[Bairro],mercado1)+SUMIFS(supercb[Qtde],supercb[Item],tab_higiene[[#This Row],[Item]],supercb[Bairro],mercado1)</f>
        <v>0</v>
      </c>
      <c r="AL152" s="27" t="n">
        <f aca="false">SUMIFS(super1[Qtde],super1[Item],tab_higiene[[#This Row],[Item]],super1[Bairro],mercado2)+SUMIFS(supercb[Qtde],supercb[Item],tab_higiene[[#This Row],[Item]],supercb[Bairro],mercado2)</f>
        <v>0</v>
      </c>
      <c r="AM152" s="27" t="n">
        <f aca="false">SUMIFS(super1[Qtde],super1[Item],tab_higiene[[#This Row],[Item]],super1[Bairro],mercado3)+SUMIFS(supercb[Qtde],supercb[Item],tab_higiene[[#This Row],[Item]],supercb[Bairro],mercado3)</f>
        <v>0</v>
      </c>
      <c r="AN152" s="27" t="n">
        <f aca="false">SUMIFS(super1[Qtde],super1[Item],tab_higiene[[#This Row],[Item]],super1[Bairro],mercado4)+SUMIFS(supercb[Qtde],supercb[Item],tab_higiene[[#This Row],[Item]],supercb[Bairro],mercado4)</f>
        <v>0</v>
      </c>
      <c r="AO152" s="27" t="n">
        <f aca="false">SUMIFS(super1[Qtde],super1[Item],tab_higiene[[#This Row],[Item]],super1[Bairro],mercado5)+SUMIFS(supercb[Qtde],supercb[Item],tab_higiene[[#This Row],[Item]],supercb[Bairro],mercado5)</f>
        <v>0</v>
      </c>
      <c r="AP152" s="27" t="n">
        <f aca="false">SUMIFS(super1[Qtde],super1[Item],tab_higiene[[#This Row],[Item]],super1[Bairro],mercado6)+SUMIFS(supercb[Qtde],supercb[Item],tab_higiene[[#This Row],[Item]],supercb[Bairro],mercado6)</f>
        <v>0</v>
      </c>
      <c r="AQ152" s="27" t="n">
        <f aca="false">SUMIFS(super1[Qtde],super1[Item],tab_higiene[[#This Row],[Item]],super1[Bairro],mercado7)+SUMIFS(supercb[Qtde],supercb[Item],tab_higiene[[#This Row],[Item]],supercb[Bairro],mercado7)</f>
        <v>0</v>
      </c>
      <c r="AR152" s="27" t="n">
        <f aca="false">SUMIFS(super1[Qtde],super1[Item],tab_higiene[[#This Row],[Item]],super1[Bairro],mercado8)+SUMIFS(supercb[Qtde],supercb[Item],tab_higiene[[#This Row],[Item]],supercb[Bairro],mercado8)</f>
        <v>0</v>
      </c>
      <c r="AS152" s="27" t="n">
        <f aca="false">SUMIFS(super1[Qtde],super1[Item],tab_higiene[[#This Row],[Item]],super1[Bairro],mercado9)+SUMIFS(supercb[Qtde],supercb[Item],tab_higiene[[#This Row],[Item]],supercb[Bairro],mercado9)</f>
        <v>0</v>
      </c>
      <c r="AT152" s="27" t="n">
        <f aca="false">SUMIFS(super1[Qtde],super1[Item],tab_higiene[[#This Row],[Item]],super1[Bairro],mercado10)+SUMIFS(supercb[Qtde],supercb[Item],tab_higiene[[#This Row],[Item]],supercb[Bairro],mercado10)</f>
        <v>0</v>
      </c>
      <c r="AU152" s="27" t="n">
        <f aca="false">SUMIFS(super1[Qtde],super1[Item],tab_higiene[[#This Row],[Item]],super1[Bairro],mercado11)+SUMIFS(supercb[Qtde],supercb[Item],tab_higiene[[#This Row],[Item]],supercb[Bairro],mercado11)</f>
        <v>1</v>
      </c>
      <c r="AV152" s="27" t="n">
        <f aca="false">SUMIFS(super1[Qtde],super1[Item],tab_higiene[[#This Row],[Item]],super1[Bairro],mercado12)+SUMIFS(supercb[Qtde],supercb[Item],tab_higiene[[#This Row],[Item]],supercb[Bairro],mercado12)</f>
        <v>0</v>
      </c>
      <c r="AW152" s="27" t="n">
        <f aca="false">SUMIFS(super1[Qtde],super1[Item],tab_higiene[[#This Row],[Item]],super1[Bairro],mercado13)+SUMIFS(supercb[Qtde],supercb[Item],tab_higiene[[#This Row],[Item]],supercb[Bairro],mercado13)</f>
        <v>0</v>
      </c>
      <c r="AX152" s="27" t="n">
        <f aca="false">SUMIFS(super1[Qtde],super1[Item],tab_higiene[[#This Row],[Item]],super1[Bairro],mercado14)+SUMIFS(supercb[Qtde],supercb[Item],tab_higiene[[#This Row],[Item]],supercb[Bairro],mercado14)</f>
        <v>0</v>
      </c>
      <c r="AY152" s="27" t="n">
        <f aca="false">SUMIFS(super1[Qtde],super1[Item],tab_higiene[[#This Row],[Item]],super1[Bairro],mercado15)+SUMIFS(supercb[Qtde],supercb[Item],tab_higiene[[#This Row],[Item]],supercb[Bairro],mercado15)</f>
        <v>0</v>
      </c>
      <c r="AZ152" s="27" t="n">
        <f aca="false">SUMIFS(super1[Qtde],super1[Item],tab_higiene[[#This Row],[Item]],super1[Bairro],mercado16)+SUMIFS(supercb[Qtde],supercb[Item],tab_higiene[[#This Row],[Item]],supercb[Bairro],mercado16)</f>
        <v>0</v>
      </c>
      <c r="BA152" s="27" t="n">
        <f aca="false">SUMIFS(super1[Qtde],super1[Item],tab_higiene[[#This Row],[Item]],super1[Bairro],mercado17)+SUMIFS(supercb[Qtde],supercb[Item],tab_higiene[[#This Row],[Item]],supercb[Bairro],mercado17)</f>
        <v>0</v>
      </c>
      <c r="BB152" s="27" t="n">
        <f aca="false">SUMIFS(super1[Qtde],super1[Item],tab_higiene[[#This Row],[Item]],super1[Bairro],mercado18)+SUMIFS(supercb[Qtde],supercb[Item],tab_higiene[[#This Row],[Item]],supercb[Bairro],mercado18)</f>
        <v>0</v>
      </c>
      <c r="BC152" s="27" t="n">
        <f aca="false">SUMIFS(super1[Qtde],super1[Item],tab_higiene[[#This Row],[Item]],super1[Bairro],extras)+SUMIFS(supercb[Qtde],supercb[Item],tab_higiene[[#This Row],[Item]],supercb[Bairro],extras)</f>
        <v>0</v>
      </c>
      <c r="BD152" s="27" t="n">
        <f aca="false">SUM(AK152:BB152)</f>
        <v>1</v>
      </c>
      <c r="BE152" s="27" t="n">
        <f aca="false">IFERROR(BD152*AJ152,0)</f>
        <v>27.39</v>
      </c>
      <c r="BF152" s="28" t="n">
        <f aca="false">IFERROR(AI152*BD152,0)</f>
        <v>8.26889810345966</v>
      </c>
      <c r="BI152" s="22" t="str">
        <f aca="false">tab_alimentos[[#This Row],[Item]]</f>
        <v>Leite (caixa)</v>
      </c>
      <c r="BJ152" s="22" t="n">
        <f aca="false">IFERROR(FIND(" (",BI152),0)</f>
        <v>6</v>
      </c>
      <c r="BK152" s="22" t="str">
        <f aca="false">IF(BJ152=0,BI152,LEFT(BI152,BJ152-1))</f>
        <v>Leite</v>
      </c>
      <c r="BL152" s="22" t="n">
        <f aca="false">tab_alimentos[[#This Row],[kg]]</f>
        <v>554</v>
      </c>
      <c r="BN152" s="22" t="n">
        <f aca="false">SUMIF($BJ$5:$BJ$158,#REF!,$BK$5:$BK$158)</f>
        <v>0</v>
      </c>
    </row>
    <row r="153" customFormat="false" ht="15" hidden="false" customHeight="false" outlineLevel="0" collapsed="false">
      <c r="I153" s="26" t="str">
        <f aca="false">alimentos[[#This Row],[Item]]</f>
        <v>Leite condensado</v>
      </c>
      <c r="J153" s="27" t="n">
        <f aca="false">IFERROR(alimentos[[#This Row],[kg/embalagem]],0)</f>
        <v>0.4</v>
      </c>
      <c r="K153" s="27" t="n">
        <f aca="false">IFERROR(alimentos[[#This Row],[Preço]],0)</f>
        <v>3.23666666666667</v>
      </c>
      <c r="L153" s="27" t="n">
        <f aca="false">SUMIFS(super1[Qtde],super1[Item],tab_alimentos[[#This Row],[Item]],super1[Bairro],mercado1)+SUMIFS(supercb[Qtde],supercb[Item],tab_alimentos[[#This Row],[Item]],supercb[Bairro],mercado1)</f>
        <v>0</v>
      </c>
      <c r="M153" s="27" t="n">
        <f aca="false">SUMIFS(super1[Qtde],super1[Item],tab_alimentos[[#This Row],[Item]],super1[Bairro],mercado2)+SUMIFS(supercb[Qtde],supercb[Item],tab_alimentos[[#This Row],[Item]],supercb[Bairro],mercado2)</f>
        <v>1</v>
      </c>
      <c r="N153" s="27" t="n">
        <f aca="false">SUMIFS(super1[Qtde],super1[Item],tab_alimentos[[#This Row],[Item]],super1[Bairro],mercado3)+SUMIFS(supercb[Qtde],supercb[Item],tab_alimentos[[#This Row],[Item]],supercb[Bairro],mercado3)</f>
        <v>0</v>
      </c>
      <c r="O153" s="27" t="n">
        <f aca="false">SUMIFS(super1[Qtde],super1[Item],tab_alimentos[[#This Row],[Item]],super1[Bairro],mercado4)+SUMIFS(supercb[Qtde],supercb[Item],tab_alimentos[[#This Row],[Item]],supercb[Bairro],mercado4)</f>
        <v>0</v>
      </c>
      <c r="P153" s="27" t="n">
        <f aca="false">SUMIFS(super1[Qtde],super1[Item],tab_alimentos[[#This Row],[Item]],super1[Bairro],mercado5)+SUMIFS(supercb[Qtde],supercb[Item],tab_alimentos[[#This Row],[Item]],supercb[Bairro],mercado5)</f>
        <v>0</v>
      </c>
      <c r="Q153" s="27" t="n">
        <f aca="false">SUMIFS(super1[Qtde],super1[Item],tab_alimentos[[#This Row],[Item]],super1[Bairro],mercado6)+SUMIFS(supercb[Qtde],supercb[Item],tab_alimentos[[#This Row],[Item]],supercb[Bairro],mercado6)</f>
        <v>0</v>
      </c>
      <c r="R153" s="27" t="n">
        <f aca="false">SUMIFS(super1[Qtde],super1[Item],tab_alimentos[[#This Row],[Item]],super1[Bairro],mercado7)+SUMIFS(supercb[Qtde],supercb[Item],tab_alimentos[[#This Row],[Item]],supercb[Bairro],mercado7)</f>
        <v>0</v>
      </c>
      <c r="S153" s="27" t="n">
        <f aca="false">SUMIFS(super1[Qtde],super1[Item],tab_alimentos[[#This Row],[Item]],super1[Bairro],mercado8)+SUMIFS(supercb[Qtde],supercb[Item],tab_alimentos[[#This Row],[Item]],supercb[Bairro],mercado8)</f>
        <v>0</v>
      </c>
      <c r="T153" s="27" t="n">
        <f aca="false">SUMIFS(super1[Qtde],super1[Item],tab_alimentos[[#This Row],[Item]],super1[Bairro],mercado9)+SUMIFS(supercb[Qtde],supercb[Item],tab_alimentos[[#This Row],[Item]],supercb[Bairro],mercado9)</f>
        <v>0</v>
      </c>
      <c r="U153" s="27" t="n">
        <f aca="false">SUMIFS(super1[Qtde],super1[Item],tab_alimentos[[#This Row],[Item]],super1[Bairro],mercado10)+SUMIFS(supercb[Qtde],supercb[Item],tab_alimentos[[#This Row],[Item]],supercb[Bairro],mercado10)</f>
        <v>0</v>
      </c>
      <c r="V153" s="27" t="n">
        <f aca="false">SUMIFS(super1[Qtde],super1[Item],tab_alimentos[[#This Row],[Item]],super1[Bairro],mercado11)+SUMIFS(supercb[Qtde],supercb[Item],tab_alimentos[[#This Row],[Item]],supercb[Bairro],mercado11)</f>
        <v>2</v>
      </c>
      <c r="W153" s="27" t="n">
        <f aca="false">SUMIFS(super1[Qtde],super1[Item],tab_alimentos[[#This Row],[Item]],super1[Bairro],mercado12)+SUMIFS(supercb[Qtde],supercb[Item],tab_alimentos[[#This Row],[Item]],supercb[Bairro],mercado12)</f>
        <v>0</v>
      </c>
      <c r="X153" s="27" t="n">
        <f aca="false">SUMIFS(super1[Qtde],super1[Item],tab_alimentos[[#This Row],[Item]],super1[Bairro],mercado13)+SUMIFS(supercb[Qtde],supercb[Item],tab_alimentos[[#This Row],[Item]],supercb[Bairro],mercado13)</f>
        <v>0</v>
      </c>
      <c r="Y153" s="27" t="n">
        <f aca="false">SUMIFS(super1[Qtde],super1[Item],tab_alimentos[[#This Row],[Item]],super1[Bairro],mercado14)+SUMIFS(supercb[Qtde],supercb[Item],tab_alimentos[[#This Row],[Item]],supercb[Bairro],mercado14)</f>
        <v>0</v>
      </c>
      <c r="Z153" s="27" t="n">
        <f aca="false">SUMIFS(super1[Qtde],super1[Item],tab_alimentos[[#This Row],[Item]],super1[Bairro],mercado15)+SUMIFS(supercb[Qtde],supercb[Item],tab_alimentos[[#This Row],[Item]],supercb[Bairro],mercado15)</f>
        <v>0</v>
      </c>
      <c r="AA153" s="27" t="n">
        <f aca="false">SUMIFS(super1[Qtde],super1[Item],tab_alimentos[[#This Row],[Item]],super1[Bairro],mercado16)+SUMIFS(supercb[Qtde],supercb[Item],tab_alimentos[[#This Row],[Item]],supercb[Bairro],mercado16)</f>
        <v>0</v>
      </c>
      <c r="AB153" s="27" t="n">
        <f aca="false">SUMIFS(super1[Qtde],super1[Item],tab_alimentos[[#This Row],[Item]],super1[Bairro],mercado17)+SUMIFS(supercb[Qtde],supercb[Item],tab_alimentos[[#This Row],[Item]],supercb[Bairro],mercado17)</f>
        <v>0</v>
      </c>
      <c r="AC153" s="27" t="n">
        <f aca="false">SUMIFS(super1[Qtde],super1[Item],tab_alimentos[[#This Row],[Item]],super1[Bairro],mercado18)+SUMIFS(supercb[Qtde],supercb[Item],tab_alimentos[[#This Row],[Item]],supercb[Bairro],mercado18)</f>
        <v>0</v>
      </c>
      <c r="AD153" s="27" t="n">
        <f aca="false">SUMIFS(super1[Qtde],super1[Item],tab_alimentos[[#This Row],[Item]],super1[Bairro],extras)+SUMIFS(supercb[Qtde],supercb[Item],tab_alimentos[[#This Row],[Item]],supercb[Bairro],extras)</f>
        <v>0</v>
      </c>
      <c r="AE153" s="27" t="n">
        <f aca="false">SUM(L153:AC153)</f>
        <v>3</v>
      </c>
      <c r="AF153" s="27" t="n">
        <f aca="false">IFERROR(AE153*K153,0)</f>
        <v>9.71</v>
      </c>
      <c r="AG153" s="28" t="n">
        <f aca="false">IFERROR(J153*AE153,0)</f>
        <v>1.2</v>
      </c>
      <c r="AH153" s="26" t="str">
        <f aca="false">higiene[[#This Row],[Item]]</f>
        <v>Papel Toalha (12un)</v>
      </c>
      <c r="AI153" s="27" t="n">
        <f aca="false">IFERROR(higiene[[#This Row],[Kg equivalente]],0)</f>
        <v>13.8569705348229</v>
      </c>
      <c r="AJ153" s="27" t="n">
        <f aca="false">IFERROR(higiene[[#This Row],[Preço por produto]],0)</f>
        <v>45.9</v>
      </c>
      <c r="AK153" s="27" t="n">
        <f aca="false">SUMIFS(super1[Qtde],super1[Item],tab_higiene[[#This Row],[Item]],super1[Bairro],mercado1)+SUMIFS(supercb[Qtde],supercb[Item],tab_higiene[[#This Row],[Item]],supercb[Bairro],mercado1)</f>
        <v>0</v>
      </c>
      <c r="AL153" s="27" t="n">
        <f aca="false">SUMIFS(super1[Qtde],super1[Item],tab_higiene[[#This Row],[Item]],super1[Bairro],mercado2)+SUMIFS(supercb[Qtde],supercb[Item],tab_higiene[[#This Row],[Item]],supercb[Bairro],mercado2)</f>
        <v>0</v>
      </c>
      <c r="AM153" s="27" t="n">
        <f aca="false">SUMIFS(super1[Qtde],super1[Item],tab_higiene[[#This Row],[Item]],super1[Bairro],mercado3)+SUMIFS(supercb[Qtde],supercb[Item],tab_higiene[[#This Row],[Item]],supercb[Bairro],mercado3)</f>
        <v>0</v>
      </c>
      <c r="AN153" s="27" t="n">
        <f aca="false">SUMIFS(super1[Qtde],super1[Item],tab_higiene[[#This Row],[Item]],super1[Bairro],mercado4)+SUMIFS(supercb[Qtde],supercb[Item],tab_higiene[[#This Row],[Item]],supercb[Bairro],mercado4)</f>
        <v>0</v>
      </c>
      <c r="AO153" s="27" t="n">
        <f aca="false">SUMIFS(super1[Qtde],super1[Item],tab_higiene[[#This Row],[Item]],super1[Bairro],mercado5)+SUMIFS(supercb[Qtde],supercb[Item],tab_higiene[[#This Row],[Item]],supercb[Bairro],mercado5)</f>
        <v>0</v>
      </c>
      <c r="AP153" s="27" t="n">
        <f aca="false">SUMIFS(super1[Qtde],super1[Item],tab_higiene[[#This Row],[Item]],super1[Bairro],mercado6)+SUMIFS(supercb[Qtde],supercb[Item],tab_higiene[[#This Row],[Item]],supercb[Bairro],mercado6)</f>
        <v>0</v>
      </c>
      <c r="AQ153" s="27" t="n">
        <f aca="false">SUMIFS(super1[Qtde],super1[Item],tab_higiene[[#This Row],[Item]],super1[Bairro],mercado7)+SUMIFS(supercb[Qtde],supercb[Item],tab_higiene[[#This Row],[Item]],supercb[Bairro],mercado7)</f>
        <v>0</v>
      </c>
      <c r="AR153" s="27" t="n">
        <f aca="false">SUMIFS(super1[Qtde],super1[Item],tab_higiene[[#This Row],[Item]],super1[Bairro],mercado8)+SUMIFS(supercb[Qtde],supercb[Item],tab_higiene[[#This Row],[Item]],supercb[Bairro],mercado8)</f>
        <v>0</v>
      </c>
      <c r="AS153" s="27" t="n">
        <f aca="false">SUMIFS(super1[Qtde],super1[Item],tab_higiene[[#This Row],[Item]],super1[Bairro],mercado9)+SUMIFS(supercb[Qtde],supercb[Item],tab_higiene[[#This Row],[Item]],supercb[Bairro],mercado9)</f>
        <v>3</v>
      </c>
      <c r="AT153" s="27" t="n">
        <f aca="false">SUMIFS(super1[Qtde],super1[Item],tab_higiene[[#This Row],[Item]],super1[Bairro],mercado10)+SUMIFS(supercb[Qtde],supercb[Item],tab_higiene[[#This Row],[Item]],supercb[Bairro],mercado10)</f>
        <v>1</v>
      </c>
      <c r="AU153" s="27" t="n">
        <f aca="false">SUMIFS(super1[Qtde],super1[Item],tab_higiene[[#This Row],[Item]],super1[Bairro],mercado11)+SUMIFS(supercb[Qtde],supercb[Item],tab_higiene[[#This Row],[Item]],supercb[Bairro],mercado11)</f>
        <v>0</v>
      </c>
      <c r="AV153" s="27" t="n">
        <f aca="false">SUMIFS(super1[Qtde],super1[Item],tab_higiene[[#This Row],[Item]],super1[Bairro],mercado12)+SUMIFS(supercb[Qtde],supercb[Item],tab_higiene[[#This Row],[Item]],supercb[Bairro],mercado12)</f>
        <v>0</v>
      </c>
      <c r="AW153" s="27" t="n">
        <f aca="false">SUMIFS(super1[Qtde],super1[Item],tab_higiene[[#This Row],[Item]],super1[Bairro],mercado13)+SUMIFS(supercb[Qtde],supercb[Item],tab_higiene[[#This Row],[Item]],supercb[Bairro],mercado13)</f>
        <v>0</v>
      </c>
      <c r="AX153" s="27" t="n">
        <f aca="false">SUMIFS(super1[Qtde],super1[Item],tab_higiene[[#This Row],[Item]],super1[Bairro],mercado14)+SUMIFS(supercb[Qtde],supercb[Item],tab_higiene[[#This Row],[Item]],supercb[Bairro],mercado14)</f>
        <v>0</v>
      </c>
      <c r="AY153" s="27" t="n">
        <f aca="false">SUMIFS(super1[Qtde],super1[Item],tab_higiene[[#This Row],[Item]],super1[Bairro],mercado15)+SUMIFS(supercb[Qtde],supercb[Item],tab_higiene[[#This Row],[Item]],supercb[Bairro],mercado15)</f>
        <v>0</v>
      </c>
      <c r="AZ153" s="27" t="n">
        <f aca="false">SUMIFS(super1[Qtde],super1[Item],tab_higiene[[#This Row],[Item]],super1[Bairro],mercado16)+SUMIFS(supercb[Qtde],supercb[Item],tab_higiene[[#This Row],[Item]],supercb[Bairro],mercado16)</f>
        <v>0</v>
      </c>
      <c r="BA153" s="27" t="n">
        <f aca="false">SUMIFS(super1[Qtde],super1[Item],tab_higiene[[#This Row],[Item]],super1[Bairro],mercado17)+SUMIFS(supercb[Qtde],supercb[Item],tab_higiene[[#This Row],[Item]],supercb[Bairro],mercado17)</f>
        <v>0</v>
      </c>
      <c r="BB153" s="27" t="n">
        <f aca="false">SUMIFS(super1[Qtde],super1[Item],tab_higiene[[#This Row],[Item]],super1[Bairro],mercado18)+SUMIFS(supercb[Qtde],supercb[Item],tab_higiene[[#This Row],[Item]],supercb[Bairro],mercado18)</f>
        <v>0</v>
      </c>
      <c r="BC153" s="27" t="n">
        <f aca="false">SUMIFS(super1[Qtde],super1[Item],tab_higiene[[#This Row],[Item]],super1[Bairro],extras)+SUMIFS(supercb[Qtde],supercb[Item],tab_higiene[[#This Row],[Item]],supercb[Bairro],extras)</f>
        <v>0</v>
      </c>
      <c r="BD153" s="27" t="n">
        <f aca="false">SUM(AK153:BB153)</f>
        <v>4</v>
      </c>
      <c r="BE153" s="27" t="n">
        <f aca="false">IFERROR(BD153*AJ153,0)</f>
        <v>183.6</v>
      </c>
      <c r="BF153" s="28" t="n">
        <f aca="false">IFERROR(AI153*BD153,0)</f>
        <v>55.4278821392914</v>
      </c>
      <c r="BI153" s="22" t="str">
        <f aca="false">tab_alimentos[[#This Row],[Item]]</f>
        <v>Leite condensado</v>
      </c>
      <c r="BJ153" s="22" t="n">
        <f aca="false">IFERROR(FIND(" (",BI153),0)</f>
        <v>0</v>
      </c>
      <c r="BK153" s="22" t="str">
        <f aca="false">IF(BJ153=0,BI153,LEFT(BI153,BJ153-1))</f>
        <v>Leite condensado</v>
      </c>
      <c r="BL153" s="22" t="n">
        <f aca="false">tab_alimentos[[#This Row],[kg]]</f>
        <v>1.2</v>
      </c>
      <c r="BN153" s="22" t="n">
        <f aca="false">SUMIF($BJ$5:$BJ$158,#REF!,$BK$5:$BK$158)</f>
        <v>0</v>
      </c>
    </row>
    <row r="154" customFormat="false" ht="15" hidden="false" customHeight="false" outlineLevel="0" collapsed="false">
      <c r="I154" s="26" t="str">
        <f aca="false">alimentos[[#This Row],[Item]]</f>
        <v>Leite de Coco (200mL)</v>
      </c>
      <c r="J154" s="27" t="n">
        <f aca="false">IFERROR(alimentos[[#This Row],[kg/embalagem]],0)</f>
        <v>0.2</v>
      </c>
      <c r="K154" s="27" t="n">
        <f aca="false">IFERROR(alimentos[[#This Row],[Preço]],0)</f>
        <v>3.65666666666667</v>
      </c>
      <c r="L154" s="27" t="n">
        <f aca="false">SUMIFS(super1[Qtde],super1[Item],tab_alimentos[[#This Row],[Item]],super1[Bairro],mercado1)+SUMIFS(supercb[Qtde],supercb[Item],tab_alimentos[[#This Row],[Item]],supercb[Bairro],mercado1)</f>
        <v>0</v>
      </c>
      <c r="M154" s="27" t="n">
        <f aca="false">SUMIFS(super1[Qtde],super1[Item],tab_alimentos[[#This Row],[Item]],super1[Bairro],mercado2)+SUMIFS(supercb[Qtde],supercb[Item],tab_alimentos[[#This Row],[Item]],supercb[Bairro],mercado2)</f>
        <v>0</v>
      </c>
      <c r="N154" s="27" t="n">
        <f aca="false">SUMIFS(super1[Qtde],super1[Item],tab_alimentos[[#This Row],[Item]],super1[Bairro],mercado3)+SUMIFS(supercb[Qtde],supercb[Item],tab_alimentos[[#This Row],[Item]],supercb[Bairro],mercado3)</f>
        <v>0</v>
      </c>
      <c r="O154" s="27" t="n">
        <f aca="false">SUMIFS(super1[Qtde],super1[Item],tab_alimentos[[#This Row],[Item]],super1[Bairro],mercado4)+SUMIFS(supercb[Qtde],supercb[Item],tab_alimentos[[#This Row],[Item]],supercb[Bairro],mercado4)</f>
        <v>0</v>
      </c>
      <c r="P154" s="27" t="n">
        <f aca="false">SUMIFS(super1[Qtde],super1[Item],tab_alimentos[[#This Row],[Item]],super1[Bairro],mercado5)+SUMIFS(supercb[Qtde],supercb[Item],tab_alimentos[[#This Row],[Item]],supercb[Bairro],mercado5)</f>
        <v>0</v>
      </c>
      <c r="Q154" s="27" t="n">
        <f aca="false">SUMIFS(super1[Qtde],super1[Item],tab_alimentos[[#This Row],[Item]],super1[Bairro],mercado6)+SUMIFS(supercb[Qtde],supercb[Item],tab_alimentos[[#This Row],[Item]],supercb[Bairro],mercado6)</f>
        <v>0</v>
      </c>
      <c r="R154" s="27" t="n">
        <f aca="false">SUMIFS(super1[Qtde],super1[Item],tab_alimentos[[#This Row],[Item]],super1[Bairro],mercado7)+SUMIFS(supercb[Qtde],supercb[Item],tab_alimentos[[#This Row],[Item]],supercb[Bairro],mercado7)</f>
        <v>0</v>
      </c>
      <c r="S154" s="27" t="n">
        <f aca="false">SUMIFS(super1[Qtde],super1[Item],tab_alimentos[[#This Row],[Item]],super1[Bairro],mercado8)+SUMIFS(supercb[Qtde],supercb[Item],tab_alimentos[[#This Row],[Item]],supercb[Bairro],mercado8)</f>
        <v>0</v>
      </c>
      <c r="T154" s="27" t="n">
        <f aca="false">SUMIFS(super1[Qtde],super1[Item],tab_alimentos[[#This Row],[Item]],super1[Bairro],mercado9)+SUMIFS(supercb[Qtde],supercb[Item],tab_alimentos[[#This Row],[Item]],supercb[Bairro],mercado9)</f>
        <v>0</v>
      </c>
      <c r="U154" s="27" t="n">
        <f aca="false">SUMIFS(super1[Qtde],super1[Item],tab_alimentos[[#This Row],[Item]],super1[Bairro],mercado10)+SUMIFS(supercb[Qtde],supercb[Item],tab_alimentos[[#This Row],[Item]],supercb[Bairro],mercado10)</f>
        <v>0</v>
      </c>
      <c r="V154" s="27" t="n">
        <f aca="false">SUMIFS(super1[Qtde],super1[Item],tab_alimentos[[#This Row],[Item]],super1[Bairro],mercado11)+SUMIFS(supercb[Qtde],supercb[Item],tab_alimentos[[#This Row],[Item]],supercb[Bairro],mercado11)</f>
        <v>0</v>
      </c>
      <c r="W154" s="27" t="n">
        <f aca="false">SUMIFS(super1[Qtde],super1[Item],tab_alimentos[[#This Row],[Item]],super1[Bairro],mercado12)+SUMIFS(supercb[Qtde],supercb[Item],tab_alimentos[[#This Row],[Item]],supercb[Bairro],mercado12)</f>
        <v>0</v>
      </c>
      <c r="X154" s="27" t="n">
        <f aca="false">SUMIFS(super1[Qtde],super1[Item],tab_alimentos[[#This Row],[Item]],super1[Bairro],mercado13)+SUMIFS(supercb[Qtde],supercb[Item],tab_alimentos[[#This Row],[Item]],supercb[Bairro],mercado13)</f>
        <v>0</v>
      </c>
      <c r="Y154" s="27" t="n">
        <f aca="false">SUMIFS(super1[Qtde],super1[Item],tab_alimentos[[#This Row],[Item]],super1[Bairro],mercado14)+SUMIFS(supercb[Qtde],supercb[Item],tab_alimentos[[#This Row],[Item]],supercb[Bairro],mercado14)</f>
        <v>0</v>
      </c>
      <c r="Z154" s="27" t="n">
        <f aca="false">SUMIFS(super1[Qtde],super1[Item],tab_alimentos[[#This Row],[Item]],super1[Bairro],mercado15)+SUMIFS(supercb[Qtde],supercb[Item],tab_alimentos[[#This Row],[Item]],supercb[Bairro],mercado15)</f>
        <v>0</v>
      </c>
      <c r="AA154" s="27" t="n">
        <f aca="false">SUMIFS(super1[Qtde],super1[Item],tab_alimentos[[#This Row],[Item]],super1[Bairro],mercado16)+SUMIFS(supercb[Qtde],supercb[Item],tab_alimentos[[#This Row],[Item]],supercb[Bairro],mercado16)</f>
        <v>0</v>
      </c>
      <c r="AB154" s="27" t="n">
        <f aca="false">SUMIFS(super1[Qtde],super1[Item],tab_alimentos[[#This Row],[Item]],super1[Bairro],mercado17)+SUMIFS(supercb[Qtde],supercb[Item],tab_alimentos[[#This Row],[Item]],supercb[Bairro],mercado17)</f>
        <v>0</v>
      </c>
      <c r="AC154" s="27" t="n">
        <f aca="false">SUMIFS(super1[Qtde],super1[Item],tab_alimentos[[#This Row],[Item]],super1[Bairro],mercado18)+SUMIFS(supercb[Qtde],supercb[Item],tab_alimentos[[#This Row],[Item]],supercb[Bairro],mercado18)</f>
        <v>0</v>
      </c>
      <c r="AD154" s="27" t="n">
        <f aca="false">SUMIFS(super1[Qtde],super1[Item],tab_alimentos[[#This Row],[Item]],super1[Bairro],extras)+SUMIFS(supercb[Qtde],supercb[Item],tab_alimentos[[#This Row],[Item]],supercb[Bairro],extras)</f>
        <v>0</v>
      </c>
      <c r="AE154" s="27" t="n">
        <f aca="false">SUM(L154:AC154)</f>
        <v>0</v>
      </c>
      <c r="AF154" s="27" t="n">
        <f aca="false">IFERROR(AE154*K154,0)</f>
        <v>0</v>
      </c>
      <c r="AG154" s="28" t="n">
        <f aca="false">IFERROR(J154*AE154,0)</f>
        <v>0</v>
      </c>
      <c r="AH154" s="26" t="str">
        <f aca="false">higiene[[#This Row],[Item]]</f>
        <v>Papel Toalha (2un)</v>
      </c>
      <c r="AI154" s="27" t="n">
        <f aca="false">IFERROR(higiene[[#This Row],[Kg equivalente]],0)</f>
        <v>1.07716058536488</v>
      </c>
      <c r="AJ154" s="27" t="n">
        <f aca="false">IFERROR(higiene[[#This Row],[Preço por produto]],0)</f>
        <v>3.568</v>
      </c>
      <c r="AK154" s="27" t="n">
        <f aca="false">SUMIFS(super1[Qtde],super1[Item],tab_higiene[[#This Row],[Item]],super1[Bairro],mercado1)+SUMIFS(supercb[Qtde],supercb[Item],tab_higiene[[#This Row],[Item]],supercb[Bairro],mercado1)</f>
        <v>0</v>
      </c>
      <c r="AL154" s="27" t="n">
        <f aca="false">SUMIFS(super1[Qtde],super1[Item],tab_higiene[[#This Row],[Item]],super1[Bairro],mercado2)+SUMIFS(supercb[Qtde],supercb[Item],tab_higiene[[#This Row],[Item]],supercb[Bairro],mercado2)</f>
        <v>0</v>
      </c>
      <c r="AM154" s="27" t="n">
        <f aca="false">SUMIFS(super1[Qtde],super1[Item],tab_higiene[[#This Row],[Item]],super1[Bairro],mercado3)+SUMIFS(supercb[Qtde],supercb[Item],tab_higiene[[#This Row],[Item]],supercb[Bairro],mercado3)</f>
        <v>0</v>
      </c>
      <c r="AN154" s="27" t="n">
        <f aca="false">SUMIFS(super1[Qtde],super1[Item],tab_higiene[[#This Row],[Item]],super1[Bairro],mercado4)+SUMIFS(supercb[Qtde],supercb[Item],tab_higiene[[#This Row],[Item]],supercb[Bairro],mercado4)</f>
        <v>0</v>
      </c>
      <c r="AO154" s="27" t="n">
        <f aca="false">SUMIFS(super1[Qtde],super1[Item],tab_higiene[[#This Row],[Item]],super1[Bairro],mercado5)+SUMIFS(supercb[Qtde],supercb[Item],tab_higiene[[#This Row],[Item]],supercb[Bairro],mercado5)</f>
        <v>0</v>
      </c>
      <c r="AP154" s="27" t="n">
        <f aca="false">SUMIFS(super1[Qtde],super1[Item],tab_higiene[[#This Row],[Item]],super1[Bairro],mercado6)+SUMIFS(supercb[Qtde],supercb[Item],tab_higiene[[#This Row],[Item]],supercb[Bairro],mercado6)</f>
        <v>0</v>
      </c>
      <c r="AQ154" s="27" t="n">
        <f aca="false">SUMIFS(super1[Qtde],super1[Item],tab_higiene[[#This Row],[Item]],super1[Bairro],mercado7)+SUMIFS(supercb[Qtde],supercb[Item],tab_higiene[[#This Row],[Item]],supercb[Bairro],mercado7)</f>
        <v>0</v>
      </c>
      <c r="AR154" s="27" t="n">
        <f aca="false">SUMIFS(super1[Qtde],super1[Item],tab_higiene[[#This Row],[Item]],super1[Bairro],mercado8)+SUMIFS(supercb[Qtde],supercb[Item],tab_higiene[[#This Row],[Item]],supercb[Bairro],mercado8)</f>
        <v>0</v>
      </c>
      <c r="AS154" s="27" t="n">
        <f aca="false">SUMIFS(super1[Qtde],super1[Item],tab_higiene[[#This Row],[Item]],super1[Bairro],mercado9)+SUMIFS(supercb[Qtde],supercb[Item],tab_higiene[[#This Row],[Item]],supercb[Bairro],mercado9)</f>
        <v>0</v>
      </c>
      <c r="AT154" s="27" t="n">
        <f aca="false">SUMIFS(super1[Qtde],super1[Item],tab_higiene[[#This Row],[Item]],super1[Bairro],mercado10)+SUMIFS(supercb[Qtde],supercb[Item],tab_higiene[[#This Row],[Item]],supercb[Bairro],mercado10)</f>
        <v>0</v>
      </c>
      <c r="AU154" s="27" t="n">
        <f aca="false">SUMIFS(super1[Qtde],super1[Item],tab_higiene[[#This Row],[Item]],super1[Bairro],mercado11)+SUMIFS(supercb[Qtde],supercb[Item],tab_higiene[[#This Row],[Item]],supercb[Bairro],mercado11)</f>
        <v>0</v>
      </c>
      <c r="AV154" s="27" t="n">
        <f aca="false">SUMIFS(super1[Qtde],super1[Item],tab_higiene[[#This Row],[Item]],super1[Bairro],mercado12)+SUMIFS(supercb[Qtde],supercb[Item],tab_higiene[[#This Row],[Item]],supercb[Bairro],mercado12)</f>
        <v>0</v>
      </c>
      <c r="AW154" s="27" t="n">
        <f aca="false">SUMIFS(super1[Qtde],super1[Item],tab_higiene[[#This Row],[Item]],super1[Bairro],mercado13)+SUMIFS(supercb[Qtde],supercb[Item],tab_higiene[[#This Row],[Item]],supercb[Bairro],mercado13)</f>
        <v>0</v>
      </c>
      <c r="AX154" s="27" t="n">
        <f aca="false">SUMIFS(super1[Qtde],super1[Item],tab_higiene[[#This Row],[Item]],super1[Bairro],mercado14)+SUMIFS(supercb[Qtde],supercb[Item],tab_higiene[[#This Row],[Item]],supercb[Bairro],mercado14)</f>
        <v>0</v>
      </c>
      <c r="AY154" s="27" t="n">
        <f aca="false">SUMIFS(super1[Qtde],super1[Item],tab_higiene[[#This Row],[Item]],super1[Bairro],mercado15)+SUMIFS(supercb[Qtde],supercb[Item],tab_higiene[[#This Row],[Item]],supercb[Bairro],mercado15)</f>
        <v>0</v>
      </c>
      <c r="AZ154" s="27" t="n">
        <f aca="false">SUMIFS(super1[Qtde],super1[Item],tab_higiene[[#This Row],[Item]],super1[Bairro],mercado16)+SUMIFS(supercb[Qtde],supercb[Item],tab_higiene[[#This Row],[Item]],supercb[Bairro],mercado16)</f>
        <v>0</v>
      </c>
      <c r="BA154" s="27" t="n">
        <f aca="false">SUMIFS(super1[Qtde],super1[Item],tab_higiene[[#This Row],[Item]],super1[Bairro],mercado17)+SUMIFS(supercb[Qtde],supercb[Item],tab_higiene[[#This Row],[Item]],supercb[Bairro],mercado17)</f>
        <v>0</v>
      </c>
      <c r="BB154" s="27" t="n">
        <f aca="false">SUMIFS(super1[Qtde],super1[Item],tab_higiene[[#This Row],[Item]],super1[Bairro],mercado18)+SUMIFS(supercb[Qtde],supercb[Item],tab_higiene[[#This Row],[Item]],supercb[Bairro],mercado18)</f>
        <v>0</v>
      </c>
      <c r="BC154" s="27" t="n">
        <f aca="false">SUMIFS(super1[Qtde],super1[Item],tab_higiene[[#This Row],[Item]],super1[Bairro],extras)+SUMIFS(supercb[Qtde],supercb[Item],tab_higiene[[#This Row],[Item]],supercb[Bairro],extras)</f>
        <v>0</v>
      </c>
      <c r="BD154" s="27" t="n">
        <f aca="false">SUM(AK154:BB154)</f>
        <v>0</v>
      </c>
      <c r="BE154" s="27" t="n">
        <f aca="false">IFERROR(BD154*AJ154,0)</f>
        <v>0</v>
      </c>
      <c r="BF154" s="28" t="n">
        <f aca="false">IFERROR(AI154*BD154,0)</f>
        <v>0</v>
      </c>
      <c r="BI154" s="22" t="str">
        <f aca="false">tab_alimentos[[#This Row],[Item]]</f>
        <v>Leite de Coco (200mL)</v>
      </c>
      <c r="BJ154" s="22" t="n">
        <f aca="false">IFERROR(FIND(" (",BI154),0)</f>
        <v>14</v>
      </c>
      <c r="BK154" s="22" t="str">
        <f aca="false">IF(BJ154=0,BI154,LEFT(BI154,BJ154-1))</f>
        <v>Leite de Coco</v>
      </c>
      <c r="BL154" s="22" t="n">
        <f aca="false">tab_alimentos[[#This Row],[kg]]</f>
        <v>0</v>
      </c>
      <c r="BN154" s="22" t="n">
        <f aca="false">SUMIF($BJ$5:$BJ$158,#REF!,$BK$5:$BK$158)</f>
        <v>0</v>
      </c>
    </row>
    <row r="155" customFormat="false" ht="15" hidden="false" customHeight="false" outlineLevel="0" collapsed="false">
      <c r="I155" s="26" t="str">
        <f aca="false">alimentos[[#This Row],[Item]]</f>
        <v>Leite de soja (1L)</v>
      </c>
      <c r="J155" s="27" t="n">
        <f aca="false">IFERROR(alimentos[[#This Row],[kg/embalagem]],0)</f>
        <v>1</v>
      </c>
      <c r="K155" s="27" t="n">
        <f aca="false">IFERROR(alimentos[[#This Row],[Preço]],0)</f>
        <v>4.90666666666667</v>
      </c>
      <c r="L155" s="27" t="n">
        <f aca="false">SUMIFS(super1[Qtde],super1[Item],tab_alimentos[[#This Row],[Item]],super1[Bairro],mercado1)+SUMIFS(supercb[Qtde],supercb[Item],tab_alimentos[[#This Row],[Item]],supercb[Bairro],mercado1)</f>
        <v>0</v>
      </c>
      <c r="M155" s="27" t="n">
        <f aca="false">SUMIFS(super1[Qtde],super1[Item],tab_alimentos[[#This Row],[Item]],super1[Bairro],mercado2)+SUMIFS(supercb[Qtde],supercb[Item],tab_alimentos[[#This Row],[Item]],supercb[Bairro],mercado2)</f>
        <v>0</v>
      </c>
      <c r="N155" s="27" t="n">
        <f aca="false">SUMIFS(super1[Qtde],super1[Item],tab_alimentos[[#This Row],[Item]],super1[Bairro],mercado3)+SUMIFS(supercb[Qtde],supercb[Item],tab_alimentos[[#This Row],[Item]],supercb[Bairro],mercado3)</f>
        <v>0</v>
      </c>
      <c r="O155" s="27" t="n">
        <f aca="false">SUMIFS(super1[Qtde],super1[Item],tab_alimentos[[#This Row],[Item]],super1[Bairro],mercado4)+SUMIFS(supercb[Qtde],supercb[Item],tab_alimentos[[#This Row],[Item]],supercb[Bairro],mercado4)</f>
        <v>0</v>
      </c>
      <c r="P155" s="27" t="n">
        <f aca="false">SUMIFS(super1[Qtde],super1[Item],tab_alimentos[[#This Row],[Item]],super1[Bairro],mercado5)+SUMIFS(supercb[Qtde],supercb[Item],tab_alimentos[[#This Row],[Item]],supercb[Bairro],mercado5)</f>
        <v>0</v>
      </c>
      <c r="Q155" s="27" t="n">
        <f aca="false">SUMIFS(super1[Qtde],super1[Item],tab_alimentos[[#This Row],[Item]],super1[Bairro],mercado6)+SUMIFS(supercb[Qtde],supercb[Item],tab_alimentos[[#This Row],[Item]],supercb[Bairro],mercado6)</f>
        <v>0</v>
      </c>
      <c r="R155" s="27" t="n">
        <f aca="false">SUMIFS(super1[Qtde],super1[Item],tab_alimentos[[#This Row],[Item]],super1[Bairro],mercado7)+SUMIFS(supercb[Qtde],supercb[Item],tab_alimentos[[#This Row],[Item]],supercb[Bairro],mercado7)</f>
        <v>0</v>
      </c>
      <c r="S155" s="27" t="n">
        <f aca="false">SUMIFS(super1[Qtde],super1[Item],tab_alimentos[[#This Row],[Item]],super1[Bairro],mercado8)+SUMIFS(supercb[Qtde],supercb[Item],tab_alimentos[[#This Row],[Item]],supercb[Bairro],mercado8)</f>
        <v>0</v>
      </c>
      <c r="T155" s="27" t="n">
        <f aca="false">SUMIFS(super1[Qtde],super1[Item],tab_alimentos[[#This Row],[Item]],super1[Bairro],mercado9)+SUMIFS(supercb[Qtde],supercb[Item],tab_alimentos[[#This Row],[Item]],supercb[Bairro],mercado9)</f>
        <v>0</v>
      </c>
      <c r="U155" s="27" t="n">
        <f aca="false">SUMIFS(super1[Qtde],super1[Item],tab_alimentos[[#This Row],[Item]],super1[Bairro],mercado10)+SUMIFS(supercb[Qtde],supercb[Item],tab_alimentos[[#This Row],[Item]],supercb[Bairro],mercado10)</f>
        <v>0</v>
      </c>
      <c r="V155" s="27" t="n">
        <f aca="false">SUMIFS(super1[Qtde],super1[Item],tab_alimentos[[#This Row],[Item]],super1[Bairro],mercado11)+SUMIFS(supercb[Qtde],supercb[Item],tab_alimentos[[#This Row],[Item]],supercb[Bairro],mercado11)</f>
        <v>0</v>
      </c>
      <c r="W155" s="27" t="n">
        <f aca="false">SUMIFS(super1[Qtde],super1[Item],tab_alimentos[[#This Row],[Item]],super1[Bairro],mercado12)+SUMIFS(supercb[Qtde],supercb[Item],tab_alimentos[[#This Row],[Item]],supercb[Bairro],mercado12)</f>
        <v>0</v>
      </c>
      <c r="X155" s="27" t="n">
        <f aca="false">SUMIFS(super1[Qtde],super1[Item],tab_alimentos[[#This Row],[Item]],super1[Bairro],mercado13)+SUMIFS(supercb[Qtde],supercb[Item],tab_alimentos[[#This Row],[Item]],supercb[Bairro],mercado13)</f>
        <v>0</v>
      </c>
      <c r="Y155" s="27" t="n">
        <f aca="false">SUMIFS(super1[Qtde],super1[Item],tab_alimentos[[#This Row],[Item]],super1[Bairro],mercado14)+SUMIFS(supercb[Qtde],supercb[Item],tab_alimentos[[#This Row],[Item]],supercb[Bairro],mercado14)</f>
        <v>0</v>
      </c>
      <c r="Z155" s="27" t="n">
        <f aca="false">SUMIFS(super1[Qtde],super1[Item],tab_alimentos[[#This Row],[Item]],super1[Bairro],mercado15)+SUMIFS(supercb[Qtde],supercb[Item],tab_alimentos[[#This Row],[Item]],supercb[Bairro],mercado15)</f>
        <v>0</v>
      </c>
      <c r="AA155" s="27" t="n">
        <f aca="false">SUMIFS(super1[Qtde],super1[Item],tab_alimentos[[#This Row],[Item]],super1[Bairro],mercado16)+SUMIFS(supercb[Qtde],supercb[Item],tab_alimentos[[#This Row],[Item]],supercb[Bairro],mercado16)</f>
        <v>0</v>
      </c>
      <c r="AB155" s="27" t="n">
        <f aca="false">SUMIFS(super1[Qtde],super1[Item],tab_alimentos[[#This Row],[Item]],super1[Bairro],mercado17)+SUMIFS(supercb[Qtde],supercb[Item],tab_alimentos[[#This Row],[Item]],supercb[Bairro],mercado17)</f>
        <v>0</v>
      </c>
      <c r="AC155" s="27" t="n">
        <f aca="false">SUMIFS(super1[Qtde],super1[Item],tab_alimentos[[#This Row],[Item]],super1[Bairro],mercado18)+SUMIFS(supercb[Qtde],supercb[Item],tab_alimentos[[#This Row],[Item]],supercb[Bairro],mercado18)</f>
        <v>0</v>
      </c>
      <c r="AD155" s="27" t="n">
        <f aca="false">SUMIFS(super1[Qtde],super1[Item],tab_alimentos[[#This Row],[Item]],super1[Bairro],extras)+SUMIFS(supercb[Qtde],supercb[Item],tab_alimentos[[#This Row],[Item]],supercb[Bairro],extras)</f>
        <v>0</v>
      </c>
      <c r="AE155" s="27" t="n">
        <f aca="false">SUM(L155:AC155)</f>
        <v>0</v>
      </c>
      <c r="AF155" s="27" t="n">
        <f aca="false">IFERROR(AE155*K155,0)</f>
        <v>0</v>
      </c>
      <c r="AG155" s="28" t="n">
        <f aca="false">IFERROR(J155*AE155,0)</f>
        <v>0</v>
      </c>
      <c r="AH155" s="26" t="str">
        <f aca="false">higiene[[#This Row],[Item]]</f>
        <v>Pasta de Dente (180g)</v>
      </c>
      <c r="AI155" s="27" t="n">
        <f aca="false">IFERROR(higiene[[#This Row],[Kg equivalente]],0)</f>
        <v>1.56683392321853</v>
      </c>
      <c r="AJ155" s="27" t="n">
        <f aca="false">IFERROR(higiene[[#This Row],[Preço por produto]],0)</f>
        <v>5.19</v>
      </c>
      <c r="AK155" s="27" t="n">
        <f aca="false">SUMIFS(super1[Qtde],super1[Item],tab_higiene[[#This Row],[Item]],super1[Bairro],mercado1)+SUMIFS(supercb[Qtde],supercb[Item],tab_higiene[[#This Row],[Item]],supercb[Bairro],mercado1)</f>
        <v>0</v>
      </c>
      <c r="AL155" s="27" t="n">
        <f aca="false">SUMIFS(super1[Qtde],super1[Item],tab_higiene[[#This Row],[Item]],super1[Bairro],mercado2)+SUMIFS(supercb[Qtde],supercb[Item],tab_higiene[[#This Row],[Item]],supercb[Bairro],mercado2)</f>
        <v>0</v>
      </c>
      <c r="AM155" s="27" t="n">
        <f aca="false">SUMIFS(super1[Qtde],super1[Item],tab_higiene[[#This Row],[Item]],super1[Bairro],mercado3)+SUMIFS(supercb[Qtde],supercb[Item],tab_higiene[[#This Row],[Item]],supercb[Bairro],mercado3)</f>
        <v>0</v>
      </c>
      <c r="AN155" s="27" t="n">
        <f aca="false">SUMIFS(super1[Qtde],super1[Item],tab_higiene[[#This Row],[Item]],super1[Bairro],mercado4)+SUMIFS(supercb[Qtde],supercb[Item],tab_higiene[[#This Row],[Item]],supercb[Bairro],mercado4)</f>
        <v>0</v>
      </c>
      <c r="AO155" s="27" t="n">
        <f aca="false">SUMIFS(super1[Qtde],super1[Item],tab_higiene[[#This Row],[Item]],super1[Bairro],mercado5)+SUMIFS(supercb[Qtde],supercb[Item],tab_higiene[[#This Row],[Item]],supercb[Bairro],mercado5)</f>
        <v>1</v>
      </c>
      <c r="AP155" s="27" t="n">
        <f aca="false">SUMIFS(super1[Qtde],super1[Item],tab_higiene[[#This Row],[Item]],super1[Bairro],mercado6)+SUMIFS(supercb[Qtde],supercb[Item],tab_higiene[[#This Row],[Item]],supercb[Bairro],mercado6)</f>
        <v>0</v>
      </c>
      <c r="AQ155" s="27" t="n">
        <f aca="false">SUMIFS(super1[Qtde],super1[Item],tab_higiene[[#This Row],[Item]],super1[Bairro],mercado7)+SUMIFS(supercb[Qtde],supercb[Item],tab_higiene[[#This Row],[Item]],supercb[Bairro],mercado7)</f>
        <v>2</v>
      </c>
      <c r="AR155" s="27" t="n">
        <f aca="false">SUMIFS(super1[Qtde],super1[Item],tab_higiene[[#This Row],[Item]],super1[Bairro],mercado8)+SUMIFS(supercb[Qtde],supercb[Item],tab_higiene[[#This Row],[Item]],supercb[Bairro],mercado8)</f>
        <v>1</v>
      </c>
      <c r="AS155" s="27" t="n">
        <f aca="false">SUMIFS(super1[Qtde],super1[Item],tab_higiene[[#This Row],[Item]],super1[Bairro],mercado9)+SUMIFS(supercb[Qtde],supercb[Item],tab_higiene[[#This Row],[Item]],supercb[Bairro],mercado9)</f>
        <v>0</v>
      </c>
      <c r="AT155" s="27" t="n">
        <f aca="false">SUMIFS(super1[Qtde],super1[Item],tab_higiene[[#This Row],[Item]],super1[Bairro],mercado10)+SUMIFS(supercb[Qtde],supercb[Item],tab_higiene[[#This Row],[Item]],supercb[Bairro],mercado10)</f>
        <v>1</v>
      </c>
      <c r="AU155" s="27" t="n">
        <f aca="false">SUMIFS(super1[Qtde],super1[Item],tab_higiene[[#This Row],[Item]],super1[Bairro],mercado11)+SUMIFS(supercb[Qtde],supercb[Item],tab_higiene[[#This Row],[Item]],supercb[Bairro],mercado11)</f>
        <v>0</v>
      </c>
      <c r="AV155" s="27" t="n">
        <f aca="false">SUMIFS(super1[Qtde],super1[Item],tab_higiene[[#This Row],[Item]],super1[Bairro],mercado12)+SUMIFS(supercb[Qtde],supercb[Item],tab_higiene[[#This Row],[Item]],supercb[Bairro],mercado12)</f>
        <v>0</v>
      </c>
      <c r="AW155" s="27" t="n">
        <f aca="false">SUMIFS(super1[Qtde],super1[Item],tab_higiene[[#This Row],[Item]],super1[Bairro],mercado13)+SUMIFS(supercb[Qtde],supercb[Item],tab_higiene[[#This Row],[Item]],supercb[Bairro],mercado13)</f>
        <v>1</v>
      </c>
      <c r="AX155" s="27" t="n">
        <f aca="false">SUMIFS(super1[Qtde],super1[Item],tab_higiene[[#This Row],[Item]],super1[Bairro],mercado14)+SUMIFS(supercb[Qtde],supercb[Item],tab_higiene[[#This Row],[Item]],supercb[Bairro],mercado14)</f>
        <v>0</v>
      </c>
      <c r="AY155" s="27" t="n">
        <f aca="false">SUMIFS(super1[Qtde],super1[Item],tab_higiene[[#This Row],[Item]],super1[Bairro],mercado15)+SUMIFS(supercb[Qtde],supercb[Item],tab_higiene[[#This Row],[Item]],supercb[Bairro],mercado15)</f>
        <v>0</v>
      </c>
      <c r="AZ155" s="27" t="n">
        <f aca="false">SUMIFS(super1[Qtde],super1[Item],tab_higiene[[#This Row],[Item]],super1[Bairro],mercado16)+SUMIFS(supercb[Qtde],supercb[Item],tab_higiene[[#This Row],[Item]],supercb[Bairro],mercado16)</f>
        <v>0</v>
      </c>
      <c r="BA155" s="27" t="n">
        <f aca="false">SUMIFS(super1[Qtde],super1[Item],tab_higiene[[#This Row],[Item]],super1[Bairro],mercado17)+SUMIFS(supercb[Qtde],supercb[Item],tab_higiene[[#This Row],[Item]],supercb[Bairro],mercado17)</f>
        <v>0</v>
      </c>
      <c r="BB155" s="27" t="n">
        <f aca="false">SUMIFS(super1[Qtde],super1[Item],tab_higiene[[#This Row],[Item]],super1[Bairro],mercado18)+SUMIFS(supercb[Qtde],supercb[Item],tab_higiene[[#This Row],[Item]],supercb[Bairro],mercado18)</f>
        <v>0</v>
      </c>
      <c r="BC155" s="27" t="n">
        <f aca="false">SUMIFS(super1[Qtde],super1[Item],tab_higiene[[#This Row],[Item]],super1[Bairro],extras)+SUMIFS(supercb[Qtde],supercb[Item],tab_higiene[[#This Row],[Item]],supercb[Bairro],extras)</f>
        <v>0</v>
      </c>
      <c r="BD155" s="27" t="n">
        <f aca="false">SUM(AK155:BB155)</f>
        <v>6</v>
      </c>
      <c r="BE155" s="27" t="n">
        <f aca="false">IFERROR(BD155*AJ155,0)</f>
        <v>31.14</v>
      </c>
      <c r="BF155" s="28" t="n">
        <f aca="false">IFERROR(AI155*BD155,0)</f>
        <v>9.4010035393112</v>
      </c>
      <c r="BI155" s="22" t="str">
        <f aca="false">tab_alimentos[[#This Row],[Item]]</f>
        <v>Leite de soja (1L)</v>
      </c>
      <c r="BJ155" s="22" t="n">
        <f aca="false">IFERROR(FIND(" (",BI155),0)</f>
        <v>14</v>
      </c>
      <c r="BK155" s="22" t="str">
        <f aca="false">IF(BJ155=0,BI155,LEFT(BI155,BJ155-1))</f>
        <v>Leite de soja</v>
      </c>
      <c r="BL155" s="22" t="n">
        <f aca="false">tab_alimentos[[#This Row],[kg]]</f>
        <v>0</v>
      </c>
      <c r="BN155" s="22" t="n">
        <f aca="false">SUMIF($BJ$5:$BJ$158,#REF!,$BK$5:$BK$158)</f>
        <v>0</v>
      </c>
    </row>
    <row r="156" customFormat="false" ht="15" hidden="false" customHeight="false" outlineLevel="0" collapsed="false">
      <c r="I156" s="26" t="str">
        <f aca="false">alimentos[[#This Row],[Item]]</f>
        <v>Leite em Pó (200g)</v>
      </c>
      <c r="J156" s="27" t="n">
        <f aca="false">IFERROR(alimentos[[#This Row],[kg/embalagem]],0)</f>
        <v>0.2</v>
      </c>
      <c r="K156" s="27" t="n">
        <f aca="false">IFERROR(alimentos[[#This Row],[Preço]],0)</f>
        <v>7.99</v>
      </c>
      <c r="L156" s="27" t="n">
        <f aca="false">SUMIFS(super1[Qtde],super1[Item],tab_alimentos[[#This Row],[Item]],super1[Bairro],mercado1)+SUMIFS(supercb[Qtde],supercb[Item],tab_alimentos[[#This Row],[Item]],supercb[Bairro],mercado1)</f>
        <v>0</v>
      </c>
      <c r="M156" s="27" t="n">
        <f aca="false">SUMIFS(super1[Qtde],super1[Item],tab_alimentos[[#This Row],[Item]],super1[Bairro],mercado2)+SUMIFS(supercb[Qtde],supercb[Item],tab_alimentos[[#This Row],[Item]],supercb[Bairro],mercado2)</f>
        <v>0</v>
      </c>
      <c r="N156" s="27" t="n">
        <f aca="false">SUMIFS(super1[Qtde],super1[Item],tab_alimentos[[#This Row],[Item]],super1[Bairro],mercado3)+SUMIFS(supercb[Qtde],supercb[Item],tab_alimentos[[#This Row],[Item]],supercb[Bairro],mercado3)</f>
        <v>0</v>
      </c>
      <c r="O156" s="27" t="n">
        <f aca="false">SUMIFS(super1[Qtde],super1[Item],tab_alimentos[[#This Row],[Item]],super1[Bairro],mercado4)+SUMIFS(supercb[Qtde],supercb[Item],tab_alimentos[[#This Row],[Item]],supercb[Bairro],mercado4)</f>
        <v>0</v>
      </c>
      <c r="P156" s="27" t="n">
        <f aca="false">SUMIFS(super1[Qtde],super1[Item],tab_alimentos[[#This Row],[Item]],super1[Bairro],mercado5)+SUMIFS(supercb[Qtde],supercb[Item],tab_alimentos[[#This Row],[Item]],supercb[Bairro],mercado5)</f>
        <v>0</v>
      </c>
      <c r="Q156" s="27" t="n">
        <f aca="false">SUMIFS(super1[Qtde],super1[Item],tab_alimentos[[#This Row],[Item]],super1[Bairro],mercado6)+SUMIFS(supercb[Qtde],supercb[Item],tab_alimentos[[#This Row],[Item]],supercb[Bairro],mercado6)</f>
        <v>0</v>
      </c>
      <c r="R156" s="27" t="n">
        <f aca="false">SUMIFS(super1[Qtde],super1[Item],tab_alimentos[[#This Row],[Item]],super1[Bairro],mercado7)+SUMIFS(supercb[Qtde],supercb[Item],tab_alimentos[[#This Row],[Item]],supercb[Bairro],mercado7)</f>
        <v>0</v>
      </c>
      <c r="S156" s="27" t="n">
        <f aca="false">SUMIFS(super1[Qtde],super1[Item],tab_alimentos[[#This Row],[Item]],super1[Bairro],mercado8)+SUMIFS(supercb[Qtde],supercb[Item],tab_alimentos[[#This Row],[Item]],supercb[Bairro],mercado8)</f>
        <v>0</v>
      </c>
      <c r="T156" s="27" t="n">
        <f aca="false">SUMIFS(super1[Qtde],super1[Item],tab_alimentos[[#This Row],[Item]],super1[Bairro],mercado9)+SUMIFS(supercb[Qtde],supercb[Item],tab_alimentos[[#This Row],[Item]],supercb[Bairro],mercado9)</f>
        <v>0</v>
      </c>
      <c r="U156" s="27" t="n">
        <f aca="false">SUMIFS(super1[Qtde],super1[Item],tab_alimentos[[#This Row],[Item]],super1[Bairro],mercado10)+SUMIFS(supercb[Qtde],supercb[Item],tab_alimentos[[#This Row],[Item]],supercb[Bairro],mercado10)</f>
        <v>0</v>
      </c>
      <c r="V156" s="27" t="n">
        <f aca="false">SUMIFS(super1[Qtde],super1[Item],tab_alimentos[[#This Row],[Item]],super1[Bairro],mercado11)+SUMIFS(supercb[Qtde],supercb[Item],tab_alimentos[[#This Row],[Item]],supercb[Bairro],mercado11)</f>
        <v>0</v>
      </c>
      <c r="W156" s="27" t="n">
        <f aca="false">SUMIFS(super1[Qtde],super1[Item],tab_alimentos[[#This Row],[Item]],super1[Bairro],mercado12)+SUMIFS(supercb[Qtde],supercb[Item],tab_alimentos[[#This Row],[Item]],supercb[Bairro],mercado12)</f>
        <v>0</v>
      </c>
      <c r="X156" s="27" t="n">
        <f aca="false">SUMIFS(super1[Qtde],super1[Item],tab_alimentos[[#This Row],[Item]],super1[Bairro],mercado13)+SUMIFS(supercb[Qtde],supercb[Item],tab_alimentos[[#This Row],[Item]],supercb[Bairro],mercado13)</f>
        <v>0</v>
      </c>
      <c r="Y156" s="27" t="n">
        <f aca="false">SUMIFS(super1[Qtde],super1[Item],tab_alimentos[[#This Row],[Item]],super1[Bairro],mercado14)+SUMIFS(supercb[Qtde],supercb[Item],tab_alimentos[[#This Row],[Item]],supercb[Bairro],mercado14)</f>
        <v>0</v>
      </c>
      <c r="Z156" s="27" t="n">
        <f aca="false">SUMIFS(super1[Qtde],super1[Item],tab_alimentos[[#This Row],[Item]],super1[Bairro],mercado15)+SUMIFS(supercb[Qtde],supercb[Item],tab_alimentos[[#This Row],[Item]],supercb[Bairro],mercado15)</f>
        <v>0</v>
      </c>
      <c r="AA156" s="27" t="n">
        <f aca="false">SUMIFS(super1[Qtde],super1[Item],tab_alimentos[[#This Row],[Item]],super1[Bairro],mercado16)+SUMIFS(supercb[Qtde],supercb[Item],tab_alimentos[[#This Row],[Item]],supercb[Bairro],mercado16)</f>
        <v>0</v>
      </c>
      <c r="AB156" s="27" t="n">
        <f aca="false">SUMIFS(super1[Qtde],super1[Item],tab_alimentos[[#This Row],[Item]],super1[Bairro],mercado17)+SUMIFS(supercb[Qtde],supercb[Item],tab_alimentos[[#This Row],[Item]],supercb[Bairro],mercado17)</f>
        <v>0</v>
      </c>
      <c r="AC156" s="27" t="n">
        <f aca="false">SUMIFS(super1[Qtde],super1[Item],tab_alimentos[[#This Row],[Item]],super1[Bairro],mercado18)+SUMIFS(supercb[Qtde],supercb[Item],tab_alimentos[[#This Row],[Item]],supercb[Bairro],mercado18)</f>
        <v>0</v>
      </c>
      <c r="AD156" s="27" t="n">
        <f aca="false">SUMIFS(super1[Qtde],super1[Item],tab_alimentos[[#This Row],[Item]],super1[Bairro],extras)+SUMIFS(supercb[Qtde],supercb[Item],tab_alimentos[[#This Row],[Item]],supercb[Bairro],extras)</f>
        <v>0</v>
      </c>
      <c r="AE156" s="27" t="n">
        <f aca="false">SUM(L156:AC156)</f>
        <v>0</v>
      </c>
      <c r="AF156" s="27" t="n">
        <f aca="false">IFERROR(AE156*K156,0)</f>
        <v>0</v>
      </c>
      <c r="AG156" s="28" t="n">
        <f aca="false">IFERROR(J156*AE156,0)</f>
        <v>0</v>
      </c>
      <c r="AH156" s="26" t="str">
        <f aca="false">higiene[[#This Row],[Item]]</f>
        <v>Pasta de dente (3un)</v>
      </c>
      <c r="AI156" s="27" t="n">
        <f aca="false">IFERROR(higiene[[#This Row],[Kg equivalente]],0)</f>
        <v>1.50343601881085</v>
      </c>
      <c r="AJ156" s="27" t="n">
        <f aca="false">IFERROR(higiene[[#This Row],[Preço por produto]],0)</f>
        <v>4.98</v>
      </c>
      <c r="AK156" s="27" t="n">
        <f aca="false">SUMIFS(super1[Qtde],super1[Item],tab_higiene[[#This Row],[Item]],super1[Bairro],mercado1)+SUMIFS(supercb[Qtde],supercb[Item],tab_higiene[[#This Row],[Item]],supercb[Bairro],mercado1)</f>
        <v>0</v>
      </c>
      <c r="AL156" s="27" t="n">
        <f aca="false">SUMIFS(super1[Qtde],super1[Item],tab_higiene[[#This Row],[Item]],super1[Bairro],mercado2)+SUMIFS(supercb[Qtde],supercb[Item],tab_higiene[[#This Row],[Item]],supercb[Bairro],mercado2)</f>
        <v>0</v>
      </c>
      <c r="AM156" s="27" t="n">
        <f aca="false">SUMIFS(super1[Qtde],super1[Item],tab_higiene[[#This Row],[Item]],super1[Bairro],mercado3)+SUMIFS(supercb[Qtde],supercb[Item],tab_higiene[[#This Row],[Item]],supercb[Bairro],mercado3)</f>
        <v>1</v>
      </c>
      <c r="AN156" s="27" t="n">
        <f aca="false">SUMIFS(super1[Qtde],super1[Item],tab_higiene[[#This Row],[Item]],super1[Bairro],mercado4)+SUMIFS(supercb[Qtde],supercb[Item],tab_higiene[[#This Row],[Item]],supercb[Bairro],mercado4)</f>
        <v>0</v>
      </c>
      <c r="AO156" s="27" t="n">
        <f aca="false">SUMIFS(super1[Qtde],super1[Item],tab_higiene[[#This Row],[Item]],super1[Bairro],mercado5)+SUMIFS(supercb[Qtde],supercb[Item],tab_higiene[[#This Row],[Item]],supercb[Bairro],mercado5)</f>
        <v>0</v>
      </c>
      <c r="AP156" s="27" t="n">
        <f aca="false">SUMIFS(super1[Qtde],super1[Item],tab_higiene[[#This Row],[Item]],super1[Bairro],mercado6)+SUMIFS(supercb[Qtde],supercb[Item],tab_higiene[[#This Row],[Item]],supercb[Bairro],mercado6)</f>
        <v>0</v>
      </c>
      <c r="AQ156" s="27" t="n">
        <f aca="false">SUMIFS(super1[Qtde],super1[Item],tab_higiene[[#This Row],[Item]],super1[Bairro],mercado7)+SUMIFS(supercb[Qtde],supercb[Item],tab_higiene[[#This Row],[Item]],supercb[Bairro],mercado7)</f>
        <v>0</v>
      </c>
      <c r="AR156" s="27" t="n">
        <f aca="false">SUMIFS(super1[Qtde],super1[Item],tab_higiene[[#This Row],[Item]],super1[Bairro],mercado8)+SUMIFS(supercb[Qtde],supercb[Item],tab_higiene[[#This Row],[Item]],supercb[Bairro],mercado8)</f>
        <v>0</v>
      </c>
      <c r="AS156" s="27" t="n">
        <f aca="false">SUMIFS(super1[Qtde],super1[Item],tab_higiene[[#This Row],[Item]],super1[Bairro],mercado9)+SUMIFS(supercb[Qtde],supercb[Item],tab_higiene[[#This Row],[Item]],supercb[Bairro],mercado9)</f>
        <v>0</v>
      </c>
      <c r="AT156" s="27" t="n">
        <f aca="false">SUMIFS(super1[Qtde],super1[Item],tab_higiene[[#This Row],[Item]],super1[Bairro],mercado10)+SUMIFS(supercb[Qtde],supercb[Item],tab_higiene[[#This Row],[Item]],supercb[Bairro],mercado10)</f>
        <v>0</v>
      </c>
      <c r="AU156" s="27" t="n">
        <f aca="false">SUMIFS(super1[Qtde],super1[Item],tab_higiene[[#This Row],[Item]],super1[Bairro],mercado11)+SUMIFS(supercb[Qtde],supercb[Item],tab_higiene[[#This Row],[Item]],supercb[Bairro],mercado11)</f>
        <v>0</v>
      </c>
      <c r="AV156" s="27" t="n">
        <f aca="false">SUMIFS(super1[Qtde],super1[Item],tab_higiene[[#This Row],[Item]],super1[Bairro],mercado12)+SUMIFS(supercb[Qtde],supercb[Item],tab_higiene[[#This Row],[Item]],supercb[Bairro],mercado12)</f>
        <v>0</v>
      </c>
      <c r="AW156" s="27" t="n">
        <f aca="false">SUMIFS(super1[Qtde],super1[Item],tab_higiene[[#This Row],[Item]],super1[Bairro],mercado13)+SUMIFS(supercb[Qtde],supercb[Item],tab_higiene[[#This Row],[Item]],supercb[Bairro],mercado13)</f>
        <v>0</v>
      </c>
      <c r="AX156" s="27" t="n">
        <f aca="false">SUMIFS(super1[Qtde],super1[Item],tab_higiene[[#This Row],[Item]],super1[Bairro],mercado14)+SUMIFS(supercb[Qtde],supercb[Item],tab_higiene[[#This Row],[Item]],supercb[Bairro],mercado14)</f>
        <v>0</v>
      </c>
      <c r="AY156" s="27" t="n">
        <f aca="false">SUMIFS(super1[Qtde],super1[Item],tab_higiene[[#This Row],[Item]],super1[Bairro],mercado15)+SUMIFS(supercb[Qtde],supercb[Item],tab_higiene[[#This Row],[Item]],supercb[Bairro],mercado15)</f>
        <v>0</v>
      </c>
      <c r="AZ156" s="27" t="n">
        <f aca="false">SUMIFS(super1[Qtde],super1[Item],tab_higiene[[#This Row],[Item]],super1[Bairro],mercado16)+SUMIFS(supercb[Qtde],supercb[Item],tab_higiene[[#This Row],[Item]],supercb[Bairro],mercado16)</f>
        <v>0</v>
      </c>
      <c r="BA156" s="27" t="n">
        <f aca="false">SUMIFS(super1[Qtde],super1[Item],tab_higiene[[#This Row],[Item]],super1[Bairro],mercado17)+SUMIFS(supercb[Qtde],supercb[Item],tab_higiene[[#This Row],[Item]],supercb[Bairro],mercado17)</f>
        <v>0</v>
      </c>
      <c r="BB156" s="27" t="n">
        <f aca="false">SUMIFS(super1[Qtde],super1[Item],tab_higiene[[#This Row],[Item]],super1[Bairro],mercado18)+SUMIFS(supercb[Qtde],supercb[Item],tab_higiene[[#This Row],[Item]],supercb[Bairro],mercado18)</f>
        <v>0</v>
      </c>
      <c r="BC156" s="27" t="n">
        <f aca="false">SUMIFS(super1[Qtde],super1[Item],tab_higiene[[#This Row],[Item]],super1[Bairro],extras)+SUMIFS(supercb[Qtde],supercb[Item],tab_higiene[[#This Row],[Item]],supercb[Bairro],extras)</f>
        <v>0</v>
      </c>
      <c r="BD156" s="27" t="n">
        <f aca="false">SUM(AK156:BB156)</f>
        <v>1</v>
      </c>
      <c r="BE156" s="27" t="n">
        <f aca="false">IFERROR(BD156*AJ156,0)</f>
        <v>4.98</v>
      </c>
      <c r="BF156" s="28" t="n">
        <f aca="false">IFERROR(AI156*BD156,0)</f>
        <v>1.50343601881085</v>
      </c>
      <c r="BI156" s="22" t="str">
        <f aca="false">tab_alimentos[[#This Row],[Item]]</f>
        <v>Leite em Pó (200g)</v>
      </c>
      <c r="BJ156" s="22" t="n">
        <f aca="false">IFERROR(FIND(" (",BI156),0)</f>
        <v>12</v>
      </c>
      <c r="BK156" s="22" t="str">
        <f aca="false">IF(BJ156=0,BI156,LEFT(BI156,BJ156-1))</f>
        <v>Leite em Pó</v>
      </c>
      <c r="BL156" s="22" t="n">
        <f aca="false">tab_alimentos[[#This Row],[kg]]</f>
        <v>0</v>
      </c>
      <c r="BN156" s="22" t="n">
        <f aca="false">SUMIF($BJ$5:$BJ$158,#REF!,$BK$5:$BK$158)</f>
        <v>0</v>
      </c>
    </row>
    <row r="157" customFormat="false" ht="15" hidden="false" customHeight="false" outlineLevel="0" collapsed="false">
      <c r="I157" s="26" t="str">
        <f aca="false">alimentos[[#This Row],[Item]]</f>
        <v>Leite em pó (280g)</v>
      </c>
      <c r="J157" s="27" t="n">
        <f aca="false">IFERROR(alimentos[[#This Row],[kg/embalagem]],0)</f>
        <v>0.28</v>
      </c>
      <c r="K157" s="27" t="n">
        <f aca="false">IFERROR(alimentos[[#This Row],[Preço]],0)</f>
        <v>11.286</v>
      </c>
      <c r="L157" s="27" t="n">
        <f aca="false">SUMIFS(super1[Qtde],super1[Item],tab_alimentos[[#This Row],[Item]],super1[Bairro],mercado1)+SUMIFS(supercb[Qtde],supercb[Item],tab_alimentos[[#This Row],[Item]],supercb[Bairro],mercado1)</f>
        <v>0</v>
      </c>
      <c r="M157" s="27" t="n">
        <f aca="false">SUMIFS(super1[Qtde],super1[Item],tab_alimentos[[#This Row],[Item]],super1[Bairro],mercado2)+SUMIFS(supercb[Qtde],supercb[Item],tab_alimentos[[#This Row],[Item]],supercb[Bairro],mercado2)</f>
        <v>0</v>
      </c>
      <c r="N157" s="27" t="n">
        <f aca="false">SUMIFS(super1[Qtde],super1[Item],tab_alimentos[[#This Row],[Item]],super1[Bairro],mercado3)+SUMIFS(supercb[Qtde],supercb[Item],tab_alimentos[[#This Row],[Item]],supercb[Bairro],mercado3)</f>
        <v>0</v>
      </c>
      <c r="O157" s="27" t="n">
        <f aca="false">SUMIFS(super1[Qtde],super1[Item],tab_alimentos[[#This Row],[Item]],super1[Bairro],mercado4)+SUMIFS(supercb[Qtde],supercb[Item],tab_alimentos[[#This Row],[Item]],supercb[Bairro],mercado4)</f>
        <v>0</v>
      </c>
      <c r="P157" s="27" t="n">
        <f aca="false">SUMIFS(super1[Qtde],super1[Item],tab_alimentos[[#This Row],[Item]],super1[Bairro],mercado5)+SUMIFS(supercb[Qtde],supercb[Item],tab_alimentos[[#This Row],[Item]],supercb[Bairro],mercado5)</f>
        <v>0</v>
      </c>
      <c r="Q157" s="27" t="n">
        <f aca="false">SUMIFS(super1[Qtde],super1[Item],tab_alimentos[[#This Row],[Item]],super1[Bairro],mercado6)+SUMIFS(supercb[Qtde],supercb[Item],tab_alimentos[[#This Row],[Item]],supercb[Bairro],mercado6)</f>
        <v>0</v>
      </c>
      <c r="R157" s="27" t="n">
        <f aca="false">SUMIFS(super1[Qtde],super1[Item],tab_alimentos[[#This Row],[Item]],super1[Bairro],mercado7)+SUMIFS(supercb[Qtde],supercb[Item],tab_alimentos[[#This Row],[Item]],supercb[Bairro],mercado7)</f>
        <v>0</v>
      </c>
      <c r="S157" s="27" t="n">
        <f aca="false">SUMIFS(super1[Qtde],super1[Item],tab_alimentos[[#This Row],[Item]],super1[Bairro],mercado8)+SUMIFS(supercb[Qtde],supercb[Item],tab_alimentos[[#This Row],[Item]],supercb[Bairro],mercado8)</f>
        <v>0</v>
      </c>
      <c r="T157" s="27" t="n">
        <f aca="false">SUMIFS(super1[Qtde],super1[Item],tab_alimentos[[#This Row],[Item]],super1[Bairro],mercado9)+SUMIFS(supercb[Qtde],supercb[Item],tab_alimentos[[#This Row],[Item]],supercb[Bairro],mercado9)</f>
        <v>0</v>
      </c>
      <c r="U157" s="27" t="n">
        <f aca="false">SUMIFS(super1[Qtde],super1[Item],tab_alimentos[[#This Row],[Item]],super1[Bairro],mercado10)+SUMIFS(supercb[Qtde],supercb[Item],tab_alimentos[[#This Row],[Item]],supercb[Bairro],mercado10)</f>
        <v>0</v>
      </c>
      <c r="V157" s="27" t="n">
        <f aca="false">SUMIFS(super1[Qtde],super1[Item],tab_alimentos[[#This Row],[Item]],super1[Bairro],mercado11)+SUMIFS(supercb[Qtde],supercb[Item],tab_alimentos[[#This Row],[Item]],supercb[Bairro],mercado11)</f>
        <v>0</v>
      </c>
      <c r="W157" s="27" t="n">
        <f aca="false">SUMIFS(super1[Qtde],super1[Item],tab_alimentos[[#This Row],[Item]],super1[Bairro],mercado12)+SUMIFS(supercb[Qtde],supercb[Item],tab_alimentos[[#This Row],[Item]],supercb[Bairro],mercado12)</f>
        <v>0</v>
      </c>
      <c r="X157" s="27" t="n">
        <f aca="false">SUMIFS(super1[Qtde],super1[Item],tab_alimentos[[#This Row],[Item]],super1[Bairro],mercado13)+SUMIFS(supercb[Qtde],supercb[Item],tab_alimentos[[#This Row],[Item]],supercb[Bairro],mercado13)</f>
        <v>0</v>
      </c>
      <c r="Y157" s="27" t="n">
        <f aca="false">SUMIFS(super1[Qtde],super1[Item],tab_alimentos[[#This Row],[Item]],super1[Bairro],mercado14)+SUMIFS(supercb[Qtde],supercb[Item],tab_alimentos[[#This Row],[Item]],supercb[Bairro],mercado14)</f>
        <v>0</v>
      </c>
      <c r="Z157" s="27" t="n">
        <f aca="false">SUMIFS(super1[Qtde],super1[Item],tab_alimentos[[#This Row],[Item]],super1[Bairro],mercado15)+SUMIFS(supercb[Qtde],supercb[Item],tab_alimentos[[#This Row],[Item]],supercb[Bairro],mercado15)</f>
        <v>0</v>
      </c>
      <c r="AA157" s="27" t="n">
        <f aca="false">SUMIFS(super1[Qtde],super1[Item],tab_alimentos[[#This Row],[Item]],super1[Bairro],mercado16)+SUMIFS(supercb[Qtde],supercb[Item],tab_alimentos[[#This Row],[Item]],supercb[Bairro],mercado16)</f>
        <v>0</v>
      </c>
      <c r="AB157" s="27" t="n">
        <f aca="false">SUMIFS(super1[Qtde],super1[Item],tab_alimentos[[#This Row],[Item]],super1[Bairro],mercado17)+SUMIFS(supercb[Qtde],supercb[Item],tab_alimentos[[#This Row],[Item]],supercb[Bairro],mercado17)</f>
        <v>0</v>
      </c>
      <c r="AC157" s="27" t="n">
        <f aca="false">SUMIFS(super1[Qtde],super1[Item],tab_alimentos[[#This Row],[Item]],super1[Bairro],mercado18)+SUMIFS(supercb[Qtde],supercb[Item],tab_alimentos[[#This Row],[Item]],supercb[Bairro],mercado18)</f>
        <v>0</v>
      </c>
      <c r="AD157" s="27" t="n">
        <f aca="false">SUMIFS(super1[Qtde],super1[Item],tab_alimentos[[#This Row],[Item]],super1[Bairro],extras)+SUMIFS(supercb[Qtde],supercb[Item],tab_alimentos[[#This Row],[Item]],supercb[Bairro],extras)</f>
        <v>0</v>
      </c>
      <c r="AE157" s="27" t="n">
        <f aca="false">SUM(L157:AC157)</f>
        <v>0</v>
      </c>
      <c r="AF157" s="27" t="n">
        <f aca="false">IFERROR(AE157*K157,0)</f>
        <v>0</v>
      </c>
      <c r="AG157" s="28" t="n">
        <f aca="false">IFERROR(J157*AE157,0)</f>
        <v>0</v>
      </c>
      <c r="AH157" s="26" t="str">
        <f aca="false">higiene[[#This Row],[Item]]</f>
        <v>Pasta de Dente (50g)</v>
      </c>
      <c r="AI157" s="27" t="n">
        <f aca="false">IFERROR(higiene[[#This Row],[Kg equivalente]],0)</f>
        <v>2.17766770060688</v>
      </c>
      <c r="AJ157" s="27" t="n">
        <f aca="false">IFERROR(higiene[[#This Row],[Preço por produto]],0)</f>
        <v>7.21333333333333</v>
      </c>
      <c r="AK157" s="27" t="n">
        <f aca="false">SUMIFS(super1[Qtde],super1[Item],tab_higiene[[#This Row],[Item]],super1[Bairro],mercado1)+SUMIFS(supercb[Qtde],supercb[Item],tab_higiene[[#This Row],[Item]],supercb[Bairro],mercado1)</f>
        <v>0</v>
      </c>
      <c r="AL157" s="27" t="n">
        <f aca="false">SUMIFS(super1[Qtde],super1[Item],tab_higiene[[#This Row],[Item]],super1[Bairro],mercado2)+SUMIFS(supercb[Qtde],supercb[Item],tab_higiene[[#This Row],[Item]],supercb[Bairro],mercado2)</f>
        <v>0</v>
      </c>
      <c r="AM157" s="27" t="n">
        <f aca="false">SUMIFS(super1[Qtde],super1[Item],tab_higiene[[#This Row],[Item]],super1[Bairro],mercado3)+SUMIFS(supercb[Qtde],supercb[Item],tab_higiene[[#This Row],[Item]],supercb[Bairro],mercado3)</f>
        <v>0</v>
      </c>
      <c r="AN157" s="27" t="n">
        <f aca="false">SUMIFS(super1[Qtde],super1[Item],tab_higiene[[#This Row],[Item]],super1[Bairro],mercado4)+SUMIFS(supercb[Qtde],supercb[Item],tab_higiene[[#This Row],[Item]],supercb[Bairro],mercado4)</f>
        <v>0</v>
      </c>
      <c r="AO157" s="27" t="n">
        <f aca="false">SUMIFS(super1[Qtde],super1[Item],tab_higiene[[#This Row],[Item]],super1[Bairro],mercado5)+SUMIFS(supercb[Qtde],supercb[Item],tab_higiene[[#This Row],[Item]],supercb[Bairro],mercado5)</f>
        <v>2</v>
      </c>
      <c r="AP157" s="27" t="n">
        <f aca="false">SUMIFS(super1[Qtde],super1[Item],tab_higiene[[#This Row],[Item]],super1[Bairro],mercado6)+SUMIFS(supercb[Qtde],supercb[Item],tab_higiene[[#This Row],[Item]],supercb[Bairro],mercado6)</f>
        <v>0</v>
      </c>
      <c r="AQ157" s="27" t="n">
        <f aca="false">SUMIFS(super1[Qtde],super1[Item],tab_higiene[[#This Row],[Item]],super1[Bairro],mercado7)+SUMIFS(supercb[Qtde],supercb[Item],tab_higiene[[#This Row],[Item]],supercb[Bairro],mercado7)</f>
        <v>0</v>
      </c>
      <c r="AR157" s="27" t="n">
        <f aca="false">SUMIFS(super1[Qtde],super1[Item],tab_higiene[[#This Row],[Item]],super1[Bairro],mercado8)+SUMIFS(supercb[Qtde],supercb[Item],tab_higiene[[#This Row],[Item]],supercb[Bairro],mercado8)</f>
        <v>0</v>
      </c>
      <c r="AS157" s="27" t="n">
        <f aca="false">SUMIFS(super1[Qtde],super1[Item],tab_higiene[[#This Row],[Item]],super1[Bairro],mercado9)+SUMIFS(supercb[Qtde],supercb[Item],tab_higiene[[#This Row],[Item]],supercb[Bairro],mercado9)</f>
        <v>0</v>
      </c>
      <c r="AT157" s="27" t="n">
        <f aca="false">SUMIFS(super1[Qtde],super1[Item],tab_higiene[[#This Row],[Item]],super1[Bairro],mercado10)+SUMIFS(supercb[Qtde],supercb[Item],tab_higiene[[#This Row],[Item]],supercb[Bairro],mercado10)</f>
        <v>3</v>
      </c>
      <c r="AU157" s="27" t="n">
        <f aca="false">SUMIFS(super1[Qtde],super1[Item],tab_higiene[[#This Row],[Item]],super1[Bairro],mercado11)+SUMIFS(supercb[Qtde],supercb[Item],tab_higiene[[#This Row],[Item]],supercb[Bairro],mercado11)</f>
        <v>0</v>
      </c>
      <c r="AV157" s="27" t="n">
        <f aca="false">SUMIFS(super1[Qtde],super1[Item],tab_higiene[[#This Row],[Item]],super1[Bairro],mercado12)+SUMIFS(supercb[Qtde],supercb[Item],tab_higiene[[#This Row],[Item]],supercb[Bairro],mercado12)</f>
        <v>0</v>
      </c>
      <c r="AW157" s="27" t="n">
        <f aca="false">SUMIFS(super1[Qtde],super1[Item],tab_higiene[[#This Row],[Item]],super1[Bairro],mercado13)+SUMIFS(supercb[Qtde],supercb[Item],tab_higiene[[#This Row],[Item]],supercb[Bairro],mercado13)</f>
        <v>0</v>
      </c>
      <c r="AX157" s="27" t="n">
        <f aca="false">SUMIFS(super1[Qtde],super1[Item],tab_higiene[[#This Row],[Item]],super1[Bairro],mercado14)+SUMIFS(supercb[Qtde],supercb[Item],tab_higiene[[#This Row],[Item]],supercb[Bairro],mercado14)</f>
        <v>0</v>
      </c>
      <c r="AY157" s="27" t="n">
        <f aca="false">SUMIFS(super1[Qtde],super1[Item],tab_higiene[[#This Row],[Item]],super1[Bairro],mercado15)+SUMIFS(supercb[Qtde],supercb[Item],tab_higiene[[#This Row],[Item]],supercb[Bairro],mercado15)</f>
        <v>0</v>
      </c>
      <c r="AZ157" s="27" t="n">
        <f aca="false">SUMIFS(super1[Qtde],super1[Item],tab_higiene[[#This Row],[Item]],super1[Bairro],mercado16)+SUMIFS(supercb[Qtde],supercb[Item],tab_higiene[[#This Row],[Item]],supercb[Bairro],mercado16)</f>
        <v>0</v>
      </c>
      <c r="BA157" s="27" t="n">
        <f aca="false">SUMIFS(super1[Qtde],super1[Item],tab_higiene[[#This Row],[Item]],super1[Bairro],mercado17)+SUMIFS(supercb[Qtde],supercb[Item],tab_higiene[[#This Row],[Item]],supercb[Bairro],mercado17)</f>
        <v>0</v>
      </c>
      <c r="BB157" s="27" t="n">
        <f aca="false">SUMIFS(super1[Qtde],super1[Item],tab_higiene[[#This Row],[Item]],super1[Bairro],mercado18)+SUMIFS(supercb[Qtde],supercb[Item],tab_higiene[[#This Row],[Item]],supercb[Bairro],mercado18)</f>
        <v>0</v>
      </c>
      <c r="BC157" s="27" t="n">
        <f aca="false">SUMIFS(super1[Qtde],super1[Item],tab_higiene[[#This Row],[Item]],super1[Bairro],extras)+SUMIFS(supercb[Qtde],supercb[Item],tab_higiene[[#This Row],[Item]],supercb[Bairro],extras)</f>
        <v>0</v>
      </c>
      <c r="BD157" s="27" t="n">
        <f aca="false">SUM(AK157:BB157)</f>
        <v>5</v>
      </c>
      <c r="BE157" s="27" t="n">
        <f aca="false">IFERROR(BD157*AJ157,0)</f>
        <v>36.0666666666667</v>
      </c>
      <c r="BF157" s="28" t="n">
        <f aca="false">IFERROR(AI157*BD157,0)</f>
        <v>10.8883385030344</v>
      </c>
      <c r="BI157" s="22" t="str">
        <f aca="false">tab_alimentos[[#This Row],[Item]]</f>
        <v>Leite em pó (280g)</v>
      </c>
      <c r="BJ157" s="22" t="n">
        <f aca="false">IFERROR(FIND(" (",BI157),0)</f>
        <v>12</v>
      </c>
      <c r="BK157" s="22" t="str">
        <f aca="false">IF(BJ157=0,BI157,LEFT(BI157,BJ157-1))</f>
        <v>Leite em pó</v>
      </c>
      <c r="BL157" s="22" t="n">
        <f aca="false">tab_alimentos[[#This Row],[kg]]</f>
        <v>0</v>
      </c>
      <c r="BN157" s="22" t="n">
        <f aca="false">SUMIF($BJ$5:$BJ$158,#REF!,$BK$5:$BK$158)</f>
        <v>0</v>
      </c>
    </row>
    <row r="158" customFormat="false" ht="15" hidden="false" customHeight="false" outlineLevel="0" collapsed="false">
      <c r="I158" s="26" t="str">
        <f aca="false">alimentos[[#This Row],[Item]]</f>
        <v>Leite em pó (300g)</v>
      </c>
      <c r="J158" s="27" t="n">
        <f aca="false">IFERROR(alimentos[[#This Row],[kg/embalagem]],0)</f>
        <v>0.3</v>
      </c>
      <c r="K158" s="27" t="n">
        <f aca="false">IFERROR(alimentos[[#This Row],[Preço]],0)</f>
        <v>11.69</v>
      </c>
      <c r="L158" s="27" t="n">
        <f aca="false">SUMIFS(super1[Qtde],super1[Item],tab_alimentos[[#This Row],[Item]],super1[Bairro],mercado1)+SUMIFS(supercb[Qtde],supercb[Item],tab_alimentos[[#This Row],[Item]],supercb[Bairro],mercado1)</f>
        <v>0</v>
      </c>
      <c r="M158" s="27" t="n">
        <f aca="false">SUMIFS(super1[Qtde],super1[Item],tab_alimentos[[#This Row],[Item]],super1[Bairro],mercado2)+SUMIFS(supercb[Qtde],supercb[Item],tab_alimentos[[#This Row],[Item]],supercb[Bairro],mercado2)</f>
        <v>0</v>
      </c>
      <c r="N158" s="27" t="n">
        <f aca="false">SUMIFS(super1[Qtde],super1[Item],tab_alimentos[[#This Row],[Item]],super1[Bairro],mercado3)+SUMIFS(supercb[Qtde],supercb[Item],tab_alimentos[[#This Row],[Item]],supercb[Bairro],mercado3)</f>
        <v>0</v>
      </c>
      <c r="O158" s="27" t="n">
        <f aca="false">SUMIFS(super1[Qtde],super1[Item],tab_alimentos[[#This Row],[Item]],super1[Bairro],mercado4)+SUMIFS(supercb[Qtde],supercb[Item],tab_alimentos[[#This Row],[Item]],supercb[Bairro],mercado4)</f>
        <v>0</v>
      </c>
      <c r="P158" s="27" t="n">
        <f aca="false">SUMIFS(super1[Qtde],super1[Item],tab_alimentos[[#This Row],[Item]],super1[Bairro],mercado5)+SUMIFS(supercb[Qtde],supercb[Item],tab_alimentos[[#This Row],[Item]],supercb[Bairro],mercado5)</f>
        <v>0</v>
      </c>
      <c r="Q158" s="27" t="n">
        <f aca="false">SUMIFS(super1[Qtde],super1[Item],tab_alimentos[[#This Row],[Item]],super1[Bairro],mercado6)+SUMIFS(supercb[Qtde],supercb[Item],tab_alimentos[[#This Row],[Item]],supercb[Bairro],mercado6)</f>
        <v>0</v>
      </c>
      <c r="R158" s="27" t="n">
        <f aca="false">SUMIFS(super1[Qtde],super1[Item],tab_alimentos[[#This Row],[Item]],super1[Bairro],mercado7)+SUMIFS(supercb[Qtde],supercb[Item],tab_alimentos[[#This Row],[Item]],supercb[Bairro],mercado7)</f>
        <v>0</v>
      </c>
      <c r="S158" s="27" t="n">
        <f aca="false">SUMIFS(super1[Qtde],super1[Item],tab_alimentos[[#This Row],[Item]],super1[Bairro],mercado8)+SUMIFS(supercb[Qtde],supercb[Item],tab_alimentos[[#This Row],[Item]],supercb[Bairro],mercado8)</f>
        <v>0</v>
      </c>
      <c r="T158" s="27" t="n">
        <f aca="false">SUMIFS(super1[Qtde],super1[Item],tab_alimentos[[#This Row],[Item]],super1[Bairro],mercado9)+SUMIFS(supercb[Qtde],supercb[Item],tab_alimentos[[#This Row],[Item]],supercb[Bairro],mercado9)</f>
        <v>0</v>
      </c>
      <c r="U158" s="27" t="n">
        <f aca="false">SUMIFS(super1[Qtde],super1[Item],tab_alimentos[[#This Row],[Item]],super1[Bairro],mercado10)+SUMIFS(supercb[Qtde],supercb[Item],tab_alimentos[[#This Row],[Item]],supercb[Bairro],mercado10)</f>
        <v>0</v>
      </c>
      <c r="V158" s="27" t="n">
        <f aca="false">SUMIFS(super1[Qtde],super1[Item],tab_alimentos[[#This Row],[Item]],super1[Bairro],mercado11)+SUMIFS(supercb[Qtde],supercb[Item],tab_alimentos[[#This Row],[Item]],supercb[Bairro],mercado11)</f>
        <v>0</v>
      </c>
      <c r="W158" s="27" t="n">
        <f aca="false">SUMIFS(super1[Qtde],super1[Item],tab_alimentos[[#This Row],[Item]],super1[Bairro],mercado12)+SUMIFS(supercb[Qtde],supercb[Item],tab_alimentos[[#This Row],[Item]],supercb[Bairro],mercado12)</f>
        <v>0</v>
      </c>
      <c r="X158" s="27" t="n">
        <f aca="false">SUMIFS(super1[Qtde],super1[Item],tab_alimentos[[#This Row],[Item]],super1[Bairro],mercado13)+SUMIFS(supercb[Qtde],supercb[Item],tab_alimentos[[#This Row],[Item]],supercb[Bairro],mercado13)</f>
        <v>0</v>
      </c>
      <c r="Y158" s="27" t="n">
        <f aca="false">SUMIFS(super1[Qtde],super1[Item],tab_alimentos[[#This Row],[Item]],super1[Bairro],mercado14)+SUMIFS(supercb[Qtde],supercb[Item],tab_alimentos[[#This Row],[Item]],supercb[Bairro],mercado14)</f>
        <v>0</v>
      </c>
      <c r="Z158" s="27" t="n">
        <f aca="false">SUMIFS(super1[Qtde],super1[Item],tab_alimentos[[#This Row],[Item]],super1[Bairro],mercado15)+SUMIFS(supercb[Qtde],supercb[Item],tab_alimentos[[#This Row],[Item]],supercb[Bairro],mercado15)</f>
        <v>0</v>
      </c>
      <c r="AA158" s="27" t="n">
        <f aca="false">SUMIFS(super1[Qtde],super1[Item],tab_alimentos[[#This Row],[Item]],super1[Bairro],mercado16)+SUMIFS(supercb[Qtde],supercb[Item],tab_alimentos[[#This Row],[Item]],supercb[Bairro],mercado16)</f>
        <v>0</v>
      </c>
      <c r="AB158" s="27" t="n">
        <f aca="false">SUMIFS(super1[Qtde],super1[Item],tab_alimentos[[#This Row],[Item]],super1[Bairro],mercado17)+SUMIFS(supercb[Qtde],supercb[Item],tab_alimentos[[#This Row],[Item]],supercb[Bairro],mercado17)</f>
        <v>0</v>
      </c>
      <c r="AC158" s="27" t="n">
        <f aca="false">SUMIFS(super1[Qtde],super1[Item],tab_alimentos[[#This Row],[Item]],super1[Bairro],mercado18)+SUMIFS(supercb[Qtde],supercb[Item],tab_alimentos[[#This Row],[Item]],supercb[Bairro],mercado18)</f>
        <v>0</v>
      </c>
      <c r="AD158" s="27" t="n">
        <f aca="false">SUMIFS(super1[Qtde],super1[Item],tab_alimentos[[#This Row],[Item]],super1[Bairro],extras)+SUMIFS(supercb[Qtde],supercb[Item],tab_alimentos[[#This Row],[Item]],supercb[Bairro],extras)</f>
        <v>0</v>
      </c>
      <c r="AE158" s="27" t="n">
        <f aca="false">SUM(L158:AC158)</f>
        <v>0</v>
      </c>
      <c r="AF158" s="27" t="n">
        <f aca="false">IFERROR(AE158*K158,0)</f>
        <v>0</v>
      </c>
      <c r="AG158" s="28" t="n">
        <f aca="false">IFERROR(J158*AE158,0)</f>
        <v>0</v>
      </c>
      <c r="AH158" s="26" t="str">
        <f aca="false">higiene[[#This Row],[Item]]</f>
        <v>Pasta de Dente (70g)</v>
      </c>
      <c r="AI158" s="27" t="n">
        <f aca="false">IFERROR(higiene[[#This Row],[Kg equivalente]],0)</f>
        <v>0.739139060118184</v>
      </c>
      <c r="AJ158" s="27" t="n">
        <f aca="false">IFERROR(higiene[[#This Row],[Preço por produto]],0)</f>
        <v>2.44833333333333</v>
      </c>
      <c r="AK158" s="27" t="n">
        <f aca="false">SUMIFS(super1[Qtde],super1[Item],tab_higiene[[#This Row],[Item]],super1[Bairro],mercado1)+SUMIFS(supercb[Qtde],supercb[Item],tab_higiene[[#This Row],[Item]],supercb[Bairro],mercado1)</f>
        <v>4</v>
      </c>
      <c r="AL158" s="27" t="n">
        <f aca="false">SUMIFS(super1[Qtde],super1[Item],tab_higiene[[#This Row],[Item]],super1[Bairro],mercado2)+SUMIFS(supercb[Qtde],supercb[Item],tab_higiene[[#This Row],[Item]],supercb[Bairro],mercado2)</f>
        <v>27</v>
      </c>
      <c r="AM158" s="27" t="n">
        <f aca="false">SUMIFS(super1[Qtde],super1[Item],tab_higiene[[#This Row],[Item]],super1[Bairro],mercado3)+SUMIFS(supercb[Qtde],supercb[Item],tab_higiene[[#This Row],[Item]],supercb[Bairro],mercado3)</f>
        <v>9</v>
      </c>
      <c r="AN158" s="27" t="n">
        <f aca="false">SUMIFS(super1[Qtde],super1[Item],tab_higiene[[#This Row],[Item]],super1[Bairro],mercado4)+SUMIFS(supercb[Qtde],supercb[Item],tab_higiene[[#This Row],[Item]],supercb[Bairro],mercado4)</f>
        <v>19</v>
      </c>
      <c r="AO158" s="27" t="n">
        <f aca="false">SUMIFS(super1[Qtde],super1[Item],tab_higiene[[#This Row],[Item]],super1[Bairro],mercado5)+SUMIFS(supercb[Qtde],supercb[Item],tab_higiene[[#This Row],[Item]],supercb[Bairro],mercado5)</f>
        <v>40</v>
      </c>
      <c r="AP158" s="27" t="n">
        <f aca="false">SUMIFS(super1[Qtde],super1[Item],tab_higiene[[#This Row],[Item]],super1[Bairro],mercado6)+SUMIFS(supercb[Qtde],supercb[Item],tab_higiene[[#This Row],[Item]],supercb[Bairro],mercado6)</f>
        <v>4</v>
      </c>
      <c r="AQ158" s="27" t="n">
        <f aca="false">SUMIFS(super1[Qtde],super1[Item],tab_higiene[[#This Row],[Item]],super1[Bairro],mercado7)+SUMIFS(supercb[Qtde],supercb[Item],tab_higiene[[#This Row],[Item]],supercb[Bairro],mercado7)</f>
        <v>18</v>
      </c>
      <c r="AR158" s="27" t="n">
        <f aca="false">SUMIFS(super1[Qtde],super1[Item],tab_higiene[[#This Row],[Item]],super1[Bairro],mercado8)+SUMIFS(supercb[Qtde],supercb[Item],tab_higiene[[#This Row],[Item]],supercb[Bairro],mercado8)</f>
        <v>64</v>
      </c>
      <c r="AS158" s="27" t="n">
        <f aca="false">SUMIFS(super1[Qtde],super1[Item],tab_higiene[[#This Row],[Item]],super1[Bairro],mercado9)+SUMIFS(supercb[Qtde],supercb[Item],tab_higiene[[#This Row],[Item]],supercb[Bairro],mercado9)</f>
        <v>76</v>
      </c>
      <c r="AT158" s="27" t="n">
        <f aca="false">SUMIFS(super1[Qtde],super1[Item],tab_higiene[[#This Row],[Item]],super1[Bairro],mercado10)+SUMIFS(supercb[Qtde],supercb[Item],tab_higiene[[#This Row],[Item]],supercb[Bairro],mercado10)</f>
        <v>40</v>
      </c>
      <c r="AU158" s="27" t="n">
        <f aca="false">SUMIFS(super1[Qtde],super1[Item],tab_higiene[[#This Row],[Item]],super1[Bairro],mercado11)+SUMIFS(supercb[Qtde],supercb[Item],tab_higiene[[#This Row],[Item]],supercb[Bairro],mercado11)</f>
        <v>30</v>
      </c>
      <c r="AV158" s="27" t="n">
        <f aca="false">SUMIFS(super1[Qtde],super1[Item],tab_higiene[[#This Row],[Item]],super1[Bairro],mercado12)+SUMIFS(supercb[Qtde],supercb[Item],tab_higiene[[#This Row],[Item]],supercb[Bairro],mercado12)</f>
        <v>0</v>
      </c>
      <c r="AW158" s="27" t="n">
        <f aca="false">SUMIFS(super1[Qtde],super1[Item],tab_higiene[[#This Row],[Item]],super1[Bairro],mercado13)+SUMIFS(supercb[Qtde],supercb[Item],tab_higiene[[#This Row],[Item]],supercb[Bairro],mercado13)</f>
        <v>30</v>
      </c>
      <c r="AX158" s="27" t="n">
        <f aca="false">SUMIFS(super1[Qtde],super1[Item],tab_higiene[[#This Row],[Item]],super1[Bairro],mercado14)+SUMIFS(supercb[Qtde],supercb[Item],tab_higiene[[#This Row],[Item]],supercb[Bairro],mercado14)</f>
        <v>0</v>
      </c>
      <c r="AY158" s="27" t="n">
        <f aca="false">SUMIFS(super1[Qtde],super1[Item],tab_higiene[[#This Row],[Item]],super1[Bairro],mercado15)+SUMIFS(supercb[Qtde],supercb[Item],tab_higiene[[#This Row],[Item]],supercb[Bairro],mercado15)</f>
        <v>0</v>
      </c>
      <c r="AZ158" s="27" t="n">
        <f aca="false">SUMIFS(super1[Qtde],super1[Item],tab_higiene[[#This Row],[Item]],super1[Bairro],mercado16)+SUMIFS(supercb[Qtde],supercb[Item],tab_higiene[[#This Row],[Item]],supercb[Bairro],mercado16)</f>
        <v>0</v>
      </c>
      <c r="BA158" s="27" t="n">
        <f aca="false">SUMIFS(super1[Qtde],super1[Item],tab_higiene[[#This Row],[Item]],super1[Bairro],mercado17)+SUMIFS(supercb[Qtde],supercb[Item],tab_higiene[[#This Row],[Item]],supercb[Bairro],mercado17)</f>
        <v>0</v>
      </c>
      <c r="BB158" s="27" t="n">
        <f aca="false">SUMIFS(super1[Qtde],super1[Item],tab_higiene[[#This Row],[Item]],super1[Bairro],mercado18)+SUMIFS(supercb[Qtde],supercb[Item],tab_higiene[[#This Row],[Item]],supercb[Bairro],mercado18)</f>
        <v>0</v>
      </c>
      <c r="BC158" s="27" t="n">
        <f aca="false">SUMIFS(super1[Qtde],super1[Item],tab_higiene[[#This Row],[Item]],super1[Bairro],extras)+SUMIFS(supercb[Qtde],supercb[Item],tab_higiene[[#This Row],[Item]],supercb[Bairro],extras)</f>
        <v>0</v>
      </c>
      <c r="BD158" s="27" t="n">
        <f aca="false">SUM(AK158:BB158)</f>
        <v>361</v>
      </c>
      <c r="BE158" s="27" t="n">
        <f aca="false">IFERROR(BD158*AJ158,0)</f>
        <v>883.848333333333</v>
      </c>
      <c r="BF158" s="28" t="n">
        <f aca="false">IFERROR(AI158*BD158,0)</f>
        <v>266.829200702664</v>
      </c>
      <c r="BI158" s="22" t="str">
        <f aca="false">tab_alimentos[[#This Row],[Item]]</f>
        <v>Leite em pó (300g)</v>
      </c>
      <c r="BJ158" s="22" t="n">
        <f aca="false">IFERROR(FIND(" (",BI158),0)</f>
        <v>12</v>
      </c>
      <c r="BK158" s="22" t="str">
        <f aca="false">IF(BJ158=0,BI158,LEFT(BI158,BJ158-1))</f>
        <v>Leite em pó</v>
      </c>
      <c r="BL158" s="22" t="n">
        <f aca="false">tab_alimentos[[#This Row],[kg]]</f>
        <v>0</v>
      </c>
      <c r="BN158" s="22" t="n">
        <f aca="false">SUMIF($BJ$5:$BJ$158,#REF!,$BK$5:$BK$158)</f>
        <v>0</v>
      </c>
    </row>
    <row r="159" customFormat="false" ht="15" hidden="false" customHeight="false" outlineLevel="0" collapsed="false">
      <c r="I159" s="26" t="str">
        <f aca="false">alimentos[[#This Row],[Item]]</f>
        <v>Leite em pó (400g)</v>
      </c>
      <c r="J159" s="27" t="n">
        <f aca="false">IFERROR(alimentos[[#This Row],[kg/embalagem]],0)</f>
        <v>0.4</v>
      </c>
      <c r="K159" s="27" t="n">
        <f aca="false">IFERROR(alimentos[[#This Row],[Preço]],0)</f>
        <v>9.81666666666667</v>
      </c>
      <c r="L159" s="27" t="n">
        <f aca="false">SUMIFS(super1[Qtde],super1[Item],tab_alimentos[[#This Row],[Item]],super1[Bairro],mercado1)+SUMIFS(supercb[Qtde],supercb[Item],tab_alimentos[[#This Row],[Item]],supercb[Bairro],mercado1)</f>
        <v>0</v>
      </c>
      <c r="M159" s="27" t="n">
        <f aca="false">SUMIFS(super1[Qtde],super1[Item],tab_alimentos[[#This Row],[Item]],super1[Bairro],mercado2)+SUMIFS(supercb[Qtde],supercb[Item],tab_alimentos[[#This Row],[Item]],supercb[Bairro],mercado2)</f>
        <v>0</v>
      </c>
      <c r="N159" s="27" t="n">
        <f aca="false">SUMIFS(super1[Qtde],super1[Item],tab_alimentos[[#This Row],[Item]],super1[Bairro],mercado3)+SUMIFS(supercb[Qtde],supercb[Item],tab_alimentos[[#This Row],[Item]],supercb[Bairro],mercado3)</f>
        <v>1</v>
      </c>
      <c r="O159" s="27" t="n">
        <f aca="false">SUMIFS(super1[Qtde],super1[Item],tab_alimentos[[#This Row],[Item]],super1[Bairro],mercado4)+SUMIFS(supercb[Qtde],supercb[Item],tab_alimentos[[#This Row],[Item]],supercb[Bairro],mercado4)</f>
        <v>0</v>
      </c>
      <c r="P159" s="27" t="n">
        <f aca="false">SUMIFS(super1[Qtde],super1[Item],tab_alimentos[[#This Row],[Item]],super1[Bairro],mercado5)+SUMIFS(supercb[Qtde],supercb[Item],tab_alimentos[[#This Row],[Item]],supercb[Bairro],mercado5)</f>
        <v>5</v>
      </c>
      <c r="Q159" s="27" t="n">
        <f aca="false">SUMIFS(super1[Qtde],super1[Item],tab_alimentos[[#This Row],[Item]],super1[Bairro],mercado6)+SUMIFS(supercb[Qtde],supercb[Item],tab_alimentos[[#This Row],[Item]],supercb[Bairro],mercado6)</f>
        <v>0</v>
      </c>
      <c r="R159" s="27" t="n">
        <f aca="false">SUMIFS(super1[Qtde],super1[Item],tab_alimentos[[#This Row],[Item]],super1[Bairro],mercado7)+SUMIFS(supercb[Qtde],supercb[Item],tab_alimentos[[#This Row],[Item]],supercb[Bairro],mercado7)</f>
        <v>0</v>
      </c>
      <c r="S159" s="27" t="n">
        <f aca="false">SUMIFS(super1[Qtde],super1[Item],tab_alimentos[[#This Row],[Item]],super1[Bairro],mercado8)+SUMIFS(supercb[Qtde],supercb[Item],tab_alimentos[[#This Row],[Item]],supercb[Bairro],mercado8)</f>
        <v>0</v>
      </c>
      <c r="T159" s="27" t="n">
        <f aca="false">SUMIFS(super1[Qtde],super1[Item],tab_alimentos[[#This Row],[Item]],super1[Bairro],mercado9)+SUMIFS(supercb[Qtde],supercb[Item],tab_alimentos[[#This Row],[Item]],supercb[Bairro],mercado9)</f>
        <v>0</v>
      </c>
      <c r="U159" s="27" t="n">
        <f aca="false">SUMIFS(super1[Qtde],super1[Item],tab_alimentos[[#This Row],[Item]],super1[Bairro],mercado10)+SUMIFS(supercb[Qtde],supercb[Item],tab_alimentos[[#This Row],[Item]],supercb[Bairro],mercado10)</f>
        <v>20</v>
      </c>
      <c r="V159" s="27" t="n">
        <f aca="false">SUMIFS(super1[Qtde],super1[Item],tab_alimentos[[#This Row],[Item]],super1[Bairro],mercado11)+SUMIFS(supercb[Qtde],supercb[Item],tab_alimentos[[#This Row],[Item]],supercb[Bairro],mercado11)</f>
        <v>2</v>
      </c>
      <c r="W159" s="27" t="n">
        <f aca="false">SUMIFS(super1[Qtde],super1[Item],tab_alimentos[[#This Row],[Item]],super1[Bairro],mercado12)+SUMIFS(supercb[Qtde],supercb[Item],tab_alimentos[[#This Row],[Item]],supercb[Bairro],mercado12)</f>
        <v>0</v>
      </c>
      <c r="X159" s="27" t="n">
        <f aca="false">SUMIFS(super1[Qtde],super1[Item],tab_alimentos[[#This Row],[Item]],super1[Bairro],mercado13)+SUMIFS(supercb[Qtde],supercb[Item],tab_alimentos[[#This Row],[Item]],supercb[Bairro],mercado13)</f>
        <v>9</v>
      </c>
      <c r="Y159" s="27" t="n">
        <f aca="false">SUMIFS(super1[Qtde],super1[Item],tab_alimentos[[#This Row],[Item]],super1[Bairro],mercado14)+SUMIFS(supercb[Qtde],supercb[Item],tab_alimentos[[#This Row],[Item]],supercb[Bairro],mercado14)</f>
        <v>0</v>
      </c>
      <c r="Z159" s="27" t="n">
        <f aca="false">SUMIFS(super1[Qtde],super1[Item],tab_alimentos[[#This Row],[Item]],super1[Bairro],mercado15)+SUMIFS(supercb[Qtde],supercb[Item],tab_alimentos[[#This Row],[Item]],supercb[Bairro],mercado15)</f>
        <v>0</v>
      </c>
      <c r="AA159" s="27" t="n">
        <f aca="false">SUMIFS(super1[Qtde],super1[Item],tab_alimentos[[#This Row],[Item]],super1[Bairro],mercado16)+SUMIFS(supercb[Qtde],supercb[Item],tab_alimentos[[#This Row],[Item]],supercb[Bairro],mercado16)</f>
        <v>0</v>
      </c>
      <c r="AB159" s="27" t="n">
        <f aca="false">SUMIFS(super1[Qtde],super1[Item],tab_alimentos[[#This Row],[Item]],super1[Bairro],mercado17)+SUMIFS(supercb[Qtde],supercb[Item],tab_alimentos[[#This Row],[Item]],supercb[Bairro],mercado17)</f>
        <v>0</v>
      </c>
      <c r="AC159" s="27" t="n">
        <f aca="false">SUMIFS(super1[Qtde],super1[Item],tab_alimentos[[#This Row],[Item]],super1[Bairro],mercado18)+SUMIFS(supercb[Qtde],supercb[Item],tab_alimentos[[#This Row],[Item]],supercb[Bairro],mercado18)</f>
        <v>0</v>
      </c>
      <c r="AD159" s="27" t="n">
        <f aca="false">SUMIFS(super1[Qtde],super1[Item],tab_alimentos[[#This Row],[Item]],super1[Bairro],extras)+SUMIFS(supercb[Qtde],supercb[Item],tab_alimentos[[#This Row],[Item]],supercb[Bairro],extras)</f>
        <v>0</v>
      </c>
      <c r="AE159" s="27" t="n">
        <f aca="false">SUM(L159:AC159)</f>
        <v>37</v>
      </c>
      <c r="AF159" s="27" t="n">
        <f aca="false">IFERROR(AE159*K159,0)</f>
        <v>363.216666666667</v>
      </c>
      <c r="AG159" s="28" t="n">
        <f aca="false">IFERROR(J159*AE159,0)</f>
        <v>14.8</v>
      </c>
      <c r="AH159" s="26" t="str">
        <f aca="false">higiene[[#This Row],[Item]]</f>
        <v>Pasta de Dente (90g)</v>
      </c>
      <c r="AI159" s="27" t="n">
        <f aca="false">IFERROR(higiene[[#This Row],[Kg equivalente]],0)</f>
        <v>0.802033806554381</v>
      </c>
      <c r="AJ159" s="27" t="n">
        <f aca="false">IFERROR(higiene[[#This Row],[Preço por produto]],0)</f>
        <v>2.65666666666667</v>
      </c>
      <c r="AK159" s="27" t="n">
        <f aca="false">SUMIFS(super1[Qtde],super1[Item],tab_higiene[[#This Row],[Item]],super1[Bairro],mercado1)+SUMIFS(supercb[Qtde],supercb[Item],tab_higiene[[#This Row],[Item]],supercb[Bairro],mercado1)</f>
        <v>19</v>
      </c>
      <c r="AL159" s="27" t="n">
        <f aca="false">SUMIFS(super1[Qtde],super1[Item],tab_higiene[[#This Row],[Item]],super1[Bairro],mercado2)+SUMIFS(supercb[Qtde],supercb[Item],tab_higiene[[#This Row],[Item]],supercb[Bairro],mercado2)</f>
        <v>1</v>
      </c>
      <c r="AM159" s="27" t="n">
        <f aca="false">SUMIFS(super1[Qtde],super1[Item],tab_higiene[[#This Row],[Item]],super1[Bairro],mercado3)+SUMIFS(supercb[Qtde],supercb[Item],tab_higiene[[#This Row],[Item]],supercb[Bairro],mercado3)</f>
        <v>0</v>
      </c>
      <c r="AN159" s="27" t="n">
        <f aca="false">SUMIFS(super1[Qtde],super1[Item],tab_higiene[[#This Row],[Item]],super1[Bairro],mercado4)+SUMIFS(supercb[Qtde],supercb[Item],tab_higiene[[#This Row],[Item]],supercb[Bairro],mercado4)</f>
        <v>19</v>
      </c>
      <c r="AO159" s="27" t="n">
        <f aca="false">SUMIFS(super1[Qtde],super1[Item],tab_higiene[[#This Row],[Item]],super1[Bairro],mercado5)+SUMIFS(supercb[Qtde],supercb[Item],tab_higiene[[#This Row],[Item]],supercb[Bairro],mercado5)</f>
        <v>23</v>
      </c>
      <c r="AP159" s="27" t="n">
        <f aca="false">SUMIFS(super1[Qtde],super1[Item],tab_higiene[[#This Row],[Item]],super1[Bairro],mercado6)+SUMIFS(supercb[Qtde],supercb[Item],tab_higiene[[#This Row],[Item]],supercb[Bairro],mercado6)</f>
        <v>13</v>
      </c>
      <c r="AQ159" s="27" t="n">
        <f aca="false">SUMIFS(super1[Qtde],super1[Item],tab_higiene[[#This Row],[Item]],super1[Bairro],mercado7)+SUMIFS(supercb[Qtde],supercb[Item],tab_higiene[[#This Row],[Item]],supercb[Bairro],mercado7)</f>
        <v>16</v>
      </c>
      <c r="AR159" s="27" t="n">
        <f aca="false">SUMIFS(super1[Qtde],super1[Item],tab_higiene[[#This Row],[Item]],super1[Bairro],mercado8)+SUMIFS(supercb[Qtde],supercb[Item],tab_higiene[[#This Row],[Item]],supercb[Bairro],mercado8)</f>
        <v>0</v>
      </c>
      <c r="AS159" s="27" t="n">
        <f aca="false">SUMIFS(super1[Qtde],super1[Item],tab_higiene[[#This Row],[Item]],super1[Bairro],mercado9)+SUMIFS(supercb[Qtde],supercb[Item],tab_higiene[[#This Row],[Item]],supercb[Bairro],mercado9)</f>
        <v>32</v>
      </c>
      <c r="AT159" s="27" t="n">
        <f aca="false">SUMIFS(super1[Qtde],super1[Item],tab_higiene[[#This Row],[Item]],super1[Bairro],mercado10)+SUMIFS(supercb[Qtde],supercb[Item],tab_higiene[[#This Row],[Item]],supercb[Bairro],mercado10)</f>
        <v>44</v>
      </c>
      <c r="AU159" s="27" t="n">
        <f aca="false">SUMIFS(super1[Qtde],super1[Item],tab_higiene[[#This Row],[Item]],super1[Bairro],mercado11)+SUMIFS(supercb[Qtde],supercb[Item],tab_higiene[[#This Row],[Item]],supercb[Bairro],mercado11)</f>
        <v>25</v>
      </c>
      <c r="AV159" s="27" t="n">
        <f aca="false">SUMIFS(super1[Qtde],super1[Item],tab_higiene[[#This Row],[Item]],super1[Bairro],mercado12)+SUMIFS(supercb[Qtde],supercb[Item],tab_higiene[[#This Row],[Item]],supercb[Bairro],mercado12)</f>
        <v>0</v>
      </c>
      <c r="AW159" s="27" t="n">
        <f aca="false">SUMIFS(super1[Qtde],super1[Item],tab_higiene[[#This Row],[Item]],super1[Bairro],mercado13)+SUMIFS(supercb[Qtde],supercb[Item],tab_higiene[[#This Row],[Item]],supercb[Bairro],mercado13)</f>
        <v>21</v>
      </c>
      <c r="AX159" s="27" t="n">
        <f aca="false">SUMIFS(super1[Qtde],super1[Item],tab_higiene[[#This Row],[Item]],super1[Bairro],mercado14)+SUMIFS(supercb[Qtde],supercb[Item],tab_higiene[[#This Row],[Item]],supercb[Bairro],mercado14)</f>
        <v>0</v>
      </c>
      <c r="AY159" s="27" t="n">
        <f aca="false">SUMIFS(super1[Qtde],super1[Item],tab_higiene[[#This Row],[Item]],super1[Bairro],mercado15)+SUMIFS(supercb[Qtde],supercb[Item],tab_higiene[[#This Row],[Item]],supercb[Bairro],mercado15)</f>
        <v>0</v>
      </c>
      <c r="AZ159" s="27" t="n">
        <f aca="false">SUMIFS(super1[Qtde],super1[Item],tab_higiene[[#This Row],[Item]],super1[Bairro],mercado16)+SUMIFS(supercb[Qtde],supercb[Item],tab_higiene[[#This Row],[Item]],supercb[Bairro],mercado16)</f>
        <v>0</v>
      </c>
      <c r="BA159" s="27" t="n">
        <f aca="false">SUMIFS(super1[Qtde],super1[Item],tab_higiene[[#This Row],[Item]],super1[Bairro],mercado17)+SUMIFS(supercb[Qtde],supercb[Item],tab_higiene[[#This Row],[Item]],supercb[Bairro],mercado17)</f>
        <v>0</v>
      </c>
      <c r="BB159" s="27" t="n">
        <f aca="false">SUMIFS(super1[Qtde],super1[Item],tab_higiene[[#This Row],[Item]],super1[Bairro],mercado18)+SUMIFS(supercb[Qtde],supercb[Item],tab_higiene[[#This Row],[Item]],supercb[Bairro],mercado18)</f>
        <v>0</v>
      </c>
      <c r="BC159" s="27" t="n">
        <f aca="false">SUMIFS(super1[Qtde],super1[Item],tab_higiene[[#This Row],[Item]],super1[Bairro],extras)+SUMIFS(supercb[Qtde],supercb[Item],tab_higiene[[#This Row],[Item]],supercb[Bairro],extras)</f>
        <v>0</v>
      </c>
      <c r="BD159" s="27" t="n">
        <f aca="false">SUM(AK159:BB159)</f>
        <v>213</v>
      </c>
      <c r="BE159" s="27" t="n">
        <f aca="false">IFERROR(BD159*AJ159,0)</f>
        <v>565.87</v>
      </c>
      <c r="BF159" s="28" t="n">
        <f aca="false">IFERROR(AI159*BD159,0)</f>
        <v>170.833200796083</v>
      </c>
    </row>
    <row r="160" customFormat="false" ht="15" hidden="false" customHeight="false" outlineLevel="0" collapsed="false">
      <c r="I160" s="26" t="str">
        <f aca="false">alimentos[[#This Row],[Item]]</f>
        <v>Leite em Pó (500g)</v>
      </c>
      <c r="J160" s="27" t="n">
        <f aca="false">IFERROR(alimentos[[#This Row],[kg/embalagem]],0)</f>
        <v>0.5</v>
      </c>
      <c r="K160" s="27" t="n">
        <f aca="false">IFERROR(alimentos[[#This Row],[Preço]],0)</f>
        <v>22.49</v>
      </c>
      <c r="L160" s="27" t="n">
        <f aca="false">SUMIFS(super1[Qtde],super1[Item],tab_alimentos[[#This Row],[Item]],super1[Bairro],mercado1)+SUMIFS(supercb[Qtde],supercb[Item],tab_alimentos[[#This Row],[Item]],supercb[Bairro],mercado1)</f>
        <v>0</v>
      </c>
      <c r="M160" s="27" t="n">
        <f aca="false">SUMIFS(super1[Qtde],super1[Item],tab_alimentos[[#This Row],[Item]],super1[Bairro],mercado2)+SUMIFS(supercb[Qtde],supercb[Item],tab_alimentos[[#This Row],[Item]],supercb[Bairro],mercado2)</f>
        <v>0</v>
      </c>
      <c r="N160" s="27" t="n">
        <f aca="false">SUMIFS(super1[Qtde],super1[Item],tab_alimentos[[#This Row],[Item]],super1[Bairro],mercado3)+SUMIFS(supercb[Qtde],supercb[Item],tab_alimentos[[#This Row],[Item]],supercb[Bairro],mercado3)</f>
        <v>0</v>
      </c>
      <c r="O160" s="27" t="n">
        <f aca="false">SUMIFS(super1[Qtde],super1[Item],tab_alimentos[[#This Row],[Item]],super1[Bairro],mercado4)+SUMIFS(supercb[Qtde],supercb[Item],tab_alimentos[[#This Row],[Item]],supercb[Bairro],mercado4)</f>
        <v>0</v>
      </c>
      <c r="P160" s="27" t="n">
        <f aca="false">SUMIFS(super1[Qtde],super1[Item],tab_alimentos[[#This Row],[Item]],super1[Bairro],mercado5)+SUMIFS(supercb[Qtde],supercb[Item],tab_alimentos[[#This Row],[Item]],supercb[Bairro],mercado5)</f>
        <v>0</v>
      </c>
      <c r="Q160" s="27" t="n">
        <f aca="false">SUMIFS(super1[Qtde],super1[Item],tab_alimentos[[#This Row],[Item]],super1[Bairro],mercado6)+SUMIFS(supercb[Qtde],supercb[Item],tab_alimentos[[#This Row],[Item]],supercb[Bairro],mercado6)</f>
        <v>0</v>
      </c>
      <c r="R160" s="27" t="n">
        <f aca="false">SUMIFS(super1[Qtde],super1[Item],tab_alimentos[[#This Row],[Item]],super1[Bairro],mercado7)+SUMIFS(supercb[Qtde],supercb[Item],tab_alimentos[[#This Row],[Item]],supercb[Bairro],mercado7)</f>
        <v>0</v>
      </c>
      <c r="S160" s="27" t="n">
        <f aca="false">SUMIFS(super1[Qtde],super1[Item],tab_alimentos[[#This Row],[Item]],super1[Bairro],mercado8)+SUMIFS(supercb[Qtde],supercb[Item],tab_alimentos[[#This Row],[Item]],supercb[Bairro],mercado8)</f>
        <v>0</v>
      </c>
      <c r="T160" s="27" t="n">
        <f aca="false">SUMIFS(super1[Qtde],super1[Item],tab_alimentos[[#This Row],[Item]],super1[Bairro],mercado9)+SUMIFS(supercb[Qtde],supercb[Item],tab_alimentos[[#This Row],[Item]],supercb[Bairro],mercado9)</f>
        <v>0</v>
      </c>
      <c r="U160" s="27" t="n">
        <f aca="false">SUMIFS(super1[Qtde],super1[Item],tab_alimentos[[#This Row],[Item]],super1[Bairro],mercado10)+SUMIFS(supercb[Qtde],supercb[Item],tab_alimentos[[#This Row],[Item]],supercb[Bairro],mercado10)</f>
        <v>0</v>
      </c>
      <c r="V160" s="27" t="n">
        <f aca="false">SUMIFS(super1[Qtde],super1[Item],tab_alimentos[[#This Row],[Item]],super1[Bairro],mercado11)+SUMIFS(supercb[Qtde],supercb[Item],tab_alimentos[[#This Row],[Item]],supercb[Bairro],mercado11)</f>
        <v>0</v>
      </c>
      <c r="W160" s="27" t="n">
        <f aca="false">SUMIFS(super1[Qtde],super1[Item],tab_alimentos[[#This Row],[Item]],super1[Bairro],mercado12)+SUMIFS(supercb[Qtde],supercb[Item],tab_alimentos[[#This Row],[Item]],supercb[Bairro],mercado12)</f>
        <v>0</v>
      </c>
      <c r="X160" s="27" t="n">
        <f aca="false">SUMIFS(super1[Qtde],super1[Item],tab_alimentos[[#This Row],[Item]],super1[Bairro],mercado13)+SUMIFS(supercb[Qtde],supercb[Item],tab_alimentos[[#This Row],[Item]],supercb[Bairro],mercado13)</f>
        <v>0</v>
      </c>
      <c r="Y160" s="27" t="n">
        <f aca="false">SUMIFS(super1[Qtde],super1[Item],tab_alimentos[[#This Row],[Item]],super1[Bairro],mercado14)+SUMIFS(supercb[Qtde],supercb[Item],tab_alimentos[[#This Row],[Item]],supercb[Bairro],mercado14)</f>
        <v>0</v>
      </c>
      <c r="Z160" s="27" t="n">
        <f aca="false">SUMIFS(super1[Qtde],super1[Item],tab_alimentos[[#This Row],[Item]],super1[Bairro],mercado15)+SUMIFS(supercb[Qtde],supercb[Item],tab_alimentos[[#This Row],[Item]],supercb[Bairro],mercado15)</f>
        <v>0</v>
      </c>
      <c r="AA160" s="27" t="n">
        <f aca="false">SUMIFS(super1[Qtde],super1[Item],tab_alimentos[[#This Row],[Item]],super1[Bairro],mercado16)+SUMIFS(supercb[Qtde],supercb[Item],tab_alimentos[[#This Row],[Item]],supercb[Bairro],mercado16)</f>
        <v>0</v>
      </c>
      <c r="AB160" s="27" t="n">
        <f aca="false">SUMIFS(super1[Qtde],super1[Item],tab_alimentos[[#This Row],[Item]],super1[Bairro],mercado17)+SUMIFS(supercb[Qtde],supercb[Item],tab_alimentos[[#This Row],[Item]],supercb[Bairro],mercado17)</f>
        <v>0</v>
      </c>
      <c r="AC160" s="27" t="n">
        <f aca="false">SUMIFS(super1[Qtde],super1[Item],tab_alimentos[[#This Row],[Item]],super1[Bairro],mercado18)+SUMIFS(supercb[Qtde],supercb[Item],tab_alimentos[[#This Row],[Item]],supercb[Bairro],mercado18)</f>
        <v>0</v>
      </c>
      <c r="AD160" s="27" t="n">
        <f aca="false">SUMIFS(super1[Qtde],super1[Item],tab_alimentos[[#This Row],[Item]],super1[Bairro],extras)+SUMIFS(supercb[Qtde],supercb[Item],tab_alimentos[[#This Row],[Item]],supercb[Bairro],extras)</f>
        <v>0</v>
      </c>
      <c r="AE160" s="27" t="n">
        <f aca="false">SUM(L160:AC160)</f>
        <v>0</v>
      </c>
      <c r="AF160" s="27" t="n">
        <f aca="false">IFERROR(AE160*K160,0)</f>
        <v>0</v>
      </c>
      <c r="AG160" s="28" t="n">
        <f aca="false">IFERROR(J160*AE160,0)</f>
        <v>0</v>
      </c>
      <c r="AH160" s="26" t="str">
        <f aca="false">higiene[[#This Row],[Item]]</f>
        <v>Pasta de dente 4 un</v>
      </c>
      <c r="AI160" s="27" t="n">
        <f aca="false">IFERROR(higiene[[#This Row],[Kg equivalente]],0)</f>
        <v>2.28232455867671</v>
      </c>
      <c r="AJ160" s="27" t="n">
        <f aca="false">IFERROR(higiene[[#This Row],[Preço por produto]],0)</f>
        <v>7.56</v>
      </c>
      <c r="AK160" s="27" t="n">
        <f aca="false">SUMIFS(super1[Qtde],super1[Item],tab_higiene[[#This Row],[Item]],super1[Bairro],mercado1)+SUMIFS(supercb[Qtde],supercb[Item],tab_higiene[[#This Row],[Item]],supercb[Bairro],mercado1)</f>
        <v>0</v>
      </c>
      <c r="AL160" s="27" t="n">
        <f aca="false">SUMIFS(super1[Qtde],super1[Item],tab_higiene[[#This Row],[Item]],super1[Bairro],mercado2)+SUMIFS(supercb[Qtde],supercb[Item],tab_higiene[[#This Row],[Item]],supercb[Bairro],mercado2)</f>
        <v>0</v>
      </c>
      <c r="AM160" s="27" t="n">
        <f aca="false">SUMIFS(super1[Qtde],super1[Item],tab_higiene[[#This Row],[Item]],super1[Bairro],mercado3)+SUMIFS(supercb[Qtde],supercb[Item],tab_higiene[[#This Row],[Item]],supercb[Bairro],mercado3)</f>
        <v>0</v>
      </c>
      <c r="AN160" s="27" t="n">
        <f aca="false">SUMIFS(super1[Qtde],super1[Item],tab_higiene[[#This Row],[Item]],super1[Bairro],mercado4)+SUMIFS(supercb[Qtde],supercb[Item],tab_higiene[[#This Row],[Item]],supercb[Bairro],mercado4)</f>
        <v>0</v>
      </c>
      <c r="AO160" s="27" t="n">
        <f aca="false">SUMIFS(super1[Qtde],super1[Item],tab_higiene[[#This Row],[Item]],super1[Bairro],mercado5)+SUMIFS(supercb[Qtde],supercb[Item],tab_higiene[[#This Row],[Item]],supercb[Bairro],mercado5)</f>
        <v>0</v>
      </c>
      <c r="AP160" s="27" t="n">
        <f aca="false">SUMIFS(super1[Qtde],super1[Item],tab_higiene[[#This Row],[Item]],super1[Bairro],mercado6)+SUMIFS(supercb[Qtde],supercb[Item],tab_higiene[[#This Row],[Item]],supercb[Bairro],mercado6)</f>
        <v>0</v>
      </c>
      <c r="AQ160" s="27" t="n">
        <f aca="false">SUMIFS(super1[Qtde],super1[Item],tab_higiene[[#This Row],[Item]],super1[Bairro],mercado7)+SUMIFS(supercb[Qtde],supercb[Item],tab_higiene[[#This Row],[Item]],supercb[Bairro],mercado7)</f>
        <v>0</v>
      </c>
      <c r="AR160" s="27" t="n">
        <f aca="false">SUMIFS(super1[Qtde],super1[Item],tab_higiene[[#This Row],[Item]],super1[Bairro],mercado8)+SUMIFS(supercb[Qtde],supercb[Item],tab_higiene[[#This Row],[Item]],supercb[Bairro],mercado8)</f>
        <v>0</v>
      </c>
      <c r="AS160" s="27" t="n">
        <f aca="false">SUMIFS(super1[Qtde],super1[Item],tab_higiene[[#This Row],[Item]],super1[Bairro],mercado9)+SUMIFS(supercb[Qtde],supercb[Item],tab_higiene[[#This Row],[Item]],supercb[Bairro],mercado9)</f>
        <v>1</v>
      </c>
      <c r="AT160" s="27" t="n">
        <f aca="false">SUMIFS(super1[Qtde],super1[Item],tab_higiene[[#This Row],[Item]],super1[Bairro],mercado10)+SUMIFS(supercb[Qtde],supercb[Item],tab_higiene[[#This Row],[Item]],supercb[Bairro],mercado10)</f>
        <v>0</v>
      </c>
      <c r="AU160" s="27" t="n">
        <f aca="false">SUMIFS(super1[Qtde],super1[Item],tab_higiene[[#This Row],[Item]],super1[Bairro],mercado11)+SUMIFS(supercb[Qtde],supercb[Item],tab_higiene[[#This Row],[Item]],supercb[Bairro],mercado11)</f>
        <v>0</v>
      </c>
      <c r="AV160" s="27" t="n">
        <f aca="false">SUMIFS(super1[Qtde],super1[Item],tab_higiene[[#This Row],[Item]],super1[Bairro],mercado12)+SUMIFS(supercb[Qtde],supercb[Item],tab_higiene[[#This Row],[Item]],supercb[Bairro],mercado12)</f>
        <v>0</v>
      </c>
      <c r="AW160" s="27" t="n">
        <f aca="false">SUMIFS(super1[Qtde],super1[Item],tab_higiene[[#This Row],[Item]],super1[Bairro],mercado13)+SUMIFS(supercb[Qtde],supercb[Item],tab_higiene[[#This Row],[Item]],supercb[Bairro],mercado13)</f>
        <v>0</v>
      </c>
      <c r="AX160" s="27" t="n">
        <f aca="false">SUMIFS(super1[Qtde],super1[Item],tab_higiene[[#This Row],[Item]],super1[Bairro],mercado14)+SUMIFS(supercb[Qtde],supercb[Item],tab_higiene[[#This Row],[Item]],supercb[Bairro],mercado14)</f>
        <v>0</v>
      </c>
      <c r="AY160" s="27" t="n">
        <f aca="false">SUMIFS(super1[Qtde],super1[Item],tab_higiene[[#This Row],[Item]],super1[Bairro],mercado15)+SUMIFS(supercb[Qtde],supercb[Item],tab_higiene[[#This Row],[Item]],supercb[Bairro],mercado15)</f>
        <v>0</v>
      </c>
      <c r="AZ160" s="27" t="n">
        <f aca="false">SUMIFS(super1[Qtde],super1[Item],tab_higiene[[#This Row],[Item]],super1[Bairro],mercado16)+SUMIFS(supercb[Qtde],supercb[Item],tab_higiene[[#This Row],[Item]],supercb[Bairro],mercado16)</f>
        <v>0</v>
      </c>
      <c r="BA160" s="27" t="n">
        <f aca="false">SUMIFS(super1[Qtde],super1[Item],tab_higiene[[#This Row],[Item]],super1[Bairro],mercado17)+SUMIFS(supercb[Qtde],supercb[Item],tab_higiene[[#This Row],[Item]],supercb[Bairro],mercado17)</f>
        <v>0</v>
      </c>
      <c r="BB160" s="27" t="n">
        <f aca="false">SUMIFS(super1[Qtde],super1[Item],tab_higiene[[#This Row],[Item]],super1[Bairro],mercado18)+SUMIFS(supercb[Qtde],supercb[Item],tab_higiene[[#This Row],[Item]],supercb[Bairro],mercado18)</f>
        <v>0</v>
      </c>
      <c r="BC160" s="27" t="n">
        <f aca="false">SUMIFS(super1[Qtde],super1[Item],tab_higiene[[#This Row],[Item]],super1[Bairro],extras)+SUMIFS(supercb[Qtde],supercb[Item],tab_higiene[[#This Row],[Item]],supercb[Bairro],extras)</f>
        <v>0</v>
      </c>
      <c r="BD160" s="27" t="n">
        <f aca="false">SUM(AK160:BB160)</f>
        <v>1</v>
      </c>
      <c r="BE160" s="27" t="n">
        <f aca="false">IFERROR(BD160*AJ160,0)</f>
        <v>7.56</v>
      </c>
      <c r="BF160" s="28" t="n">
        <f aca="false">IFERROR(AI160*BD160,0)</f>
        <v>2.28232455867671</v>
      </c>
    </row>
    <row r="161" customFormat="false" ht="15" hidden="false" customHeight="false" outlineLevel="0" collapsed="false">
      <c r="I161" s="26" t="str">
        <f aca="false">alimentos[[#This Row],[Item]]</f>
        <v>Leite em pó (800g)</v>
      </c>
      <c r="J161" s="27" t="n">
        <f aca="false">IFERROR(alimentos[[#This Row],[kg/embalagem]],0)</f>
        <v>0.8</v>
      </c>
      <c r="K161" s="27" t="n">
        <f aca="false">IFERROR(alimentos[[#This Row],[Preço]],0)</f>
        <v>24.7975</v>
      </c>
      <c r="L161" s="27" t="n">
        <f aca="false">SUMIFS(super1[Qtde],super1[Item],tab_alimentos[[#This Row],[Item]],super1[Bairro],mercado1)+SUMIFS(supercb[Qtde],supercb[Item],tab_alimentos[[#This Row],[Item]],supercb[Bairro],mercado1)</f>
        <v>0</v>
      </c>
      <c r="M161" s="27" t="n">
        <f aca="false">SUMIFS(super1[Qtde],super1[Item],tab_alimentos[[#This Row],[Item]],super1[Bairro],mercado2)+SUMIFS(supercb[Qtde],supercb[Item],tab_alimentos[[#This Row],[Item]],supercb[Bairro],mercado2)</f>
        <v>0</v>
      </c>
      <c r="N161" s="27" t="n">
        <f aca="false">SUMIFS(super1[Qtde],super1[Item],tab_alimentos[[#This Row],[Item]],super1[Bairro],mercado3)+SUMIFS(supercb[Qtde],supercb[Item],tab_alimentos[[#This Row],[Item]],supercb[Bairro],mercado3)</f>
        <v>0</v>
      </c>
      <c r="O161" s="27" t="n">
        <f aca="false">SUMIFS(super1[Qtde],super1[Item],tab_alimentos[[#This Row],[Item]],super1[Bairro],mercado4)+SUMIFS(supercb[Qtde],supercb[Item],tab_alimentos[[#This Row],[Item]],supercb[Bairro],mercado4)</f>
        <v>0</v>
      </c>
      <c r="P161" s="27" t="n">
        <f aca="false">SUMIFS(super1[Qtde],super1[Item],tab_alimentos[[#This Row],[Item]],super1[Bairro],mercado5)+SUMIFS(supercb[Qtde],supercb[Item],tab_alimentos[[#This Row],[Item]],supercb[Bairro],mercado5)</f>
        <v>0</v>
      </c>
      <c r="Q161" s="27" t="n">
        <f aca="false">SUMIFS(super1[Qtde],super1[Item],tab_alimentos[[#This Row],[Item]],super1[Bairro],mercado6)+SUMIFS(supercb[Qtde],supercb[Item],tab_alimentos[[#This Row],[Item]],supercb[Bairro],mercado6)</f>
        <v>0</v>
      </c>
      <c r="R161" s="27" t="n">
        <f aca="false">SUMIFS(super1[Qtde],super1[Item],tab_alimentos[[#This Row],[Item]],super1[Bairro],mercado7)+SUMIFS(supercb[Qtde],supercb[Item],tab_alimentos[[#This Row],[Item]],supercb[Bairro],mercado7)</f>
        <v>0</v>
      </c>
      <c r="S161" s="27" t="n">
        <f aca="false">SUMIFS(super1[Qtde],super1[Item],tab_alimentos[[#This Row],[Item]],super1[Bairro],mercado8)+SUMIFS(supercb[Qtde],supercb[Item],tab_alimentos[[#This Row],[Item]],supercb[Bairro],mercado8)</f>
        <v>0</v>
      </c>
      <c r="T161" s="27" t="n">
        <f aca="false">SUMIFS(super1[Qtde],super1[Item],tab_alimentos[[#This Row],[Item]],super1[Bairro],mercado9)+SUMIFS(supercb[Qtde],supercb[Item],tab_alimentos[[#This Row],[Item]],supercb[Bairro],mercado9)</f>
        <v>1</v>
      </c>
      <c r="U161" s="27" t="n">
        <f aca="false">SUMIFS(super1[Qtde],super1[Item],tab_alimentos[[#This Row],[Item]],super1[Bairro],mercado10)+SUMIFS(supercb[Qtde],supercb[Item],tab_alimentos[[#This Row],[Item]],supercb[Bairro],mercado10)</f>
        <v>0</v>
      </c>
      <c r="V161" s="27" t="n">
        <f aca="false">SUMIFS(super1[Qtde],super1[Item],tab_alimentos[[#This Row],[Item]],super1[Bairro],mercado11)+SUMIFS(supercb[Qtde],supercb[Item],tab_alimentos[[#This Row],[Item]],supercb[Bairro],mercado11)</f>
        <v>0</v>
      </c>
      <c r="W161" s="27" t="n">
        <f aca="false">SUMIFS(super1[Qtde],super1[Item],tab_alimentos[[#This Row],[Item]],super1[Bairro],mercado12)+SUMIFS(supercb[Qtde],supercb[Item],tab_alimentos[[#This Row],[Item]],supercb[Bairro],mercado12)</f>
        <v>0</v>
      </c>
      <c r="X161" s="27" t="n">
        <f aca="false">SUMIFS(super1[Qtde],super1[Item],tab_alimentos[[#This Row],[Item]],super1[Bairro],mercado13)+SUMIFS(supercb[Qtde],supercb[Item],tab_alimentos[[#This Row],[Item]],supercb[Bairro],mercado13)</f>
        <v>0</v>
      </c>
      <c r="Y161" s="27" t="n">
        <f aca="false">SUMIFS(super1[Qtde],super1[Item],tab_alimentos[[#This Row],[Item]],super1[Bairro],mercado14)+SUMIFS(supercb[Qtde],supercb[Item],tab_alimentos[[#This Row],[Item]],supercb[Bairro],mercado14)</f>
        <v>0</v>
      </c>
      <c r="Z161" s="27" t="n">
        <f aca="false">SUMIFS(super1[Qtde],super1[Item],tab_alimentos[[#This Row],[Item]],super1[Bairro],mercado15)+SUMIFS(supercb[Qtde],supercb[Item],tab_alimentos[[#This Row],[Item]],supercb[Bairro],mercado15)</f>
        <v>0</v>
      </c>
      <c r="AA161" s="27" t="n">
        <f aca="false">SUMIFS(super1[Qtde],super1[Item],tab_alimentos[[#This Row],[Item]],super1[Bairro],mercado16)+SUMIFS(supercb[Qtde],supercb[Item],tab_alimentos[[#This Row],[Item]],supercb[Bairro],mercado16)</f>
        <v>0</v>
      </c>
      <c r="AB161" s="27" t="n">
        <f aca="false">SUMIFS(super1[Qtde],super1[Item],tab_alimentos[[#This Row],[Item]],super1[Bairro],mercado17)+SUMIFS(supercb[Qtde],supercb[Item],tab_alimentos[[#This Row],[Item]],supercb[Bairro],mercado17)</f>
        <v>0</v>
      </c>
      <c r="AC161" s="27" t="n">
        <f aca="false">SUMIFS(super1[Qtde],super1[Item],tab_alimentos[[#This Row],[Item]],super1[Bairro],mercado18)+SUMIFS(supercb[Qtde],supercb[Item],tab_alimentos[[#This Row],[Item]],supercb[Bairro],mercado18)</f>
        <v>0</v>
      </c>
      <c r="AD161" s="27" t="n">
        <f aca="false">SUMIFS(super1[Qtde],super1[Item],tab_alimentos[[#This Row],[Item]],super1[Bairro],extras)+SUMIFS(supercb[Qtde],supercb[Item],tab_alimentos[[#This Row],[Item]],supercb[Bairro],extras)</f>
        <v>0</v>
      </c>
      <c r="AE161" s="27" t="n">
        <f aca="false">SUM(L161:AC161)</f>
        <v>1</v>
      </c>
      <c r="AF161" s="27" t="n">
        <f aca="false">IFERROR(AE161*K161,0)</f>
        <v>24.7975</v>
      </c>
      <c r="AG161" s="28" t="n">
        <f aca="false">IFERROR(J161*AE161,0)</f>
        <v>0.8</v>
      </c>
      <c r="AH161" s="26" t="str">
        <f aca="false">higiene[[#This Row],[Item]]</f>
        <v>Polvilho antisséptico (100g)</v>
      </c>
      <c r="AI161" s="27" t="n">
        <f aca="false">IFERROR(higiene[[#This Row],[Kg equivalente]],0)</f>
        <v>3.30423839877203</v>
      </c>
      <c r="AJ161" s="27" t="n">
        <f aca="false">IFERROR(higiene[[#This Row],[Preço por produto]],0)</f>
        <v>10.945</v>
      </c>
      <c r="AK161" s="27" t="n">
        <f aca="false">SUMIFS(super1[Qtde],super1[Item],tab_higiene[[#This Row],[Item]],super1[Bairro],mercado1)+SUMIFS(supercb[Qtde],supercb[Item],tab_higiene[[#This Row],[Item]],supercb[Bairro],mercado1)</f>
        <v>0</v>
      </c>
      <c r="AL161" s="27" t="n">
        <f aca="false">SUMIFS(super1[Qtde],super1[Item],tab_higiene[[#This Row],[Item]],super1[Bairro],mercado2)+SUMIFS(supercb[Qtde],supercb[Item],tab_higiene[[#This Row],[Item]],supercb[Bairro],mercado2)</f>
        <v>0</v>
      </c>
      <c r="AM161" s="27" t="n">
        <f aca="false">SUMIFS(super1[Qtde],super1[Item],tab_higiene[[#This Row],[Item]],super1[Bairro],mercado3)+SUMIFS(supercb[Qtde],supercb[Item],tab_higiene[[#This Row],[Item]],supercb[Bairro],mercado3)</f>
        <v>0</v>
      </c>
      <c r="AN161" s="27" t="n">
        <f aca="false">SUMIFS(super1[Qtde],super1[Item],tab_higiene[[#This Row],[Item]],super1[Bairro],mercado4)+SUMIFS(supercb[Qtde],supercb[Item],tab_higiene[[#This Row],[Item]],supercb[Bairro],mercado4)</f>
        <v>0</v>
      </c>
      <c r="AO161" s="27" t="n">
        <f aca="false">SUMIFS(super1[Qtde],super1[Item],tab_higiene[[#This Row],[Item]],super1[Bairro],mercado5)+SUMIFS(supercb[Qtde],supercb[Item],tab_higiene[[#This Row],[Item]],supercb[Bairro],mercado5)</f>
        <v>0</v>
      </c>
      <c r="AP161" s="27" t="n">
        <f aca="false">SUMIFS(super1[Qtde],super1[Item],tab_higiene[[#This Row],[Item]],super1[Bairro],mercado6)+SUMIFS(supercb[Qtde],supercb[Item],tab_higiene[[#This Row],[Item]],supercb[Bairro],mercado6)</f>
        <v>0</v>
      </c>
      <c r="AQ161" s="27" t="n">
        <f aca="false">SUMIFS(super1[Qtde],super1[Item],tab_higiene[[#This Row],[Item]],super1[Bairro],mercado7)+SUMIFS(supercb[Qtde],supercb[Item],tab_higiene[[#This Row],[Item]],supercb[Bairro],mercado7)</f>
        <v>0</v>
      </c>
      <c r="AR161" s="27" t="n">
        <f aca="false">SUMIFS(super1[Qtde],super1[Item],tab_higiene[[#This Row],[Item]],super1[Bairro],mercado8)+SUMIFS(supercb[Qtde],supercb[Item],tab_higiene[[#This Row],[Item]],supercb[Bairro],mercado8)</f>
        <v>0</v>
      </c>
      <c r="AS161" s="27" t="n">
        <f aca="false">SUMIFS(super1[Qtde],super1[Item],tab_higiene[[#This Row],[Item]],super1[Bairro],mercado9)+SUMIFS(supercb[Qtde],supercb[Item],tab_higiene[[#This Row],[Item]],supercb[Bairro],mercado9)</f>
        <v>0</v>
      </c>
      <c r="AT161" s="27" t="n">
        <f aca="false">SUMIFS(super1[Qtde],super1[Item],tab_higiene[[#This Row],[Item]],super1[Bairro],mercado10)+SUMIFS(supercb[Qtde],supercb[Item],tab_higiene[[#This Row],[Item]],supercb[Bairro],mercado10)</f>
        <v>0</v>
      </c>
      <c r="AU161" s="27" t="n">
        <f aca="false">SUMIFS(super1[Qtde],super1[Item],tab_higiene[[#This Row],[Item]],super1[Bairro],mercado11)+SUMIFS(supercb[Qtde],supercb[Item],tab_higiene[[#This Row],[Item]],supercb[Bairro],mercado11)</f>
        <v>0</v>
      </c>
      <c r="AV161" s="27" t="n">
        <f aca="false">SUMIFS(super1[Qtde],super1[Item],tab_higiene[[#This Row],[Item]],super1[Bairro],mercado12)+SUMIFS(supercb[Qtde],supercb[Item],tab_higiene[[#This Row],[Item]],supercb[Bairro],mercado12)</f>
        <v>0</v>
      </c>
      <c r="AW161" s="27" t="n">
        <f aca="false">SUMIFS(super1[Qtde],super1[Item],tab_higiene[[#This Row],[Item]],super1[Bairro],mercado13)+SUMIFS(supercb[Qtde],supercb[Item],tab_higiene[[#This Row],[Item]],supercb[Bairro],mercado13)</f>
        <v>0</v>
      </c>
      <c r="AX161" s="27" t="n">
        <f aca="false">SUMIFS(super1[Qtde],super1[Item],tab_higiene[[#This Row],[Item]],super1[Bairro],mercado14)+SUMIFS(supercb[Qtde],supercb[Item],tab_higiene[[#This Row],[Item]],supercb[Bairro],mercado14)</f>
        <v>0</v>
      </c>
      <c r="AY161" s="27" t="n">
        <f aca="false">SUMIFS(super1[Qtde],super1[Item],tab_higiene[[#This Row],[Item]],super1[Bairro],mercado15)+SUMIFS(supercb[Qtde],supercb[Item],tab_higiene[[#This Row],[Item]],supercb[Bairro],mercado15)</f>
        <v>0</v>
      </c>
      <c r="AZ161" s="27" t="n">
        <f aca="false">SUMIFS(super1[Qtde],super1[Item],tab_higiene[[#This Row],[Item]],super1[Bairro],mercado16)+SUMIFS(supercb[Qtde],supercb[Item],tab_higiene[[#This Row],[Item]],supercb[Bairro],mercado16)</f>
        <v>0</v>
      </c>
      <c r="BA161" s="27" t="n">
        <f aca="false">SUMIFS(super1[Qtde],super1[Item],tab_higiene[[#This Row],[Item]],super1[Bairro],mercado17)+SUMIFS(supercb[Qtde],supercb[Item],tab_higiene[[#This Row],[Item]],supercb[Bairro],mercado17)</f>
        <v>0</v>
      </c>
      <c r="BB161" s="27" t="n">
        <f aca="false">SUMIFS(super1[Qtde],super1[Item],tab_higiene[[#This Row],[Item]],super1[Bairro],mercado18)+SUMIFS(supercb[Qtde],supercb[Item],tab_higiene[[#This Row],[Item]],supercb[Bairro],mercado18)</f>
        <v>0</v>
      </c>
      <c r="BC161" s="27" t="n">
        <f aca="false">SUMIFS(super1[Qtde],super1[Item],tab_higiene[[#This Row],[Item]],super1[Bairro],extras)+SUMIFS(supercb[Qtde],supercb[Item],tab_higiene[[#This Row],[Item]],supercb[Bairro],extras)</f>
        <v>0</v>
      </c>
      <c r="BD161" s="27" t="n">
        <f aca="false">SUM(AK161:BB161)</f>
        <v>0</v>
      </c>
      <c r="BE161" s="27" t="n">
        <f aca="false">IFERROR(BD161*AJ161,0)</f>
        <v>0</v>
      </c>
      <c r="BF161" s="28" t="n">
        <f aca="false">IFERROR(AI161*BD161,0)</f>
        <v>0</v>
      </c>
    </row>
    <row r="162" customFormat="false" ht="15" hidden="false" customHeight="false" outlineLevel="0" collapsed="false">
      <c r="I162" s="26" t="str">
        <f aca="false">alimentos[[#This Row],[Item]]</f>
        <v>Lentilha (1kg)</v>
      </c>
      <c r="J162" s="27" t="n">
        <f aca="false">IFERROR(alimentos[[#This Row],[kg/embalagem]],0)</f>
        <v>1</v>
      </c>
      <c r="K162" s="27" t="n">
        <f aca="false">IFERROR(alimentos[[#This Row],[Preço]],0)</f>
        <v>18.54</v>
      </c>
      <c r="L162" s="27" t="n">
        <f aca="false">SUMIFS(super1[Qtde],super1[Item],tab_alimentos[[#This Row],[Item]],super1[Bairro],mercado1)+SUMIFS(supercb[Qtde],supercb[Item],tab_alimentos[[#This Row],[Item]],supercb[Bairro],mercado1)</f>
        <v>0</v>
      </c>
      <c r="M162" s="27" t="n">
        <f aca="false">SUMIFS(super1[Qtde],super1[Item],tab_alimentos[[#This Row],[Item]],super1[Bairro],mercado2)+SUMIFS(supercb[Qtde],supercb[Item],tab_alimentos[[#This Row],[Item]],supercb[Bairro],mercado2)</f>
        <v>0</v>
      </c>
      <c r="N162" s="27" t="n">
        <f aca="false">SUMIFS(super1[Qtde],super1[Item],tab_alimentos[[#This Row],[Item]],super1[Bairro],mercado3)+SUMIFS(supercb[Qtde],supercb[Item],tab_alimentos[[#This Row],[Item]],supercb[Bairro],mercado3)</f>
        <v>0</v>
      </c>
      <c r="O162" s="27" t="n">
        <f aca="false">SUMIFS(super1[Qtde],super1[Item],tab_alimentos[[#This Row],[Item]],super1[Bairro],mercado4)+SUMIFS(supercb[Qtde],supercb[Item],tab_alimentos[[#This Row],[Item]],supercb[Bairro],mercado4)</f>
        <v>0</v>
      </c>
      <c r="P162" s="27" t="n">
        <f aca="false">SUMIFS(super1[Qtde],super1[Item],tab_alimentos[[#This Row],[Item]],super1[Bairro],mercado5)+SUMIFS(supercb[Qtde],supercb[Item],tab_alimentos[[#This Row],[Item]],supercb[Bairro],mercado5)</f>
        <v>0</v>
      </c>
      <c r="Q162" s="27" t="n">
        <f aca="false">SUMIFS(super1[Qtde],super1[Item],tab_alimentos[[#This Row],[Item]],super1[Bairro],mercado6)+SUMIFS(supercb[Qtde],supercb[Item],tab_alimentos[[#This Row],[Item]],supercb[Bairro],mercado6)</f>
        <v>0</v>
      </c>
      <c r="R162" s="27" t="n">
        <f aca="false">SUMIFS(super1[Qtde],super1[Item],tab_alimentos[[#This Row],[Item]],super1[Bairro],mercado7)+SUMIFS(supercb[Qtde],supercb[Item],tab_alimentos[[#This Row],[Item]],supercb[Bairro],mercado7)</f>
        <v>0</v>
      </c>
      <c r="S162" s="27" t="n">
        <f aca="false">SUMIFS(super1[Qtde],super1[Item],tab_alimentos[[#This Row],[Item]],super1[Bairro],mercado8)+SUMIFS(supercb[Qtde],supercb[Item],tab_alimentos[[#This Row],[Item]],supercb[Bairro],mercado8)</f>
        <v>0</v>
      </c>
      <c r="T162" s="27" t="n">
        <f aca="false">SUMIFS(super1[Qtde],super1[Item],tab_alimentos[[#This Row],[Item]],super1[Bairro],mercado9)+SUMIFS(supercb[Qtde],supercb[Item],tab_alimentos[[#This Row],[Item]],supercb[Bairro],mercado9)</f>
        <v>0</v>
      </c>
      <c r="U162" s="27" t="n">
        <f aca="false">SUMIFS(super1[Qtde],super1[Item],tab_alimentos[[#This Row],[Item]],super1[Bairro],mercado10)+SUMIFS(supercb[Qtde],supercb[Item],tab_alimentos[[#This Row],[Item]],supercb[Bairro],mercado10)</f>
        <v>0</v>
      </c>
      <c r="V162" s="27" t="n">
        <f aca="false">SUMIFS(super1[Qtde],super1[Item],tab_alimentos[[#This Row],[Item]],super1[Bairro],mercado11)+SUMIFS(supercb[Qtde],supercb[Item],tab_alimentos[[#This Row],[Item]],supercb[Bairro],mercado11)</f>
        <v>0</v>
      </c>
      <c r="W162" s="27" t="n">
        <f aca="false">SUMIFS(super1[Qtde],super1[Item],tab_alimentos[[#This Row],[Item]],super1[Bairro],mercado12)+SUMIFS(supercb[Qtde],supercb[Item],tab_alimentos[[#This Row],[Item]],supercb[Bairro],mercado12)</f>
        <v>0</v>
      </c>
      <c r="X162" s="27" t="n">
        <f aca="false">SUMIFS(super1[Qtde],super1[Item],tab_alimentos[[#This Row],[Item]],super1[Bairro],mercado13)+SUMIFS(supercb[Qtde],supercb[Item],tab_alimentos[[#This Row],[Item]],supercb[Bairro],mercado13)</f>
        <v>0</v>
      </c>
      <c r="Y162" s="27" t="n">
        <f aca="false">SUMIFS(super1[Qtde],super1[Item],tab_alimentos[[#This Row],[Item]],super1[Bairro],mercado14)+SUMIFS(supercb[Qtde],supercb[Item],tab_alimentos[[#This Row],[Item]],supercb[Bairro],mercado14)</f>
        <v>0</v>
      </c>
      <c r="Z162" s="27" t="n">
        <f aca="false">SUMIFS(super1[Qtde],super1[Item],tab_alimentos[[#This Row],[Item]],super1[Bairro],mercado15)+SUMIFS(supercb[Qtde],supercb[Item],tab_alimentos[[#This Row],[Item]],supercb[Bairro],mercado15)</f>
        <v>0</v>
      </c>
      <c r="AA162" s="27" t="n">
        <f aca="false">SUMIFS(super1[Qtde],super1[Item],tab_alimentos[[#This Row],[Item]],super1[Bairro],mercado16)+SUMIFS(supercb[Qtde],supercb[Item],tab_alimentos[[#This Row],[Item]],supercb[Bairro],mercado16)</f>
        <v>0</v>
      </c>
      <c r="AB162" s="27" t="n">
        <f aca="false">SUMIFS(super1[Qtde],super1[Item],tab_alimentos[[#This Row],[Item]],super1[Bairro],mercado17)+SUMIFS(supercb[Qtde],supercb[Item],tab_alimentos[[#This Row],[Item]],supercb[Bairro],mercado17)</f>
        <v>0</v>
      </c>
      <c r="AC162" s="27" t="n">
        <f aca="false">SUMIFS(super1[Qtde],super1[Item],tab_alimentos[[#This Row],[Item]],super1[Bairro],mercado18)+SUMIFS(supercb[Qtde],supercb[Item],tab_alimentos[[#This Row],[Item]],supercb[Bairro],mercado18)</f>
        <v>0</v>
      </c>
      <c r="AD162" s="27" t="n">
        <f aca="false">SUMIFS(super1[Qtde],super1[Item],tab_alimentos[[#This Row],[Item]],super1[Bairro],extras)+SUMIFS(supercb[Qtde],supercb[Item],tab_alimentos[[#This Row],[Item]],supercb[Bairro],extras)</f>
        <v>0</v>
      </c>
      <c r="AE162" s="27" t="n">
        <f aca="false">SUM(L162:AC162)</f>
        <v>0</v>
      </c>
      <c r="AF162" s="27" t="n">
        <f aca="false">IFERROR(AE162*K162,0)</f>
        <v>0</v>
      </c>
      <c r="AG162" s="28" t="n">
        <f aca="false">IFERROR(J162*AE162,0)</f>
        <v>0</v>
      </c>
      <c r="AH162" s="26" t="str">
        <f aca="false">higiene[[#This Row],[Item]]</f>
        <v>Q</v>
      </c>
      <c r="AI162" s="27" t="n">
        <f aca="false">IFERROR(higiene[[#This Row],[Kg equivalente]],0)</f>
        <v>0</v>
      </c>
      <c r="AJ162" s="27" t="n">
        <f aca="false">IFERROR(higiene[[#This Row],[Preço por produto]],0)</f>
        <v>0</v>
      </c>
      <c r="AK162" s="27" t="n">
        <f aca="false">SUMIFS(super1[Qtde],super1[Item],tab_higiene[[#This Row],[Item]],super1[Bairro],mercado1)+SUMIFS(supercb[Qtde],supercb[Item],tab_higiene[[#This Row],[Item]],supercb[Bairro],mercado1)</f>
        <v>0</v>
      </c>
      <c r="AL162" s="27" t="n">
        <f aca="false">SUMIFS(super1[Qtde],super1[Item],tab_higiene[[#This Row],[Item]],super1[Bairro],mercado2)+SUMIFS(supercb[Qtde],supercb[Item],tab_higiene[[#This Row],[Item]],supercb[Bairro],mercado2)</f>
        <v>0</v>
      </c>
      <c r="AM162" s="27" t="n">
        <f aca="false">SUMIFS(super1[Qtde],super1[Item],tab_higiene[[#This Row],[Item]],super1[Bairro],mercado3)+SUMIFS(supercb[Qtde],supercb[Item],tab_higiene[[#This Row],[Item]],supercb[Bairro],mercado3)</f>
        <v>0</v>
      </c>
      <c r="AN162" s="27" t="n">
        <f aca="false">SUMIFS(super1[Qtde],super1[Item],tab_higiene[[#This Row],[Item]],super1[Bairro],mercado4)+SUMIFS(supercb[Qtde],supercb[Item],tab_higiene[[#This Row],[Item]],supercb[Bairro],mercado4)</f>
        <v>0</v>
      </c>
      <c r="AO162" s="27" t="n">
        <f aca="false">SUMIFS(super1[Qtde],super1[Item],tab_higiene[[#This Row],[Item]],super1[Bairro],mercado5)+SUMIFS(supercb[Qtde],supercb[Item],tab_higiene[[#This Row],[Item]],supercb[Bairro],mercado5)</f>
        <v>0</v>
      </c>
      <c r="AP162" s="27" t="n">
        <f aca="false">SUMIFS(super1[Qtde],super1[Item],tab_higiene[[#This Row],[Item]],super1[Bairro],mercado6)+SUMIFS(supercb[Qtde],supercb[Item],tab_higiene[[#This Row],[Item]],supercb[Bairro],mercado6)</f>
        <v>0</v>
      </c>
      <c r="AQ162" s="27" t="n">
        <f aca="false">SUMIFS(super1[Qtde],super1[Item],tab_higiene[[#This Row],[Item]],super1[Bairro],mercado7)+SUMIFS(supercb[Qtde],supercb[Item],tab_higiene[[#This Row],[Item]],supercb[Bairro],mercado7)</f>
        <v>0</v>
      </c>
      <c r="AR162" s="27" t="n">
        <f aca="false">SUMIFS(super1[Qtde],super1[Item],tab_higiene[[#This Row],[Item]],super1[Bairro],mercado8)+SUMIFS(supercb[Qtde],supercb[Item],tab_higiene[[#This Row],[Item]],supercb[Bairro],mercado8)</f>
        <v>0</v>
      </c>
      <c r="AS162" s="27" t="n">
        <f aca="false">SUMIFS(super1[Qtde],super1[Item],tab_higiene[[#This Row],[Item]],super1[Bairro],mercado9)+SUMIFS(supercb[Qtde],supercb[Item],tab_higiene[[#This Row],[Item]],supercb[Bairro],mercado9)</f>
        <v>0</v>
      </c>
      <c r="AT162" s="27" t="n">
        <f aca="false">SUMIFS(super1[Qtde],super1[Item],tab_higiene[[#This Row],[Item]],super1[Bairro],mercado10)+SUMIFS(supercb[Qtde],supercb[Item],tab_higiene[[#This Row],[Item]],supercb[Bairro],mercado10)</f>
        <v>0</v>
      </c>
      <c r="AU162" s="27" t="n">
        <f aca="false">SUMIFS(super1[Qtde],super1[Item],tab_higiene[[#This Row],[Item]],super1[Bairro],mercado11)+SUMIFS(supercb[Qtde],supercb[Item],tab_higiene[[#This Row],[Item]],supercb[Bairro],mercado11)</f>
        <v>0</v>
      </c>
      <c r="AV162" s="27" t="n">
        <f aca="false">SUMIFS(super1[Qtde],super1[Item],tab_higiene[[#This Row],[Item]],super1[Bairro],mercado12)+SUMIFS(supercb[Qtde],supercb[Item],tab_higiene[[#This Row],[Item]],supercb[Bairro],mercado12)</f>
        <v>0</v>
      </c>
      <c r="AW162" s="27" t="n">
        <f aca="false">SUMIFS(super1[Qtde],super1[Item],tab_higiene[[#This Row],[Item]],super1[Bairro],mercado13)+SUMIFS(supercb[Qtde],supercb[Item],tab_higiene[[#This Row],[Item]],supercb[Bairro],mercado13)</f>
        <v>0</v>
      </c>
      <c r="AX162" s="27" t="n">
        <f aca="false">SUMIFS(super1[Qtde],super1[Item],tab_higiene[[#This Row],[Item]],super1[Bairro],mercado14)+SUMIFS(supercb[Qtde],supercb[Item],tab_higiene[[#This Row],[Item]],supercb[Bairro],mercado14)</f>
        <v>0</v>
      </c>
      <c r="AY162" s="27" t="n">
        <f aca="false">SUMIFS(super1[Qtde],super1[Item],tab_higiene[[#This Row],[Item]],super1[Bairro],mercado15)+SUMIFS(supercb[Qtde],supercb[Item],tab_higiene[[#This Row],[Item]],supercb[Bairro],mercado15)</f>
        <v>0</v>
      </c>
      <c r="AZ162" s="27" t="n">
        <f aca="false">SUMIFS(super1[Qtde],super1[Item],tab_higiene[[#This Row],[Item]],super1[Bairro],mercado16)+SUMIFS(supercb[Qtde],supercb[Item],tab_higiene[[#This Row],[Item]],supercb[Bairro],mercado16)</f>
        <v>0</v>
      </c>
      <c r="BA162" s="27" t="n">
        <f aca="false">SUMIFS(super1[Qtde],super1[Item],tab_higiene[[#This Row],[Item]],super1[Bairro],mercado17)+SUMIFS(supercb[Qtde],supercb[Item],tab_higiene[[#This Row],[Item]],supercb[Bairro],mercado17)</f>
        <v>0</v>
      </c>
      <c r="BB162" s="27" t="n">
        <f aca="false">SUMIFS(super1[Qtde],super1[Item],tab_higiene[[#This Row],[Item]],super1[Bairro],mercado18)+SUMIFS(supercb[Qtde],supercb[Item],tab_higiene[[#This Row],[Item]],supercb[Bairro],mercado18)</f>
        <v>0</v>
      </c>
      <c r="BC162" s="27" t="n">
        <f aca="false">SUMIFS(super1[Qtde],super1[Item],tab_higiene[[#This Row],[Item]],super1[Bairro],extras)+SUMIFS(supercb[Qtde],supercb[Item],tab_higiene[[#This Row],[Item]],supercb[Bairro],extras)</f>
        <v>0</v>
      </c>
      <c r="BD162" s="27" t="n">
        <f aca="false">SUM(AK162:BB162)</f>
        <v>0</v>
      </c>
      <c r="BE162" s="27" t="n">
        <f aca="false">IFERROR(BD162*AJ162,0)</f>
        <v>0</v>
      </c>
      <c r="BF162" s="28" t="n">
        <f aca="false">IFERROR(AI162*BD162,0)</f>
        <v>0</v>
      </c>
    </row>
    <row r="163" customFormat="false" ht="15" hidden="false" customHeight="false" outlineLevel="0" collapsed="false">
      <c r="I163" s="26" t="str">
        <f aca="false">alimentos[[#This Row],[Item]]</f>
        <v>Lentilha (200g)</v>
      </c>
      <c r="J163" s="27" t="n">
        <f aca="false">IFERROR(alimentos[[#This Row],[kg/embalagem]],0)</f>
        <v>0.2</v>
      </c>
      <c r="K163" s="27" t="n">
        <f aca="false">IFERROR(alimentos[[#This Row],[Preço]],0)</f>
        <v>2.99</v>
      </c>
      <c r="L163" s="27" t="n">
        <f aca="false">SUMIFS(super1[Qtde],super1[Item],tab_alimentos[[#This Row],[Item]],super1[Bairro],mercado1)+SUMIFS(supercb[Qtde],supercb[Item],tab_alimentos[[#This Row],[Item]],supercb[Bairro],mercado1)</f>
        <v>0</v>
      </c>
      <c r="M163" s="27" t="n">
        <f aca="false">SUMIFS(super1[Qtde],super1[Item],tab_alimentos[[#This Row],[Item]],super1[Bairro],mercado2)+SUMIFS(supercb[Qtde],supercb[Item],tab_alimentos[[#This Row],[Item]],supercb[Bairro],mercado2)</f>
        <v>0</v>
      </c>
      <c r="N163" s="27" t="n">
        <f aca="false">SUMIFS(super1[Qtde],super1[Item],tab_alimentos[[#This Row],[Item]],super1[Bairro],mercado3)+SUMIFS(supercb[Qtde],supercb[Item],tab_alimentos[[#This Row],[Item]],supercb[Bairro],mercado3)</f>
        <v>0</v>
      </c>
      <c r="O163" s="27" t="n">
        <f aca="false">SUMIFS(super1[Qtde],super1[Item],tab_alimentos[[#This Row],[Item]],super1[Bairro],mercado4)+SUMIFS(supercb[Qtde],supercb[Item],tab_alimentos[[#This Row],[Item]],supercb[Bairro],mercado4)</f>
        <v>0</v>
      </c>
      <c r="P163" s="27" t="n">
        <f aca="false">SUMIFS(super1[Qtde],super1[Item],tab_alimentos[[#This Row],[Item]],super1[Bairro],mercado5)+SUMIFS(supercb[Qtde],supercb[Item],tab_alimentos[[#This Row],[Item]],supercb[Bairro],mercado5)</f>
        <v>0</v>
      </c>
      <c r="Q163" s="27" t="n">
        <f aca="false">SUMIFS(super1[Qtde],super1[Item],tab_alimentos[[#This Row],[Item]],super1[Bairro],mercado6)+SUMIFS(supercb[Qtde],supercb[Item],tab_alimentos[[#This Row],[Item]],supercb[Bairro],mercado6)</f>
        <v>0</v>
      </c>
      <c r="R163" s="27" t="n">
        <f aca="false">SUMIFS(super1[Qtde],super1[Item],tab_alimentos[[#This Row],[Item]],super1[Bairro],mercado7)+SUMIFS(supercb[Qtde],supercb[Item],tab_alimentos[[#This Row],[Item]],supercb[Bairro],mercado7)</f>
        <v>0</v>
      </c>
      <c r="S163" s="27" t="n">
        <f aca="false">SUMIFS(super1[Qtde],super1[Item],tab_alimentos[[#This Row],[Item]],super1[Bairro],mercado8)+SUMIFS(supercb[Qtde],supercb[Item],tab_alimentos[[#This Row],[Item]],supercb[Bairro],mercado8)</f>
        <v>0</v>
      </c>
      <c r="T163" s="27" t="n">
        <f aca="false">SUMIFS(super1[Qtde],super1[Item],tab_alimentos[[#This Row],[Item]],super1[Bairro],mercado9)+SUMIFS(supercb[Qtde],supercb[Item],tab_alimentos[[#This Row],[Item]],supercb[Bairro],mercado9)</f>
        <v>0</v>
      </c>
      <c r="U163" s="27" t="n">
        <f aca="false">SUMIFS(super1[Qtde],super1[Item],tab_alimentos[[#This Row],[Item]],super1[Bairro],mercado10)+SUMIFS(supercb[Qtde],supercb[Item],tab_alimentos[[#This Row],[Item]],supercb[Bairro],mercado10)</f>
        <v>0</v>
      </c>
      <c r="V163" s="27" t="n">
        <f aca="false">SUMIFS(super1[Qtde],super1[Item],tab_alimentos[[#This Row],[Item]],super1[Bairro],mercado11)+SUMIFS(supercb[Qtde],supercb[Item],tab_alimentos[[#This Row],[Item]],supercb[Bairro],mercado11)</f>
        <v>0</v>
      </c>
      <c r="W163" s="27" t="n">
        <f aca="false">SUMIFS(super1[Qtde],super1[Item],tab_alimentos[[#This Row],[Item]],super1[Bairro],mercado12)+SUMIFS(supercb[Qtde],supercb[Item],tab_alimentos[[#This Row],[Item]],supercb[Bairro],mercado12)</f>
        <v>0</v>
      </c>
      <c r="X163" s="27" t="n">
        <f aca="false">SUMIFS(super1[Qtde],super1[Item],tab_alimentos[[#This Row],[Item]],super1[Bairro],mercado13)+SUMIFS(supercb[Qtde],supercb[Item],tab_alimentos[[#This Row],[Item]],supercb[Bairro],mercado13)</f>
        <v>0</v>
      </c>
      <c r="Y163" s="27" t="n">
        <f aca="false">SUMIFS(super1[Qtde],super1[Item],tab_alimentos[[#This Row],[Item]],super1[Bairro],mercado14)+SUMIFS(supercb[Qtde],supercb[Item],tab_alimentos[[#This Row],[Item]],supercb[Bairro],mercado14)</f>
        <v>0</v>
      </c>
      <c r="Z163" s="27" t="n">
        <f aca="false">SUMIFS(super1[Qtde],super1[Item],tab_alimentos[[#This Row],[Item]],super1[Bairro],mercado15)+SUMIFS(supercb[Qtde],supercb[Item],tab_alimentos[[#This Row],[Item]],supercb[Bairro],mercado15)</f>
        <v>0</v>
      </c>
      <c r="AA163" s="27" t="n">
        <f aca="false">SUMIFS(super1[Qtde],super1[Item],tab_alimentos[[#This Row],[Item]],super1[Bairro],mercado16)+SUMIFS(supercb[Qtde],supercb[Item],tab_alimentos[[#This Row],[Item]],supercb[Bairro],mercado16)</f>
        <v>0</v>
      </c>
      <c r="AB163" s="27" t="n">
        <f aca="false">SUMIFS(super1[Qtde],super1[Item],tab_alimentos[[#This Row],[Item]],super1[Bairro],mercado17)+SUMIFS(supercb[Qtde],supercb[Item],tab_alimentos[[#This Row],[Item]],supercb[Bairro],mercado17)</f>
        <v>0</v>
      </c>
      <c r="AC163" s="27" t="n">
        <f aca="false">SUMIFS(super1[Qtde],super1[Item],tab_alimentos[[#This Row],[Item]],super1[Bairro],mercado18)+SUMIFS(supercb[Qtde],supercb[Item],tab_alimentos[[#This Row],[Item]],supercb[Bairro],mercado18)</f>
        <v>0</v>
      </c>
      <c r="AD163" s="27" t="n">
        <f aca="false">SUMIFS(super1[Qtde],super1[Item],tab_alimentos[[#This Row],[Item]],super1[Bairro],extras)+SUMIFS(supercb[Qtde],supercb[Item],tab_alimentos[[#This Row],[Item]],supercb[Bairro],extras)</f>
        <v>0</v>
      </c>
      <c r="AE163" s="27" t="n">
        <f aca="false">SUM(L163:AC163)</f>
        <v>0</v>
      </c>
      <c r="AF163" s="27" t="n">
        <f aca="false">IFERROR(AE163*K163,0)</f>
        <v>0</v>
      </c>
      <c r="AG163" s="28" t="n">
        <f aca="false">IFERROR(J163*AE163,0)</f>
        <v>0</v>
      </c>
      <c r="AH163" s="26" t="str">
        <f aca="false">higiene[[#This Row],[Item]]</f>
        <v>Querosene (500ml)</v>
      </c>
      <c r="AI163" s="27" t="n">
        <f aca="false">IFERROR(higiene[[#This Row],[Kg equivalente]],0)</f>
        <v>2.98573940281913</v>
      </c>
      <c r="AJ163" s="27" t="n">
        <f aca="false">IFERROR(higiene[[#This Row],[Preço por produto]],0)</f>
        <v>9.89</v>
      </c>
      <c r="AK163" s="27" t="n">
        <f aca="false">SUMIFS(super1[Qtde],super1[Item],tab_higiene[[#This Row],[Item]],super1[Bairro],mercado1)+SUMIFS(supercb[Qtde],supercb[Item],tab_higiene[[#This Row],[Item]],supercb[Bairro],mercado1)</f>
        <v>0</v>
      </c>
      <c r="AL163" s="27" t="n">
        <f aca="false">SUMIFS(super1[Qtde],super1[Item],tab_higiene[[#This Row],[Item]],super1[Bairro],mercado2)+SUMIFS(supercb[Qtde],supercb[Item],tab_higiene[[#This Row],[Item]],supercb[Bairro],mercado2)</f>
        <v>0</v>
      </c>
      <c r="AM163" s="27" t="n">
        <f aca="false">SUMIFS(super1[Qtde],super1[Item],tab_higiene[[#This Row],[Item]],super1[Bairro],mercado3)+SUMIFS(supercb[Qtde],supercb[Item],tab_higiene[[#This Row],[Item]],supercb[Bairro],mercado3)</f>
        <v>0</v>
      </c>
      <c r="AN163" s="27" t="n">
        <f aca="false">SUMIFS(super1[Qtde],super1[Item],tab_higiene[[#This Row],[Item]],super1[Bairro],mercado4)+SUMIFS(supercb[Qtde],supercb[Item],tab_higiene[[#This Row],[Item]],supercb[Bairro],mercado4)</f>
        <v>0</v>
      </c>
      <c r="AO163" s="27" t="n">
        <f aca="false">SUMIFS(super1[Qtde],super1[Item],tab_higiene[[#This Row],[Item]],super1[Bairro],mercado5)+SUMIFS(supercb[Qtde],supercb[Item],tab_higiene[[#This Row],[Item]],supercb[Bairro],mercado5)</f>
        <v>0</v>
      </c>
      <c r="AP163" s="27" t="n">
        <f aca="false">SUMIFS(super1[Qtde],super1[Item],tab_higiene[[#This Row],[Item]],super1[Bairro],mercado6)+SUMIFS(supercb[Qtde],supercb[Item],tab_higiene[[#This Row],[Item]],supercb[Bairro],mercado6)</f>
        <v>0</v>
      </c>
      <c r="AQ163" s="27" t="n">
        <f aca="false">SUMIFS(super1[Qtde],super1[Item],tab_higiene[[#This Row],[Item]],super1[Bairro],mercado7)+SUMIFS(supercb[Qtde],supercb[Item],tab_higiene[[#This Row],[Item]],supercb[Bairro],mercado7)</f>
        <v>0</v>
      </c>
      <c r="AR163" s="27" t="n">
        <f aca="false">SUMIFS(super1[Qtde],super1[Item],tab_higiene[[#This Row],[Item]],super1[Bairro],mercado8)+SUMIFS(supercb[Qtde],supercb[Item],tab_higiene[[#This Row],[Item]],supercb[Bairro],mercado8)</f>
        <v>0</v>
      </c>
      <c r="AS163" s="27" t="n">
        <f aca="false">SUMIFS(super1[Qtde],super1[Item],tab_higiene[[#This Row],[Item]],super1[Bairro],mercado9)+SUMIFS(supercb[Qtde],supercb[Item],tab_higiene[[#This Row],[Item]],supercb[Bairro],mercado9)</f>
        <v>0</v>
      </c>
      <c r="AT163" s="27" t="n">
        <f aca="false">SUMIFS(super1[Qtde],super1[Item],tab_higiene[[#This Row],[Item]],super1[Bairro],mercado10)+SUMIFS(supercb[Qtde],supercb[Item],tab_higiene[[#This Row],[Item]],supercb[Bairro],mercado10)</f>
        <v>0</v>
      </c>
      <c r="AU163" s="27" t="n">
        <f aca="false">SUMIFS(super1[Qtde],super1[Item],tab_higiene[[#This Row],[Item]],super1[Bairro],mercado11)+SUMIFS(supercb[Qtde],supercb[Item],tab_higiene[[#This Row],[Item]],supercb[Bairro],mercado11)</f>
        <v>0</v>
      </c>
      <c r="AV163" s="27" t="n">
        <f aca="false">SUMIFS(super1[Qtde],super1[Item],tab_higiene[[#This Row],[Item]],super1[Bairro],mercado12)+SUMIFS(supercb[Qtde],supercb[Item],tab_higiene[[#This Row],[Item]],supercb[Bairro],mercado12)</f>
        <v>0</v>
      </c>
      <c r="AW163" s="27" t="n">
        <f aca="false">SUMIFS(super1[Qtde],super1[Item],tab_higiene[[#This Row],[Item]],super1[Bairro],mercado13)+SUMIFS(supercb[Qtde],supercb[Item],tab_higiene[[#This Row],[Item]],supercb[Bairro],mercado13)</f>
        <v>0</v>
      </c>
      <c r="AX163" s="27" t="n">
        <f aca="false">SUMIFS(super1[Qtde],super1[Item],tab_higiene[[#This Row],[Item]],super1[Bairro],mercado14)+SUMIFS(supercb[Qtde],supercb[Item],tab_higiene[[#This Row],[Item]],supercb[Bairro],mercado14)</f>
        <v>0</v>
      </c>
      <c r="AY163" s="27" t="n">
        <f aca="false">SUMIFS(super1[Qtde],super1[Item],tab_higiene[[#This Row],[Item]],super1[Bairro],mercado15)+SUMIFS(supercb[Qtde],supercb[Item],tab_higiene[[#This Row],[Item]],supercb[Bairro],mercado15)</f>
        <v>0</v>
      </c>
      <c r="AZ163" s="27" t="n">
        <f aca="false">SUMIFS(super1[Qtde],super1[Item],tab_higiene[[#This Row],[Item]],super1[Bairro],mercado16)+SUMIFS(supercb[Qtde],supercb[Item],tab_higiene[[#This Row],[Item]],supercb[Bairro],mercado16)</f>
        <v>0</v>
      </c>
      <c r="BA163" s="27" t="n">
        <f aca="false">SUMIFS(super1[Qtde],super1[Item],tab_higiene[[#This Row],[Item]],super1[Bairro],mercado17)+SUMIFS(supercb[Qtde],supercb[Item],tab_higiene[[#This Row],[Item]],supercb[Bairro],mercado17)</f>
        <v>0</v>
      </c>
      <c r="BB163" s="27" t="n">
        <f aca="false">SUMIFS(super1[Qtde],super1[Item],tab_higiene[[#This Row],[Item]],super1[Bairro],mercado18)+SUMIFS(supercb[Qtde],supercb[Item],tab_higiene[[#This Row],[Item]],supercb[Bairro],mercado18)</f>
        <v>0</v>
      </c>
      <c r="BC163" s="27" t="n">
        <f aca="false">SUMIFS(super1[Qtde],super1[Item],tab_higiene[[#This Row],[Item]],super1[Bairro],extras)+SUMIFS(supercb[Qtde],supercb[Item],tab_higiene[[#This Row],[Item]],supercb[Bairro],extras)</f>
        <v>0</v>
      </c>
      <c r="BD163" s="27" t="n">
        <f aca="false">SUM(AK163:BB163)</f>
        <v>0</v>
      </c>
      <c r="BE163" s="27" t="n">
        <f aca="false">IFERROR(BD163*AJ163,0)</f>
        <v>0</v>
      </c>
      <c r="BF163" s="28" t="n">
        <f aca="false">IFERROR(AI163*BD163,0)</f>
        <v>0</v>
      </c>
    </row>
    <row r="164" customFormat="false" ht="15" hidden="false" customHeight="false" outlineLevel="0" collapsed="false">
      <c r="I164" s="26" t="str">
        <f aca="false">alimentos[[#This Row],[Item]]</f>
        <v>Lentilha (380 g)</v>
      </c>
      <c r="J164" s="27" t="n">
        <f aca="false">IFERROR(alimentos[[#This Row],[kg/embalagem]],0)</f>
        <v>0.38</v>
      </c>
      <c r="K164" s="27" t="n">
        <f aca="false">IFERROR(alimentos[[#This Row],[Preço]],0)</f>
        <v>7.69</v>
      </c>
      <c r="L164" s="27" t="n">
        <f aca="false">SUMIFS(super1[Qtde],super1[Item],tab_alimentos[[#This Row],[Item]],super1[Bairro],mercado1)+SUMIFS(supercb[Qtde],supercb[Item],tab_alimentos[[#This Row],[Item]],supercb[Bairro],mercado1)</f>
        <v>0</v>
      </c>
      <c r="M164" s="27" t="n">
        <f aca="false">SUMIFS(super1[Qtde],super1[Item],tab_alimentos[[#This Row],[Item]],super1[Bairro],mercado2)+SUMIFS(supercb[Qtde],supercb[Item],tab_alimentos[[#This Row],[Item]],supercb[Bairro],mercado2)</f>
        <v>0</v>
      </c>
      <c r="N164" s="27" t="n">
        <f aca="false">SUMIFS(super1[Qtde],super1[Item],tab_alimentos[[#This Row],[Item]],super1[Bairro],mercado3)+SUMIFS(supercb[Qtde],supercb[Item],tab_alimentos[[#This Row],[Item]],supercb[Bairro],mercado3)</f>
        <v>0</v>
      </c>
      <c r="O164" s="27" t="n">
        <f aca="false">SUMIFS(super1[Qtde],super1[Item],tab_alimentos[[#This Row],[Item]],super1[Bairro],mercado4)+SUMIFS(supercb[Qtde],supercb[Item],tab_alimentos[[#This Row],[Item]],supercb[Bairro],mercado4)</f>
        <v>0</v>
      </c>
      <c r="P164" s="27" t="n">
        <f aca="false">SUMIFS(super1[Qtde],super1[Item],tab_alimentos[[#This Row],[Item]],super1[Bairro],mercado5)+SUMIFS(supercb[Qtde],supercb[Item],tab_alimentos[[#This Row],[Item]],supercb[Bairro],mercado5)</f>
        <v>0</v>
      </c>
      <c r="Q164" s="27" t="n">
        <f aca="false">SUMIFS(super1[Qtde],super1[Item],tab_alimentos[[#This Row],[Item]],super1[Bairro],mercado6)+SUMIFS(supercb[Qtde],supercb[Item],tab_alimentos[[#This Row],[Item]],supercb[Bairro],mercado6)</f>
        <v>0</v>
      </c>
      <c r="R164" s="27" t="n">
        <f aca="false">SUMIFS(super1[Qtde],super1[Item],tab_alimentos[[#This Row],[Item]],super1[Bairro],mercado7)+SUMIFS(supercb[Qtde],supercb[Item],tab_alimentos[[#This Row],[Item]],supercb[Bairro],mercado7)</f>
        <v>0</v>
      </c>
      <c r="S164" s="27" t="n">
        <f aca="false">SUMIFS(super1[Qtde],super1[Item],tab_alimentos[[#This Row],[Item]],super1[Bairro],mercado8)+SUMIFS(supercb[Qtde],supercb[Item],tab_alimentos[[#This Row],[Item]],supercb[Bairro],mercado8)</f>
        <v>0</v>
      </c>
      <c r="T164" s="27" t="n">
        <f aca="false">SUMIFS(super1[Qtde],super1[Item],tab_alimentos[[#This Row],[Item]],super1[Bairro],mercado9)+SUMIFS(supercb[Qtde],supercb[Item],tab_alimentos[[#This Row],[Item]],supercb[Bairro],mercado9)</f>
        <v>0</v>
      </c>
      <c r="U164" s="27" t="n">
        <f aca="false">SUMIFS(super1[Qtde],super1[Item],tab_alimentos[[#This Row],[Item]],super1[Bairro],mercado10)+SUMIFS(supercb[Qtde],supercb[Item],tab_alimentos[[#This Row],[Item]],supercb[Bairro],mercado10)</f>
        <v>0</v>
      </c>
      <c r="V164" s="27" t="n">
        <f aca="false">SUMIFS(super1[Qtde],super1[Item],tab_alimentos[[#This Row],[Item]],super1[Bairro],mercado11)+SUMIFS(supercb[Qtde],supercb[Item],tab_alimentos[[#This Row],[Item]],supercb[Bairro],mercado11)</f>
        <v>0</v>
      </c>
      <c r="W164" s="27" t="n">
        <f aca="false">SUMIFS(super1[Qtde],super1[Item],tab_alimentos[[#This Row],[Item]],super1[Bairro],mercado12)+SUMIFS(supercb[Qtde],supercb[Item],tab_alimentos[[#This Row],[Item]],supercb[Bairro],mercado12)</f>
        <v>0</v>
      </c>
      <c r="X164" s="27" t="n">
        <f aca="false">SUMIFS(super1[Qtde],super1[Item],tab_alimentos[[#This Row],[Item]],super1[Bairro],mercado13)+SUMIFS(supercb[Qtde],supercb[Item],tab_alimentos[[#This Row],[Item]],supercb[Bairro],mercado13)</f>
        <v>0</v>
      </c>
      <c r="Y164" s="27" t="n">
        <f aca="false">SUMIFS(super1[Qtde],super1[Item],tab_alimentos[[#This Row],[Item]],super1[Bairro],mercado14)+SUMIFS(supercb[Qtde],supercb[Item],tab_alimentos[[#This Row],[Item]],supercb[Bairro],mercado14)</f>
        <v>0</v>
      </c>
      <c r="Z164" s="27" t="n">
        <f aca="false">SUMIFS(super1[Qtde],super1[Item],tab_alimentos[[#This Row],[Item]],super1[Bairro],mercado15)+SUMIFS(supercb[Qtde],supercb[Item],tab_alimentos[[#This Row],[Item]],supercb[Bairro],mercado15)</f>
        <v>0</v>
      </c>
      <c r="AA164" s="27" t="n">
        <f aca="false">SUMIFS(super1[Qtde],super1[Item],tab_alimentos[[#This Row],[Item]],super1[Bairro],mercado16)+SUMIFS(supercb[Qtde],supercb[Item],tab_alimentos[[#This Row],[Item]],supercb[Bairro],mercado16)</f>
        <v>0</v>
      </c>
      <c r="AB164" s="27" t="n">
        <f aca="false">SUMIFS(super1[Qtde],super1[Item],tab_alimentos[[#This Row],[Item]],super1[Bairro],mercado17)+SUMIFS(supercb[Qtde],supercb[Item],tab_alimentos[[#This Row],[Item]],supercb[Bairro],mercado17)</f>
        <v>0</v>
      </c>
      <c r="AC164" s="27" t="n">
        <f aca="false">SUMIFS(super1[Qtde],super1[Item],tab_alimentos[[#This Row],[Item]],super1[Bairro],mercado18)+SUMIFS(supercb[Qtde],supercb[Item],tab_alimentos[[#This Row],[Item]],supercb[Bairro],mercado18)</f>
        <v>0</v>
      </c>
      <c r="AD164" s="27" t="n">
        <f aca="false">SUMIFS(super1[Qtde],super1[Item],tab_alimentos[[#This Row],[Item]],super1[Bairro],extras)+SUMIFS(supercb[Qtde],supercb[Item],tab_alimentos[[#This Row],[Item]],supercb[Bairro],extras)</f>
        <v>0</v>
      </c>
      <c r="AE164" s="27" t="n">
        <f aca="false">SUM(L164:AC164)</f>
        <v>0</v>
      </c>
      <c r="AF164" s="27" t="n">
        <f aca="false">IFERROR(AE164*K164,0)</f>
        <v>0</v>
      </c>
      <c r="AG164" s="28" t="n">
        <f aca="false">IFERROR(J164*AE164,0)</f>
        <v>0</v>
      </c>
      <c r="AH164" s="26" t="str">
        <f aca="false">higiene[[#This Row],[Item]]</f>
        <v>Querosene (900ml)</v>
      </c>
      <c r="AI164" s="27" t="n">
        <f aca="false">IFERROR(higiene[[#This Row],[Kg equivalente]],0)</f>
        <v>3.61971844689599</v>
      </c>
      <c r="AJ164" s="27" t="n">
        <f aca="false">IFERROR(higiene[[#This Row],[Preço por produto]],0)</f>
        <v>11.99</v>
      </c>
      <c r="AK164" s="27" t="n">
        <f aca="false">SUMIFS(super1[Qtde],super1[Item],tab_higiene[[#This Row],[Item]],super1[Bairro],mercado1)+SUMIFS(supercb[Qtde],supercb[Item],tab_higiene[[#This Row],[Item]],supercb[Bairro],mercado1)</f>
        <v>0</v>
      </c>
      <c r="AL164" s="27" t="n">
        <f aca="false">SUMIFS(super1[Qtde],super1[Item],tab_higiene[[#This Row],[Item]],super1[Bairro],mercado2)+SUMIFS(supercb[Qtde],supercb[Item],tab_higiene[[#This Row],[Item]],supercb[Bairro],mercado2)</f>
        <v>0</v>
      </c>
      <c r="AM164" s="27" t="n">
        <f aca="false">SUMIFS(super1[Qtde],super1[Item],tab_higiene[[#This Row],[Item]],super1[Bairro],mercado3)+SUMIFS(supercb[Qtde],supercb[Item],tab_higiene[[#This Row],[Item]],supercb[Bairro],mercado3)</f>
        <v>0</v>
      </c>
      <c r="AN164" s="27" t="n">
        <f aca="false">SUMIFS(super1[Qtde],super1[Item],tab_higiene[[#This Row],[Item]],super1[Bairro],mercado4)+SUMIFS(supercb[Qtde],supercb[Item],tab_higiene[[#This Row],[Item]],supercb[Bairro],mercado4)</f>
        <v>0</v>
      </c>
      <c r="AO164" s="27" t="n">
        <f aca="false">SUMIFS(super1[Qtde],super1[Item],tab_higiene[[#This Row],[Item]],super1[Bairro],mercado5)+SUMIFS(supercb[Qtde],supercb[Item],tab_higiene[[#This Row],[Item]],supercb[Bairro],mercado5)</f>
        <v>0</v>
      </c>
      <c r="AP164" s="27" t="n">
        <f aca="false">SUMIFS(super1[Qtde],super1[Item],tab_higiene[[#This Row],[Item]],super1[Bairro],mercado6)+SUMIFS(supercb[Qtde],supercb[Item],tab_higiene[[#This Row],[Item]],supercb[Bairro],mercado6)</f>
        <v>0</v>
      </c>
      <c r="AQ164" s="27" t="n">
        <f aca="false">SUMIFS(super1[Qtde],super1[Item],tab_higiene[[#This Row],[Item]],super1[Bairro],mercado7)+SUMIFS(supercb[Qtde],supercb[Item],tab_higiene[[#This Row],[Item]],supercb[Bairro],mercado7)</f>
        <v>0</v>
      </c>
      <c r="AR164" s="27" t="n">
        <f aca="false">SUMIFS(super1[Qtde],super1[Item],tab_higiene[[#This Row],[Item]],super1[Bairro],mercado8)+SUMIFS(supercb[Qtde],supercb[Item],tab_higiene[[#This Row],[Item]],supercb[Bairro],mercado8)</f>
        <v>0</v>
      </c>
      <c r="AS164" s="27" t="n">
        <f aca="false">SUMIFS(super1[Qtde],super1[Item],tab_higiene[[#This Row],[Item]],super1[Bairro],mercado9)+SUMIFS(supercb[Qtde],supercb[Item],tab_higiene[[#This Row],[Item]],supercb[Bairro],mercado9)</f>
        <v>0</v>
      </c>
      <c r="AT164" s="27" t="n">
        <f aca="false">SUMIFS(super1[Qtde],super1[Item],tab_higiene[[#This Row],[Item]],super1[Bairro],mercado10)+SUMIFS(supercb[Qtde],supercb[Item],tab_higiene[[#This Row],[Item]],supercb[Bairro],mercado10)</f>
        <v>0</v>
      </c>
      <c r="AU164" s="27" t="n">
        <f aca="false">SUMIFS(super1[Qtde],super1[Item],tab_higiene[[#This Row],[Item]],super1[Bairro],mercado11)+SUMIFS(supercb[Qtde],supercb[Item],tab_higiene[[#This Row],[Item]],supercb[Bairro],mercado11)</f>
        <v>0</v>
      </c>
      <c r="AV164" s="27" t="n">
        <f aca="false">SUMIFS(super1[Qtde],super1[Item],tab_higiene[[#This Row],[Item]],super1[Bairro],mercado12)+SUMIFS(supercb[Qtde],supercb[Item],tab_higiene[[#This Row],[Item]],supercb[Bairro],mercado12)</f>
        <v>0</v>
      </c>
      <c r="AW164" s="27" t="n">
        <f aca="false">SUMIFS(super1[Qtde],super1[Item],tab_higiene[[#This Row],[Item]],super1[Bairro],mercado13)+SUMIFS(supercb[Qtde],supercb[Item],tab_higiene[[#This Row],[Item]],supercb[Bairro],mercado13)</f>
        <v>0</v>
      </c>
      <c r="AX164" s="27" t="n">
        <f aca="false">SUMIFS(super1[Qtde],super1[Item],tab_higiene[[#This Row],[Item]],super1[Bairro],mercado14)+SUMIFS(supercb[Qtde],supercb[Item],tab_higiene[[#This Row],[Item]],supercb[Bairro],mercado14)</f>
        <v>0</v>
      </c>
      <c r="AY164" s="27" t="n">
        <f aca="false">SUMIFS(super1[Qtde],super1[Item],tab_higiene[[#This Row],[Item]],super1[Bairro],mercado15)+SUMIFS(supercb[Qtde],supercb[Item],tab_higiene[[#This Row],[Item]],supercb[Bairro],mercado15)</f>
        <v>0</v>
      </c>
      <c r="AZ164" s="27" t="n">
        <f aca="false">SUMIFS(super1[Qtde],super1[Item],tab_higiene[[#This Row],[Item]],super1[Bairro],mercado16)+SUMIFS(supercb[Qtde],supercb[Item],tab_higiene[[#This Row],[Item]],supercb[Bairro],mercado16)</f>
        <v>0</v>
      </c>
      <c r="BA164" s="27" t="n">
        <f aca="false">SUMIFS(super1[Qtde],super1[Item],tab_higiene[[#This Row],[Item]],super1[Bairro],mercado17)+SUMIFS(supercb[Qtde],supercb[Item],tab_higiene[[#This Row],[Item]],supercb[Bairro],mercado17)</f>
        <v>0</v>
      </c>
      <c r="BB164" s="27" t="n">
        <f aca="false">SUMIFS(super1[Qtde],super1[Item],tab_higiene[[#This Row],[Item]],super1[Bairro],mercado18)+SUMIFS(supercb[Qtde],supercb[Item],tab_higiene[[#This Row],[Item]],supercb[Bairro],mercado18)</f>
        <v>0</v>
      </c>
      <c r="BC164" s="27" t="n">
        <f aca="false">SUMIFS(super1[Qtde],super1[Item],tab_higiene[[#This Row],[Item]],super1[Bairro],extras)+SUMIFS(supercb[Qtde],supercb[Item],tab_higiene[[#This Row],[Item]],supercb[Bairro],extras)</f>
        <v>0</v>
      </c>
      <c r="BD164" s="27" t="n">
        <f aca="false">SUM(AK164:BB164)</f>
        <v>0</v>
      </c>
      <c r="BE164" s="27" t="n">
        <f aca="false">IFERROR(BD164*AJ164,0)</f>
        <v>0</v>
      </c>
      <c r="BF164" s="28" t="n">
        <f aca="false">IFERROR(AI164*BD164,0)</f>
        <v>0</v>
      </c>
    </row>
    <row r="165" customFormat="false" ht="15" hidden="false" customHeight="false" outlineLevel="0" collapsed="false">
      <c r="I165" s="26" t="str">
        <f aca="false">alimentos[[#This Row],[Item]]</f>
        <v>Lentilha (500g)</v>
      </c>
      <c r="J165" s="27" t="n">
        <f aca="false">IFERROR(alimentos[[#This Row],[kg/embalagem]],0)</f>
        <v>0.5</v>
      </c>
      <c r="K165" s="27" t="n">
        <f aca="false">IFERROR(alimentos[[#This Row],[Preço]],0)</f>
        <v>10.278</v>
      </c>
      <c r="L165" s="27" t="n">
        <f aca="false">SUMIFS(super1[Qtde],super1[Item],tab_alimentos[[#This Row],[Item]],super1[Bairro],mercado1)+SUMIFS(supercb[Qtde],supercb[Item],tab_alimentos[[#This Row],[Item]],supercb[Bairro],mercado1)</f>
        <v>0</v>
      </c>
      <c r="M165" s="27" t="n">
        <f aca="false">SUMIFS(super1[Qtde],super1[Item],tab_alimentos[[#This Row],[Item]],super1[Bairro],mercado2)+SUMIFS(supercb[Qtde],supercb[Item],tab_alimentos[[#This Row],[Item]],supercb[Bairro],mercado2)</f>
        <v>0</v>
      </c>
      <c r="N165" s="27" t="n">
        <f aca="false">SUMIFS(super1[Qtde],super1[Item],tab_alimentos[[#This Row],[Item]],super1[Bairro],mercado3)+SUMIFS(supercb[Qtde],supercb[Item],tab_alimentos[[#This Row],[Item]],supercb[Bairro],mercado3)</f>
        <v>0</v>
      </c>
      <c r="O165" s="27" t="n">
        <f aca="false">SUMIFS(super1[Qtde],super1[Item],tab_alimentos[[#This Row],[Item]],super1[Bairro],mercado4)+SUMIFS(supercb[Qtde],supercb[Item],tab_alimentos[[#This Row],[Item]],supercb[Bairro],mercado4)</f>
        <v>0</v>
      </c>
      <c r="P165" s="27" t="n">
        <f aca="false">SUMIFS(super1[Qtde],super1[Item],tab_alimentos[[#This Row],[Item]],super1[Bairro],mercado5)+SUMIFS(supercb[Qtde],supercb[Item],tab_alimentos[[#This Row],[Item]],supercb[Bairro],mercado5)</f>
        <v>0</v>
      </c>
      <c r="Q165" s="27" t="n">
        <f aca="false">SUMIFS(super1[Qtde],super1[Item],tab_alimentos[[#This Row],[Item]],super1[Bairro],mercado6)+SUMIFS(supercb[Qtde],supercb[Item],tab_alimentos[[#This Row],[Item]],supercb[Bairro],mercado6)</f>
        <v>0</v>
      </c>
      <c r="R165" s="27" t="n">
        <f aca="false">SUMIFS(super1[Qtde],super1[Item],tab_alimentos[[#This Row],[Item]],super1[Bairro],mercado7)+SUMIFS(supercb[Qtde],supercb[Item],tab_alimentos[[#This Row],[Item]],supercb[Bairro],mercado7)</f>
        <v>0</v>
      </c>
      <c r="S165" s="27" t="n">
        <f aca="false">SUMIFS(super1[Qtde],super1[Item],tab_alimentos[[#This Row],[Item]],super1[Bairro],mercado8)+SUMIFS(supercb[Qtde],supercb[Item],tab_alimentos[[#This Row],[Item]],supercb[Bairro],mercado8)</f>
        <v>0</v>
      </c>
      <c r="T165" s="27" t="n">
        <f aca="false">SUMIFS(super1[Qtde],super1[Item],tab_alimentos[[#This Row],[Item]],super1[Bairro],mercado9)+SUMIFS(supercb[Qtde],supercb[Item],tab_alimentos[[#This Row],[Item]],supercb[Bairro],mercado9)</f>
        <v>0</v>
      </c>
      <c r="U165" s="27" t="n">
        <f aca="false">SUMIFS(super1[Qtde],super1[Item],tab_alimentos[[#This Row],[Item]],super1[Bairro],mercado10)+SUMIFS(supercb[Qtde],supercb[Item],tab_alimentos[[#This Row],[Item]],supercb[Bairro],mercado10)</f>
        <v>0</v>
      </c>
      <c r="V165" s="27" t="n">
        <f aca="false">SUMIFS(super1[Qtde],super1[Item],tab_alimentos[[#This Row],[Item]],super1[Bairro],mercado11)+SUMIFS(supercb[Qtde],supercb[Item],tab_alimentos[[#This Row],[Item]],supercb[Bairro],mercado11)</f>
        <v>0</v>
      </c>
      <c r="W165" s="27" t="n">
        <f aca="false">SUMIFS(super1[Qtde],super1[Item],tab_alimentos[[#This Row],[Item]],super1[Bairro],mercado12)+SUMIFS(supercb[Qtde],supercb[Item],tab_alimentos[[#This Row],[Item]],supercb[Bairro],mercado12)</f>
        <v>0</v>
      </c>
      <c r="X165" s="27" t="n">
        <f aca="false">SUMIFS(super1[Qtde],super1[Item],tab_alimentos[[#This Row],[Item]],super1[Bairro],mercado13)+SUMIFS(supercb[Qtde],supercb[Item],tab_alimentos[[#This Row],[Item]],supercb[Bairro],mercado13)</f>
        <v>0</v>
      </c>
      <c r="Y165" s="27" t="n">
        <f aca="false">SUMIFS(super1[Qtde],super1[Item],tab_alimentos[[#This Row],[Item]],super1[Bairro],mercado14)+SUMIFS(supercb[Qtde],supercb[Item],tab_alimentos[[#This Row],[Item]],supercb[Bairro],mercado14)</f>
        <v>0</v>
      </c>
      <c r="Z165" s="27" t="n">
        <f aca="false">SUMIFS(super1[Qtde],super1[Item],tab_alimentos[[#This Row],[Item]],super1[Bairro],mercado15)+SUMIFS(supercb[Qtde],supercb[Item],tab_alimentos[[#This Row],[Item]],supercb[Bairro],mercado15)</f>
        <v>0</v>
      </c>
      <c r="AA165" s="27" t="n">
        <f aca="false">SUMIFS(super1[Qtde],super1[Item],tab_alimentos[[#This Row],[Item]],super1[Bairro],mercado16)+SUMIFS(supercb[Qtde],supercb[Item],tab_alimentos[[#This Row],[Item]],supercb[Bairro],mercado16)</f>
        <v>0</v>
      </c>
      <c r="AB165" s="27" t="n">
        <f aca="false">SUMIFS(super1[Qtde],super1[Item],tab_alimentos[[#This Row],[Item]],super1[Bairro],mercado17)+SUMIFS(supercb[Qtde],supercb[Item],tab_alimentos[[#This Row],[Item]],supercb[Bairro],mercado17)</f>
        <v>0</v>
      </c>
      <c r="AC165" s="27" t="n">
        <f aca="false">SUMIFS(super1[Qtde],super1[Item],tab_alimentos[[#This Row],[Item]],super1[Bairro],mercado18)+SUMIFS(supercb[Qtde],supercb[Item],tab_alimentos[[#This Row],[Item]],supercb[Bairro],mercado18)</f>
        <v>0</v>
      </c>
      <c r="AD165" s="27" t="n">
        <f aca="false">SUMIFS(super1[Qtde],super1[Item],tab_alimentos[[#This Row],[Item]],super1[Bairro],extras)+SUMIFS(supercb[Qtde],supercb[Item],tab_alimentos[[#This Row],[Item]],supercb[Bairro],extras)</f>
        <v>0</v>
      </c>
      <c r="AE165" s="27" t="n">
        <f aca="false">SUM(L165:AC165)</f>
        <v>0</v>
      </c>
      <c r="AF165" s="27" t="n">
        <f aca="false">IFERROR(AE165*K165,0)</f>
        <v>0</v>
      </c>
      <c r="AG165" s="28" t="n">
        <f aca="false">IFERROR(J165*AE165,0)</f>
        <v>0</v>
      </c>
      <c r="AH165" s="26" t="str">
        <f aca="false">higiene[[#This Row],[Item]]</f>
        <v>R</v>
      </c>
      <c r="AI165" s="27" t="n">
        <f aca="false">IFERROR(higiene[[#This Row],[Kg equivalente]],0)</f>
        <v>0</v>
      </c>
      <c r="AJ165" s="27" t="n">
        <f aca="false">IFERROR(higiene[[#This Row],[Preço por produto]],0)</f>
        <v>0</v>
      </c>
      <c r="AK165" s="27" t="n">
        <f aca="false">SUMIFS(super1[Qtde],super1[Item],tab_higiene[[#This Row],[Item]],super1[Bairro],mercado1)+SUMIFS(supercb[Qtde],supercb[Item],tab_higiene[[#This Row],[Item]],supercb[Bairro],mercado1)</f>
        <v>0</v>
      </c>
      <c r="AL165" s="27" t="n">
        <f aca="false">SUMIFS(super1[Qtde],super1[Item],tab_higiene[[#This Row],[Item]],super1[Bairro],mercado2)+SUMIFS(supercb[Qtde],supercb[Item],tab_higiene[[#This Row],[Item]],supercb[Bairro],mercado2)</f>
        <v>0</v>
      </c>
      <c r="AM165" s="27" t="n">
        <f aca="false">SUMIFS(super1[Qtde],super1[Item],tab_higiene[[#This Row],[Item]],super1[Bairro],mercado3)+SUMIFS(supercb[Qtde],supercb[Item],tab_higiene[[#This Row],[Item]],supercb[Bairro],mercado3)</f>
        <v>0</v>
      </c>
      <c r="AN165" s="27" t="n">
        <f aca="false">SUMIFS(super1[Qtde],super1[Item],tab_higiene[[#This Row],[Item]],super1[Bairro],mercado4)+SUMIFS(supercb[Qtde],supercb[Item],tab_higiene[[#This Row],[Item]],supercb[Bairro],mercado4)</f>
        <v>0</v>
      </c>
      <c r="AO165" s="27" t="n">
        <f aca="false">SUMIFS(super1[Qtde],super1[Item],tab_higiene[[#This Row],[Item]],super1[Bairro],mercado5)+SUMIFS(supercb[Qtde],supercb[Item],tab_higiene[[#This Row],[Item]],supercb[Bairro],mercado5)</f>
        <v>0</v>
      </c>
      <c r="AP165" s="27" t="n">
        <f aca="false">SUMIFS(super1[Qtde],super1[Item],tab_higiene[[#This Row],[Item]],super1[Bairro],mercado6)+SUMIFS(supercb[Qtde],supercb[Item],tab_higiene[[#This Row],[Item]],supercb[Bairro],mercado6)</f>
        <v>0</v>
      </c>
      <c r="AQ165" s="27" t="n">
        <f aca="false">SUMIFS(super1[Qtde],super1[Item],tab_higiene[[#This Row],[Item]],super1[Bairro],mercado7)+SUMIFS(supercb[Qtde],supercb[Item],tab_higiene[[#This Row],[Item]],supercb[Bairro],mercado7)</f>
        <v>0</v>
      </c>
      <c r="AR165" s="27" t="n">
        <f aca="false">SUMIFS(super1[Qtde],super1[Item],tab_higiene[[#This Row],[Item]],super1[Bairro],mercado8)+SUMIFS(supercb[Qtde],supercb[Item],tab_higiene[[#This Row],[Item]],supercb[Bairro],mercado8)</f>
        <v>0</v>
      </c>
      <c r="AS165" s="27" t="n">
        <f aca="false">SUMIFS(super1[Qtde],super1[Item],tab_higiene[[#This Row],[Item]],super1[Bairro],mercado9)+SUMIFS(supercb[Qtde],supercb[Item],tab_higiene[[#This Row],[Item]],supercb[Bairro],mercado9)</f>
        <v>0</v>
      </c>
      <c r="AT165" s="27" t="n">
        <f aca="false">SUMIFS(super1[Qtde],super1[Item],tab_higiene[[#This Row],[Item]],super1[Bairro],mercado10)+SUMIFS(supercb[Qtde],supercb[Item],tab_higiene[[#This Row],[Item]],supercb[Bairro],mercado10)</f>
        <v>0</v>
      </c>
      <c r="AU165" s="27" t="n">
        <f aca="false">SUMIFS(super1[Qtde],super1[Item],tab_higiene[[#This Row],[Item]],super1[Bairro],mercado11)+SUMIFS(supercb[Qtde],supercb[Item],tab_higiene[[#This Row],[Item]],supercb[Bairro],mercado11)</f>
        <v>0</v>
      </c>
      <c r="AV165" s="27" t="n">
        <f aca="false">SUMIFS(super1[Qtde],super1[Item],tab_higiene[[#This Row],[Item]],super1[Bairro],mercado12)+SUMIFS(supercb[Qtde],supercb[Item],tab_higiene[[#This Row],[Item]],supercb[Bairro],mercado12)</f>
        <v>0</v>
      </c>
      <c r="AW165" s="27" t="n">
        <f aca="false">SUMIFS(super1[Qtde],super1[Item],tab_higiene[[#This Row],[Item]],super1[Bairro],mercado13)+SUMIFS(supercb[Qtde],supercb[Item],tab_higiene[[#This Row],[Item]],supercb[Bairro],mercado13)</f>
        <v>0</v>
      </c>
      <c r="AX165" s="27" t="n">
        <f aca="false">SUMIFS(super1[Qtde],super1[Item],tab_higiene[[#This Row],[Item]],super1[Bairro],mercado14)+SUMIFS(supercb[Qtde],supercb[Item],tab_higiene[[#This Row],[Item]],supercb[Bairro],mercado14)</f>
        <v>0</v>
      </c>
      <c r="AY165" s="27" t="n">
        <f aca="false">SUMIFS(super1[Qtde],super1[Item],tab_higiene[[#This Row],[Item]],super1[Bairro],mercado15)+SUMIFS(supercb[Qtde],supercb[Item],tab_higiene[[#This Row],[Item]],supercb[Bairro],mercado15)</f>
        <v>0</v>
      </c>
      <c r="AZ165" s="27" t="n">
        <f aca="false">SUMIFS(super1[Qtde],super1[Item],tab_higiene[[#This Row],[Item]],super1[Bairro],mercado16)+SUMIFS(supercb[Qtde],supercb[Item],tab_higiene[[#This Row],[Item]],supercb[Bairro],mercado16)</f>
        <v>0</v>
      </c>
      <c r="BA165" s="27" t="n">
        <f aca="false">SUMIFS(super1[Qtde],super1[Item],tab_higiene[[#This Row],[Item]],super1[Bairro],mercado17)+SUMIFS(supercb[Qtde],supercb[Item],tab_higiene[[#This Row],[Item]],supercb[Bairro],mercado17)</f>
        <v>0</v>
      </c>
      <c r="BB165" s="27" t="n">
        <f aca="false">SUMIFS(super1[Qtde],super1[Item],tab_higiene[[#This Row],[Item]],super1[Bairro],mercado18)+SUMIFS(supercb[Qtde],supercb[Item],tab_higiene[[#This Row],[Item]],supercb[Bairro],mercado18)</f>
        <v>0</v>
      </c>
      <c r="BC165" s="27" t="n">
        <f aca="false">SUMIFS(super1[Qtde],super1[Item],tab_higiene[[#This Row],[Item]],super1[Bairro],extras)+SUMIFS(supercb[Qtde],supercb[Item],tab_higiene[[#This Row],[Item]],supercb[Bairro],extras)</f>
        <v>0</v>
      </c>
      <c r="BD165" s="27" t="n">
        <f aca="false">SUM(AK165:BB165)</f>
        <v>0</v>
      </c>
      <c r="BE165" s="27" t="n">
        <f aca="false">IFERROR(BD165*AJ165,0)</f>
        <v>0</v>
      </c>
      <c r="BF165" s="28" t="n">
        <f aca="false">IFERROR(AI165*BD165,0)</f>
        <v>0</v>
      </c>
    </row>
    <row r="166" customFormat="false" ht="15" hidden="false" customHeight="false" outlineLevel="0" collapsed="false">
      <c r="I166" s="26" t="str">
        <f aca="false">alimentos[[#This Row],[Item]]</f>
        <v>M</v>
      </c>
      <c r="J166" s="27" t="n">
        <f aca="false">IFERROR(alimentos[[#This Row],[kg/embalagem]],0)</f>
        <v>0</v>
      </c>
      <c r="K166" s="27" t="n">
        <f aca="false">IFERROR(alimentos[[#This Row],[Preço]],0)</f>
        <v>0</v>
      </c>
      <c r="L166" s="27" t="n">
        <f aca="false">SUMIFS(super1[Qtde],super1[Item],tab_alimentos[[#This Row],[Item]],super1[Bairro],mercado1)+SUMIFS(supercb[Qtde],supercb[Item],tab_alimentos[[#This Row],[Item]],supercb[Bairro],mercado1)</f>
        <v>0</v>
      </c>
      <c r="M166" s="27" t="n">
        <f aca="false">SUMIFS(super1[Qtde],super1[Item],tab_alimentos[[#This Row],[Item]],super1[Bairro],mercado2)+SUMIFS(supercb[Qtde],supercb[Item],tab_alimentos[[#This Row],[Item]],supercb[Bairro],mercado2)</f>
        <v>0</v>
      </c>
      <c r="N166" s="27" t="n">
        <f aca="false">SUMIFS(super1[Qtde],super1[Item],tab_alimentos[[#This Row],[Item]],super1[Bairro],mercado3)+SUMIFS(supercb[Qtde],supercb[Item],tab_alimentos[[#This Row],[Item]],supercb[Bairro],mercado3)</f>
        <v>0</v>
      </c>
      <c r="O166" s="27" t="n">
        <f aca="false">SUMIFS(super1[Qtde],super1[Item],tab_alimentos[[#This Row],[Item]],super1[Bairro],mercado4)+SUMIFS(supercb[Qtde],supercb[Item],tab_alimentos[[#This Row],[Item]],supercb[Bairro],mercado4)</f>
        <v>0</v>
      </c>
      <c r="P166" s="27" t="n">
        <f aca="false">SUMIFS(super1[Qtde],super1[Item],tab_alimentos[[#This Row],[Item]],super1[Bairro],mercado5)+SUMIFS(supercb[Qtde],supercb[Item],tab_alimentos[[#This Row],[Item]],supercb[Bairro],mercado5)</f>
        <v>0</v>
      </c>
      <c r="Q166" s="27" t="n">
        <f aca="false">SUMIFS(super1[Qtde],super1[Item],tab_alimentos[[#This Row],[Item]],super1[Bairro],mercado6)+SUMIFS(supercb[Qtde],supercb[Item],tab_alimentos[[#This Row],[Item]],supercb[Bairro],mercado6)</f>
        <v>0</v>
      </c>
      <c r="R166" s="27" t="n">
        <f aca="false">SUMIFS(super1[Qtde],super1[Item],tab_alimentos[[#This Row],[Item]],super1[Bairro],mercado7)+SUMIFS(supercb[Qtde],supercb[Item],tab_alimentos[[#This Row],[Item]],supercb[Bairro],mercado7)</f>
        <v>0</v>
      </c>
      <c r="S166" s="27" t="n">
        <f aca="false">SUMIFS(super1[Qtde],super1[Item],tab_alimentos[[#This Row],[Item]],super1[Bairro],mercado8)+SUMIFS(supercb[Qtde],supercb[Item],tab_alimentos[[#This Row],[Item]],supercb[Bairro],mercado8)</f>
        <v>0</v>
      </c>
      <c r="T166" s="27" t="n">
        <f aca="false">SUMIFS(super1[Qtde],super1[Item],tab_alimentos[[#This Row],[Item]],super1[Bairro],mercado9)+SUMIFS(supercb[Qtde],supercb[Item],tab_alimentos[[#This Row],[Item]],supercb[Bairro],mercado9)</f>
        <v>0</v>
      </c>
      <c r="U166" s="27" t="n">
        <f aca="false">SUMIFS(super1[Qtde],super1[Item],tab_alimentos[[#This Row],[Item]],super1[Bairro],mercado10)+SUMIFS(supercb[Qtde],supercb[Item],tab_alimentos[[#This Row],[Item]],supercb[Bairro],mercado10)</f>
        <v>0</v>
      </c>
      <c r="V166" s="27" t="n">
        <f aca="false">SUMIFS(super1[Qtde],super1[Item],tab_alimentos[[#This Row],[Item]],super1[Bairro],mercado11)+SUMIFS(supercb[Qtde],supercb[Item],tab_alimentos[[#This Row],[Item]],supercb[Bairro],mercado11)</f>
        <v>0</v>
      </c>
      <c r="W166" s="27" t="n">
        <f aca="false">SUMIFS(super1[Qtde],super1[Item],tab_alimentos[[#This Row],[Item]],super1[Bairro],mercado12)+SUMIFS(supercb[Qtde],supercb[Item],tab_alimentos[[#This Row],[Item]],supercb[Bairro],mercado12)</f>
        <v>0</v>
      </c>
      <c r="X166" s="27" t="n">
        <f aca="false">SUMIFS(super1[Qtde],super1[Item],tab_alimentos[[#This Row],[Item]],super1[Bairro],mercado13)+SUMIFS(supercb[Qtde],supercb[Item],tab_alimentos[[#This Row],[Item]],supercb[Bairro],mercado13)</f>
        <v>0</v>
      </c>
      <c r="Y166" s="27" t="n">
        <f aca="false">SUMIFS(super1[Qtde],super1[Item],tab_alimentos[[#This Row],[Item]],super1[Bairro],mercado14)+SUMIFS(supercb[Qtde],supercb[Item],tab_alimentos[[#This Row],[Item]],supercb[Bairro],mercado14)</f>
        <v>0</v>
      </c>
      <c r="Z166" s="27" t="n">
        <f aca="false">SUMIFS(super1[Qtde],super1[Item],tab_alimentos[[#This Row],[Item]],super1[Bairro],mercado15)+SUMIFS(supercb[Qtde],supercb[Item],tab_alimentos[[#This Row],[Item]],supercb[Bairro],mercado15)</f>
        <v>0</v>
      </c>
      <c r="AA166" s="27" t="n">
        <f aca="false">SUMIFS(super1[Qtde],super1[Item],tab_alimentos[[#This Row],[Item]],super1[Bairro],mercado16)+SUMIFS(supercb[Qtde],supercb[Item],tab_alimentos[[#This Row],[Item]],supercb[Bairro],mercado16)</f>
        <v>0</v>
      </c>
      <c r="AB166" s="27" t="n">
        <f aca="false">SUMIFS(super1[Qtde],super1[Item],tab_alimentos[[#This Row],[Item]],super1[Bairro],mercado17)+SUMIFS(supercb[Qtde],supercb[Item],tab_alimentos[[#This Row],[Item]],supercb[Bairro],mercado17)</f>
        <v>0</v>
      </c>
      <c r="AC166" s="27" t="n">
        <f aca="false">SUMIFS(super1[Qtde],super1[Item],tab_alimentos[[#This Row],[Item]],super1[Bairro],mercado18)+SUMIFS(supercb[Qtde],supercb[Item],tab_alimentos[[#This Row],[Item]],supercb[Bairro],mercado18)</f>
        <v>0</v>
      </c>
      <c r="AD166" s="27" t="n">
        <f aca="false">SUMIFS(super1[Qtde],super1[Item],tab_alimentos[[#This Row],[Item]],super1[Bairro],extras)+SUMIFS(supercb[Qtde],supercb[Item],tab_alimentos[[#This Row],[Item]],supercb[Bairro],extras)</f>
        <v>0</v>
      </c>
      <c r="AE166" s="27" t="n">
        <f aca="false">SUM(L166:AC166)</f>
        <v>0</v>
      </c>
      <c r="AF166" s="27" t="n">
        <f aca="false">IFERROR(AE166*K166,0)</f>
        <v>0</v>
      </c>
      <c r="AG166" s="28" t="n">
        <f aca="false">IFERROR(J166*AE166,0)</f>
        <v>0</v>
      </c>
      <c r="AH166" s="26" t="str">
        <f aca="false">higiene[[#This Row],[Item]]</f>
        <v>Removedor de mancha (450mL)</v>
      </c>
      <c r="AI166" s="27" t="n">
        <f aca="false">IFERROR(higiene[[#This Row],[Kg equivalente]],0)</f>
        <v>2.47151195595679</v>
      </c>
      <c r="AJ166" s="27" t="n">
        <f aca="false">IFERROR(higiene[[#This Row],[Preço por produto]],0)</f>
        <v>8.18666666666667</v>
      </c>
      <c r="AK166" s="27" t="n">
        <f aca="false">SUMIFS(super1[Qtde],super1[Item],tab_higiene[[#This Row],[Item]],super1[Bairro],mercado1)+SUMIFS(supercb[Qtde],supercb[Item],tab_higiene[[#This Row],[Item]],supercb[Bairro],mercado1)</f>
        <v>0</v>
      </c>
      <c r="AL166" s="27" t="n">
        <f aca="false">SUMIFS(super1[Qtde],super1[Item],tab_higiene[[#This Row],[Item]],super1[Bairro],mercado2)+SUMIFS(supercb[Qtde],supercb[Item],tab_higiene[[#This Row],[Item]],supercb[Bairro],mercado2)</f>
        <v>0</v>
      </c>
      <c r="AM166" s="27" t="n">
        <f aca="false">SUMIFS(super1[Qtde],super1[Item],tab_higiene[[#This Row],[Item]],super1[Bairro],mercado3)+SUMIFS(supercb[Qtde],supercb[Item],tab_higiene[[#This Row],[Item]],supercb[Bairro],mercado3)</f>
        <v>0</v>
      </c>
      <c r="AN166" s="27" t="n">
        <f aca="false">SUMIFS(super1[Qtde],super1[Item],tab_higiene[[#This Row],[Item]],super1[Bairro],mercado4)+SUMIFS(supercb[Qtde],supercb[Item],tab_higiene[[#This Row],[Item]],supercb[Bairro],mercado4)</f>
        <v>0</v>
      </c>
      <c r="AO166" s="27" t="n">
        <f aca="false">SUMIFS(super1[Qtde],super1[Item],tab_higiene[[#This Row],[Item]],super1[Bairro],mercado5)+SUMIFS(supercb[Qtde],supercb[Item],tab_higiene[[#This Row],[Item]],supercb[Bairro],mercado5)</f>
        <v>0</v>
      </c>
      <c r="AP166" s="27" t="n">
        <f aca="false">SUMIFS(super1[Qtde],super1[Item],tab_higiene[[#This Row],[Item]],super1[Bairro],mercado6)+SUMIFS(supercb[Qtde],supercb[Item],tab_higiene[[#This Row],[Item]],supercb[Bairro],mercado6)</f>
        <v>0</v>
      </c>
      <c r="AQ166" s="27" t="n">
        <f aca="false">SUMIFS(super1[Qtde],super1[Item],tab_higiene[[#This Row],[Item]],super1[Bairro],mercado7)+SUMIFS(supercb[Qtde],supercb[Item],tab_higiene[[#This Row],[Item]],supercb[Bairro],mercado7)</f>
        <v>0</v>
      </c>
      <c r="AR166" s="27" t="n">
        <f aca="false">SUMIFS(super1[Qtde],super1[Item],tab_higiene[[#This Row],[Item]],super1[Bairro],mercado8)+SUMIFS(supercb[Qtde],supercb[Item],tab_higiene[[#This Row],[Item]],supercb[Bairro],mercado8)</f>
        <v>0</v>
      </c>
      <c r="AS166" s="27" t="n">
        <f aca="false">SUMIFS(super1[Qtde],super1[Item],tab_higiene[[#This Row],[Item]],super1[Bairro],mercado9)+SUMIFS(supercb[Qtde],supercb[Item],tab_higiene[[#This Row],[Item]],supercb[Bairro],mercado9)</f>
        <v>0</v>
      </c>
      <c r="AT166" s="27" t="n">
        <f aca="false">SUMIFS(super1[Qtde],super1[Item],tab_higiene[[#This Row],[Item]],super1[Bairro],mercado10)+SUMIFS(supercb[Qtde],supercb[Item],tab_higiene[[#This Row],[Item]],supercb[Bairro],mercado10)</f>
        <v>0</v>
      </c>
      <c r="AU166" s="27" t="n">
        <f aca="false">SUMIFS(super1[Qtde],super1[Item],tab_higiene[[#This Row],[Item]],super1[Bairro],mercado11)+SUMIFS(supercb[Qtde],supercb[Item],tab_higiene[[#This Row],[Item]],supercb[Bairro],mercado11)</f>
        <v>0</v>
      </c>
      <c r="AV166" s="27" t="n">
        <f aca="false">SUMIFS(super1[Qtde],super1[Item],tab_higiene[[#This Row],[Item]],super1[Bairro],mercado12)+SUMIFS(supercb[Qtde],supercb[Item],tab_higiene[[#This Row],[Item]],supercb[Bairro],mercado12)</f>
        <v>0</v>
      </c>
      <c r="AW166" s="27" t="n">
        <f aca="false">SUMIFS(super1[Qtde],super1[Item],tab_higiene[[#This Row],[Item]],super1[Bairro],mercado13)+SUMIFS(supercb[Qtde],supercb[Item],tab_higiene[[#This Row],[Item]],supercb[Bairro],mercado13)</f>
        <v>0</v>
      </c>
      <c r="AX166" s="27" t="n">
        <f aca="false">SUMIFS(super1[Qtde],super1[Item],tab_higiene[[#This Row],[Item]],super1[Bairro],mercado14)+SUMIFS(supercb[Qtde],supercb[Item],tab_higiene[[#This Row],[Item]],supercb[Bairro],mercado14)</f>
        <v>0</v>
      </c>
      <c r="AY166" s="27" t="n">
        <f aca="false">SUMIFS(super1[Qtde],super1[Item],tab_higiene[[#This Row],[Item]],super1[Bairro],mercado15)+SUMIFS(supercb[Qtde],supercb[Item],tab_higiene[[#This Row],[Item]],supercb[Bairro],mercado15)</f>
        <v>0</v>
      </c>
      <c r="AZ166" s="27" t="n">
        <f aca="false">SUMIFS(super1[Qtde],super1[Item],tab_higiene[[#This Row],[Item]],super1[Bairro],mercado16)+SUMIFS(supercb[Qtde],supercb[Item],tab_higiene[[#This Row],[Item]],supercb[Bairro],mercado16)</f>
        <v>0</v>
      </c>
      <c r="BA166" s="27" t="n">
        <f aca="false">SUMIFS(super1[Qtde],super1[Item],tab_higiene[[#This Row],[Item]],super1[Bairro],mercado17)+SUMIFS(supercb[Qtde],supercb[Item],tab_higiene[[#This Row],[Item]],supercb[Bairro],mercado17)</f>
        <v>0</v>
      </c>
      <c r="BB166" s="27" t="n">
        <f aca="false">SUMIFS(super1[Qtde],super1[Item],tab_higiene[[#This Row],[Item]],super1[Bairro],mercado18)+SUMIFS(supercb[Qtde],supercb[Item],tab_higiene[[#This Row],[Item]],supercb[Bairro],mercado18)</f>
        <v>0</v>
      </c>
      <c r="BC166" s="27" t="n">
        <f aca="false">SUMIFS(super1[Qtde],super1[Item],tab_higiene[[#This Row],[Item]],super1[Bairro],extras)+SUMIFS(supercb[Qtde],supercb[Item],tab_higiene[[#This Row],[Item]],supercb[Bairro],extras)</f>
        <v>0</v>
      </c>
      <c r="BD166" s="27" t="n">
        <f aca="false">SUM(AK166:BB166)</f>
        <v>0</v>
      </c>
      <c r="BE166" s="27" t="n">
        <f aca="false">IFERROR(BD166*AJ166,0)</f>
        <v>0</v>
      </c>
      <c r="BF166" s="28" t="n">
        <f aca="false">IFERROR(AI166*BD166,0)</f>
        <v>0</v>
      </c>
    </row>
    <row r="167" customFormat="false" ht="15" hidden="false" customHeight="false" outlineLevel="0" collapsed="false">
      <c r="I167" s="26" t="str">
        <f aca="false">alimentos[[#This Row],[Item]]</f>
        <v>Macarrão (1kg)</v>
      </c>
      <c r="J167" s="27" t="n">
        <f aca="false">IFERROR(alimentos[[#This Row],[kg/embalagem]],0)</f>
        <v>1</v>
      </c>
      <c r="K167" s="27" t="n">
        <f aca="false">IFERROR(alimentos[[#This Row],[Preço]],0)</f>
        <v>4.32</v>
      </c>
      <c r="L167" s="27" t="n">
        <f aca="false">SUMIFS(super1[Qtde],super1[Item],tab_alimentos[[#This Row],[Item]],super1[Bairro],mercado1)+SUMIFS(supercb[Qtde],supercb[Item],tab_alimentos[[#This Row],[Item]],supercb[Bairro],mercado1)</f>
        <v>0</v>
      </c>
      <c r="M167" s="27" t="n">
        <f aca="false">SUMIFS(super1[Qtde],super1[Item],tab_alimentos[[#This Row],[Item]],super1[Bairro],mercado2)+SUMIFS(supercb[Qtde],supercb[Item],tab_alimentos[[#This Row],[Item]],supercb[Bairro],mercado2)</f>
        <v>0</v>
      </c>
      <c r="N167" s="27" t="n">
        <f aca="false">SUMIFS(super1[Qtde],super1[Item],tab_alimentos[[#This Row],[Item]],super1[Bairro],mercado3)+SUMIFS(supercb[Qtde],supercb[Item],tab_alimentos[[#This Row],[Item]],supercb[Bairro],mercado3)</f>
        <v>0</v>
      </c>
      <c r="O167" s="27" t="n">
        <f aca="false">SUMIFS(super1[Qtde],super1[Item],tab_alimentos[[#This Row],[Item]],super1[Bairro],mercado4)+SUMIFS(supercb[Qtde],supercb[Item],tab_alimentos[[#This Row],[Item]],supercb[Bairro],mercado4)</f>
        <v>0</v>
      </c>
      <c r="P167" s="27" t="n">
        <f aca="false">SUMIFS(super1[Qtde],super1[Item],tab_alimentos[[#This Row],[Item]],super1[Bairro],mercado5)+SUMIFS(supercb[Qtde],supercb[Item],tab_alimentos[[#This Row],[Item]],supercb[Bairro],mercado5)</f>
        <v>0</v>
      </c>
      <c r="Q167" s="27" t="n">
        <f aca="false">SUMIFS(super1[Qtde],super1[Item],tab_alimentos[[#This Row],[Item]],super1[Bairro],mercado6)+SUMIFS(supercb[Qtde],supercb[Item],tab_alimentos[[#This Row],[Item]],supercb[Bairro],mercado6)</f>
        <v>0</v>
      </c>
      <c r="R167" s="27" t="n">
        <f aca="false">SUMIFS(super1[Qtde],super1[Item],tab_alimentos[[#This Row],[Item]],super1[Bairro],mercado7)+SUMIFS(supercb[Qtde],supercb[Item],tab_alimentos[[#This Row],[Item]],supercb[Bairro],mercado7)</f>
        <v>0</v>
      </c>
      <c r="S167" s="27" t="n">
        <f aca="false">SUMIFS(super1[Qtde],super1[Item],tab_alimentos[[#This Row],[Item]],super1[Bairro],mercado8)+SUMIFS(supercb[Qtde],supercb[Item],tab_alimentos[[#This Row],[Item]],supercb[Bairro],mercado8)</f>
        <v>0</v>
      </c>
      <c r="T167" s="27" t="n">
        <f aca="false">SUMIFS(super1[Qtde],super1[Item],tab_alimentos[[#This Row],[Item]],super1[Bairro],mercado9)+SUMIFS(supercb[Qtde],supercb[Item],tab_alimentos[[#This Row],[Item]],supercb[Bairro],mercado9)</f>
        <v>0</v>
      </c>
      <c r="U167" s="27" t="n">
        <f aca="false">SUMIFS(super1[Qtde],super1[Item],tab_alimentos[[#This Row],[Item]],super1[Bairro],mercado10)+SUMIFS(supercb[Qtde],supercb[Item],tab_alimentos[[#This Row],[Item]],supercb[Bairro],mercado10)</f>
        <v>0</v>
      </c>
      <c r="V167" s="27" t="n">
        <f aca="false">SUMIFS(super1[Qtde],super1[Item],tab_alimentos[[#This Row],[Item]],super1[Bairro],mercado11)+SUMIFS(supercb[Qtde],supercb[Item],tab_alimentos[[#This Row],[Item]],supercb[Bairro],mercado11)</f>
        <v>0</v>
      </c>
      <c r="W167" s="27" t="n">
        <f aca="false">SUMIFS(super1[Qtde],super1[Item],tab_alimentos[[#This Row],[Item]],super1[Bairro],mercado12)+SUMIFS(supercb[Qtde],supercb[Item],tab_alimentos[[#This Row],[Item]],supercb[Bairro],mercado12)</f>
        <v>0</v>
      </c>
      <c r="X167" s="27" t="n">
        <f aca="false">SUMIFS(super1[Qtde],super1[Item],tab_alimentos[[#This Row],[Item]],super1[Bairro],mercado13)+SUMIFS(supercb[Qtde],supercb[Item],tab_alimentos[[#This Row],[Item]],supercb[Bairro],mercado13)</f>
        <v>0</v>
      </c>
      <c r="Y167" s="27" t="n">
        <f aca="false">SUMIFS(super1[Qtde],super1[Item],tab_alimentos[[#This Row],[Item]],super1[Bairro],mercado14)+SUMIFS(supercb[Qtde],supercb[Item],tab_alimentos[[#This Row],[Item]],supercb[Bairro],mercado14)</f>
        <v>0</v>
      </c>
      <c r="Z167" s="27" t="n">
        <f aca="false">SUMIFS(super1[Qtde],super1[Item],tab_alimentos[[#This Row],[Item]],super1[Bairro],mercado15)+SUMIFS(supercb[Qtde],supercb[Item],tab_alimentos[[#This Row],[Item]],supercb[Bairro],mercado15)</f>
        <v>0</v>
      </c>
      <c r="AA167" s="27" t="n">
        <f aca="false">SUMIFS(super1[Qtde],super1[Item],tab_alimentos[[#This Row],[Item]],super1[Bairro],mercado16)+SUMIFS(supercb[Qtde],supercb[Item],tab_alimentos[[#This Row],[Item]],supercb[Bairro],mercado16)</f>
        <v>0</v>
      </c>
      <c r="AB167" s="27" t="n">
        <f aca="false">SUMIFS(super1[Qtde],super1[Item],tab_alimentos[[#This Row],[Item]],super1[Bairro],mercado17)+SUMIFS(supercb[Qtde],supercb[Item],tab_alimentos[[#This Row],[Item]],supercb[Bairro],mercado17)</f>
        <v>0</v>
      </c>
      <c r="AC167" s="27" t="n">
        <f aca="false">SUMIFS(super1[Qtde],super1[Item],tab_alimentos[[#This Row],[Item]],super1[Bairro],mercado18)+SUMIFS(supercb[Qtde],supercb[Item],tab_alimentos[[#This Row],[Item]],supercb[Bairro],mercado18)</f>
        <v>0</v>
      </c>
      <c r="AD167" s="27" t="n">
        <f aca="false">SUMIFS(super1[Qtde],super1[Item],tab_alimentos[[#This Row],[Item]],super1[Bairro],extras)+SUMIFS(supercb[Qtde],supercb[Item],tab_alimentos[[#This Row],[Item]],supercb[Bairro],extras)</f>
        <v>0</v>
      </c>
      <c r="AE167" s="27" t="n">
        <f aca="false">SUM(L167:AC167)</f>
        <v>0</v>
      </c>
      <c r="AF167" s="27" t="n">
        <f aca="false">IFERROR(AE167*K167,0)</f>
        <v>0</v>
      </c>
      <c r="AG167" s="28" t="n">
        <f aca="false">IFERROR(J167*AE167,0)</f>
        <v>0</v>
      </c>
      <c r="AH167" s="26" t="str">
        <f aca="false">higiene[[#This Row],[Item]]</f>
        <v>S</v>
      </c>
      <c r="AI167" s="27" t="n">
        <f aca="false">IFERROR(higiene[[#This Row],[Kg equivalente]],0)</f>
        <v>0</v>
      </c>
      <c r="AJ167" s="27" t="n">
        <f aca="false">IFERROR(higiene[[#This Row],[Preço por produto]],0)</f>
        <v>0</v>
      </c>
      <c r="AK167" s="27" t="n">
        <f aca="false">SUMIFS(super1[Qtde],super1[Item],tab_higiene[[#This Row],[Item]],super1[Bairro],mercado1)+SUMIFS(supercb[Qtde],supercb[Item],tab_higiene[[#This Row],[Item]],supercb[Bairro],mercado1)</f>
        <v>0</v>
      </c>
      <c r="AL167" s="27" t="n">
        <f aca="false">SUMIFS(super1[Qtde],super1[Item],tab_higiene[[#This Row],[Item]],super1[Bairro],mercado2)+SUMIFS(supercb[Qtde],supercb[Item],tab_higiene[[#This Row],[Item]],supercb[Bairro],mercado2)</f>
        <v>0</v>
      </c>
      <c r="AM167" s="27" t="n">
        <f aca="false">SUMIFS(super1[Qtde],super1[Item],tab_higiene[[#This Row],[Item]],super1[Bairro],mercado3)+SUMIFS(supercb[Qtde],supercb[Item],tab_higiene[[#This Row],[Item]],supercb[Bairro],mercado3)</f>
        <v>0</v>
      </c>
      <c r="AN167" s="27" t="n">
        <f aca="false">SUMIFS(super1[Qtde],super1[Item],tab_higiene[[#This Row],[Item]],super1[Bairro],mercado4)+SUMIFS(supercb[Qtde],supercb[Item],tab_higiene[[#This Row],[Item]],supercb[Bairro],mercado4)</f>
        <v>0</v>
      </c>
      <c r="AO167" s="27" t="n">
        <f aca="false">SUMIFS(super1[Qtde],super1[Item],tab_higiene[[#This Row],[Item]],super1[Bairro],mercado5)+SUMIFS(supercb[Qtde],supercb[Item],tab_higiene[[#This Row],[Item]],supercb[Bairro],mercado5)</f>
        <v>0</v>
      </c>
      <c r="AP167" s="27" t="n">
        <f aca="false">SUMIFS(super1[Qtde],super1[Item],tab_higiene[[#This Row],[Item]],super1[Bairro],mercado6)+SUMIFS(supercb[Qtde],supercb[Item],tab_higiene[[#This Row],[Item]],supercb[Bairro],mercado6)</f>
        <v>0</v>
      </c>
      <c r="AQ167" s="27" t="n">
        <f aca="false">SUMIFS(super1[Qtde],super1[Item],tab_higiene[[#This Row],[Item]],super1[Bairro],mercado7)+SUMIFS(supercb[Qtde],supercb[Item],tab_higiene[[#This Row],[Item]],supercb[Bairro],mercado7)</f>
        <v>0</v>
      </c>
      <c r="AR167" s="27" t="n">
        <f aca="false">SUMIFS(super1[Qtde],super1[Item],tab_higiene[[#This Row],[Item]],super1[Bairro],mercado8)+SUMIFS(supercb[Qtde],supercb[Item],tab_higiene[[#This Row],[Item]],supercb[Bairro],mercado8)</f>
        <v>0</v>
      </c>
      <c r="AS167" s="27" t="n">
        <f aca="false">SUMIFS(super1[Qtde],super1[Item],tab_higiene[[#This Row],[Item]],super1[Bairro],mercado9)+SUMIFS(supercb[Qtde],supercb[Item],tab_higiene[[#This Row],[Item]],supercb[Bairro],mercado9)</f>
        <v>0</v>
      </c>
      <c r="AT167" s="27" t="n">
        <f aca="false">SUMIFS(super1[Qtde],super1[Item],tab_higiene[[#This Row],[Item]],super1[Bairro],mercado10)+SUMIFS(supercb[Qtde],supercb[Item],tab_higiene[[#This Row],[Item]],supercb[Bairro],mercado10)</f>
        <v>0</v>
      </c>
      <c r="AU167" s="27" t="n">
        <f aca="false">SUMIFS(super1[Qtde],super1[Item],tab_higiene[[#This Row],[Item]],super1[Bairro],mercado11)+SUMIFS(supercb[Qtde],supercb[Item],tab_higiene[[#This Row],[Item]],supercb[Bairro],mercado11)</f>
        <v>0</v>
      </c>
      <c r="AV167" s="27" t="n">
        <f aca="false">SUMIFS(super1[Qtde],super1[Item],tab_higiene[[#This Row],[Item]],super1[Bairro],mercado12)+SUMIFS(supercb[Qtde],supercb[Item],tab_higiene[[#This Row],[Item]],supercb[Bairro],mercado12)</f>
        <v>0</v>
      </c>
      <c r="AW167" s="27" t="n">
        <f aca="false">SUMIFS(super1[Qtde],super1[Item],tab_higiene[[#This Row],[Item]],super1[Bairro],mercado13)+SUMIFS(supercb[Qtde],supercb[Item],tab_higiene[[#This Row],[Item]],supercb[Bairro],mercado13)</f>
        <v>0</v>
      </c>
      <c r="AX167" s="27" t="n">
        <f aca="false">SUMIFS(super1[Qtde],super1[Item],tab_higiene[[#This Row],[Item]],super1[Bairro],mercado14)+SUMIFS(supercb[Qtde],supercb[Item],tab_higiene[[#This Row],[Item]],supercb[Bairro],mercado14)</f>
        <v>0</v>
      </c>
      <c r="AY167" s="27" t="n">
        <f aca="false">SUMIFS(super1[Qtde],super1[Item],tab_higiene[[#This Row],[Item]],super1[Bairro],mercado15)+SUMIFS(supercb[Qtde],supercb[Item],tab_higiene[[#This Row],[Item]],supercb[Bairro],mercado15)</f>
        <v>0</v>
      </c>
      <c r="AZ167" s="27" t="n">
        <f aca="false">SUMIFS(super1[Qtde],super1[Item],tab_higiene[[#This Row],[Item]],super1[Bairro],mercado16)+SUMIFS(supercb[Qtde],supercb[Item],tab_higiene[[#This Row],[Item]],supercb[Bairro],mercado16)</f>
        <v>0</v>
      </c>
      <c r="BA167" s="27" t="n">
        <f aca="false">SUMIFS(super1[Qtde],super1[Item],tab_higiene[[#This Row],[Item]],super1[Bairro],mercado17)+SUMIFS(supercb[Qtde],supercb[Item],tab_higiene[[#This Row],[Item]],supercb[Bairro],mercado17)</f>
        <v>0</v>
      </c>
      <c r="BB167" s="27" t="n">
        <f aca="false">SUMIFS(super1[Qtde],super1[Item],tab_higiene[[#This Row],[Item]],super1[Bairro],mercado18)+SUMIFS(supercb[Qtde],supercb[Item],tab_higiene[[#This Row],[Item]],supercb[Bairro],mercado18)</f>
        <v>0</v>
      </c>
      <c r="BC167" s="27" t="n">
        <f aca="false">SUMIFS(super1[Qtde],super1[Item],tab_higiene[[#This Row],[Item]],super1[Bairro],extras)+SUMIFS(supercb[Qtde],supercb[Item],tab_higiene[[#This Row],[Item]],supercb[Bairro],extras)</f>
        <v>0</v>
      </c>
      <c r="BD167" s="27" t="n">
        <f aca="false">SUM(AK167:BB167)</f>
        <v>0</v>
      </c>
      <c r="BE167" s="27" t="n">
        <f aca="false">IFERROR(BD167*AJ167,0)</f>
        <v>0</v>
      </c>
      <c r="BF167" s="28" t="n">
        <f aca="false">IFERROR(AI167*BD167,0)</f>
        <v>0</v>
      </c>
    </row>
    <row r="168" customFormat="false" ht="15" hidden="false" customHeight="false" outlineLevel="0" collapsed="false">
      <c r="I168" s="26" t="str">
        <f aca="false">alimentos[[#This Row],[Item]]</f>
        <v>Macarrão (200g)</v>
      </c>
      <c r="J168" s="27" t="n">
        <f aca="false">IFERROR(alimentos[[#This Row],[kg/embalagem]],0)</f>
        <v>0.2</v>
      </c>
      <c r="K168" s="27" t="n">
        <f aca="false">IFERROR(alimentos[[#This Row],[Preço]],0)</f>
        <v>1.85</v>
      </c>
      <c r="L168" s="27" t="n">
        <f aca="false">SUMIFS(super1[Qtde],super1[Item],tab_alimentos[[#This Row],[Item]],super1[Bairro],mercado1)+SUMIFS(supercb[Qtde],supercb[Item],tab_alimentos[[#This Row],[Item]],supercb[Bairro],mercado1)</f>
        <v>0</v>
      </c>
      <c r="M168" s="27" t="n">
        <f aca="false">SUMIFS(super1[Qtde],super1[Item],tab_alimentos[[#This Row],[Item]],super1[Bairro],mercado2)+SUMIFS(supercb[Qtde],supercb[Item],tab_alimentos[[#This Row],[Item]],supercb[Bairro],mercado2)</f>
        <v>0</v>
      </c>
      <c r="N168" s="27" t="n">
        <f aca="false">SUMIFS(super1[Qtde],super1[Item],tab_alimentos[[#This Row],[Item]],super1[Bairro],mercado3)+SUMIFS(supercb[Qtde],supercb[Item],tab_alimentos[[#This Row],[Item]],supercb[Bairro],mercado3)</f>
        <v>0</v>
      </c>
      <c r="O168" s="27" t="n">
        <f aca="false">SUMIFS(super1[Qtde],super1[Item],tab_alimentos[[#This Row],[Item]],super1[Bairro],mercado4)+SUMIFS(supercb[Qtde],supercb[Item],tab_alimentos[[#This Row],[Item]],supercb[Bairro],mercado4)</f>
        <v>0</v>
      </c>
      <c r="P168" s="27" t="n">
        <f aca="false">SUMIFS(super1[Qtde],super1[Item],tab_alimentos[[#This Row],[Item]],super1[Bairro],mercado5)+SUMIFS(supercb[Qtde],supercb[Item],tab_alimentos[[#This Row],[Item]],supercb[Bairro],mercado5)</f>
        <v>0</v>
      </c>
      <c r="Q168" s="27" t="n">
        <f aca="false">SUMIFS(super1[Qtde],super1[Item],tab_alimentos[[#This Row],[Item]],super1[Bairro],mercado6)+SUMIFS(supercb[Qtde],supercb[Item],tab_alimentos[[#This Row],[Item]],supercb[Bairro],mercado6)</f>
        <v>0</v>
      </c>
      <c r="R168" s="27" t="n">
        <f aca="false">SUMIFS(super1[Qtde],super1[Item],tab_alimentos[[#This Row],[Item]],super1[Bairro],mercado7)+SUMIFS(supercb[Qtde],supercb[Item],tab_alimentos[[#This Row],[Item]],supercb[Bairro],mercado7)</f>
        <v>0</v>
      </c>
      <c r="S168" s="27" t="n">
        <f aca="false">SUMIFS(super1[Qtde],super1[Item],tab_alimentos[[#This Row],[Item]],super1[Bairro],mercado8)+SUMIFS(supercb[Qtde],supercb[Item],tab_alimentos[[#This Row],[Item]],supercb[Bairro],mercado8)</f>
        <v>0</v>
      </c>
      <c r="T168" s="27" t="n">
        <f aca="false">SUMIFS(super1[Qtde],super1[Item],tab_alimentos[[#This Row],[Item]],super1[Bairro],mercado9)+SUMIFS(supercb[Qtde],supercb[Item],tab_alimentos[[#This Row],[Item]],supercb[Bairro],mercado9)</f>
        <v>0</v>
      </c>
      <c r="U168" s="27" t="n">
        <f aca="false">SUMIFS(super1[Qtde],super1[Item],tab_alimentos[[#This Row],[Item]],super1[Bairro],mercado10)+SUMIFS(supercb[Qtde],supercb[Item],tab_alimentos[[#This Row],[Item]],supercb[Bairro],mercado10)</f>
        <v>0</v>
      </c>
      <c r="V168" s="27" t="n">
        <f aca="false">SUMIFS(super1[Qtde],super1[Item],tab_alimentos[[#This Row],[Item]],super1[Bairro],mercado11)+SUMIFS(supercb[Qtde],supercb[Item],tab_alimentos[[#This Row],[Item]],supercb[Bairro],mercado11)</f>
        <v>0</v>
      </c>
      <c r="W168" s="27" t="n">
        <f aca="false">SUMIFS(super1[Qtde],super1[Item],tab_alimentos[[#This Row],[Item]],super1[Bairro],mercado12)+SUMIFS(supercb[Qtde],supercb[Item],tab_alimentos[[#This Row],[Item]],supercb[Bairro],mercado12)</f>
        <v>0</v>
      </c>
      <c r="X168" s="27" t="n">
        <f aca="false">SUMIFS(super1[Qtde],super1[Item],tab_alimentos[[#This Row],[Item]],super1[Bairro],mercado13)+SUMIFS(supercb[Qtde],supercb[Item],tab_alimentos[[#This Row],[Item]],supercb[Bairro],mercado13)</f>
        <v>0</v>
      </c>
      <c r="Y168" s="27" t="n">
        <f aca="false">SUMIFS(super1[Qtde],super1[Item],tab_alimentos[[#This Row],[Item]],super1[Bairro],mercado14)+SUMIFS(supercb[Qtde],supercb[Item],tab_alimentos[[#This Row],[Item]],supercb[Bairro],mercado14)</f>
        <v>0</v>
      </c>
      <c r="Z168" s="27" t="n">
        <f aca="false">SUMIFS(super1[Qtde],super1[Item],tab_alimentos[[#This Row],[Item]],super1[Bairro],mercado15)+SUMIFS(supercb[Qtde],supercb[Item],tab_alimentos[[#This Row],[Item]],supercb[Bairro],mercado15)</f>
        <v>0</v>
      </c>
      <c r="AA168" s="27" t="n">
        <f aca="false">SUMIFS(super1[Qtde],super1[Item],tab_alimentos[[#This Row],[Item]],super1[Bairro],mercado16)+SUMIFS(supercb[Qtde],supercb[Item],tab_alimentos[[#This Row],[Item]],supercb[Bairro],mercado16)</f>
        <v>0</v>
      </c>
      <c r="AB168" s="27" t="n">
        <f aca="false">SUMIFS(super1[Qtde],super1[Item],tab_alimentos[[#This Row],[Item]],super1[Bairro],mercado17)+SUMIFS(supercb[Qtde],supercb[Item],tab_alimentos[[#This Row],[Item]],supercb[Bairro],mercado17)</f>
        <v>0</v>
      </c>
      <c r="AC168" s="27" t="n">
        <f aca="false">SUMIFS(super1[Qtde],super1[Item],tab_alimentos[[#This Row],[Item]],super1[Bairro],mercado18)+SUMIFS(supercb[Qtde],supercb[Item],tab_alimentos[[#This Row],[Item]],supercb[Bairro],mercado18)</f>
        <v>0</v>
      </c>
      <c r="AD168" s="27" t="n">
        <f aca="false">SUMIFS(super1[Qtde],super1[Item],tab_alimentos[[#This Row],[Item]],super1[Bairro],extras)+SUMIFS(supercb[Qtde],supercb[Item],tab_alimentos[[#This Row],[Item]],supercb[Bairro],extras)</f>
        <v>0</v>
      </c>
      <c r="AE168" s="27" t="n">
        <f aca="false">SUM(L168:AC168)</f>
        <v>0</v>
      </c>
      <c r="AF168" s="27" t="n">
        <f aca="false">IFERROR(AE168*K168,0)</f>
        <v>0</v>
      </c>
      <c r="AG168" s="28" t="n">
        <f aca="false">IFERROR(J168*AE168,0)</f>
        <v>0</v>
      </c>
      <c r="AH168" s="26" t="str">
        <f aca="false">higiene[[#This Row],[Item]]</f>
        <v>Sabão em Barra (1un)</v>
      </c>
      <c r="AI168" s="27" t="n">
        <f aca="false">IFERROR(higiene[[#This Row],[Kg equivalente]],0)</f>
        <v>0.553473768638531</v>
      </c>
      <c r="AJ168" s="27" t="n">
        <f aca="false">IFERROR(higiene[[#This Row],[Preço por produto]],0)</f>
        <v>1.83333333333333</v>
      </c>
      <c r="AK168" s="27" t="n">
        <f aca="false">SUMIFS(super1[Qtde],super1[Item],tab_higiene[[#This Row],[Item]],super1[Bairro],mercado1)+SUMIFS(supercb[Qtde],supercb[Item],tab_higiene[[#This Row],[Item]],supercb[Bairro],mercado1)</f>
        <v>0</v>
      </c>
      <c r="AL168" s="27" t="n">
        <f aca="false">SUMIFS(super1[Qtde],super1[Item],tab_higiene[[#This Row],[Item]],super1[Bairro],mercado2)+SUMIFS(supercb[Qtde],supercb[Item],tab_higiene[[#This Row],[Item]],supercb[Bairro],mercado2)</f>
        <v>0</v>
      </c>
      <c r="AM168" s="27" t="n">
        <f aca="false">SUMIFS(super1[Qtde],super1[Item],tab_higiene[[#This Row],[Item]],super1[Bairro],mercado3)+SUMIFS(supercb[Qtde],supercb[Item],tab_higiene[[#This Row],[Item]],supercb[Bairro],mercado3)</f>
        <v>0</v>
      </c>
      <c r="AN168" s="27" t="n">
        <f aca="false">SUMIFS(super1[Qtde],super1[Item],tab_higiene[[#This Row],[Item]],super1[Bairro],mercado4)+SUMIFS(supercb[Qtde],supercb[Item],tab_higiene[[#This Row],[Item]],supercb[Bairro],mercado4)</f>
        <v>0</v>
      </c>
      <c r="AO168" s="27" t="n">
        <f aca="false">SUMIFS(super1[Qtde],super1[Item],tab_higiene[[#This Row],[Item]],super1[Bairro],mercado5)+SUMIFS(supercb[Qtde],supercb[Item],tab_higiene[[#This Row],[Item]],supercb[Bairro],mercado5)</f>
        <v>1</v>
      </c>
      <c r="AP168" s="27" t="n">
        <f aca="false">SUMIFS(super1[Qtde],super1[Item],tab_higiene[[#This Row],[Item]],super1[Bairro],mercado6)+SUMIFS(supercb[Qtde],supercb[Item],tab_higiene[[#This Row],[Item]],supercb[Bairro],mercado6)</f>
        <v>0</v>
      </c>
      <c r="AQ168" s="27" t="n">
        <f aca="false">SUMIFS(super1[Qtde],super1[Item],tab_higiene[[#This Row],[Item]],super1[Bairro],mercado7)+SUMIFS(supercb[Qtde],supercb[Item],tab_higiene[[#This Row],[Item]],supercb[Bairro],mercado7)</f>
        <v>0</v>
      </c>
      <c r="AR168" s="27" t="n">
        <f aca="false">SUMIFS(super1[Qtde],super1[Item],tab_higiene[[#This Row],[Item]],super1[Bairro],mercado8)+SUMIFS(supercb[Qtde],supercb[Item],tab_higiene[[#This Row],[Item]],supercb[Bairro],mercado8)</f>
        <v>0</v>
      </c>
      <c r="AS168" s="27" t="n">
        <f aca="false">SUMIFS(super1[Qtde],super1[Item],tab_higiene[[#This Row],[Item]],super1[Bairro],mercado9)+SUMIFS(supercb[Qtde],supercb[Item],tab_higiene[[#This Row],[Item]],supercb[Bairro],mercado9)</f>
        <v>0</v>
      </c>
      <c r="AT168" s="27" t="n">
        <f aca="false">SUMIFS(super1[Qtde],super1[Item],tab_higiene[[#This Row],[Item]],super1[Bairro],mercado10)+SUMIFS(supercb[Qtde],supercb[Item],tab_higiene[[#This Row],[Item]],supercb[Bairro],mercado10)</f>
        <v>0</v>
      </c>
      <c r="AU168" s="27" t="n">
        <f aca="false">SUMIFS(super1[Qtde],super1[Item],tab_higiene[[#This Row],[Item]],super1[Bairro],mercado11)+SUMIFS(supercb[Qtde],supercb[Item],tab_higiene[[#This Row],[Item]],supercb[Bairro],mercado11)</f>
        <v>0</v>
      </c>
      <c r="AV168" s="27" t="n">
        <f aca="false">SUMIFS(super1[Qtde],super1[Item],tab_higiene[[#This Row],[Item]],super1[Bairro],mercado12)+SUMIFS(supercb[Qtde],supercb[Item],tab_higiene[[#This Row],[Item]],supercb[Bairro],mercado12)</f>
        <v>0</v>
      </c>
      <c r="AW168" s="27" t="n">
        <f aca="false">SUMIFS(super1[Qtde],super1[Item],tab_higiene[[#This Row],[Item]],super1[Bairro],mercado13)+SUMIFS(supercb[Qtde],supercb[Item],tab_higiene[[#This Row],[Item]],supercb[Bairro],mercado13)</f>
        <v>0</v>
      </c>
      <c r="AX168" s="27" t="n">
        <f aca="false">SUMIFS(super1[Qtde],super1[Item],tab_higiene[[#This Row],[Item]],super1[Bairro],mercado14)+SUMIFS(supercb[Qtde],supercb[Item],tab_higiene[[#This Row],[Item]],supercb[Bairro],mercado14)</f>
        <v>0</v>
      </c>
      <c r="AY168" s="27" t="n">
        <f aca="false">SUMIFS(super1[Qtde],super1[Item],tab_higiene[[#This Row],[Item]],super1[Bairro],mercado15)+SUMIFS(supercb[Qtde],supercb[Item],tab_higiene[[#This Row],[Item]],supercb[Bairro],mercado15)</f>
        <v>0</v>
      </c>
      <c r="AZ168" s="27" t="n">
        <f aca="false">SUMIFS(super1[Qtde],super1[Item],tab_higiene[[#This Row],[Item]],super1[Bairro],mercado16)+SUMIFS(supercb[Qtde],supercb[Item],tab_higiene[[#This Row],[Item]],supercb[Bairro],mercado16)</f>
        <v>0</v>
      </c>
      <c r="BA168" s="27" t="n">
        <f aca="false">SUMIFS(super1[Qtde],super1[Item],tab_higiene[[#This Row],[Item]],super1[Bairro],mercado17)+SUMIFS(supercb[Qtde],supercb[Item],tab_higiene[[#This Row],[Item]],supercb[Bairro],mercado17)</f>
        <v>0</v>
      </c>
      <c r="BB168" s="27" t="n">
        <f aca="false">SUMIFS(super1[Qtde],super1[Item],tab_higiene[[#This Row],[Item]],super1[Bairro],mercado18)+SUMIFS(supercb[Qtde],supercb[Item],tab_higiene[[#This Row],[Item]],supercb[Bairro],mercado18)</f>
        <v>0</v>
      </c>
      <c r="BC168" s="27" t="n">
        <f aca="false">SUMIFS(super1[Qtde],super1[Item],tab_higiene[[#This Row],[Item]],super1[Bairro],extras)+SUMIFS(supercb[Qtde],supercb[Item],tab_higiene[[#This Row],[Item]],supercb[Bairro],extras)</f>
        <v>0</v>
      </c>
      <c r="BD168" s="27" t="n">
        <f aca="false">SUM(AK168:BB168)</f>
        <v>1</v>
      </c>
      <c r="BE168" s="27" t="n">
        <f aca="false">IFERROR(BD168*AJ168,0)</f>
        <v>1.83333333333333</v>
      </c>
      <c r="BF168" s="28" t="n">
        <f aca="false">IFERROR(AI168*BD168,0)</f>
        <v>0.553473768638531</v>
      </c>
    </row>
    <row r="169" customFormat="false" ht="15" hidden="false" customHeight="false" outlineLevel="0" collapsed="false">
      <c r="I169" s="26" t="str">
        <f aca="false">alimentos[[#This Row],[Item]]</f>
        <v>Macarrão (500g)</v>
      </c>
      <c r="J169" s="27" t="n">
        <f aca="false">IFERROR(alimentos[[#This Row],[kg/embalagem]],0)</f>
        <v>0.5</v>
      </c>
      <c r="K169" s="27" t="n">
        <f aca="false">IFERROR(alimentos[[#This Row],[Preço]],0)</f>
        <v>2.2</v>
      </c>
      <c r="L169" s="27" t="n">
        <f aca="false">SUMIFS(super1[Qtde],super1[Item],tab_alimentos[[#This Row],[Item]],super1[Bairro],mercado1)+SUMIFS(supercb[Qtde],supercb[Item],tab_alimentos[[#This Row],[Item]],supercb[Bairro],mercado1)</f>
        <v>58</v>
      </c>
      <c r="M169" s="27" t="n">
        <f aca="false">SUMIFS(super1[Qtde],super1[Item],tab_alimentos[[#This Row],[Item]],super1[Bairro],mercado2)+SUMIFS(supercb[Qtde],supercb[Item],tab_alimentos[[#This Row],[Item]],supercb[Bairro],mercado2)</f>
        <v>68</v>
      </c>
      <c r="N169" s="27" t="n">
        <f aca="false">SUMIFS(super1[Qtde],super1[Item],tab_alimentos[[#This Row],[Item]],super1[Bairro],mercado3)+SUMIFS(supercb[Qtde],supercb[Item],tab_alimentos[[#This Row],[Item]],supercb[Bairro],mercado3)</f>
        <v>41</v>
      </c>
      <c r="O169" s="27" t="n">
        <f aca="false">SUMIFS(super1[Qtde],super1[Item],tab_alimentos[[#This Row],[Item]],super1[Bairro],mercado4)+SUMIFS(supercb[Qtde],supercb[Item],tab_alimentos[[#This Row],[Item]],supercb[Bairro],mercado4)</f>
        <v>85</v>
      </c>
      <c r="P169" s="27" t="n">
        <f aca="false">SUMIFS(super1[Qtde],super1[Item],tab_alimentos[[#This Row],[Item]],super1[Bairro],mercado5)+SUMIFS(supercb[Qtde],supercb[Item],tab_alimentos[[#This Row],[Item]],supercb[Bairro],mercado5)</f>
        <v>153</v>
      </c>
      <c r="Q169" s="27" t="n">
        <f aca="false">SUMIFS(super1[Qtde],super1[Item],tab_alimentos[[#This Row],[Item]],super1[Bairro],mercado6)+SUMIFS(supercb[Qtde],supercb[Item],tab_alimentos[[#This Row],[Item]],supercb[Bairro],mercado6)</f>
        <v>88</v>
      </c>
      <c r="R169" s="27" t="n">
        <f aca="false">SUMIFS(super1[Qtde],super1[Item],tab_alimentos[[#This Row],[Item]],super1[Bairro],mercado7)+SUMIFS(supercb[Qtde],supercb[Item],tab_alimentos[[#This Row],[Item]],supercb[Bairro],mercado7)</f>
        <v>77</v>
      </c>
      <c r="S169" s="27" t="n">
        <f aca="false">SUMIFS(super1[Qtde],super1[Item],tab_alimentos[[#This Row],[Item]],super1[Bairro],mercado8)+SUMIFS(supercb[Qtde],supercb[Item],tab_alimentos[[#This Row],[Item]],supercb[Bairro],mercado8)</f>
        <v>76</v>
      </c>
      <c r="T169" s="27" t="n">
        <f aca="false">SUMIFS(super1[Qtde],super1[Item],tab_alimentos[[#This Row],[Item]],super1[Bairro],mercado9)+SUMIFS(supercb[Qtde],supercb[Item],tab_alimentos[[#This Row],[Item]],supercb[Bairro],mercado9)</f>
        <v>120</v>
      </c>
      <c r="U169" s="27" t="n">
        <f aca="false">SUMIFS(super1[Qtde],super1[Item],tab_alimentos[[#This Row],[Item]],super1[Bairro],mercado10)+SUMIFS(supercb[Qtde],supercb[Item],tab_alimentos[[#This Row],[Item]],supercb[Bairro],mercado10)</f>
        <v>95</v>
      </c>
      <c r="V169" s="27" t="n">
        <f aca="false">SUMIFS(super1[Qtde],super1[Item],tab_alimentos[[#This Row],[Item]],super1[Bairro],mercado11)+SUMIFS(supercb[Qtde],supercb[Item],tab_alimentos[[#This Row],[Item]],supercb[Bairro],mercado11)</f>
        <v>111</v>
      </c>
      <c r="W169" s="27" t="n">
        <f aca="false">SUMIFS(super1[Qtde],super1[Item],tab_alimentos[[#This Row],[Item]],super1[Bairro],mercado12)+SUMIFS(supercb[Qtde],supercb[Item],tab_alimentos[[#This Row],[Item]],supercb[Bairro],mercado12)</f>
        <v>0</v>
      </c>
      <c r="X169" s="27" t="n">
        <f aca="false">SUMIFS(super1[Qtde],super1[Item],tab_alimentos[[#This Row],[Item]],super1[Bairro],mercado13)+SUMIFS(supercb[Qtde],supercb[Item],tab_alimentos[[#This Row],[Item]],supercb[Bairro],mercado13)</f>
        <v>161</v>
      </c>
      <c r="Y169" s="27" t="n">
        <f aca="false">SUMIFS(super1[Qtde],super1[Item],tab_alimentos[[#This Row],[Item]],super1[Bairro],mercado14)+SUMIFS(supercb[Qtde],supercb[Item],tab_alimentos[[#This Row],[Item]],supercb[Bairro],mercado14)</f>
        <v>0</v>
      </c>
      <c r="Z169" s="27" t="n">
        <f aca="false">SUMIFS(super1[Qtde],super1[Item],tab_alimentos[[#This Row],[Item]],super1[Bairro],mercado15)+SUMIFS(supercb[Qtde],supercb[Item],tab_alimentos[[#This Row],[Item]],supercb[Bairro],mercado15)</f>
        <v>0</v>
      </c>
      <c r="AA169" s="27" t="n">
        <f aca="false">SUMIFS(super1[Qtde],super1[Item],tab_alimentos[[#This Row],[Item]],super1[Bairro],mercado16)+SUMIFS(supercb[Qtde],supercb[Item],tab_alimentos[[#This Row],[Item]],supercb[Bairro],mercado16)</f>
        <v>0</v>
      </c>
      <c r="AB169" s="27" t="n">
        <f aca="false">SUMIFS(super1[Qtde],super1[Item],tab_alimentos[[#This Row],[Item]],super1[Bairro],mercado17)+SUMIFS(supercb[Qtde],supercb[Item],tab_alimentos[[#This Row],[Item]],supercb[Bairro],mercado17)</f>
        <v>0</v>
      </c>
      <c r="AC169" s="27" t="n">
        <f aca="false">SUMIFS(super1[Qtde],super1[Item],tab_alimentos[[#This Row],[Item]],super1[Bairro],mercado18)+SUMIFS(supercb[Qtde],supercb[Item],tab_alimentos[[#This Row],[Item]],supercb[Bairro],mercado18)</f>
        <v>0</v>
      </c>
      <c r="AD169" s="27" t="n">
        <f aca="false">SUMIFS(super1[Qtde],super1[Item],tab_alimentos[[#This Row],[Item]],super1[Bairro],extras)+SUMIFS(supercb[Qtde],supercb[Item],tab_alimentos[[#This Row],[Item]],supercb[Bairro],extras)</f>
        <v>0</v>
      </c>
      <c r="AE169" s="27" t="n">
        <f aca="false">SUM(L169:AC169)</f>
        <v>1133</v>
      </c>
      <c r="AF169" s="27" t="n">
        <f aca="false">IFERROR(AE169*K169,0)</f>
        <v>2492.6</v>
      </c>
      <c r="AG169" s="28" t="n">
        <f aca="false">IFERROR(J169*AE169,0)</f>
        <v>566.5</v>
      </c>
      <c r="AH169" s="26" t="str">
        <f aca="false">higiene[[#This Row],[Item]]</f>
        <v>sabao em barra (5un)</v>
      </c>
      <c r="AI169" s="27" t="n">
        <f aca="false">IFERROR(higiene[[#This Row],[Kg equivalente]],0)</f>
        <v>1.80583395967608</v>
      </c>
      <c r="AJ169" s="27" t="n">
        <f aca="false">IFERROR(higiene[[#This Row],[Preço por produto]],0)</f>
        <v>5.98166666666667</v>
      </c>
      <c r="AK169" s="27" t="n">
        <f aca="false">SUMIFS(super1[Qtde],super1[Item],tab_higiene[[#This Row],[Item]],super1[Bairro],mercado1)+SUMIFS(supercb[Qtde],supercb[Item],tab_higiene[[#This Row],[Item]],supercb[Bairro],mercado1)</f>
        <v>0</v>
      </c>
      <c r="AL169" s="27" t="n">
        <f aca="false">SUMIFS(super1[Qtde],super1[Item],tab_higiene[[#This Row],[Item]],super1[Bairro],mercado2)+SUMIFS(supercb[Qtde],supercb[Item],tab_higiene[[#This Row],[Item]],supercb[Bairro],mercado2)</f>
        <v>0</v>
      </c>
      <c r="AM169" s="27" t="n">
        <f aca="false">SUMIFS(super1[Qtde],super1[Item],tab_higiene[[#This Row],[Item]],super1[Bairro],mercado3)+SUMIFS(supercb[Qtde],supercb[Item],tab_higiene[[#This Row],[Item]],supercb[Bairro],mercado3)</f>
        <v>0</v>
      </c>
      <c r="AN169" s="27" t="n">
        <f aca="false">SUMIFS(super1[Qtde],super1[Item],tab_higiene[[#This Row],[Item]],super1[Bairro],mercado4)+SUMIFS(supercb[Qtde],supercb[Item],tab_higiene[[#This Row],[Item]],supercb[Bairro],mercado4)</f>
        <v>0</v>
      </c>
      <c r="AO169" s="27" t="n">
        <f aca="false">SUMIFS(super1[Qtde],super1[Item],tab_higiene[[#This Row],[Item]],super1[Bairro],mercado5)+SUMIFS(supercb[Qtde],supercb[Item],tab_higiene[[#This Row],[Item]],supercb[Bairro],mercado5)</f>
        <v>0</v>
      </c>
      <c r="AP169" s="27" t="n">
        <f aca="false">SUMIFS(super1[Qtde],super1[Item],tab_higiene[[#This Row],[Item]],super1[Bairro],mercado6)+SUMIFS(supercb[Qtde],supercb[Item],tab_higiene[[#This Row],[Item]],supercb[Bairro],mercado6)</f>
        <v>0</v>
      </c>
      <c r="AQ169" s="27" t="n">
        <f aca="false">SUMIFS(super1[Qtde],super1[Item],tab_higiene[[#This Row],[Item]],super1[Bairro],mercado7)+SUMIFS(supercb[Qtde],supercb[Item],tab_higiene[[#This Row],[Item]],supercb[Bairro],mercado7)</f>
        <v>0</v>
      </c>
      <c r="AR169" s="27" t="n">
        <f aca="false">SUMIFS(super1[Qtde],super1[Item],tab_higiene[[#This Row],[Item]],super1[Bairro],mercado8)+SUMIFS(supercb[Qtde],supercb[Item],tab_higiene[[#This Row],[Item]],supercb[Bairro],mercado8)</f>
        <v>0</v>
      </c>
      <c r="AS169" s="27" t="n">
        <f aca="false">SUMIFS(super1[Qtde],super1[Item],tab_higiene[[#This Row],[Item]],super1[Bairro],mercado9)+SUMIFS(supercb[Qtde],supercb[Item],tab_higiene[[#This Row],[Item]],supercb[Bairro],mercado9)</f>
        <v>0</v>
      </c>
      <c r="AT169" s="27" t="n">
        <f aca="false">SUMIFS(super1[Qtde],super1[Item],tab_higiene[[#This Row],[Item]],super1[Bairro],mercado10)+SUMIFS(supercb[Qtde],supercb[Item],tab_higiene[[#This Row],[Item]],supercb[Bairro],mercado10)</f>
        <v>0</v>
      </c>
      <c r="AU169" s="27" t="n">
        <f aca="false">SUMIFS(super1[Qtde],super1[Item],tab_higiene[[#This Row],[Item]],super1[Bairro],mercado11)+SUMIFS(supercb[Qtde],supercb[Item],tab_higiene[[#This Row],[Item]],supercb[Bairro],mercado11)</f>
        <v>0</v>
      </c>
      <c r="AV169" s="27" t="n">
        <f aca="false">SUMIFS(super1[Qtde],super1[Item],tab_higiene[[#This Row],[Item]],super1[Bairro],mercado12)+SUMIFS(supercb[Qtde],supercb[Item],tab_higiene[[#This Row],[Item]],supercb[Bairro],mercado12)</f>
        <v>0</v>
      </c>
      <c r="AW169" s="27" t="n">
        <f aca="false">SUMIFS(super1[Qtde],super1[Item],tab_higiene[[#This Row],[Item]],super1[Bairro],mercado13)+SUMIFS(supercb[Qtde],supercb[Item],tab_higiene[[#This Row],[Item]],supercb[Bairro],mercado13)</f>
        <v>0</v>
      </c>
      <c r="AX169" s="27" t="n">
        <f aca="false">SUMIFS(super1[Qtde],super1[Item],tab_higiene[[#This Row],[Item]],super1[Bairro],mercado14)+SUMIFS(supercb[Qtde],supercb[Item],tab_higiene[[#This Row],[Item]],supercb[Bairro],mercado14)</f>
        <v>0</v>
      </c>
      <c r="AY169" s="27" t="n">
        <f aca="false">SUMIFS(super1[Qtde],super1[Item],tab_higiene[[#This Row],[Item]],super1[Bairro],mercado15)+SUMIFS(supercb[Qtde],supercb[Item],tab_higiene[[#This Row],[Item]],supercb[Bairro],mercado15)</f>
        <v>0</v>
      </c>
      <c r="AZ169" s="27" t="n">
        <f aca="false">SUMIFS(super1[Qtde],super1[Item],tab_higiene[[#This Row],[Item]],super1[Bairro],mercado16)+SUMIFS(supercb[Qtde],supercb[Item],tab_higiene[[#This Row],[Item]],supercb[Bairro],mercado16)</f>
        <v>0</v>
      </c>
      <c r="BA169" s="27" t="n">
        <f aca="false">SUMIFS(super1[Qtde],super1[Item],tab_higiene[[#This Row],[Item]],super1[Bairro],mercado17)+SUMIFS(supercb[Qtde],supercb[Item],tab_higiene[[#This Row],[Item]],supercb[Bairro],mercado17)</f>
        <v>0</v>
      </c>
      <c r="BB169" s="27" t="n">
        <f aca="false">SUMIFS(super1[Qtde],super1[Item],tab_higiene[[#This Row],[Item]],super1[Bairro],mercado18)+SUMIFS(supercb[Qtde],supercb[Item],tab_higiene[[#This Row],[Item]],supercb[Bairro],mercado18)</f>
        <v>0</v>
      </c>
      <c r="BC169" s="27" t="n">
        <f aca="false">SUMIFS(super1[Qtde],super1[Item],tab_higiene[[#This Row],[Item]],super1[Bairro],extras)+SUMIFS(supercb[Qtde],supercb[Item],tab_higiene[[#This Row],[Item]],supercb[Bairro],extras)</f>
        <v>0</v>
      </c>
      <c r="BD169" s="27" t="n">
        <f aca="false">SUM(AK169:BB169)</f>
        <v>0</v>
      </c>
      <c r="BE169" s="27" t="n">
        <f aca="false">IFERROR(BD169*AJ169,0)</f>
        <v>0</v>
      </c>
      <c r="BF169" s="28" t="n">
        <f aca="false">IFERROR(AI169*BD169,0)</f>
        <v>0</v>
      </c>
    </row>
    <row r="170" customFormat="false" ht="15" hidden="false" customHeight="false" outlineLevel="0" collapsed="false">
      <c r="I170" s="26" t="str">
        <f aca="false">alimentos[[#This Row],[Item]]</f>
        <v>Maionese (1kg)</v>
      </c>
      <c r="J170" s="27" t="n">
        <f aca="false">IFERROR(alimentos[[#This Row],[kg/embalagem]],0)</f>
        <v>1</v>
      </c>
      <c r="K170" s="27" t="n">
        <f aca="false">IFERROR(alimentos[[#This Row],[Preço]],0)</f>
        <v>5.65</v>
      </c>
      <c r="L170" s="27" t="n">
        <f aca="false">SUMIFS(super1[Qtde],super1[Item],tab_alimentos[[#This Row],[Item]],super1[Bairro],mercado1)+SUMIFS(supercb[Qtde],supercb[Item],tab_alimentos[[#This Row],[Item]],supercb[Bairro],mercado1)</f>
        <v>0</v>
      </c>
      <c r="M170" s="27" t="n">
        <f aca="false">SUMIFS(super1[Qtde],super1[Item],tab_alimentos[[#This Row],[Item]],super1[Bairro],mercado2)+SUMIFS(supercb[Qtde],supercb[Item],tab_alimentos[[#This Row],[Item]],supercb[Bairro],mercado2)</f>
        <v>0</v>
      </c>
      <c r="N170" s="27" t="n">
        <f aca="false">SUMIFS(super1[Qtde],super1[Item],tab_alimentos[[#This Row],[Item]],super1[Bairro],mercado3)+SUMIFS(supercb[Qtde],supercb[Item],tab_alimentos[[#This Row],[Item]],supercb[Bairro],mercado3)</f>
        <v>0</v>
      </c>
      <c r="O170" s="27" t="n">
        <f aca="false">SUMIFS(super1[Qtde],super1[Item],tab_alimentos[[#This Row],[Item]],super1[Bairro],mercado4)+SUMIFS(supercb[Qtde],supercb[Item],tab_alimentos[[#This Row],[Item]],supercb[Bairro],mercado4)</f>
        <v>0</v>
      </c>
      <c r="P170" s="27" t="n">
        <f aca="false">SUMIFS(super1[Qtde],super1[Item],tab_alimentos[[#This Row],[Item]],super1[Bairro],mercado5)+SUMIFS(supercb[Qtde],supercb[Item],tab_alimentos[[#This Row],[Item]],supercb[Bairro],mercado5)</f>
        <v>0</v>
      </c>
      <c r="Q170" s="27" t="n">
        <f aca="false">SUMIFS(super1[Qtde],super1[Item],tab_alimentos[[#This Row],[Item]],super1[Bairro],mercado6)+SUMIFS(supercb[Qtde],supercb[Item],tab_alimentos[[#This Row],[Item]],supercb[Bairro],mercado6)</f>
        <v>0</v>
      </c>
      <c r="R170" s="27" t="n">
        <f aca="false">SUMIFS(super1[Qtde],super1[Item],tab_alimentos[[#This Row],[Item]],super1[Bairro],mercado7)+SUMIFS(supercb[Qtde],supercb[Item],tab_alimentos[[#This Row],[Item]],supercb[Bairro],mercado7)</f>
        <v>0</v>
      </c>
      <c r="S170" s="27" t="n">
        <f aca="false">SUMIFS(super1[Qtde],super1[Item],tab_alimentos[[#This Row],[Item]],super1[Bairro],mercado8)+SUMIFS(supercb[Qtde],supercb[Item],tab_alimentos[[#This Row],[Item]],supercb[Bairro],mercado8)</f>
        <v>0</v>
      </c>
      <c r="T170" s="27" t="n">
        <f aca="false">SUMIFS(super1[Qtde],super1[Item],tab_alimentos[[#This Row],[Item]],super1[Bairro],mercado9)+SUMIFS(supercb[Qtde],supercb[Item],tab_alimentos[[#This Row],[Item]],supercb[Bairro],mercado9)</f>
        <v>0</v>
      </c>
      <c r="U170" s="27" t="n">
        <f aca="false">SUMIFS(super1[Qtde],super1[Item],tab_alimentos[[#This Row],[Item]],super1[Bairro],mercado10)+SUMIFS(supercb[Qtde],supercb[Item],tab_alimentos[[#This Row],[Item]],supercb[Bairro],mercado10)</f>
        <v>0</v>
      </c>
      <c r="V170" s="27" t="n">
        <f aca="false">SUMIFS(super1[Qtde],super1[Item],tab_alimentos[[#This Row],[Item]],super1[Bairro],mercado11)+SUMIFS(supercb[Qtde],supercb[Item],tab_alimentos[[#This Row],[Item]],supercb[Bairro],mercado11)</f>
        <v>0</v>
      </c>
      <c r="W170" s="27" t="n">
        <f aca="false">SUMIFS(super1[Qtde],super1[Item],tab_alimentos[[#This Row],[Item]],super1[Bairro],mercado12)+SUMIFS(supercb[Qtde],supercb[Item],tab_alimentos[[#This Row],[Item]],supercb[Bairro],mercado12)</f>
        <v>0</v>
      </c>
      <c r="X170" s="27" t="n">
        <f aca="false">SUMIFS(super1[Qtde],super1[Item],tab_alimentos[[#This Row],[Item]],super1[Bairro],mercado13)+SUMIFS(supercb[Qtde],supercb[Item],tab_alimentos[[#This Row],[Item]],supercb[Bairro],mercado13)</f>
        <v>0</v>
      </c>
      <c r="Y170" s="27" t="n">
        <f aca="false">SUMIFS(super1[Qtde],super1[Item],tab_alimentos[[#This Row],[Item]],super1[Bairro],mercado14)+SUMIFS(supercb[Qtde],supercb[Item],tab_alimentos[[#This Row],[Item]],supercb[Bairro],mercado14)</f>
        <v>0</v>
      </c>
      <c r="Z170" s="27" t="n">
        <f aca="false">SUMIFS(super1[Qtde],super1[Item],tab_alimentos[[#This Row],[Item]],super1[Bairro],mercado15)+SUMIFS(supercb[Qtde],supercb[Item],tab_alimentos[[#This Row],[Item]],supercb[Bairro],mercado15)</f>
        <v>0</v>
      </c>
      <c r="AA170" s="27" t="n">
        <f aca="false">SUMIFS(super1[Qtde],super1[Item],tab_alimentos[[#This Row],[Item]],super1[Bairro],mercado16)+SUMIFS(supercb[Qtde],supercb[Item],tab_alimentos[[#This Row],[Item]],supercb[Bairro],mercado16)</f>
        <v>0</v>
      </c>
      <c r="AB170" s="27" t="n">
        <f aca="false">SUMIFS(super1[Qtde],super1[Item],tab_alimentos[[#This Row],[Item]],super1[Bairro],mercado17)+SUMIFS(supercb[Qtde],supercb[Item],tab_alimentos[[#This Row],[Item]],supercb[Bairro],mercado17)</f>
        <v>0</v>
      </c>
      <c r="AC170" s="27" t="n">
        <f aca="false">SUMIFS(super1[Qtde],super1[Item],tab_alimentos[[#This Row],[Item]],super1[Bairro],mercado18)+SUMIFS(supercb[Qtde],supercb[Item],tab_alimentos[[#This Row],[Item]],supercb[Bairro],mercado18)</f>
        <v>0</v>
      </c>
      <c r="AD170" s="27" t="n">
        <f aca="false">SUMIFS(super1[Qtde],super1[Item],tab_alimentos[[#This Row],[Item]],super1[Bairro],extras)+SUMIFS(supercb[Qtde],supercb[Item],tab_alimentos[[#This Row],[Item]],supercb[Bairro],extras)</f>
        <v>0</v>
      </c>
      <c r="AE170" s="27" t="n">
        <f aca="false">SUM(L170:AC170)</f>
        <v>0</v>
      </c>
      <c r="AF170" s="27" t="n">
        <f aca="false">IFERROR(AE170*K170,0)</f>
        <v>0</v>
      </c>
      <c r="AG170" s="28" t="n">
        <f aca="false">IFERROR(J170*AE170,0)</f>
        <v>0</v>
      </c>
      <c r="AH170" s="26" t="str">
        <f aca="false">higiene[[#This Row],[Item]]</f>
        <v>Sabão em Pó (1kg)</v>
      </c>
      <c r="AI170" s="27" t="n">
        <f aca="false">IFERROR(higiene[[#This Row],[Kg equivalente]],0)</f>
        <v>1.77715395530117</v>
      </c>
      <c r="AJ170" s="27" t="n">
        <f aca="false">IFERROR(higiene[[#This Row],[Preço por produto]],0)</f>
        <v>5.88666666666667</v>
      </c>
      <c r="AK170" s="27" t="n">
        <f aca="false">SUMIFS(super1[Qtde],super1[Item],tab_higiene[[#This Row],[Item]],super1[Bairro],mercado1)+SUMIFS(supercb[Qtde],supercb[Item],tab_higiene[[#This Row],[Item]],supercb[Bairro],mercado1)</f>
        <v>1</v>
      </c>
      <c r="AL170" s="27" t="n">
        <f aca="false">SUMIFS(super1[Qtde],super1[Item],tab_higiene[[#This Row],[Item]],super1[Bairro],mercado2)+SUMIFS(supercb[Qtde],supercb[Item],tab_higiene[[#This Row],[Item]],supercb[Bairro],mercado2)</f>
        <v>7</v>
      </c>
      <c r="AM170" s="27" t="n">
        <f aca="false">SUMIFS(super1[Qtde],super1[Item],tab_higiene[[#This Row],[Item]],super1[Bairro],mercado3)+SUMIFS(supercb[Qtde],supercb[Item],tab_higiene[[#This Row],[Item]],supercb[Bairro],mercado3)</f>
        <v>0</v>
      </c>
      <c r="AN170" s="27" t="n">
        <f aca="false">SUMIFS(super1[Qtde],super1[Item],tab_higiene[[#This Row],[Item]],super1[Bairro],mercado4)+SUMIFS(supercb[Qtde],supercb[Item],tab_higiene[[#This Row],[Item]],supercb[Bairro],mercado4)</f>
        <v>1</v>
      </c>
      <c r="AO170" s="27" t="n">
        <f aca="false">SUMIFS(super1[Qtde],super1[Item],tab_higiene[[#This Row],[Item]],super1[Bairro],mercado5)+SUMIFS(supercb[Qtde],supercb[Item],tab_higiene[[#This Row],[Item]],supercb[Bairro],mercado5)</f>
        <v>4</v>
      </c>
      <c r="AP170" s="27" t="n">
        <f aca="false">SUMIFS(super1[Qtde],super1[Item],tab_higiene[[#This Row],[Item]],super1[Bairro],mercado6)+SUMIFS(supercb[Qtde],supercb[Item],tab_higiene[[#This Row],[Item]],supercb[Bairro],mercado6)</f>
        <v>1</v>
      </c>
      <c r="AQ170" s="27" t="n">
        <f aca="false">SUMIFS(super1[Qtde],super1[Item],tab_higiene[[#This Row],[Item]],super1[Bairro],mercado7)+SUMIFS(supercb[Qtde],supercb[Item],tab_higiene[[#This Row],[Item]],supercb[Bairro],mercado7)</f>
        <v>3</v>
      </c>
      <c r="AR170" s="27" t="n">
        <f aca="false">SUMIFS(super1[Qtde],super1[Item],tab_higiene[[#This Row],[Item]],super1[Bairro],mercado8)+SUMIFS(supercb[Qtde],supercb[Item],tab_higiene[[#This Row],[Item]],supercb[Bairro],mercado8)</f>
        <v>4</v>
      </c>
      <c r="AS170" s="27" t="n">
        <f aca="false">SUMIFS(super1[Qtde],super1[Item],tab_higiene[[#This Row],[Item]],super1[Bairro],mercado9)+SUMIFS(supercb[Qtde],supercb[Item],tab_higiene[[#This Row],[Item]],supercb[Bairro],mercado9)</f>
        <v>2</v>
      </c>
      <c r="AT170" s="27" t="n">
        <f aca="false">SUMIFS(super1[Qtde],super1[Item],tab_higiene[[#This Row],[Item]],super1[Bairro],mercado10)+SUMIFS(supercb[Qtde],supercb[Item],tab_higiene[[#This Row],[Item]],supercb[Bairro],mercado10)</f>
        <v>3</v>
      </c>
      <c r="AU170" s="27" t="n">
        <f aca="false">SUMIFS(super1[Qtde],super1[Item],tab_higiene[[#This Row],[Item]],super1[Bairro],mercado11)+SUMIFS(supercb[Qtde],supercb[Item],tab_higiene[[#This Row],[Item]],supercb[Bairro],mercado11)</f>
        <v>4</v>
      </c>
      <c r="AV170" s="27" t="n">
        <f aca="false">SUMIFS(super1[Qtde],super1[Item],tab_higiene[[#This Row],[Item]],super1[Bairro],mercado12)+SUMIFS(supercb[Qtde],supercb[Item],tab_higiene[[#This Row],[Item]],supercb[Bairro],mercado12)</f>
        <v>0</v>
      </c>
      <c r="AW170" s="27" t="n">
        <f aca="false">SUMIFS(super1[Qtde],super1[Item],tab_higiene[[#This Row],[Item]],super1[Bairro],mercado13)+SUMIFS(supercb[Qtde],supercb[Item],tab_higiene[[#This Row],[Item]],supercb[Bairro],mercado13)</f>
        <v>5</v>
      </c>
      <c r="AX170" s="27" t="n">
        <f aca="false">SUMIFS(super1[Qtde],super1[Item],tab_higiene[[#This Row],[Item]],super1[Bairro],mercado14)+SUMIFS(supercb[Qtde],supercb[Item],tab_higiene[[#This Row],[Item]],supercb[Bairro],mercado14)</f>
        <v>0</v>
      </c>
      <c r="AY170" s="27" t="n">
        <f aca="false">SUMIFS(super1[Qtde],super1[Item],tab_higiene[[#This Row],[Item]],super1[Bairro],mercado15)+SUMIFS(supercb[Qtde],supercb[Item],tab_higiene[[#This Row],[Item]],supercb[Bairro],mercado15)</f>
        <v>0</v>
      </c>
      <c r="AZ170" s="27" t="n">
        <f aca="false">SUMIFS(super1[Qtde],super1[Item],tab_higiene[[#This Row],[Item]],super1[Bairro],mercado16)+SUMIFS(supercb[Qtde],supercb[Item],tab_higiene[[#This Row],[Item]],supercb[Bairro],mercado16)</f>
        <v>0</v>
      </c>
      <c r="BA170" s="27" t="n">
        <f aca="false">SUMIFS(super1[Qtde],super1[Item],tab_higiene[[#This Row],[Item]],super1[Bairro],mercado17)+SUMIFS(supercb[Qtde],supercb[Item],tab_higiene[[#This Row],[Item]],supercb[Bairro],mercado17)</f>
        <v>0</v>
      </c>
      <c r="BB170" s="27" t="n">
        <f aca="false">SUMIFS(super1[Qtde],super1[Item],tab_higiene[[#This Row],[Item]],super1[Bairro],mercado18)+SUMIFS(supercb[Qtde],supercb[Item],tab_higiene[[#This Row],[Item]],supercb[Bairro],mercado18)</f>
        <v>0</v>
      </c>
      <c r="BC170" s="27" t="n">
        <f aca="false">SUMIFS(super1[Qtde],super1[Item],tab_higiene[[#This Row],[Item]],super1[Bairro],extras)+SUMIFS(supercb[Qtde],supercb[Item],tab_higiene[[#This Row],[Item]],supercb[Bairro],extras)</f>
        <v>0</v>
      </c>
      <c r="BD170" s="27" t="n">
        <f aca="false">SUM(AK170:BB170)</f>
        <v>35</v>
      </c>
      <c r="BE170" s="27" t="n">
        <f aca="false">IFERROR(BD170*AJ170,0)</f>
        <v>206.033333333333</v>
      </c>
      <c r="BF170" s="28" t="n">
        <f aca="false">IFERROR(AI170*BD170,0)</f>
        <v>62.2003884355411</v>
      </c>
    </row>
    <row r="171" customFormat="false" ht="15" hidden="false" customHeight="false" outlineLevel="0" collapsed="false">
      <c r="I171" s="26" t="str">
        <f aca="false">alimentos[[#This Row],[Item]]</f>
        <v>Maionese (200g)</v>
      </c>
      <c r="J171" s="27" t="n">
        <f aca="false">IFERROR(alimentos[[#This Row],[kg/embalagem]],0)</f>
        <v>0.2</v>
      </c>
      <c r="K171" s="27" t="n">
        <f aca="false">IFERROR(alimentos[[#This Row],[Preço]],0)</f>
        <v>1.45666666666667</v>
      </c>
      <c r="L171" s="27" t="n">
        <f aca="false">SUMIFS(super1[Qtde],super1[Item],tab_alimentos[[#This Row],[Item]],super1[Bairro],mercado1)+SUMIFS(supercb[Qtde],supercb[Item],tab_alimentos[[#This Row],[Item]],supercb[Bairro],mercado1)</f>
        <v>0</v>
      </c>
      <c r="M171" s="27" t="n">
        <f aca="false">SUMIFS(super1[Qtde],super1[Item],tab_alimentos[[#This Row],[Item]],super1[Bairro],mercado2)+SUMIFS(supercb[Qtde],supercb[Item],tab_alimentos[[#This Row],[Item]],supercb[Bairro],mercado2)</f>
        <v>0</v>
      </c>
      <c r="N171" s="27" t="n">
        <f aca="false">SUMIFS(super1[Qtde],super1[Item],tab_alimentos[[#This Row],[Item]],super1[Bairro],mercado3)+SUMIFS(supercb[Qtde],supercb[Item],tab_alimentos[[#This Row],[Item]],supercb[Bairro],mercado3)</f>
        <v>0</v>
      </c>
      <c r="O171" s="27" t="n">
        <f aca="false">SUMIFS(super1[Qtde],super1[Item],tab_alimentos[[#This Row],[Item]],super1[Bairro],mercado4)+SUMIFS(supercb[Qtde],supercb[Item],tab_alimentos[[#This Row],[Item]],supercb[Bairro],mercado4)</f>
        <v>0</v>
      </c>
      <c r="P171" s="27" t="n">
        <f aca="false">SUMIFS(super1[Qtde],super1[Item],tab_alimentos[[#This Row],[Item]],super1[Bairro],mercado5)+SUMIFS(supercb[Qtde],supercb[Item],tab_alimentos[[#This Row],[Item]],supercb[Bairro],mercado5)</f>
        <v>0</v>
      </c>
      <c r="Q171" s="27" t="n">
        <f aca="false">SUMIFS(super1[Qtde],super1[Item],tab_alimentos[[#This Row],[Item]],super1[Bairro],mercado6)+SUMIFS(supercb[Qtde],supercb[Item],tab_alimentos[[#This Row],[Item]],supercb[Bairro],mercado6)</f>
        <v>0</v>
      </c>
      <c r="R171" s="27" t="n">
        <f aca="false">SUMIFS(super1[Qtde],super1[Item],tab_alimentos[[#This Row],[Item]],super1[Bairro],mercado7)+SUMIFS(supercb[Qtde],supercb[Item],tab_alimentos[[#This Row],[Item]],supercb[Bairro],mercado7)</f>
        <v>0</v>
      </c>
      <c r="S171" s="27" t="n">
        <f aca="false">SUMIFS(super1[Qtde],super1[Item],tab_alimentos[[#This Row],[Item]],super1[Bairro],mercado8)+SUMIFS(supercb[Qtde],supercb[Item],tab_alimentos[[#This Row],[Item]],supercb[Bairro],mercado8)</f>
        <v>0</v>
      </c>
      <c r="T171" s="27" t="n">
        <f aca="false">SUMIFS(super1[Qtde],super1[Item],tab_alimentos[[#This Row],[Item]],super1[Bairro],mercado9)+SUMIFS(supercb[Qtde],supercb[Item],tab_alimentos[[#This Row],[Item]],supercb[Bairro],mercado9)</f>
        <v>0</v>
      </c>
      <c r="U171" s="27" t="n">
        <f aca="false">SUMIFS(super1[Qtde],super1[Item],tab_alimentos[[#This Row],[Item]],super1[Bairro],mercado10)+SUMIFS(supercb[Qtde],supercb[Item],tab_alimentos[[#This Row],[Item]],supercb[Bairro],mercado10)</f>
        <v>0</v>
      </c>
      <c r="V171" s="27" t="n">
        <f aca="false">SUMIFS(super1[Qtde],super1[Item],tab_alimentos[[#This Row],[Item]],super1[Bairro],mercado11)+SUMIFS(supercb[Qtde],supercb[Item],tab_alimentos[[#This Row],[Item]],supercb[Bairro],mercado11)</f>
        <v>0</v>
      </c>
      <c r="W171" s="27" t="n">
        <f aca="false">SUMIFS(super1[Qtde],super1[Item],tab_alimentos[[#This Row],[Item]],super1[Bairro],mercado12)+SUMIFS(supercb[Qtde],supercb[Item],tab_alimentos[[#This Row],[Item]],supercb[Bairro],mercado12)</f>
        <v>0</v>
      </c>
      <c r="X171" s="27" t="n">
        <f aca="false">SUMIFS(super1[Qtde],super1[Item],tab_alimentos[[#This Row],[Item]],super1[Bairro],mercado13)+SUMIFS(supercb[Qtde],supercb[Item],tab_alimentos[[#This Row],[Item]],supercb[Bairro],mercado13)</f>
        <v>0</v>
      </c>
      <c r="Y171" s="27" t="n">
        <f aca="false">SUMIFS(super1[Qtde],super1[Item],tab_alimentos[[#This Row],[Item]],super1[Bairro],mercado14)+SUMIFS(supercb[Qtde],supercb[Item],tab_alimentos[[#This Row],[Item]],supercb[Bairro],mercado14)</f>
        <v>0</v>
      </c>
      <c r="Z171" s="27" t="n">
        <f aca="false">SUMIFS(super1[Qtde],super1[Item],tab_alimentos[[#This Row],[Item]],super1[Bairro],mercado15)+SUMIFS(supercb[Qtde],supercb[Item],tab_alimentos[[#This Row],[Item]],supercb[Bairro],mercado15)</f>
        <v>0</v>
      </c>
      <c r="AA171" s="27" t="n">
        <f aca="false">SUMIFS(super1[Qtde],super1[Item],tab_alimentos[[#This Row],[Item]],super1[Bairro],mercado16)+SUMIFS(supercb[Qtde],supercb[Item],tab_alimentos[[#This Row],[Item]],supercb[Bairro],mercado16)</f>
        <v>0</v>
      </c>
      <c r="AB171" s="27" t="n">
        <f aca="false">SUMIFS(super1[Qtde],super1[Item],tab_alimentos[[#This Row],[Item]],super1[Bairro],mercado17)+SUMIFS(supercb[Qtde],supercb[Item],tab_alimentos[[#This Row],[Item]],supercb[Bairro],mercado17)</f>
        <v>0</v>
      </c>
      <c r="AC171" s="27" t="n">
        <f aca="false">SUMIFS(super1[Qtde],super1[Item],tab_alimentos[[#This Row],[Item]],super1[Bairro],mercado18)+SUMIFS(supercb[Qtde],supercb[Item],tab_alimentos[[#This Row],[Item]],supercb[Bairro],mercado18)</f>
        <v>0</v>
      </c>
      <c r="AD171" s="27" t="n">
        <f aca="false">SUMIFS(super1[Qtde],super1[Item],tab_alimentos[[#This Row],[Item]],super1[Bairro],extras)+SUMIFS(supercb[Qtde],supercb[Item],tab_alimentos[[#This Row],[Item]],supercb[Bairro],extras)</f>
        <v>0</v>
      </c>
      <c r="AE171" s="27" t="n">
        <f aca="false">SUM(L171:AC171)</f>
        <v>0</v>
      </c>
      <c r="AF171" s="27" t="n">
        <f aca="false">IFERROR(AE171*K171,0)</f>
        <v>0</v>
      </c>
      <c r="AG171" s="28" t="n">
        <f aca="false">IFERROR(J171*AE171,0)</f>
        <v>0</v>
      </c>
      <c r="AH171" s="26" t="str">
        <f aca="false">higiene[[#This Row],[Item]]</f>
        <v>Sabão em pó (2,8kg)</v>
      </c>
      <c r="AI171" s="27" t="n">
        <f aca="false">IFERROR(higiene[[#This Row],[Kg equivalente]],0)</f>
        <v>7.45428534761804</v>
      </c>
      <c r="AJ171" s="27" t="n">
        <f aca="false">IFERROR(higiene[[#This Row],[Preço por produto]],0)</f>
        <v>24.6916666666667</v>
      </c>
      <c r="AK171" s="27" t="n">
        <f aca="false">SUMIFS(super1[Qtde],super1[Item],tab_higiene[[#This Row],[Item]],super1[Bairro],mercado1)+SUMIFS(supercb[Qtde],supercb[Item],tab_higiene[[#This Row],[Item]],supercb[Bairro],mercado1)</f>
        <v>0</v>
      </c>
      <c r="AL171" s="27" t="n">
        <f aca="false">SUMIFS(super1[Qtde],super1[Item],tab_higiene[[#This Row],[Item]],super1[Bairro],mercado2)+SUMIFS(supercb[Qtde],supercb[Item],tab_higiene[[#This Row],[Item]],supercb[Bairro],mercado2)</f>
        <v>0</v>
      </c>
      <c r="AM171" s="27" t="n">
        <f aca="false">SUMIFS(super1[Qtde],super1[Item],tab_higiene[[#This Row],[Item]],super1[Bairro],mercado3)+SUMIFS(supercb[Qtde],supercb[Item],tab_higiene[[#This Row],[Item]],supercb[Bairro],mercado3)</f>
        <v>0</v>
      </c>
      <c r="AN171" s="27" t="n">
        <f aca="false">SUMIFS(super1[Qtde],super1[Item],tab_higiene[[#This Row],[Item]],super1[Bairro],mercado4)+SUMIFS(supercb[Qtde],supercb[Item],tab_higiene[[#This Row],[Item]],supercb[Bairro],mercado4)</f>
        <v>0</v>
      </c>
      <c r="AO171" s="27" t="n">
        <f aca="false">SUMIFS(super1[Qtde],super1[Item],tab_higiene[[#This Row],[Item]],super1[Bairro],mercado5)+SUMIFS(supercb[Qtde],supercb[Item],tab_higiene[[#This Row],[Item]],supercb[Bairro],mercado5)</f>
        <v>1</v>
      </c>
      <c r="AP171" s="27" t="n">
        <f aca="false">SUMIFS(super1[Qtde],super1[Item],tab_higiene[[#This Row],[Item]],super1[Bairro],mercado6)+SUMIFS(supercb[Qtde],supercb[Item],tab_higiene[[#This Row],[Item]],supercb[Bairro],mercado6)</f>
        <v>0</v>
      </c>
      <c r="AQ171" s="27" t="n">
        <f aca="false">SUMIFS(super1[Qtde],super1[Item],tab_higiene[[#This Row],[Item]],super1[Bairro],mercado7)+SUMIFS(supercb[Qtde],supercb[Item],tab_higiene[[#This Row],[Item]],supercb[Bairro],mercado7)</f>
        <v>0</v>
      </c>
      <c r="AR171" s="27" t="n">
        <f aca="false">SUMIFS(super1[Qtde],super1[Item],tab_higiene[[#This Row],[Item]],super1[Bairro],mercado8)+SUMIFS(supercb[Qtde],supercb[Item],tab_higiene[[#This Row],[Item]],supercb[Bairro],mercado8)</f>
        <v>0</v>
      </c>
      <c r="AS171" s="27" t="n">
        <f aca="false">SUMIFS(super1[Qtde],super1[Item],tab_higiene[[#This Row],[Item]],super1[Bairro],mercado9)+SUMIFS(supercb[Qtde],supercb[Item],tab_higiene[[#This Row],[Item]],supercb[Bairro],mercado9)</f>
        <v>0</v>
      </c>
      <c r="AT171" s="27" t="n">
        <f aca="false">SUMIFS(super1[Qtde],super1[Item],tab_higiene[[#This Row],[Item]],super1[Bairro],mercado10)+SUMIFS(supercb[Qtde],supercb[Item],tab_higiene[[#This Row],[Item]],supercb[Bairro],mercado10)</f>
        <v>0</v>
      </c>
      <c r="AU171" s="27" t="n">
        <f aca="false">SUMIFS(super1[Qtde],super1[Item],tab_higiene[[#This Row],[Item]],super1[Bairro],mercado11)+SUMIFS(supercb[Qtde],supercb[Item],tab_higiene[[#This Row],[Item]],supercb[Bairro],mercado11)</f>
        <v>0</v>
      </c>
      <c r="AV171" s="27" t="n">
        <f aca="false">SUMIFS(super1[Qtde],super1[Item],tab_higiene[[#This Row],[Item]],super1[Bairro],mercado12)+SUMIFS(supercb[Qtde],supercb[Item],tab_higiene[[#This Row],[Item]],supercb[Bairro],mercado12)</f>
        <v>0</v>
      </c>
      <c r="AW171" s="27" t="n">
        <f aca="false">SUMIFS(super1[Qtde],super1[Item],tab_higiene[[#This Row],[Item]],super1[Bairro],mercado13)+SUMIFS(supercb[Qtde],supercb[Item],tab_higiene[[#This Row],[Item]],supercb[Bairro],mercado13)</f>
        <v>0</v>
      </c>
      <c r="AX171" s="27" t="n">
        <f aca="false">SUMIFS(super1[Qtde],super1[Item],tab_higiene[[#This Row],[Item]],super1[Bairro],mercado14)+SUMIFS(supercb[Qtde],supercb[Item],tab_higiene[[#This Row],[Item]],supercb[Bairro],mercado14)</f>
        <v>0</v>
      </c>
      <c r="AY171" s="27" t="n">
        <f aca="false">SUMIFS(super1[Qtde],super1[Item],tab_higiene[[#This Row],[Item]],super1[Bairro],mercado15)+SUMIFS(supercb[Qtde],supercb[Item],tab_higiene[[#This Row],[Item]],supercb[Bairro],mercado15)</f>
        <v>0</v>
      </c>
      <c r="AZ171" s="27" t="n">
        <f aca="false">SUMIFS(super1[Qtde],super1[Item],tab_higiene[[#This Row],[Item]],super1[Bairro],mercado16)+SUMIFS(supercb[Qtde],supercb[Item],tab_higiene[[#This Row],[Item]],supercb[Bairro],mercado16)</f>
        <v>0</v>
      </c>
      <c r="BA171" s="27" t="n">
        <f aca="false">SUMIFS(super1[Qtde],super1[Item],tab_higiene[[#This Row],[Item]],super1[Bairro],mercado17)+SUMIFS(supercb[Qtde],supercb[Item],tab_higiene[[#This Row],[Item]],supercb[Bairro],mercado17)</f>
        <v>0</v>
      </c>
      <c r="BB171" s="27" t="n">
        <f aca="false">SUMIFS(super1[Qtde],super1[Item],tab_higiene[[#This Row],[Item]],super1[Bairro],mercado18)+SUMIFS(supercb[Qtde],supercb[Item],tab_higiene[[#This Row],[Item]],supercb[Bairro],mercado18)</f>
        <v>0</v>
      </c>
      <c r="BC171" s="27" t="n">
        <f aca="false">SUMIFS(super1[Qtde],super1[Item],tab_higiene[[#This Row],[Item]],super1[Bairro],extras)+SUMIFS(supercb[Qtde],supercb[Item],tab_higiene[[#This Row],[Item]],supercb[Bairro],extras)</f>
        <v>0</v>
      </c>
      <c r="BD171" s="27" t="n">
        <f aca="false">SUM(AK171:BB171)</f>
        <v>1</v>
      </c>
      <c r="BE171" s="27" t="n">
        <f aca="false">IFERROR(BD171*AJ171,0)</f>
        <v>24.6916666666667</v>
      </c>
      <c r="BF171" s="28" t="n">
        <f aca="false">IFERROR(AI171*BD171,0)</f>
        <v>7.45428534761804</v>
      </c>
    </row>
    <row r="172" customFormat="false" ht="15" hidden="false" customHeight="false" outlineLevel="0" collapsed="false">
      <c r="I172" s="26" t="str">
        <f aca="false">alimentos[[#This Row],[Item]]</f>
        <v>Maionese (250g)</v>
      </c>
      <c r="J172" s="27" t="n">
        <f aca="false">IFERROR(alimentos[[#This Row],[kg/embalagem]],0)</f>
        <v>0.25</v>
      </c>
      <c r="K172" s="27" t="n">
        <f aca="false">IFERROR(alimentos[[#This Row],[Preço]],0)</f>
        <v>3.36166666666667</v>
      </c>
      <c r="L172" s="27" t="n">
        <f aca="false">SUMIFS(super1[Qtde],super1[Item],tab_alimentos[[#This Row],[Item]],super1[Bairro],mercado1)+SUMIFS(supercb[Qtde],supercb[Item],tab_alimentos[[#This Row],[Item]],supercb[Bairro],mercado1)</f>
        <v>0</v>
      </c>
      <c r="M172" s="27" t="n">
        <f aca="false">SUMIFS(super1[Qtde],super1[Item],tab_alimentos[[#This Row],[Item]],super1[Bairro],mercado2)+SUMIFS(supercb[Qtde],supercb[Item],tab_alimentos[[#This Row],[Item]],supercb[Bairro],mercado2)</f>
        <v>0</v>
      </c>
      <c r="N172" s="27" t="n">
        <f aca="false">SUMIFS(super1[Qtde],super1[Item],tab_alimentos[[#This Row],[Item]],super1[Bairro],mercado3)+SUMIFS(supercb[Qtde],supercb[Item],tab_alimentos[[#This Row],[Item]],supercb[Bairro],mercado3)</f>
        <v>0</v>
      </c>
      <c r="O172" s="27" t="n">
        <f aca="false">SUMIFS(super1[Qtde],super1[Item],tab_alimentos[[#This Row],[Item]],super1[Bairro],mercado4)+SUMIFS(supercb[Qtde],supercb[Item],tab_alimentos[[#This Row],[Item]],supercb[Bairro],mercado4)</f>
        <v>0</v>
      </c>
      <c r="P172" s="27" t="n">
        <f aca="false">SUMIFS(super1[Qtde],super1[Item],tab_alimentos[[#This Row],[Item]],super1[Bairro],mercado5)+SUMIFS(supercb[Qtde],supercb[Item],tab_alimentos[[#This Row],[Item]],supercb[Bairro],mercado5)</f>
        <v>0</v>
      </c>
      <c r="Q172" s="27" t="n">
        <f aca="false">SUMIFS(super1[Qtde],super1[Item],tab_alimentos[[#This Row],[Item]],super1[Bairro],mercado6)+SUMIFS(supercb[Qtde],supercb[Item],tab_alimentos[[#This Row],[Item]],supercb[Bairro],mercado6)</f>
        <v>0</v>
      </c>
      <c r="R172" s="27" t="n">
        <f aca="false">SUMIFS(super1[Qtde],super1[Item],tab_alimentos[[#This Row],[Item]],super1[Bairro],mercado7)+SUMIFS(supercb[Qtde],supercb[Item],tab_alimentos[[#This Row],[Item]],supercb[Bairro],mercado7)</f>
        <v>0</v>
      </c>
      <c r="S172" s="27" t="n">
        <f aca="false">SUMIFS(super1[Qtde],super1[Item],tab_alimentos[[#This Row],[Item]],super1[Bairro],mercado8)+SUMIFS(supercb[Qtde],supercb[Item],tab_alimentos[[#This Row],[Item]],supercb[Bairro],mercado8)</f>
        <v>0</v>
      </c>
      <c r="T172" s="27" t="n">
        <f aca="false">SUMIFS(super1[Qtde],super1[Item],tab_alimentos[[#This Row],[Item]],super1[Bairro],mercado9)+SUMIFS(supercb[Qtde],supercb[Item],tab_alimentos[[#This Row],[Item]],supercb[Bairro],mercado9)</f>
        <v>0</v>
      </c>
      <c r="U172" s="27" t="n">
        <f aca="false">SUMIFS(super1[Qtde],super1[Item],tab_alimentos[[#This Row],[Item]],super1[Bairro],mercado10)+SUMIFS(supercb[Qtde],supercb[Item],tab_alimentos[[#This Row],[Item]],supercb[Bairro],mercado10)</f>
        <v>0</v>
      </c>
      <c r="V172" s="27" t="n">
        <f aca="false">SUMIFS(super1[Qtde],super1[Item],tab_alimentos[[#This Row],[Item]],super1[Bairro],mercado11)+SUMIFS(supercb[Qtde],supercb[Item],tab_alimentos[[#This Row],[Item]],supercb[Bairro],mercado11)</f>
        <v>0</v>
      </c>
      <c r="W172" s="27" t="n">
        <f aca="false">SUMIFS(super1[Qtde],super1[Item],tab_alimentos[[#This Row],[Item]],super1[Bairro],mercado12)+SUMIFS(supercb[Qtde],supercb[Item],tab_alimentos[[#This Row],[Item]],supercb[Bairro],mercado12)</f>
        <v>0</v>
      </c>
      <c r="X172" s="27" t="n">
        <f aca="false">SUMIFS(super1[Qtde],super1[Item],tab_alimentos[[#This Row],[Item]],super1[Bairro],mercado13)+SUMIFS(supercb[Qtde],supercb[Item],tab_alimentos[[#This Row],[Item]],supercb[Bairro],mercado13)</f>
        <v>0</v>
      </c>
      <c r="Y172" s="27" t="n">
        <f aca="false">SUMIFS(super1[Qtde],super1[Item],tab_alimentos[[#This Row],[Item]],super1[Bairro],mercado14)+SUMIFS(supercb[Qtde],supercb[Item],tab_alimentos[[#This Row],[Item]],supercb[Bairro],mercado14)</f>
        <v>0</v>
      </c>
      <c r="Z172" s="27" t="n">
        <f aca="false">SUMIFS(super1[Qtde],super1[Item],tab_alimentos[[#This Row],[Item]],super1[Bairro],mercado15)+SUMIFS(supercb[Qtde],supercb[Item],tab_alimentos[[#This Row],[Item]],supercb[Bairro],mercado15)</f>
        <v>0</v>
      </c>
      <c r="AA172" s="27" t="n">
        <f aca="false">SUMIFS(super1[Qtde],super1[Item],tab_alimentos[[#This Row],[Item]],super1[Bairro],mercado16)+SUMIFS(supercb[Qtde],supercb[Item],tab_alimentos[[#This Row],[Item]],supercb[Bairro],mercado16)</f>
        <v>0</v>
      </c>
      <c r="AB172" s="27" t="n">
        <f aca="false">SUMIFS(super1[Qtde],super1[Item],tab_alimentos[[#This Row],[Item]],super1[Bairro],mercado17)+SUMIFS(supercb[Qtde],supercb[Item],tab_alimentos[[#This Row],[Item]],supercb[Bairro],mercado17)</f>
        <v>0</v>
      </c>
      <c r="AC172" s="27" t="n">
        <f aca="false">SUMIFS(super1[Qtde],super1[Item],tab_alimentos[[#This Row],[Item]],super1[Bairro],mercado18)+SUMIFS(supercb[Qtde],supercb[Item],tab_alimentos[[#This Row],[Item]],supercb[Bairro],mercado18)</f>
        <v>0</v>
      </c>
      <c r="AD172" s="27" t="n">
        <f aca="false">SUMIFS(super1[Qtde],super1[Item],tab_alimentos[[#This Row],[Item]],super1[Bairro],extras)+SUMIFS(supercb[Qtde],supercb[Item],tab_alimentos[[#This Row],[Item]],supercb[Bairro],extras)</f>
        <v>0</v>
      </c>
      <c r="AE172" s="27" t="n">
        <f aca="false">SUM(L172:AC172)</f>
        <v>0</v>
      </c>
      <c r="AF172" s="27" t="n">
        <f aca="false">IFERROR(AE172*K172,0)</f>
        <v>0</v>
      </c>
      <c r="AG172" s="28" t="n">
        <f aca="false">IFERROR(J172*AE172,0)</f>
        <v>0</v>
      </c>
      <c r="AH172" s="26" t="str">
        <f aca="false">higiene[[#This Row],[Item]]</f>
        <v>Sabão em Pó (2kg)</v>
      </c>
      <c r="AI172" s="27" t="n">
        <f aca="false">IFERROR(higiene[[#This Row],[Kg equivalente]],0)</f>
        <v>3.50550158736786</v>
      </c>
      <c r="AJ172" s="27" t="n">
        <f aca="false">IFERROR(higiene[[#This Row],[Preço por produto]],0)</f>
        <v>11.6116666666667</v>
      </c>
      <c r="AK172" s="27" t="n">
        <f aca="false">SUMIFS(super1[Qtde],super1[Item],tab_higiene[[#This Row],[Item]],super1[Bairro],mercado1)+SUMIFS(supercb[Qtde],supercb[Item],tab_higiene[[#This Row],[Item]],supercb[Bairro],mercado1)</f>
        <v>0</v>
      </c>
      <c r="AL172" s="27" t="n">
        <f aca="false">SUMIFS(super1[Qtde],super1[Item],tab_higiene[[#This Row],[Item]],super1[Bairro],mercado2)+SUMIFS(supercb[Qtde],supercb[Item],tab_higiene[[#This Row],[Item]],supercb[Bairro],mercado2)</f>
        <v>0</v>
      </c>
      <c r="AM172" s="27" t="n">
        <f aca="false">SUMIFS(super1[Qtde],super1[Item],tab_higiene[[#This Row],[Item]],super1[Bairro],mercado3)+SUMIFS(supercb[Qtde],supercb[Item],tab_higiene[[#This Row],[Item]],supercb[Bairro],mercado3)</f>
        <v>0</v>
      </c>
      <c r="AN172" s="27" t="n">
        <f aca="false">SUMIFS(super1[Qtde],super1[Item],tab_higiene[[#This Row],[Item]],super1[Bairro],mercado4)+SUMIFS(supercb[Qtde],supercb[Item],tab_higiene[[#This Row],[Item]],supercb[Bairro],mercado4)</f>
        <v>0</v>
      </c>
      <c r="AO172" s="27" t="n">
        <f aca="false">SUMIFS(super1[Qtde],super1[Item],tab_higiene[[#This Row],[Item]],super1[Bairro],mercado5)+SUMIFS(supercb[Qtde],supercb[Item],tab_higiene[[#This Row],[Item]],supercb[Bairro],mercado5)</f>
        <v>0</v>
      </c>
      <c r="AP172" s="27" t="n">
        <f aca="false">SUMIFS(super1[Qtde],super1[Item],tab_higiene[[#This Row],[Item]],super1[Bairro],mercado6)+SUMIFS(supercb[Qtde],supercb[Item],tab_higiene[[#This Row],[Item]],supercb[Bairro],mercado6)</f>
        <v>0</v>
      </c>
      <c r="AQ172" s="27" t="n">
        <f aca="false">SUMIFS(super1[Qtde],super1[Item],tab_higiene[[#This Row],[Item]],super1[Bairro],mercado7)+SUMIFS(supercb[Qtde],supercb[Item],tab_higiene[[#This Row],[Item]],supercb[Bairro],mercado7)</f>
        <v>0</v>
      </c>
      <c r="AR172" s="27" t="n">
        <f aca="false">SUMIFS(super1[Qtde],super1[Item],tab_higiene[[#This Row],[Item]],super1[Bairro],mercado8)+SUMIFS(supercb[Qtde],supercb[Item],tab_higiene[[#This Row],[Item]],supercb[Bairro],mercado8)</f>
        <v>1</v>
      </c>
      <c r="AS172" s="27" t="n">
        <f aca="false">SUMIFS(super1[Qtde],super1[Item],tab_higiene[[#This Row],[Item]],super1[Bairro],mercado9)+SUMIFS(supercb[Qtde],supercb[Item],tab_higiene[[#This Row],[Item]],supercb[Bairro],mercado9)</f>
        <v>1</v>
      </c>
      <c r="AT172" s="27" t="n">
        <f aca="false">SUMIFS(super1[Qtde],super1[Item],tab_higiene[[#This Row],[Item]],super1[Bairro],mercado10)+SUMIFS(supercb[Qtde],supercb[Item],tab_higiene[[#This Row],[Item]],supercb[Bairro],mercado10)</f>
        <v>1</v>
      </c>
      <c r="AU172" s="27" t="n">
        <f aca="false">SUMIFS(super1[Qtde],super1[Item],tab_higiene[[#This Row],[Item]],super1[Bairro],mercado11)+SUMIFS(supercb[Qtde],supercb[Item],tab_higiene[[#This Row],[Item]],supercb[Bairro],mercado11)</f>
        <v>0</v>
      </c>
      <c r="AV172" s="27" t="n">
        <f aca="false">SUMIFS(super1[Qtde],super1[Item],tab_higiene[[#This Row],[Item]],super1[Bairro],mercado12)+SUMIFS(supercb[Qtde],supercb[Item],tab_higiene[[#This Row],[Item]],supercb[Bairro],mercado12)</f>
        <v>0</v>
      </c>
      <c r="AW172" s="27" t="n">
        <f aca="false">SUMIFS(super1[Qtde],super1[Item],tab_higiene[[#This Row],[Item]],super1[Bairro],mercado13)+SUMIFS(supercb[Qtde],supercb[Item],tab_higiene[[#This Row],[Item]],supercb[Bairro],mercado13)</f>
        <v>1</v>
      </c>
      <c r="AX172" s="27" t="n">
        <f aca="false">SUMIFS(super1[Qtde],super1[Item],tab_higiene[[#This Row],[Item]],super1[Bairro],mercado14)+SUMIFS(supercb[Qtde],supercb[Item],tab_higiene[[#This Row],[Item]],supercb[Bairro],mercado14)</f>
        <v>0</v>
      </c>
      <c r="AY172" s="27" t="n">
        <f aca="false">SUMIFS(super1[Qtde],super1[Item],tab_higiene[[#This Row],[Item]],super1[Bairro],mercado15)+SUMIFS(supercb[Qtde],supercb[Item],tab_higiene[[#This Row],[Item]],supercb[Bairro],mercado15)</f>
        <v>0</v>
      </c>
      <c r="AZ172" s="27" t="n">
        <f aca="false">SUMIFS(super1[Qtde],super1[Item],tab_higiene[[#This Row],[Item]],super1[Bairro],mercado16)+SUMIFS(supercb[Qtde],supercb[Item],tab_higiene[[#This Row],[Item]],supercb[Bairro],mercado16)</f>
        <v>0</v>
      </c>
      <c r="BA172" s="27" t="n">
        <f aca="false">SUMIFS(super1[Qtde],super1[Item],tab_higiene[[#This Row],[Item]],super1[Bairro],mercado17)+SUMIFS(supercb[Qtde],supercb[Item],tab_higiene[[#This Row],[Item]],supercb[Bairro],mercado17)</f>
        <v>0</v>
      </c>
      <c r="BB172" s="27" t="n">
        <f aca="false">SUMIFS(super1[Qtde],super1[Item],tab_higiene[[#This Row],[Item]],super1[Bairro],mercado18)+SUMIFS(supercb[Qtde],supercb[Item],tab_higiene[[#This Row],[Item]],supercb[Bairro],mercado18)</f>
        <v>0</v>
      </c>
      <c r="BC172" s="27" t="n">
        <f aca="false">SUMIFS(super1[Qtde],super1[Item],tab_higiene[[#This Row],[Item]],super1[Bairro],extras)+SUMIFS(supercb[Qtde],supercb[Item],tab_higiene[[#This Row],[Item]],supercb[Bairro],extras)</f>
        <v>0</v>
      </c>
      <c r="BD172" s="27" t="n">
        <f aca="false">SUM(AK172:BB172)</f>
        <v>4</v>
      </c>
      <c r="BE172" s="27" t="n">
        <f aca="false">IFERROR(BD172*AJ172,0)</f>
        <v>46.4466666666667</v>
      </c>
      <c r="BF172" s="28" t="n">
        <f aca="false">IFERROR(AI172*BD172,0)</f>
        <v>14.0220063494714</v>
      </c>
    </row>
    <row r="173" customFormat="false" ht="15" hidden="false" customHeight="false" outlineLevel="0" collapsed="false">
      <c r="I173" s="26" t="str">
        <f aca="false">alimentos[[#This Row],[Item]]</f>
        <v>Maionese (300g)</v>
      </c>
      <c r="J173" s="27" t="n">
        <f aca="false">IFERROR(alimentos[[#This Row],[kg/embalagem]],0)</f>
        <v>0.3</v>
      </c>
      <c r="K173" s="27" t="n">
        <f aca="false">IFERROR(alimentos[[#This Row],[Preço]],0)</f>
        <v>7.71</v>
      </c>
      <c r="L173" s="27" t="n">
        <f aca="false">SUMIFS(super1[Qtde],super1[Item],tab_alimentos[[#This Row],[Item]],super1[Bairro],mercado1)+SUMIFS(supercb[Qtde],supercb[Item],tab_alimentos[[#This Row],[Item]],supercb[Bairro],mercado1)</f>
        <v>0</v>
      </c>
      <c r="M173" s="27" t="n">
        <f aca="false">SUMIFS(super1[Qtde],super1[Item],tab_alimentos[[#This Row],[Item]],super1[Bairro],mercado2)+SUMIFS(supercb[Qtde],supercb[Item],tab_alimentos[[#This Row],[Item]],supercb[Bairro],mercado2)</f>
        <v>0</v>
      </c>
      <c r="N173" s="27" t="n">
        <f aca="false">SUMIFS(super1[Qtde],super1[Item],tab_alimentos[[#This Row],[Item]],super1[Bairro],mercado3)+SUMIFS(supercb[Qtde],supercb[Item],tab_alimentos[[#This Row],[Item]],supercb[Bairro],mercado3)</f>
        <v>0</v>
      </c>
      <c r="O173" s="27" t="n">
        <f aca="false">SUMIFS(super1[Qtde],super1[Item],tab_alimentos[[#This Row],[Item]],super1[Bairro],mercado4)+SUMIFS(supercb[Qtde],supercb[Item],tab_alimentos[[#This Row],[Item]],supercb[Bairro],mercado4)</f>
        <v>0</v>
      </c>
      <c r="P173" s="27" t="n">
        <f aca="false">SUMIFS(super1[Qtde],super1[Item],tab_alimentos[[#This Row],[Item]],super1[Bairro],mercado5)+SUMIFS(supercb[Qtde],supercb[Item],tab_alimentos[[#This Row],[Item]],supercb[Bairro],mercado5)</f>
        <v>0</v>
      </c>
      <c r="Q173" s="27" t="n">
        <f aca="false">SUMIFS(super1[Qtde],super1[Item],tab_alimentos[[#This Row],[Item]],super1[Bairro],mercado6)+SUMIFS(supercb[Qtde],supercb[Item],tab_alimentos[[#This Row],[Item]],supercb[Bairro],mercado6)</f>
        <v>0</v>
      </c>
      <c r="R173" s="27" t="n">
        <f aca="false">SUMIFS(super1[Qtde],super1[Item],tab_alimentos[[#This Row],[Item]],super1[Bairro],mercado7)+SUMIFS(supercb[Qtde],supercb[Item],tab_alimentos[[#This Row],[Item]],supercb[Bairro],mercado7)</f>
        <v>0</v>
      </c>
      <c r="S173" s="27" t="n">
        <f aca="false">SUMIFS(super1[Qtde],super1[Item],tab_alimentos[[#This Row],[Item]],super1[Bairro],mercado8)+SUMIFS(supercb[Qtde],supercb[Item],tab_alimentos[[#This Row],[Item]],supercb[Bairro],mercado8)</f>
        <v>0</v>
      </c>
      <c r="T173" s="27" t="n">
        <f aca="false">SUMIFS(super1[Qtde],super1[Item],tab_alimentos[[#This Row],[Item]],super1[Bairro],mercado9)+SUMIFS(supercb[Qtde],supercb[Item],tab_alimentos[[#This Row],[Item]],supercb[Bairro],mercado9)</f>
        <v>0</v>
      </c>
      <c r="U173" s="27" t="n">
        <f aca="false">SUMIFS(super1[Qtde],super1[Item],tab_alimentos[[#This Row],[Item]],super1[Bairro],mercado10)+SUMIFS(supercb[Qtde],supercb[Item],tab_alimentos[[#This Row],[Item]],supercb[Bairro],mercado10)</f>
        <v>0</v>
      </c>
      <c r="V173" s="27" t="n">
        <f aca="false">SUMIFS(super1[Qtde],super1[Item],tab_alimentos[[#This Row],[Item]],super1[Bairro],mercado11)+SUMIFS(supercb[Qtde],supercb[Item],tab_alimentos[[#This Row],[Item]],supercb[Bairro],mercado11)</f>
        <v>0</v>
      </c>
      <c r="W173" s="27" t="n">
        <f aca="false">SUMIFS(super1[Qtde],super1[Item],tab_alimentos[[#This Row],[Item]],super1[Bairro],mercado12)+SUMIFS(supercb[Qtde],supercb[Item],tab_alimentos[[#This Row],[Item]],supercb[Bairro],mercado12)</f>
        <v>0</v>
      </c>
      <c r="X173" s="27" t="n">
        <f aca="false">SUMIFS(super1[Qtde],super1[Item],tab_alimentos[[#This Row],[Item]],super1[Bairro],mercado13)+SUMIFS(supercb[Qtde],supercb[Item],tab_alimentos[[#This Row],[Item]],supercb[Bairro],mercado13)</f>
        <v>0</v>
      </c>
      <c r="Y173" s="27" t="n">
        <f aca="false">SUMIFS(super1[Qtde],super1[Item],tab_alimentos[[#This Row],[Item]],super1[Bairro],mercado14)+SUMIFS(supercb[Qtde],supercb[Item],tab_alimentos[[#This Row],[Item]],supercb[Bairro],mercado14)</f>
        <v>0</v>
      </c>
      <c r="Z173" s="27" t="n">
        <f aca="false">SUMIFS(super1[Qtde],super1[Item],tab_alimentos[[#This Row],[Item]],super1[Bairro],mercado15)+SUMIFS(supercb[Qtde],supercb[Item],tab_alimentos[[#This Row],[Item]],supercb[Bairro],mercado15)</f>
        <v>0</v>
      </c>
      <c r="AA173" s="27" t="n">
        <f aca="false">SUMIFS(super1[Qtde],super1[Item],tab_alimentos[[#This Row],[Item]],super1[Bairro],mercado16)+SUMIFS(supercb[Qtde],supercb[Item],tab_alimentos[[#This Row],[Item]],supercb[Bairro],mercado16)</f>
        <v>0</v>
      </c>
      <c r="AB173" s="27" t="n">
        <f aca="false">SUMIFS(super1[Qtde],super1[Item],tab_alimentos[[#This Row],[Item]],super1[Bairro],mercado17)+SUMIFS(supercb[Qtde],supercb[Item],tab_alimentos[[#This Row],[Item]],supercb[Bairro],mercado17)</f>
        <v>0</v>
      </c>
      <c r="AC173" s="27" t="n">
        <f aca="false">SUMIFS(super1[Qtde],super1[Item],tab_alimentos[[#This Row],[Item]],super1[Bairro],mercado18)+SUMIFS(supercb[Qtde],supercb[Item],tab_alimentos[[#This Row],[Item]],supercb[Bairro],mercado18)</f>
        <v>0</v>
      </c>
      <c r="AD173" s="27" t="n">
        <f aca="false">SUMIFS(super1[Qtde],super1[Item],tab_alimentos[[#This Row],[Item]],super1[Bairro],extras)+SUMIFS(supercb[Qtde],supercb[Item],tab_alimentos[[#This Row],[Item]],supercb[Bairro],extras)</f>
        <v>0</v>
      </c>
      <c r="AE173" s="27" t="n">
        <f aca="false">SUM(L173:AC173)</f>
        <v>0</v>
      </c>
      <c r="AF173" s="27" t="n">
        <f aca="false">IFERROR(AE173*K173,0)</f>
        <v>0</v>
      </c>
      <c r="AG173" s="28" t="n">
        <f aca="false">IFERROR(J173*AE173,0)</f>
        <v>0</v>
      </c>
      <c r="AH173" s="26" t="str">
        <f aca="false">higiene[[#This Row],[Item]]</f>
        <v>Sabão em Pó (3kg)</v>
      </c>
      <c r="AI173" s="27" t="n">
        <f aca="false">IFERROR(higiene[[#This Row],[Kg equivalente]],0)</f>
        <v>5.59461348499257</v>
      </c>
      <c r="AJ173" s="27" t="n">
        <f aca="false">IFERROR(higiene[[#This Row],[Preço por produto]],0)</f>
        <v>18.5316666666667</v>
      </c>
      <c r="AK173" s="27" t="n">
        <f aca="false">SUMIFS(super1[Qtde],super1[Item],tab_higiene[[#This Row],[Item]],super1[Bairro],mercado1)+SUMIFS(supercb[Qtde],supercb[Item],tab_higiene[[#This Row],[Item]],supercb[Bairro],mercado1)</f>
        <v>0</v>
      </c>
      <c r="AL173" s="27" t="n">
        <f aca="false">SUMIFS(super1[Qtde],super1[Item],tab_higiene[[#This Row],[Item]],super1[Bairro],mercado2)+SUMIFS(supercb[Qtde],supercb[Item],tab_higiene[[#This Row],[Item]],supercb[Bairro],mercado2)</f>
        <v>0</v>
      </c>
      <c r="AM173" s="27" t="n">
        <f aca="false">SUMIFS(super1[Qtde],super1[Item],tab_higiene[[#This Row],[Item]],super1[Bairro],mercado3)+SUMIFS(supercb[Qtde],supercb[Item],tab_higiene[[#This Row],[Item]],supercb[Bairro],mercado3)</f>
        <v>0</v>
      </c>
      <c r="AN173" s="27" t="n">
        <f aca="false">SUMIFS(super1[Qtde],super1[Item],tab_higiene[[#This Row],[Item]],super1[Bairro],mercado4)+SUMIFS(supercb[Qtde],supercb[Item],tab_higiene[[#This Row],[Item]],supercb[Bairro],mercado4)</f>
        <v>0</v>
      </c>
      <c r="AO173" s="27" t="n">
        <f aca="false">SUMIFS(super1[Qtde],super1[Item],tab_higiene[[#This Row],[Item]],super1[Bairro],mercado5)+SUMIFS(supercb[Qtde],supercb[Item],tab_higiene[[#This Row],[Item]],supercb[Bairro],mercado5)</f>
        <v>0</v>
      </c>
      <c r="AP173" s="27" t="n">
        <f aca="false">SUMIFS(super1[Qtde],super1[Item],tab_higiene[[#This Row],[Item]],super1[Bairro],mercado6)+SUMIFS(supercb[Qtde],supercb[Item],tab_higiene[[#This Row],[Item]],supercb[Bairro],mercado6)</f>
        <v>0</v>
      </c>
      <c r="AQ173" s="27" t="n">
        <f aca="false">SUMIFS(super1[Qtde],super1[Item],tab_higiene[[#This Row],[Item]],super1[Bairro],mercado7)+SUMIFS(supercb[Qtde],supercb[Item],tab_higiene[[#This Row],[Item]],supercb[Bairro],mercado7)</f>
        <v>0</v>
      </c>
      <c r="AR173" s="27" t="n">
        <f aca="false">SUMIFS(super1[Qtde],super1[Item],tab_higiene[[#This Row],[Item]],super1[Bairro],mercado8)+SUMIFS(supercb[Qtde],supercb[Item],tab_higiene[[#This Row],[Item]],supercb[Bairro],mercado8)</f>
        <v>0</v>
      </c>
      <c r="AS173" s="27" t="n">
        <f aca="false">SUMIFS(super1[Qtde],super1[Item],tab_higiene[[#This Row],[Item]],super1[Bairro],mercado9)+SUMIFS(supercb[Qtde],supercb[Item],tab_higiene[[#This Row],[Item]],supercb[Bairro],mercado9)</f>
        <v>1</v>
      </c>
      <c r="AT173" s="27" t="n">
        <f aca="false">SUMIFS(super1[Qtde],super1[Item],tab_higiene[[#This Row],[Item]],super1[Bairro],mercado10)+SUMIFS(supercb[Qtde],supercb[Item],tab_higiene[[#This Row],[Item]],supercb[Bairro],mercado10)</f>
        <v>0</v>
      </c>
      <c r="AU173" s="27" t="n">
        <f aca="false">SUMIFS(super1[Qtde],super1[Item],tab_higiene[[#This Row],[Item]],super1[Bairro],mercado11)+SUMIFS(supercb[Qtde],supercb[Item],tab_higiene[[#This Row],[Item]],supercb[Bairro],mercado11)</f>
        <v>0</v>
      </c>
      <c r="AV173" s="27" t="n">
        <f aca="false">SUMIFS(super1[Qtde],super1[Item],tab_higiene[[#This Row],[Item]],super1[Bairro],mercado12)+SUMIFS(supercb[Qtde],supercb[Item],tab_higiene[[#This Row],[Item]],supercb[Bairro],mercado12)</f>
        <v>0</v>
      </c>
      <c r="AW173" s="27" t="n">
        <f aca="false">SUMIFS(super1[Qtde],super1[Item],tab_higiene[[#This Row],[Item]],super1[Bairro],mercado13)+SUMIFS(supercb[Qtde],supercb[Item],tab_higiene[[#This Row],[Item]],supercb[Bairro],mercado13)</f>
        <v>0</v>
      </c>
      <c r="AX173" s="27" t="n">
        <f aca="false">SUMIFS(super1[Qtde],super1[Item],tab_higiene[[#This Row],[Item]],super1[Bairro],mercado14)+SUMIFS(supercb[Qtde],supercb[Item],tab_higiene[[#This Row],[Item]],supercb[Bairro],mercado14)</f>
        <v>0</v>
      </c>
      <c r="AY173" s="27" t="n">
        <f aca="false">SUMIFS(super1[Qtde],super1[Item],tab_higiene[[#This Row],[Item]],super1[Bairro],mercado15)+SUMIFS(supercb[Qtde],supercb[Item],tab_higiene[[#This Row],[Item]],supercb[Bairro],mercado15)</f>
        <v>0</v>
      </c>
      <c r="AZ173" s="27" t="n">
        <f aca="false">SUMIFS(super1[Qtde],super1[Item],tab_higiene[[#This Row],[Item]],super1[Bairro],mercado16)+SUMIFS(supercb[Qtde],supercb[Item],tab_higiene[[#This Row],[Item]],supercb[Bairro],mercado16)</f>
        <v>0</v>
      </c>
      <c r="BA173" s="27" t="n">
        <f aca="false">SUMIFS(super1[Qtde],super1[Item],tab_higiene[[#This Row],[Item]],super1[Bairro],mercado17)+SUMIFS(supercb[Qtde],supercb[Item],tab_higiene[[#This Row],[Item]],supercb[Bairro],mercado17)</f>
        <v>0</v>
      </c>
      <c r="BB173" s="27" t="n">
        <f aca="false">SUMIFS(super1[Qtde],super1[Item],tab_higiene[[#This Row],[Item]],super1[Bairro],mercado18)+SUMIFS(supercb[Qtde],supercb[Item],tab_higiene[[#This Row],[Item]],supercb[Bairro],mercado18)</f>
        <v>0</v>
      </c>
      <c r="BC173" s="27" t="n">
        <f aca="false">SUMIFS(super1[Qtde],super1[Item],tab_higiene[[#This Row],[Item]],super1[Bairro],extras)+SUMIFS(supercb[Qtde],supercb[Item],tab_higiene[[#This Row],[Item]],supercb[Bairro],extras)</f>
        <v>0</v>
      </c>
      <c r="BD173" s="27" t="n">
        <f aca="false">SUM(AK173:BB173)</f>
        <v>1</v>
      </c>
      <c r="BE173" s="27" t="n">
        <f aca="false">IFERROR(BD173*AJ173,0)</f>
        <v>18.5316666666667</v>
      </c>
      <c r="BF173" s="28" t="n">
        <f aca="false">IFERROR(AI173*BD173,0)</f>
        <v>5.59461348499257</v>
      </c>
    </row>
    <row r="174" customFormat="false" ht="15" hidden="false" customHeight="false" outlineLevel="0" collapsed="false">
      <c r="I174" s="26" t="str">
        <f aca="false">alimentos[[#This Row],[Item]]</f>
        <v>Maionese (400g)</v>
      </c>
      <c r="J174" s="27" t="n">
        <f aca="false">IFERROR(alimentos[[#This Row],[kg/embalagem]],0)</f>
        <v>0.4</v>
      </c>
      <c r="K174" s="27" t="n">
        <f aca="false">IFERROR(alimentos[[#This Row],[Preço]],0)</f>
        <v>11.01</v>
      </c>
      <c r="L174" s="27" t="n">
        <f aca="false">SUMIFS(super1[Qtde],super1[Item],tab_alimentos[[#This Row],[Item]],super1[Bairro],mercado1)+SUMIFS(supercb[Qtde],supercb[Item],tab_alimentos[[#This Row],[Item]],supercb[Bairro],mercado1)</f>
        <v>0</v>
      </c>
      <c r="M174" s="27" t="n">
        <f aca="false">SUMIFS(super1[Qtde],super1[Item],tab_alimentos[[#This Row],[Item]],super1[Bairro],mercado2)+SUMIFS(supercb[Qtde],supercb[Item],tab_alimentos[[#This Row],[Item]],supercb[Bairro],mercado2)</f>
        <v>0</v>
      </c>
      <c r="N174" s="27" t="n">
        <f aca="false">SUMIFS(super1[Qtde],super1[Item],tab_alimentos[[#This Row],[Item]],super1[Bairro],mercado3)+SUMIFS(supercb[Qtde],supercb[Item],tab_alimentos[[#This Row],[Item]],supercb[Bairro],mercado3)</f>
        <v>0</v>
      </c>
      <c r="O174" s="27" t="n">
        <f aca="false">SUMIFS(super1[Qtde],super1[Item],tab_alimentos[[#This Row],[Item]],super1[Bairro],mercado4)+SUMIFS(supercb[Qtde],supercb[Item],tab_alimentos[[#This Row],[Item]],supercb[Bairro],mercado4)</f>
        <v>0</v>
      </c>
      <c r="P174" s="27" t="n">
        <f aca="false">SUMIFS(super1[Qtde],super1[Item],tab_alimentos[[#This Row],[Item]],super1[Bairro],mercado5)+SUMIFS(supercb[Qtde],supercb[Item],tab_alimentos[[#This Row],[Item]],supercb[Bairro],mercado5)</f>
        <v>0</v>
      </c>
      <c r="Q174" s="27" t="n">
        <f aca="false">SUMIFS(super1[Qtde],super1[Item],tab_alimentos[[#This Row],[Item]],super1[Bairro],mercado6)+SUMIFS(supercb[Qtde],supercb[Item],tab_alimentos[[#This Row],[Item]],supercb[Bairro],mercado6)</f>
        <v>0</v>
      </c>
      <c r="R174" s="27" t="n">
        <f aca="false">SUMIFS(super1[Qtde],super1[Item],tab_alimentos[[#This Row],[Item]],super1[Bairro],mercado7)+SUMIFS(supercb[Qtde],supercb[Item],tab_alimentos[[#This Row],[Item]],supercb[Bairro],mercado7)</f>
        <v>0</v>
      </c>
      <c r="S174" s="27" t="n">
        <f aca="false">SUMIFS(super1[Qtde],super1[Item],tab_alimentos[[#This Row],[Item]],super1[Bairro],mercado8)+SUMIFS(supercb[Qtde],supercb[Item],tab_alimentos[[#This Row],[Item]],supercb[Bairro],mercado8)</f>
        <v>0</v>
      </c>
      <c r="T174" s="27" t="n">
        <f aca="false">SUMIFS(super1[Qtde],super1[Item],tab_alimentos[[#This Row],[Item]],super1[Bairro],mercado9)+SUMIFS(supercb[Qtde],supercb[Item],tab_alimentos[[#This Row],[Item]],supercb[Bairro],mercado9)</f>
        <v>0</v>
      </c>
      <c r="U174" s="27" t="n">
        <f aca="false">SUMIFS(super1[Qtde],super1[Item],tab_alimentos[[#This Row],[Item]],super1[Bairro],mercado10)+SUMIFS(supercb[Qtde],supercb[Item],tab_alimentos[[#This Row],[Item]],supercb[Bairro],mercado10)</f>
        <v>0</v>
      </c>
      <c r="V174" s="27" t="n">
        <f aca="false">SUMIFS(super1[Qtde],super1[Item],tab_alimentos[[#This Row],[Item]],super1[Bairro],mercado11)+SUMIFS(supercb[Qtde],supercb[Item],tab_alimentos[[#This Row],[Item]],supercb[Bairro],mercado11)</f>
        <v>0</v>
      </c>
      <c r="W174" s="27" t="n">
        <f aca="false">SUMIFS(super1[Qtde],super1[Item],tab_alimentos[[#This Row],[Item]],super1[Bairro],mercado12)+SUMIFS(supercb[Qtde],supercb[Item],tab_alimentos[[#This Row],[Item]],supercb[Bairro],mercado12)</f>
        <v>0</v>
      </c>
      <c r="X174" s="27" t="n">
        <f aca="false">SUMIFS(super1[Qtde],super1[Item],tab_alimentos[[#This Row],[Item]],super1[Bairro],mercado13)+SUMIFS(supercb[Qtde],supercb[Item],tab_alimentos[[#This Row],[Item]],supercb[Bairro],mercado13)</f>
        <v>0</v>
      </c>
      <c r="Y174" s="27" t="n">
        <f aca="false">SUMIFS(super1[Qtde],super1[Item],tab_alimentos[[#This Row],[Item]],super1[Bairro],mercado14)+SUMIFS(supercb[Qtde],supercb[Item],tab_alimentos[[#This Row],[Item]],supercb[Bairro],mercado14)</f>
        <v>0</v>
      </c>
      <c r="Z174" s="27" t="n">
        <f aca="false">SUMIFS(super1[Qtde],super1[Item],tab_alimentos[[#This Row],[Item]],super1[Bairro],mercado15)+SUMIFS(supercb[Qtde],supercb[Item],tab_alimentos[[#This Row],[Item]],supercb[Bairro],mercado15)</f>
        <v>0</v>
      </c>
      <c r="AA174" s="27" t="n">
        <f aca="false">SUMIFS(super1[Qtde],super1[Item],tab_alimentos[[#This Row],[Item]],super1[Bairro],mercado16)+SUMIFS(supercb[Qtde],supercb[Item],tab_alimentos[[#This Row],[Item]],supercb[Bairro],mercado16)</f>
        <v>0</v>
      </c>
      <c r="AB174" s="27" t="n">
        <f aca="false">SUMIFS(super1[Qtde],super1[Item],tab_alimentos[[#This Row],[Item]],super1[Bairro],mercado17)+SUMIFS(supercb[Qtde],supercb[Item],tab_alimentos[[#This Row],[Item]],supercb[Bairro],mercado17)</f>
        <v>0</v>
      </c>
      <c r="AC174" s="27" t="n">
        <f aca="false">SUMIFS(super1[Qtde],super1[Item],tab_alimentos[[#This Row],[Item]],super1[Bairro],mercado18)+SUMIFS(supercb[Qtde],supercb[Item],tab_alimentos[[#This Row],[Item]],supercb[Bairro],mercado18)</f>
        <v>0</v>
      </c>
      <c r="AD174" s="27" t="n">
        <f aca="false">SUMIFS(super1[Qtde],super1[Item],tab_alimentos[[#This Row],[Item]],super1[Bairro],extras)+SUMIFS(supercb[Qtde],supercb[Item],tab_alimentos[[#This Row],[Item]],supercb[Bairro],extras)</f>
        <v>0</v>
      </c>
      <c r="AE174" s="27" t="n">
        <f aca="false">SUM(L174:AC174)</f>
        <v>0</v>
      </c>
      <c r="AF174" s="27" t="n">
        <f aca="false">IFERROR(AE174*K174,0)</f>
        <v>0</v>
      </c>
      <c r="AG174" s="28" t="n">
        <f aca="false">IFERROR(J174*AE174,0)</f>
        <v>0</v>
      </c>
      <c r="AH174" s="26" t="str">
        <f aca="false">higiene[[#This Row],[Item]]</f>
        <v>Sabão Líquido (1L)</v>
      </c>
      <c r="AI174" s="27" t="n">
        <f aca="false">IFERROR(higiene[[#This Row],[Kg equivalente]],0)</f>
        <v>2.69390777935518</v>
      </c>
      <c r="AJ174" s="27" t="n">
        <f aca="false">IFERROR(higiene[[#This Row],[Preço por produto]],0)</f>
        <v>8.92333333333333</v>
      </c>
      <c r="AK174" s="27" t="n">
        <f aca="false">SUMIFS(super1[Qtde],super1[Item],tab_higiene[[#This Row],[Item]],super1[Bairro],mercado1)+SUMIFS(supercb[Qtde],supercb[Item],tab_higiene[[#This Row],[Item]],supercb[Bairro],mercado1)</f>
        <v>0</v>
      </c>
      <c r="AL174" s="27" t="n">
        <f aca="false">SUMIFS(super1[Qtde],super1[Item],tab_higiene[[#This Row],[Item]],super1[Bairro],mercado2)+SUMIFS(supercb[Qtde],supercb[Item],tab_higiene[[#This Row],[Item]],supercb[Bairro],mercado2)</f>
        <v>0</v>
      </c>
      <c r="AM174" s="27" t="n">
        <f aca="false">SUMIFS(super1[Qtde],super1[Item],tab_higiene[[#This Row],[Item]],super1[Bairro],mercado3)+SUMIFS(supercb[Qtde],supercb[Item],tab_higiene[[#This Row],[Item]],supercb[Bairro],mercado3)</f>
        <v>0</v>
      </c>
      <c r="AN174" s="27" t="n">
        <f aca="false">SUMIFS(super1[Qtde],super1[Item],tab_higiene[[#This Row],[Item]],super1[Bairro],mercado4)+SUMIFS(supercb[Qtde],supercb[Item],tab_higiene[[#This Row],[Item]],supercb[Bairro],mercado4)</f>
        <v>0</v>
      </c>
      <c r="AO174" s="27" t="n">
        <f aca="false">SUMIFS(super1[Qtde],super1[Item],tab_higiene[[#This Row],[Item]],super1[Bairro],mercado5)+SUMIFS(supercb[Qtde],supercb[Item],tab_higiene[[#This Row],[Item]],supercb[Bairro],mercado5)</f>
        <v>0</v>
      </c>
      <c r="AP174" s="27" t="n">
        <f aca="false">SUMIFS(super1[Qtde],super1[Item],tab_higiene[[#This Row],[Item]],super1[Bairro],mercado6)+SUMIFS(supercb[Qtde],supercb[Item],tab_higiene[[#This Row],[Item]],supercb[Bairro],mercado6)</f>
        <v>0</v>
      </c>
      <c r="AQ174" s="27" t="n">
        <f aca="false">SUMIFS(super1[Qtde],super1[Item],tab_higiene[[#This Row],[Item]],super1[Bairro],mercado7)+SUMIFS(supercb[Qtde],supercb[Item],tab_higiene[[#This Row],[Item]],supercb[Bairro],mercado7)</f>
        <v>0</v>
      </c>
      <c r="AR174" s="27" t="n">
        <f aca="false">SUMIFS(super1[Qtde],super1[Item],tab_higiene[[#This Row],[Item]],super1[Bairro],mercado8)+SUMIFS(supercb[Qtde],supercb[Item],tab_higiene[[#This Row],[Item]],supercb[Bairro],mercado8)</f>
        <v>1</v>
      </c>
      <c r="AS174" s="27" t="n">
        <f aca="false">SUMIFS(super1[Qtde],super1[Item],tab_higiene[[#This Row],[Item]],super1[Bairro],mercado9)+SUMIFS(supercb[Qtde],supercb[Item],tab_higiene[[#This Row],[Item]],supercb[Bairro],mercado9)</f>
        <v>0</v>
      </c>
      <c r="AT174" s="27" t="n">
        <f aca="false">SUMIFS(super1[Qtde],super1[Item],tab_higiene[[#This Row],[Item]],super1[Bairro],mercado10)+SUMIFS(supercb[Qtde],supercb[Item],tab_higiene[[#This Row],[Item]],supercb[Bairro],mercado10)</f>
        <v>0</v>
      </c>
      <c r="AU174" s="27" t="n">
        <f aca="false">SUMIFS(super1[Qtde],super1[Item],tab_higiene[[#This Row],[Item]],super1[Bairro],mercado11)+SUMIFS(supercb[Qtde],supercb[Item],tab_higiene[[#This Row],[Item]],supercb[Bairro],mercado11)</f>
        <v>0</v>
      </c>
      <c r="AV174" s="27" t="n">
        <f aca="false">SUMIFS(super1[Qtde],super1[Item],tab_higiene[[#This Row],[Item]],super1[Bairro],mercado12)+SUMIFS(supercb[Qtde],supercb[Item],tab_higiene[[#This Row],[Item]],supercb[Bairro],mercado12)</f>
        <v>0</v>
      </c>
      <c r="AW174" s="27" t="n">
        <f aca="false">SUMIFS(super1[Qtde],super1[Item],tab_higiene[[#This Row],[Item]],super1[Bairro],mercado13)+SUMIFS(supercb[Qtde],supercb[Item],tab_higiene[[#This Row],[Item]],supercb[Bairro],mercado13)</f>
        <v>0</v>
      </c>
      <c r="AX174" s="27" t="n">
        <f aca="false">SUMIFS(super1[Qtde],super1[Item],tab_higiene[[#This Row],[Item]],super1[Bairro],mercado14)+SUMIFS(supercb[Qtde],supercb[Item],tab_higiene[[#This Row],[Item]],supercb[Bairro],mercado14)</f>
        <v>0</v>
      </c>
      <c r="AY174" s="27" t="n">
        <f aca="false">SUMIFS(super1[Qtde],super1[Item],tab_higiene[[#This Row],[Item]],super1[Bairro],mercado15)+SUMIFS(supercb[Qtde],supercb[Item],tab_higiene[[#This Row],[Item]],supercb[Bairro],mercado15)</f>
        <v>0</v>
      </c>
      <c r="AZ174" s="27" t="n">
        <f aca="false">SUMIFS(super1[Qtde],super1[Item],tab_higiene[[#This Row],[Item]],super1[Bairro],mercado16)+SUMIFS(supercb[Qtde],supercb[Item],tab_higiene[[#This Row],[Item]],supercb[Bairro],mercado16)</f>
        <v>0</v>
      </c>
      <c r="BA174" s="27" t="n">
        <f aca="false">SUMIFS(super1[Qtde],super1[Item],tab_higiene[[#This Row],[Item]],super1[Bairro],mercado17)+SUMIFS(supercb[Qtde],supercb[Item],tab_higiene[[#This Row],[Item]],supercb[Bairro],mercado17)</f>
        <v>0</v>
      </c>
      <c r="BB174" s="27" t="n">
        <f aca="false">SUMIFS(super1[Qtde],super1[Item],tab_higiene[[#This Row],[Item]],super1[Bairro],mercado18)+SUMIFS(supercb[Qtde],supercb[Item],tab_higiene[[#This Row],[Item]],supercb[Bairro],mercado18)</f>
        <v>0</v>
      </c>
      <c r="BC174" s="27" t="n">
        <f aca="false">SUMIFS(super1[Qtde],super1[Item],tab_higiene[[#This Row],[Item]],super1[Bairro],extras)+SUMIFS(supercb[Qtde],supercb[Item],tab_higiene[[#This Row],[Item]],supercb[Bairro],extras)</f>
        <v>0</v>
      </c>
      <c r="BD174" s="27" t="n">
        <f aca="false">SUM(AK174:BB174)</f>
        <v>1</v>
      </c>
      <c r="BE174" s="27" t="n">
        <f aca="false">IFERROR(BD174*AJ174,0)</f>
        <v>8.92333333333333</v>
      </c>
      <c r="BF174" s="28" t="n">
        <f aca="false">IFERROR(AI174*BD174,0)</f>
        <v>2.69390777935518</v>
      </c>
    </row>
    <row r="175" customFormat="false" ht="15" hidden="false" customHeight="false" outlineLevel="0" collapsed="false">
      <c r="I175" s="26" t="str">
        <f aca="false">alimentos[[#This Row],[Item]]</f>
        <v>Maionese (500g)</v>
      </c>
      <c r="J175" s="27" t="n">
        <f aca="false">IFERROR(alimentos[[#This Row],[kg/embalagem]],0)</f>
        <v>0.5</v>
      </c>
      <c r="K175" s="27" t="n">
        <f aca="false">IFERROR(alimentos[[#This Row],[Preço]],0)</f>
        <v>2.82</v>
      </c>
      <c r="L175" s="27" t="n">
        <f aca="false">SUMIFS(super1[Qtde],super1[Item],tab_alimentos[[#This Row],[Item]],super1[Bairro],mercado1)+SUMIFS(supercb[Qtde],supercb[Item],tab_alimentos[[#This Row],[Item]],supercb[Bairro],mercado1)</f>
        <v>0</v>
      </c>
      <c r="M175" s="27" t="n">
        <f aca="false">SUMIFS(super1[Qtde],super1[Item],tab_alimentos[[#This Row],[Item]],super1[Bairro],mercado2)+SUMIFS(supercb[Qtde],supercb[Item],tab_alimentos[[#This Row],[Item]],supercb[Bairro],mercado2)</f>
        <v>0</v>
      </c>
      <c r="N175" s="27" t="n">
        <f aca="false">SUMIFS(super1[Qtde],super1[Item],tab_alimentos[[#This Row],[Item]],super1[Bairro],mercado3)+SUMIFS(supercb[Qtde],supercb[Item],tab_alimentos[[#This Row],[Item]],supercb[Bairro],mercado3)</f>
        <v>0</v>
      </c>
      <c r="O175" s="27" t="n">
        <f aca="false">SUMIFS(super1[Qtde],super1[Item],tab_alimentos[[#This Row],[Item]],super1[Bairro],mercado4)+SUMIFS(supercb[Qtde],supercb[Item],tab_alimentos[[#This Row],[Item]],supercb[Bairro],mercado4)</f>
        <v>0</v>
      </c>
      <c r="P175" s="27" t="n">
        <f aca="false">SUMIFS(super1[Qtde],super1[Item],tab_alimentos[[#This Row],[Item]],super1[Bairro],mercado5)+SUMIFS(supercb[Qtde],supercb[Item],tab_alimentos[[#This Row],[Item]],supercb[Bairro],mercado5)</f>
        <v>0</v>
      </c>
      <c r="Q175" s="27" t="n">
        <f aca="false">SUMIFS(super1[Qtde],super1[Item],tab_alimentos[[#This Row],[Item]],super1[Bairro],mercado6)+SUMIFS(supercb[Qtde],supercb[Item],tab_alimentos[[#This Row],[Item]],supercb[Bairro],mercado6)</f>
        <v>0</v>
      </c>
      <c r="R175" s="27" t="n">
        <f aca="false">SUMIFS(super1[Qtde],super1[Item],tab_alimentos[[#This Row],[Item]],super1[Bairro],mercado7)+SUMIFS(supercb[Qtde],supercb[Item],tab_alimentos[[#This Row],[Item]],supercb[Bairro],mercado7)</f>
        <v>0</v>
      </c>
      <c r="S175" s="27" t="n">
        <f aca="false">SUMIFS(super1[Qtde],super1[Item],tab_alimentos[[#This Row],[Item]],super1[Bairro],mercado8)+SUMIFS(supercb[Qtde],supercb[Item],tab_alimentos[[#This Row],[Item]],supercb[Bairro],mercado8)</f>
        <v>0</v>
      </c>
      <c r="T175" s="27" t="n">
        <f aca="false">SUMIFS(super1[Qtde],super1[Item],tab_alimentos[[#This Row],[Item]],super1[Bairro],mercado9)+SUMIFS(supercb[Qtde],supercb[Item],tab_alimentos[[#This Row],[Item]],supercb[Bairro],mercado9)</f>
        <v>0</v>
      </c>
      <c r="U175" s="27" t="n">
        <f aca="false">SUMIFS(super1[Qtde],super1[Item],tab_alimentos[[#This Row],[Item]],super1[Bairro],mercado10)+SUMIFS(supercb[Qtde],supercb[Item],tab_alimentos[[#This Row],[Item]],supercb[Bairro],mercado10)</f>
        <v>1</v>
      </c>
      <c r="V175" s="27" t="n">
        <f aca="false">SUMIFS(super1[Qtde],super1[Item],tab_alimentos[[#This Row],[Item]],super1[Bairro],mercado11)+SUMIFS(supercb[Qtde],supercb[Item],tab_alimentos[[#This Row],[Item]],supercb[Bairro],mercado11)</f>
        <v>1</v>
      </c>
      <c r="W175" s="27" t="n">
        <f aca="false">SUMIFS(super1[Qtde],super1[Item],tab_alimentos[[#This Row],[Item]],super1[Bairro],mercado12)+SUMIFS(supercb[Qtde],supercb[Item],tab_alimentos[[#This Row],[Item]],supercb[Bairro],mercado12)</f>
        <v>0</v>
      </c>
      <c r="X175" s="27" t="n">
        <f aca="false">SUMIFS(super1[Qtde],super1[Item],tab_alimentos[[#This Row],[Item]],super1[Bairro],mercado13)+SUMIFS(supercb[Qtde],supercb[Item],tab_alimentos[[#This Row],[Item]],supercb[Bairro],mercado13)</f>
        <v>0</v>
      </c>
      <c r="Y175" s="27" t="n">
        <f aca="false">SUMIFS(super1[Qtde],super1[Item],tab_alimentos[[#This Row],[Item]],super1[Bairro],mercado14)+SUMIFS(supercb[Qtde],supercb[Item],tab_alimentos[[#This Row],[Item]],supercb[Bairro],mercado14)</f>
        <v>0</v>
      </c>
      <c r="Z175" s="27" t="n">
        <f aca="false">SUMIFS(super1[Qtde],super1[Item],tab_alimentos[[#This Row],[Item]],super1[Bairro],mercado15)+SUMIFS(supercb[Qtde],supercb[Item],tab_alimentos[[#This Row],[Item]],supercb[Bairro],mercado15)</f>
        <v>0</v>
      </c>
      <c r="AA175" s="27" t="n">
        <f aca="false">SUMIFS(super1[Qtde],super1[Item],tab_alimentos[[#This Row],[Item]],super1[Bairro],mercado16)+SUMIFS(supercb[Qtde],supercb[Item],tab_alimentos[[#This Row],[Item]],supercb[Bairro],mercado16)</f>
        <v>0</v>
      </c>
      <c r="AB175" s="27" t="n">
        <f aca="false">SUMIFS(super1[Qtde],super1[Item],tab_alimentos[[#This Row],[Item]],super1[Bairro],mercado17)+SUMIFS(supercb[Qtde],supercb[Item],tab_alimentos[[#This Row],[Item]],supercb[Bairro],mercado17)</f>
        <v>0</v>
      </c>
      <c r="AC175" s="27" t="n">
        <f aca="false">SUMIFS(super1[Qtde],super1[Item],tab_alimentos[[#This Row],[Item]],super1[Bairro],mercado18)+SUMIFS(supercb[Qtde],supercb[Item],tab_alimentos[[#This Row],[Item]],supercb[Bairro],mercado18)</f>
        <v>0</v>
      </c>
      <c r="AD175" s="27" t="n">
        <f aca="false">SUMIFS(super1[Qtde],super1[Item],tab_alimentos[[#This Row],[Item]],super1[Bairro],extras)+SUMIFS(supercb[Qtde],supercb[Item],tab_alimentos[[#This Row],[Item]],supercb[Bairro],extras)</f>
        <v>0</v>
      </c>
      <c r="AE175" s="27" t="n">
        <f aca="false">SUM(L175:AC175)</f>
        <v>2</v>
      </c>
      <c r="AF175" s="27" t="n">
        <f aca="false">IFERROR(AE175*K175,0)</f>
        <v>5.64</v>
      </c>
      <c r="AG175" s="28" t="n">
        <f aca="false">IFERROR(J175*AE175,0)</f>
        <v>1</v>
      </c>
      <c r="AH175" s="26" t="str">
        <f aca="false">higiene[[#This Row],[Item]]</f>
        <v>Sabão Líquido (2L)</v>
      </c>
      <c r="AI175" s="27" t="n">
        <f aca="false">IFERROR(higiene[[#This Row],[Kg equivalente]],0)</f>
        <v>2.01967609755915</v>
      </c>
      <c r="AJ175" s="27" t="n">
        <f aca="false">IFERROR(higiene[[#This Row],[Preço por produto]],0)</f>
        <v>6.69</v>
      </c>
      <c r="AK175" s="27" t="n">
        <f aca="false">SUMIFS(super1[Qtde],super1[Item],tab_higiene[[#This Row],[Item]],super1[Bairro],mercado1)+SUMIFS(supercb[Qtde],supercb[Item],tab_higiene[[#This Row],[Item]],supercb[Bairro],mercado1)</f>
        <v>0</v>
      </c>
      <c r="AL175" s="27" t="n">
        <f aca="false">SUMIFS(super1[Qtde],super1[Item],tab_higiene[[#This Row],[Item]],super1[Bairro],mercado2)+SUMIFS(supercb[Qtde],supercb[Item],tab_higiene[[#This Row],[Item]],supercb[Bairro],mercado2)</f>
        <v>0</v>
      </c>
      <c r="AM175" s="27" t="n">
        <f aca="false">SUMIFS(super1[Qtde],super1[Item],tab_higiene[[#This Row],[Item]],super1[Bairro],mercado3)+SUMIFS(supercb[Qtde],supercb[Item],tab_higiene[[#This Row],[Item]],supercb[Bairro],mercado3)</f>
        <v>0</v>
      </c>
      <c r="AN175" s="27" t="n">
        <f aca="false">SUMIFS(super1[Qtde],super1[Item],tab_higiene[[#This Row],[Item]],super1[Bairro],mercado4)+SUMIFS(supercb[Qtde],supercb[Item],tab_higiene[[#This Row],[Item]],supercb[Bairro],mercado4)</f>
        <v>0</v>
      </c>
      <c r="AO175" s="27" t="n">
        <f aca="false">SUMIFS(super1[Qtde],super1[Item],tab_higiene[[#This Row],[Item]],super1[Bairro],mercado5)+SUMIFS(supercb[Qtde],supercb[Item],tab_higiene[[#This Row],[Item]],supercb[Bairro],mercado5)</f>
        <v>0</v>
      </c>
      <c r="AP175" s="27" t="n">
        <f aca="false">SUMIFS(super1[Qtde],super1[Item],tab_higiene[[#This Row],[Item]],super1[Bairro],mercado6)+SUMIFS(supercb[Qtde],supercb[Item],tab_higiene[[#This Row],[Item]],supercb[Bairro],mercado6)</f>
        <v>0</v>
      </c>
      <c r="AQ175" s="27" t="n">
        <f aca="false">SUMIFS(super1[Qtde],super1[Item],tab_higiene[[#This Row],[Item]],super1[Bairro],mercado7)+SUMIFS(supercb[Qtde],supercb[Item],tab_higiene[[#This Row],[Item]],supercb[Bairro],mercado7)</f>
        <v>0</v>
      </c>
      <c r="AR175" s="27" t="n">
        <f aca="false">SUMIFS(super1[Qtde],super1[Item],tab_higiene[[#This Row],[Item]],super1[Bairro],mercado8)+SUMIFS(supercb[Qtde],supercb[Item],tab_higiene[[#This Row],[Item]],supercb[Bairro],mercado8)</f>
        <v>0</v>
      </c>
      <c r="AS175" s="27" t="n">
        <f aca="false">SUMIFS(super1[Qtde],super1[Item],tab_higiene[[#This Row],[Item]],super1[Bairro],mercado9)+SUMIFS(supercb[Qtde],supercb[Item],tab_higiene[[#This Row],[Item]],supercb[Bairro],mercado9)</f>
        <v>0</v>
      </c>
      <c r="AT175" s="27" t="n">
        <f aca="false">SUMIFS(super1[Qtde],super1[Item],tab_higiene[[#This Row],[Item]],super1[Bairro],mercado10)+SUMIFS(supercb[Qtde],supercb[Item],tab_higiene[[#This Row],[Item]],supercb[Bairro],mercado10)</f>
        <v>0</v>
      </c>
      <c r="AU175" s="27" t="n">
        <f aca="false">SUMIFS(super1[Qtde],super1[Item],tab_higiene[[#This Row],[Item]],super1[Bairro],mercado11)+SUMIFS(supercb[Qtde],supercb[Item],tab_higiene[[#This Row],[Item]],supercb[Bairro],mercado11)</f>
        <v>0</v>
      </c>
      <c r="AV175" s="27" t="n">
        <f aca="false">SUMIFS(super1[Qtde],super1[Item],tab_higiene[[#This Row],[Item]],super1[Bairro],mercado12)+SUMIFS(supercb[Qtde],supercb[Item],tab_higiene[[#This Row],[Item]],supercb[Bairro],mercado12)</f>
        <v>0</v>
      </c>
      <c r="AW175" s="27" t="n">
        <f aca="false">SUMIFS(super1[Qtde],super1[Item],tab_higiene[[#This Row],[Item]],super1[Bairro],mercado13)+SUMIFS(supercb[Qtde],supercb[Item],tab_higiene[[#This Row],[Item]],supercb[Bairro],mercado13)</f>
        <v>0</v>
      </c>
      <c r="AX175" s="27" t="n">
        <f aca="false">SUMIFS(super1[Qtde],super1[Item],tab_higiene[[#This Row],[Item]],super1[Bairro],mercado14)+SUMIFS(supercb[Qtde],supercb[Item],tab_higiene[[#This Row],[Item]],supercb[Bairro],mercado14)</f>
        <v>0</v>
      </c>
      <c r="AY175" s="27" t="n">
        <f aca="false">SUMIFS(super1[Qtde],super1[Item],tab_higiene[[#This Row],[Item]],super1[Bairro],mercado15)+SUMIFS(supercb[Qtde],supercb[Item],tab_higiene[[#This Row],[Item]],supercb[Bairro],mercado15)</f>
        <v>0</v>
      </c>
      <c r="AZ175" s="27" t="n">
        <f aca="false">SUMIFS(super1[Qtde],super1[Item],tab_higiene[[#This Row],[Item]],super1[Bairro],mercado16)+SUMIFS(supercb[Qtde],supercb[Item],tab_higiene[[#This Row],[Item]],supercb[Bairro],mercado16)</f>
        <v>0</v>
      </c>
      <c r="BA175" s="27" t="n">
        <f aca="false">SUMIFS(super1[Qtde],super1[Item],tab_higiene[[#This Row],[Item]],super1[Bairro],mercado17)+SUMIFS(supercb[Qtde],supercb[Item],tab_higiene[[#This Row],[Item]],supercb[Bairro],mercado17)</f>
        <v>0</v>
      </c>
      <c r="BB175" s="27" t="n">
        <f aca="false">SUMIFS(super1[Qtde],super1[Item],tab_higiene[[#This Row],[Item]],super1[Bairro],mercado18)+SUMIFS(supercb[Qtde],supercb[Item],tab_higiene[[#This Row],[Item]],supercb[Bairro],mercado18)</f>
        <v>0</v>
      </c>
      <c r="BC175" s="27" t="n">
        <f aca="false">SUMIFS(super1[Qtde],super1[Item],tab_higiene[[#This Row],[Item]],super1[Bairro],extras)+SUMIFS(supercb[Qtde],supercb[Item],tab_higiene[[#This Row],[Item]],supercb[Bairro],extras)</f>
        <v>0</v>
      </c>
      <c r="BD175" s="27" t="n">
        <f aca="false">SUM(AK175:BB175)</f>
        <v>0</v>
      </c>
      <c r="BE175" s="27" t="n">
        <f aca="false">IFERROR(BD175*AJ175,0)</f>
        <v>0</v>
      </c>
      <c r="BF175" s="28" t="n">
        <f aca="false">IFERROR(AI175*BD175,0)</f>
        <v>0</v>
      </c>
    </row>
    <row r="176" customFormat="false" ht="15" hidden="false" customHeight="false" outlineLevel="0" collapsed="false">
      <c r="I176" s="26" t="str">
        <f aca="false">alimentos[[#This Row],[Item]]</f>
        <v>Maionese (700g)</v>
      </c>
      <c r="J176" s="27" t="n">
        <f aca="false">IFERROR(alimentos[[#This Row],[kg/embalagem]],0)</f>
        <v>0.7</v>
      </c>
      <c r="K176" s="27" t="n">
        <f aca="false">IFERROR(alimentos[[#This Row],[Preço]],0)</f>
        <v>10.2575</v>
      </c>
      <c r="L176" s="27" t="n">
        <f aca="false">SUMIFS(super1[Qtde],super1[Item],tab_alimentos[[#This Row],[Item]],super1[Bairro],mercado1)+SUMIFS(supercb[Qtde],supercb[Item],tab_alimentos[[#This Row],[Item]],supercb[Bairro],mercado1)</f>
        <v>0</v>
      </c>
      <c r="M176" s="27" t="n">
        <f aca="false">SUMIFS(super1[Qtde],super1[Item],tab_alimentos[[#This Row],[Item]],super1[Bairro],mercado2)+SUMIFS(supercb[Qtde],supercb[Item],tab_alimentos[[#This Row],[Item]],supercb[Bairro],mercado2)</f>
        <v>0</v>
      </c>
      <c r="N176" s="27" t="n">
        <f aca="false">SUMIFS(super1[Qtde],super1[Item],tab_alimentos[[#This Row],[Item]],super1[Bairro],mercado3)+SUMIFS(supercb[Qtde],supercb[Item],tab_alimentos[[#This Row],[Item]],supercb[Bairro],mercado3)</f>
        <v>0</v>
      </c>
      <c r="O176" s="27" t="n">
        <f aca="false">SUMIFS(super1[Qtde],super1[Item],tab_alimentos[[#This Row],[Item]],super1[Bairro],mercado4)+SUMIFS(supercb[Qtde],supercb[Item],tab_alimentos[[#This Row],[Item]],supercb[Bairro],mercado4)</f>
        <v>0</v>
      </c>
      <c r="P176" s="27" t="n">
        <f aca="false">SUMIFS(super1[Qtde],super1[Item],tab_alimentos[[#This Row],[Item]],super1[Bairro],mercado5)+SUMIFS(supercb[Qtde],supercb[Item],tab_alimentos[[#This Row],[Item]],supercb[Bairro],mercado5)</f>
        <v>0</v>
      </c>
      <c r="Q176" s="27" t="n">
        <f aca="false">SUMIFS(super1[Qtde],super1[Item],tab_alimentos[[#This Row],[Item]],super1[Bairro],mercado6)+SUMIFS(supercb[Qtde],supercb[Item],tab_alimentos[[#This Row],[Item]],supercb[Bairro],mercado6)</f>
        <v>0</v>
      </c>
      <c r="R176" s="27" t="n">
        <f aca="false">SUMIFS(super1[Qtde],super1[Item],tab_alimentos[[#This Row],[Item]],super1[Bairro],mercado7)+SUMIFS(supercb[Qtde],supercb[Item],tab_alimentos[[#This Row],[Item]],supercb[Bairro],mercado7)</f>
        <v>0</v>
      </c>
      <c r="S176" s="27" t="n">
        <f aca="false">SUMIFS(super1[Qtde],super1[Item],tab_alimentos[[#This Row],[Item]],super1[Bairro],mercado8)+SUMIFS(supercb[Qtde],supercb[Item],tab_alimentos[[#This Row],[Item]],supercb[Bairro],mercado8)</f>
        <v>0</v>
      </c>
      <c r="T176" s="27" t="n">
        <f aca="false">SUMIFS(super1[Qtde],super1[Item],tab_alimentos[[#This Row],[Item]],super1[Bairro],mercado9)+SUMIFS(supercb[Qtde],supercb[Item],tab_alimentos[[#This Row],[Item]],supercb[Bairro],mercado9)</f>
        <v>0</v>
      </c>
      <c r="U176" s="27" t="n">
        <f aca="false">SUMIFS(super1[Qtde],super1[Item],tab_alimentos[[#This Row],[Item]],super1[Bairro],mercado10)+SUMIFS(supercb[Qtde],supercb[Item],tab_alimentos[[#This Row],[Item]],supercb[Bairro],mercado10)</f>
        <v>0</v>
      </c>
      <c r="V176" s="27" t="n">
        <f aca="false">SUMIFS(super1[Qtde],super1[Item],tab_alimentos[[#This Row],[Item]],super1[Bairro],mercado11)+SUMIFS(supercb[Qtde],supercb[Item],tab_alimentos[[#This Row],[Item]],supercb[Bairro],mercado11)</f>
        <v>0</v>
      </c>
      <c r="W176" s="27" t="n">
        <f aca="false">SUMIFS(super1[Qtde],super1[Item],tab_alimentos[[#This Row],[Item]],super1[Bairro],mercado12)+SUMIFS(supercb[Qtde],supercb[Item],tab_alimentos[[#This Row],[Item]],supercb[Bairro],mercado12)</f>
        <v>0</v>
      </c>
      <c r="X176" s="27" t="n">
        <f aca="false">SUMIFS(super1[Qtde],super1[Item],tab_alimentos[[#This Row],[Item]],super1[Bairro],mercado13)+SUMIFS(supercb[Qtde],supercb[Item],tab_alimentos[[#This Row],[Item]],supercb[Bairro],mercado13)</f>
        <v>0</v>
      </c>
      <c r="Y176" s="27" t="n">
        <f aca="false">SUMIFS(super1[Qtde],super1[Item],tab_alimentos[[#This Row],[Item]],super1[Bairro],mercado14)+SUMIFS(supercb[Qtde],supercb[Item],tab_alimentos[[#This Row],[Item]],supercb[Bairro],mercado14)</f>
        <v>0</v>
      </c>
      <c r="Z176" s="27" t="n">
        <f aca="false">SUMIFS(super1[Qtde],super1[Item],tab_alimentos[[#This Row],[Item]],super1[Bairro],mercado15)+SUMIFS(supercb[Qtde],supercb[Item],tab_alimentos[[#This Row],[Item]],supercb[Bairro],mercado15)</f>
        <v>0</v>
      </c>
      <c r="AA176" s="27" t="n">
        <f aca="false">SUMIFS(super1[Qtde],super1[Item],tab_alimentos[[#This Row],[Item]],super1[Bairro],mercado16)+SUMIFS(supercb[Qtde],supercb[Item],tab_alimentos[[#This Row],[Item]],supercb[Bairro],mercado16)</f>
        <v>0</v>
      </c>
      <c r="AB176" s="27" t="n">
        <f aca="false">SUMIFS(super1[Qtde],super1[Item],tab_alimentos[[#This Row],[Item]],super1[Bairro],mercado17)+SUMIFS(supercb[Qtde],supercb[Item],tab_alimentos[[#This Row],[Item]],supercb[Bairro],mercado17)</f>
        <v>0</v>
      </c>
      <c r="AC176" s="27" t="n">
        <f aca="false">SUMIFS(super1[Qtde],super1[Item],tab_alimentos[[#This Row],[Item]],super1[Bairro],mercado18)+SUMIFS(supercb[Qtde],supercb[Item],tab_alimentos[[#This Row],[Item]],supercb[Bairro],mercado18)</f>
        <v>0</v>
      </c>
      <c r="AD176" s="27" t="n">
        <f aca="false">SUMIFS(super1[Qtde],super1[Item],tab_alimentos[[#This Row],[Item]],super1[Bairro],extras)+SUMIFS(supercb[Qtde],supercb[Item],tab_alimentos[[#This Row],[Item]],supercb[Bairro],extras)</f>
        <v>0</v>
      </c>
      <c r="AE176" s="27" t="n">
        <f aca="false">SUM(L176:AC176)</f>
        <v>0</v>
      </c>
      <c r="AF176" s="27" t="n">
        <f aca="false">IFERROR(AE176*K176,0)</f>
        <v>0</v>
      </c>
      <c r="AG176" s="28" t="n">
        <f aca="false">IFERROR(J176*AE176,0)</f>
        <v>0</v>
      </c>
      <c r="AH176" s="26" t="str">
        <f aca="false">higiene[[#This Row],[Item]]</f>
        <v>Sabão Líquido (3L)</v>
      </c>
      <c r="AI176" s="27" t="n">
        <f aca="false">IFERROR(higiene[[#This Row],[Kg equivalente]],0)</f>
        <v>5.12617341353578</v>
      </c>
      <c r="AJ176" s="27" t="n">
        <f aca="false">IFERROR(higiene[[#This Row],[Preço por produto]],0)</f>
        <v>16.98</v>
      </c>
      <c r="AK176" s="27" t="n">
        <f aca="false">SUMIFS(super1[Qtde],super1[Item],tab_higiene[[#This Row],[Item]],super1[Bairro],mercado1)+SUMIFS(supercb[Qtde],supercb[Item],tab_higiene[[#This Row],[Item]],supercb[Bairro],mercado1)</f>
        <v>0</v>
      </c>
      <c r="AL176" s="27" t="n">
        <f aca="false">SUMIFS(super1[Qtde],super1[Item],tab_higiene[[#This Row],[Item]],super1[Bairro],mercado2)+SUMIFS(supercb[Qtde],supercb[Item],tab_higiene[[#This Row],[Item]],supercb[Bairro],mercado2)</f>
        <v>0</v>
      </c>
      <c r="AM176" s="27" t="n">
        <f aca="false">SUMIFS(super1[Qtde],super1[Item],tab_higiene[[#This Row],[Item]],super1[Bairro],mercado3)+SUMIFS(supercb[Qtde],supercb[Item],tab_higiene[[#This Row],[Item]],supercb[Bairro],mercado3)</f>
        <v>0</v>
      </c>
      <c r="AN176" s="27" t="n">
        <f aca="false">SUMIFS(super1[Qtde],super1[Item],tab_higiene[[#This Row],[Item]],super1[Bairro],mercado4)+SUMIFS(supercb[Qtde],supercb[Item],tab_higiene[[#This Row],[Item]],supercb[Bairro],mercado4)</f>
        <v>0</v>
      </c>
      <c r="AO176" s="27" t="n">
        <f aca="false">SUMIFS(super1[Qtde],super1[Item],tab_higiene[[#This Row],[Item]],super1[Bairro],mercado5)+SUMIFS(supercb[Qtde],supercb[Item],tab_higiene[[#This Row],[Item]],supercb[Bairro],mercado5)</f>
        <v>0</v>
      </c>
      <c r="AP176" s="27" t="n">
        <f aca="false">SUMIFS(super1[Qtde],super1[Item],tab_higiene[[#This Row],[Item]],super1[Bairro],mercado6)+SUMIFS(supercb[Qtde],supercb[Item],tab_higiene[[#This Row],[Item]],supercb[Bairro],mercado6)</f>
        <v>0</v>
      </c>
      <c r="AQ176" s="27" t="n">
        <f aca="false">SUMIFS(super1[Qtde],super1[Item],tab_higiene[[#This Row],[Item]],super1[Bairro],mercado7)+SUMIFS(supercb[Qtde],supercb[Item],tab_higiene[[#This Row],[Item]],supercb[Bairro],mercado7)</f>
        <v>0</v>
      </c>
      <c r="AR176" s="27" t="n">
        <f aca="false">SUMIFS(super1[Qtde],super1[Item],tab_higiene[[#This Row],[Item]],super1[Bairro],mercado8)+SUMIFS(supercb[Qtde],supercb[Item],tab_higiene[[#This Row],[Item]],supercb[Bairro],mercado8)</f>
        <v>0</v>
      </c>
      <c r="AS176" s="27" t="n">
        <f aca="false">SUMIFS(super1[Qtde],super1[Item],tab_higiene[[#This Row],[Item]],super1[Bairro],mercado9)+SUMIFS(supercb[Qtde],supercb[Item],tab_higiene[[#This Row],[Item]],supercb[Bairro],mercado9)</f>
        <v>0</v>
      </c>
      <c r="AT176" s="27" t="n">
        <f aca="false">SUMIFS(super1[Qtde],super1[Item],tab_higiene[[#This Row],[Item]],super1[Bairro],mercado10)+SUMIFS(supercb[Qtde],supercb[Item],tab_higiene[[#This Row],[Item]],supercb[Bairro],mercado10)</f>
        <v>0</v>
      </c>
      <c r="AU176" s="27" t="n">
        <f aca="false">SUMIFS(super1[Qtde],super1[Item],tab_higiene[[#This Row],[Item]],super1[Bairro],mercado11)+SUMIFS(supercb[Qtde],supercb[Item],tab_higiene[[#This Row],[Item]],supercb[Bairro],mercado11)</f>
        <v>0</v>
      </c>
      <c r="AV176" s="27" t="n">
        <f aca="false">SUMIFS(super1[Qtde],super1[Item],tab_higiene[[#This Row],[Item]],super1[Bairro],mercado12)+SUMIFS(supercb[Qtde],supercb[Item],tab_higiene[[#This Row],[Item]],supercb[Bairro],mercado12)</f>
        <v>0</v>
      </c>
      <c r="AW176" s="27" t="n">
        <f aca="false">SUMIFS(super1[Qtde],super1[Item],tab_higiene[[#This Row],[Item]],super1[Bairro],mercado13)+SUMIFS(supercb[Qtde],supercb[Item],tab_higiene[[#This Row],[Item]],supercb[Bairro],mercado13)</f>
        <v>0</v>
      </c>
      <c r="AX176" s="27" t="n">
        <f aca="false">SUMIFS(super1[Qtde],super1[Item],tab_higiene[[#This Row],[Item]],super1[Bairro],mercado14)+SUMIFS(supercb[Qtde],supercb[Item],tab_higiene[[#This Row],[Item]],supercb[Bairro],mercado14)</f>
        <v>0</v>
      </c>
      <c r="AY176" s="27" t="n">
        <f aca="false">SUMIFS(super1[Qtde],super1[Item],tab_higiene[[#This Row],[Item]],super1[Bairro],mercado15)+SUMIFS(supercb[Qtde],supercb[Item],tab_higiene[[#This Row],[Item]],supercb[Bairro],mercado15)</f>
        <v>0</v>
      </c>
      <c r="AZ176" s="27" t="n">
        <f aca="false">SUMIFS(super1[Qtde],super1[Item],tab_higiene[[#This Row],[Item]],super1[Bairro],mercado16)+SUMIFS(supercb[Qtde],supercb[Item],tab_higiene[[#This Row],[Item]],supercb[Bairro],mercado16)</f>
        <v>0</v>
      </c>
      <c r="BA176" s="27" t="n">
        <f aca="false">SUMIFS(super1[Qtde],super1[Item],tab_higiene[[#This Row],[Item]],super1[Bairro],mercado17)+SUMIFS(supercb[Qtde],supercb[Item],tab_higiene[[#This Row],[Item]],supercb[Bairro],mercado17)</f>
        <v>0</v>
      </c>
      <c r="BB176" s="27" t="n">
        <f aca="false">SUMIFS(super1[Qtde],super1[Item],tab_higiene[[#This Row],[Item]],super1[Bairro],mercado18)+SUMIFS(supercb[Qtde],supercb[Item],tab_higiene[[#This Row],[Item]],supercb[Bairro],mercado18)</f>
        <v>0</v>
      </c>
      <c r="BC176" s="27" t="n">
        <f aca="false">SUMIFS(super1[Qtde],super1[Item],tab_higiene[[#This Row],[Item]],super1[Bairro],extras)+SUMIFS(supercb[Qtde],supercb[Item],tab_higiene[[#This Row],[Item]],supercb[Bairro],extras)</f>
        <v>0</v>
      </c>
      <c r="BD176" s="27" t="n">
        <f aca="false">SUM(AK176:BB176)</f>
        <v>0</v>
      </c>
      <c r="BE176" s="27" t="n">
        <f aca="false">IFERROR(BD176*AJ176,0)</f>
        <v>0</v>
      </c>
      <c r="BF176" s="28" t="n">
        <f aca="false">IFERROR(AI176*BD176,0)</f>
        <v>0</v>
      </c>
    </row>
    <row r="177" customFormat="false" ht="15" hidden="false" customHeight="false" outlineLevel="0" collapsed="false">
      <c r="I177" s="26" t="str">
        <f aca="false">alimentos[[#This Row],[Item]]</f>
        <v>Maizena (200g)</v>
      </c>
      <c r="J177" s="27" t="n">
        <f aca="false">IFERROR(alimentos[[#This Row],[kg/embalagem]],0)</f>
        <v>0.2</v>
      </c>
      <c r="K177" s="27" t="n">
        <f aca="false">IFERROR(alimentos[[#This Row],[Preço]],0)</f>
        <v>4.584</v>
      </c>
      <c r="L177" s="27" t="n">
        <f aca="false">SUMIFS(super1[Qtde],super1[Item],tab_alimentos[[#This Row],[Item]],super1[Bairro],mercado1)+SUMIFS(supercb[Qtde],supercb[Item],tab_alimentos[[#This Row],[Item]],supercb[Bairro],mercado1)</f>
        <v>0</v>
      </c>
      <c r="M177" s="27" t="n">
        <f aca="false">SUMIFS(super1[Qtde],super1[Item],tab_alimentos[[#This Row],[Item]],super1[Bairro],mercado2)+SUMIFS(supercb[Qtde],supercb[Item],tab_alimentos[[#This Row],[Item]],supercb[Bairro],mercado2)</f>
        <v>0</v>
      </c>
      <c r="N177" s="27" t="n">
        <f aca="false">SUMIFS(super1[Qtde],super1[Item],tab_alimentos[[#This Row],[Item]],super1[Bairro],mercado3)+SUMIFS(supercb[Qtde],supercb[Item],tab_alimentos[[#This Row],[Item]],supercb[Bairro],mercado3)</f>
        <v>0</v>
      </c>
      <c r="O177" s="27" t="n">
        <f aca="false">SUMIFS(super1[Qtde],super1[Item],tab_alimentos[[#This Row],[Item]],super1[Bairro],mercado4)+SUMIFS(supercb[Qtde],supercb[Item],tab_alimentos[[#This Row],[Item]],supercb[Bairro],mercado4)</f>
        <v>0</v>
      </c>
      <c r="P177" s="27" t="n">
        <f aca="false">SUMIFS(super1[Qtde],super1[Item],tab_alimentos[[#This Row],[Item]],super1[Bairro],mercado5)+SUMIFS(supercb[Qtde],supercb[Item],tab_alimentos[[#This Row],[Item]],supercb[Bairro],mercado5)</f>
        <v>0</v>
      </c>
      <c r="Q177" s="27" t="n">
        <f aca="false">SUMIFS(super1[Qtde],super1[Item],tab_alimentos[[#This Row],[Item]],super1[Bairro],mercado6)+SUMIFS(supercb[Qtde],supercb[Item],tab_alimentos[[#This Row],[Item]],supercb[Bairro],mercado6)</f>
        <v>0</v>
      </c>
      <c r="R177" s="27" t="n">
        <f aca="false">SUMIFS(super1[Qtde],super1[Item],tab_alimentos[[#This Row],[Item]],super1[Bairro],mercado7)+SUMIFS(supercb[Qtde],supercb[Item],tab_alimentos[[#This Row],[Item]],supercb[Bairro],mercado7)</f>
        <v>0</v>
      </c>
      <c r="S177" s="27" t="n">
        <f aca="false">SUMIFS(super1[Qtde],super1[Item],tab_alimentos[[#This Row],[Item]],super1[Bairro],mercado8)+SUMIFS(supercb[Qtde],supercb[Item],tab_alimentos[[#This Row],[Item]],supercb[Bairro],mercado8)</f>
        <v>0</v>
      </c>
      <c r="T177" s="27" t="n">
        <f aca="false">SUMIFS(super1[Qtde],super1[Item],tab_alimentos[[#This Row],[Item]],super1[Bairro],mercado9)+SUMIFS(supercb[Qtde],supercb[Item],tab_alimentos[[#This Row],[Item]],supercb[Bairro],mercado9)</f>
        <v>0</v>
      </c>
      <c r="U177" s="27" t="n">
        <f aca="false">SUMIFS(super1[Qtde],super1[Item],tab_alimentos[[#This Row],[Item]],super1[Bairro],mercado10)+SUMIFS(supercb[Qtde],supercb[Item],tab_alimentos[[#This Row],[Item]],supercb[Bairro],mercado10)</f>
        <v>0</v>
      </c>
      <c r="V177" s="27" t="n">
        <f aca="false">SUMIFS(super1[Qtde],super1[Item],tab_alimentos[[#This Row],[Item]],super1[Bairro],mercado11)+SUMIFS(supercb[Qtde],supercb[Item],tab_alimentos[[#This Row],[Item]],supercb[Bairro],mercado11)</f>
        <v>0</v>
      </c>
      <c r="W177" s="27" t="n">
        <f aca="false">SUMIFS(super1[Qtde],super1[Item],tab_alimentos[[#This Row],[Item]],super1[Bairro],mercado12)+SUMIFS(supercb[Qtde],supercb[Item],tab_alimentos[[#This Row],[Item]],supercb[Bairro],mercado12)</f>
        <v>0</v>
      </c>
      <c r="X177" s="27" t="n">
        <f aca="false">SUMIFS(super1[Qtde],super1[Item],tab_alimentos[[#This Row],[Item]],super1[Bairro],mercado13)+SUMIFS(supercb[Qtde],supercb[Item],tab_alimentos[[#This Row],[Item]],supercb[Bairro],mercado13)</f>
        <v>0</v>
      </c>
      <c r="Y177" s="27" t="n">
        <f aca="false">SUMIFS(super1[Qtde],super1[Item],tab_alimentos[[#This Row],[Item]],super1[Bairro],mercado14)+SUMIFS(supercb[Qtde],supercb[Item],tab_alimentos[[#This Row],[Item]],supercb[Bairro],mercado14)</f>
        <v>0</v>
      </c>
      <c r="Z177" s="27" t="n">
        <f aca="false">SUMIFS(super1[Qtde],super1[Item],tab_alimentos[[#This Row],[Item]],super1[Bairro],mercado15)+SUMIFS(supercb[Qtde],supercb[Item],tab_alimentos[[#This Row],[Item]],supercb[Bairro],mercado15)</f>
        <v>0</v>
      </c>
      <c r="AA177" s="27" t="n">
        <f aca="false">SUMIFS(super1[Qtde],super1[Item],tab_alimentos[[#This Row],[Item]],super1[Bairro],mercado16)+SUMIFS(supercb[Qtde],supercb[Item],tab_alimentos[[#This Row],[Item]],supercb[Bairro],mercado16)</f>
        <v>0</v>
      </c>
      <c r="AB177" s="27" t="n">
        <f aca="false">SUMIFS(super1[Qtde],super1[Item],tab_alimentos[[#This Row],[Item]],super1[Bairro],mercado17)+SUMIFS(supercb[Qtde],supercb[Item],tab_alimentos[[#This Row],[Item]],supercb[Bairro],mercado17)</f>
        <v>0</v>
      </c>
      <c r="AC177" s="27" t="n">
        <f aca="false">SUMIFS(super1[Qtde],super1[Item],tab_alimentos[[#This Row],[Item]],super1[Bairro],mercado18)+SUMIFS(supercb[Qtde],supercb[Item],tab_alimentos[[#This Row],[Item]],supercb[Bairro],mercado18)</f>
        <v>0</v>
      </c>
      <c r="AD177" s="27" t="n">
        <f aca="false">SUMIFS(super1[Qtde],super1[Item],tab_alimentos[[#This Row],[Item]],super1[Bairro],extras)+SUMIFS(supercb[Qtde],supercb[Item],tab_alimentos[[#This Row],[Item]],supercb[Bairro],extras)</f>
        <v>0</v>
      </c>
      <c r="AE177" s="27" t="n">
        <f aca="false">SUM(L177:AC177)</f>
        <v>0</v>
      </c>
      <c r="AF177" s="27" t="n">
        <f aca="false">IFERROR(AE177*K177,0)</f>
        <v>0</v>
      </c>
      <c r="AG177" s="28" t="n">
        <f aca="false">IFERROR(J177*AE177,0)</f>
        <v>0</v>
      </c>
      <c r="AH177" s="26" t="str">
        <f aca="false">higiene[[#This Row],[Item]]</f>
        <v>Sabão Líquido (5L)</v>
      </c>
      <c r="AI177" s="27" t="n">
        <f aca="false">IFERROR(higiene[[#This Row],[Kg equivalente]],0)</f>
        <v>8.84400766487224</v>
      </c>
      <c r="AJ177" s="27" t="n">
        <f aca="false">IFERROR(higiene[[#This Row],[Preço por produto]],0)</f>
        <v>29.295</v>
      </c>
      <c r="AK177" s="27" t="n">
        <f aca="false">SUMIFS(super1[Qtde],super1[Item],tab_higiene[[#This Row],[Item]],super1[Bairro],mercado1)+SUMIFS(supercb[Qtde],supercb[Item],tab_higiene[[#This Row],[Item]],supercb[Bairro],mercado1)</f>
        <v>0</v>
      </c>
      <c r="AL177" s="27" t="n">
        <f aca="false">SUMIFS(super1[Qtde],super1[Item],tab_higiene[[#This Row],[Item]],super1[Bairro],mercado2)+SUMIFS(supercb[Qtde],supercb[Item],tab_higiene[[#This Row],[Item]],supercb[Bairro],mercado2)</f>
        <v>0</v>
      </c>
      <c r="AM177" s="27" t="n">
        <f aca="false">SUMIFS(super1[Qtde],super1[Item],tab_higiene[[#This Row],[Item]],super1[Bairro],mercado3)+SUMIFS(supercb[Qtde],supercb[Item],tab_higiene[[#This Row],[Item]],supercb[Bairro],mercado3)</f>
        <v>0</v>
      </c>
      <c r="AN177" s="27" t="n">
        <f aca="false">SUMIFS(super1[Qtde],super1[Item],tab_higiene[[#This Row],[Item]],super1[Bairro],mercado4)+SUMIFS(supercb[Qtde],supercb[Item],tab_higiene[[#This Row],[Item]],supercb[Bairro],mercado4)</f>
        <v>0</v>
      </c>
      <c r="AO177" s="27" t="n">
        <f aca="false">SUMIFS(super1[Qtde],super1[Item],tab_higiene[[#This Row],[Item]],super1[Bairro],mercado5)+SUMIFS(supercb[Qtde],supercb[Item],tab_higiene[[#This Row],[Item]],supercb[Bairro],mercado5)</f>
        <v>0</v>
      </c>
      <c r="AP177" s="27" t="n">
        <f aca="false">SUMIFS(super1[Qtde],super1[Item],tab_higiene[[#This Row],[Item]],super1[Bairro],mercado6)+SUMIFS(supercb[Qtde],supercb[Item],tab_higiene[[#This Row],[Item]],supercb[Bairro],mercado6)</f>
        <v>0</v>
      </c>
      <c r="AQ177" s="27" t="n">
        <f aca="false">SUMIFS(super1[Qtde],super1[Item],tab_higiene[[#This Row],[Item]],super1[Bairro],mercado7)+SUMIFS(supercb[Qtde],supercb[Item],tab_higiene[[#This Row],[Item]],supercb[Bairro],mercado7)</f>
        <v>0</v>
      </c>
      <c r="AR177" s="27" t="n">
        <f aca="false">SUMIFS(super1[Qtde],super1[Item],tab_higiene[[#This Row],[Item]],super1[Bairro],mercado8)+SUMIFS(supercb[Qtde],supercb[Item],tab_higiene[[#This Row],[Item]],supercb[Bairro],mercado8)</f>
        <v>0</v>
      </c>
      <c r="AS177" s="27" t="n">
        <f aca="false">SUMIFS(super1[Qtde],super1[Item],tab_higiene[[#This Row],[Item]],super1[Bairro],mercado9)+SUMIFS(supercb[Qtde],supercb[Item],tab_higiene[[#This Row],[Item]],supercb[Bairro],mercado9)</f>
        <v>0</v>
      </c>
      <c r="AT177" s="27" t="n">
        <f aca="false">SUMIFS(super1[Qtde],super1[Item],tab_higiene[[#This Row],[Item]],super1[Bairro],mercado10)+SUMIFS(supercb[Qtde],supercb[Item],tab_higiene[[#This Row],[Item]],supercb[Bairro],mercado10)</f>
        <v>0</v>
      </c>
      <c r="AU177" s="27" t="n">
        <f aca="false">SUMIFS(super1[Qtde],super1[Item],tab_higiene[[#This Row],[Item]],super1[Bairro],mercado11)+SUMIFS(supercb[Qtde],supercb[Item],tab_higiene[[#This Row],[Item]],supercb[Bairro],mercado11)</f>
        <v>0</v>
      </c>
      <c r="AV177" s="27" t="n">
        <f aca="false">SUMIFS(super1[Qtde],super1[Item],tab_higiene[[#This Row],[Item]],super1[Bairro],mercado12)+SUMIFS(supercb[Qtde],supercb[Item],tab_higiene[[#This Row],[Item]],supercb[Bairro],mercado12)</f>
        <v>0</v>
      </c>
      <c r="AW177" s="27" t="n">
        <f aca="false">SUMIFS(super1[Qtde],super1[Item],tab_higiene[[#This Row],[Item]],super1[Bairro],mercado13)+SUMIFS(supercb[Qtde],supercb[Item],tab_higiene[[#This Row],[Item]],supercb[Bairro],mercado13)</f>
        <v>0</v>
      </c>
      <c r="AX177" s="27" t="n">
        <f aca="false">SUMIFS(super1[Qtde],super1[Item],tab_higiene[[#This Row],[Item]],super1[Bairro],mercado14)+SUMIFS(supercb[Qtde],supercb[Item],tab_higiene[[#This Row],[Item]],supercb[Bairro],mercado14)</f>
        <v>0</v>
      </c>
      <c r="AY177" s="27" t="n">
        <f aca="false">SUMIFS(super1[Qtde],super1[Item],tab_higiene[[#This Row],[Item]],super1[Bairro],mercado15)+SUMIFS(supercb[Qtde],supercb[Item],tab_higiene[[#This Row],[Item]],supercb[Bairro],mercado15)</f>
        <v>0</v>
      </c>
      <c r="AZ177" s="27" t="n">
        <f aca="false">SUMIFS(super1[Qtde],super1[Item],tab_higiene[[#This Row],[Item]],super1[Bairro],mercado16)+SUMIFS(supercb[Qtde],supercb[Item],tab_higiene[[#This Row],[Item]],supercb[Bairro],mercado16)</f>
        <v>0</v>
      </c>
      <c r="BA177" s="27" t="n">
        <f aca="false">SUMIFS(super1[Qtde],super1[Item],tab_higiene[[#This Row],[Item]],super1[Bairro],mercado17)+SUMIFS(supercb[Qtde],supercb[Item],tab_higiene[[#This Row],[Item]],supercb[Bairro],mercado17)</f>
        <v>0</v>
      </c>
      <c r="BB177" s="27" t="n">
        <f aca="false">SUMIFS(super1[Qtde],super1[Item],tab_higiene[[#This Row],[Item]],super1[Bairro],mercado18)+SUMIFS(supercb[Qtde],supercb[Item],tab_higiene[[#This Row],[Item]],supercb[Bairro],mercado18)</f>
        <v>0</v>
      </c>
      <c r="BC177" s="27" t="n">
        <f aca="false">SUMIFS(super1[Qtde],super1[Item],tab_higiene[[#This Row],[Item]],super1[Bairro],extras)+SUMIFS(supercb[Qtde],supercb[Item],tab_higiene[[#This Row],[Item]],supercb[Bairro],extras)</f>
        <v>0</v>
      </c>
      <c r="BD177" s="27" t="n">
        <f aca="false">SUM(AK177:BB177)</f>
        <v>0</v>
      </c>
      <c r="BE177" s="27" t="n">
        <f aca="false">IFERROR(BD177*AJ177,0)</f>
        <v>0</v>
      </c>
      <c r="BF177" s="28" t="n">
        <f aca="false">IFERROR(AI177*BD177,0)</f>
        <v>0</v>
      </c>
    </row>
    <row r="178" customFormat="false" ht="15" hidden="false" customHeight="false" outlineLevel="0" collapsed="false">
      <c r="I178" s="26" t="str">
        <f aca="false">alimentos[[#This Row],[Item]]</f>
        <v>Maizena (500g)</v>
      </c>
      <c r="J178" s="27" t="n">
        <f aca="false">IFERROR(alimentos[[#This Row],[kg/embalagem]],0)</f>
        <v>0.5</v>
      </c>
      <c r="K178" s="27" t="n">
        <f aca="false">IFERROR(alimentos[[#This Row],[Preço]],0)</f>
        <v>6.855</v>
      </c>
      <c r="L178" s="27" t="n">
        <f aca="false">SUMIFS(super1[Qtde],super1[Item],tab_alimentos[[#This Row],[Item]],super1[Bairro],mercado1)+SUMIFS(supercb[Qtde],supercb[Item],tab_alimentos[[#This Row],[Item]],supercb[Bairro],mercado1)</f>
        <v>0</v>
      </c>
      <c r="M178" s="27" t="n">
        <f aca="false">SUMIFS(super1[Qtde],super1[Item],tab_alimentos[[#This Row],[Item]],super1[Bairro],mercado2)+SUMIFS(supercb[Qtde],supercb[Item],tab_alimentos[[#This Row],[Item]],supercb[Bairro],mercado2)</f>
        <v>0</v>
      </c>
      <c r="N178" s="27" t="n">
        <f aca="false">SUMIFS(super1[Qtde],super1[Item],tab_alimentos[[#This Row],[Item]],super1[Bairro],mercado3)+SUMIFS(supercb[Qtde],supercb[Item],tab_alimentos[[#This Row],[Item]],supercb[Bairro],mercado3)</f>
        <v>0</v>
      </c>
      <c r="O178" s="27" t="n">
        <f aca="false">SUMIFS(super1[Qtde],super1[Item],tab_alimentos[[#This Row],[Item]],super1[Bairro],mercado4)+SUMIFS(supercb[Qtde],supercb[Item],tab_alimentos[[#This Row],[Item]],supercb[Bairro],mercado4)</f>
        <v>0</v>
      </c>
      <c r="P178" s="27" t="n">
        <f aca="false">SUMIFS(super1[Qtde],super1[Item],tab_alimentos[[#This Row],[Item]],super1[Bairro],mercado5)+SUMIFS(supercb[Qtde],supercb[Item],tab_alimentos[[#This Row],[Item]],supercb[Bairro],mercado5)</f>
        <v>0</v>
      </c>
      <c r="Q178" s="27" t="n">
        <f aca="false">SUMIFS(super1[Qtde],super1[Item],tab_alimentos[[#This Row],[Item]],super1[Bairro],mercado6)+SUMIFS(supercb[Qtde],supercb[Item],tab_alimentos[[#This Row],[Item]],supercb[Bairro],mercado6)</f>
        <v>0</v>
      </c>
      <c r="R178" s="27" t="n">
        <f aca="false">SUMIFS(super1[Qtde],super1[Item],tab_alimentos[[#This Row],[Item]],super1[Bairro],mercado7)+SUMIFS(supercb[Qtde],supercb[Item],tab_alimentos[[#This Row],[Item]],supercb[Bairro],mercado7)</f>
        <v>0</v>
      </c>
      <c r="S178" s="27" t="n">
        <f aca="false">SUMIFS(super1[Qtde],super1[Item],tab_alimentos[[#This Row],[Item]],super1[Bairro],mercado8)+SUMIFS(supercb[Qtde],supercb[Item],tab_alimentos[[#This Row],[Item]],supercb[Bairro],mercado8)</f>
        <v>0</v>
      </c>
      <c r="T178" s="27" t="n">
        <f aca="false">SUMIFS(super1[Qtde],super1[Item],tab_alimentos[[#This Row],[Item]],super1[Bairro],mercado9)+SUMIFS(supercb[Qtde],supercb[Item],tab_alimentos[[#This Row],[Item]],supercb[Bairro],mercado9)</f>
        <v>0</v>
      </c>
      <c r="U178" s="27" t="n">
        <f aca="false">SUMIFS(super1[Qtde],super1[Item],tab_alimentos[[#This Row],[Item]],super1[Bairro],mercado10)+SUMIFS(supercb[Qtde],supercb[Item],tab_alimentos[[#This Row],[Item]],supercb[Bairro],mercado10)</f>
        <v>0</v>
      </c>
      <c r="V178" s="27" t="n">
        <f aca="false">SUMIFS(super1[Qtde],super1[Item],tab_alimentos[[#This Row],[Item]],super1[Bairro],mercado11)+SUMIFS(supercb[Qtde],supercb[Item],tab_alimentos[[#This Row],[Item]],supercb[Bairro],mercado11)</f>
        <v>0</v>
      </c>
      <c r="W178" s="27" t="n">
        <f aca="false">SUMIFS(super1[Qtde],super1[Item],tab_alimentos[[#This Row],[Item]],super1[Bairro],mercado12)+SUMIFS(supercb[Qtde],supercb[Item],tab_alimentos[[#This Row],[Item]],supercb[Bairro],mercado12)</f>
        <v>0</v>
      </c>
      <c r="X178" s="27" t="n">
        <f aca="false">SUMIFS(super1[Qtde],super1[Item],tab_alimentos[[#This Row],[Item]],super1[Bairro],mercado13)+SUMIFS(supercb[Qtde],supercb[Item],tab_alimentos[[#This Row],[Item]],supercb[Bairro],mercado13)</f>
        <v>0</v>
      </c>
      <c r="Y178" s="27" t="n">
        <f aca="false">SUMIFS(super1[Qtde],super1[Item],tab_alimentos[[#This Row],[Item]],super1[Bairro],mercado14)+SUMIFS(supercb[Qtde],supercb[Item],tab_alimentos[[#This Row],[Item]],supercb[Bairro],mercado14)</f>
        <v>0</v>
      </c>
      <c r="Z178" s="27" t="n">
        <f aca="false">SUMIFS(super1[Qtde],super1[Item],tab_alimentos[[#This Row],[Item]],super1[Bairro],mercado15)+SUMIFS(supercb[Qtde],supercb[Item],tab_alimentos[[#This Row],[Item]],supercb[Bairro],mercado15)</f>
        <v>0</v>
      </c>
      <c r="AA178" s="27" t="n">
        <f aca="false">SUMIFS(super1[Qtde],super1[Item],tab_alimentos[[#This Row],[Item]],super1[Bairro],mercado16)+SUMIFS(supercb[Qtde],supercb[Item],tab_alimentos[[#This Row],[Item]],supercb[Bairro],mercado16)</f>
        <v>0</v>
      </c>
      <c r="AB178" s="27" t="n">
        <f aca="false">SUMIFS(super1[Qtde],super1[Item],tab_alimentos[[#This Row],[Item]],super1[Bairro],mercado17)+SUMIFS(supercb[Qtde],supercb[Item],tab_alimentos[[#This Row],[Item]],supercb[Bairro],mercado17)</f>
        <v>0</v>
      </c>
      <c r="AC178" s="27" t="n">
        <f aca="false">SUMIFS(super1[Qtde],super1[Item],tab_alimentos[[#This Row],[Item]],super1[Bairro],mercado18)+SUMIFS(supercb[Qtde],supercb[Item],tab_alimentos[[#This Row],[Item]],supercb[Bairro],mercado18)</f>
        <v>0</v>
      </c>
      <c r="AD178" s="27" t="n">
        <f aca="false">SUMIFS(super1[Qtde],super1[Item],tab_alimentos[[#This Row],[Item]],super1[Bairro],extras)+SUMIFS(supercb[Qtde],supercb[Item],tab_alimentos[[#This Row],[Item]],supercb[Bairro],extras)</f>
        <v>0</v>
      </c>
      <c r="AE178" s="27" t="n">
        <f aca="false">SUM(L178:AC178)</f>
        <v>0</v>
      </c>
      <c r="AF178" s="27" t="n">
        <f aca="false">IFERROR(AE178*K178,0)</f>
        <v>0</v>
      </c>
      <c r="AG178" s="28" t="n">
        <f aca="false">IFERROR(J178*AE178,0)</f>
        <v>0</v>
      </c>
      <c r="AH178" s="26" t="str">
        <f aca="false">higiene[[#This Row],[Item]]</f>
        <v>Sabonete (125g)</v>
      </c>
      <c r="AI178" s="27" t="n">
        <f aca="false">IFERROR(higiene[[#This Row],[Kg equivalente]],0)</f>
        <v>0.629450622333457</v>
      </c>
      <c r="AJ178" s="27" t="n">
        <f aca="false">IFERROR(higiene[[#This Row],[Preço por produto]],0)</f>
        <v>2.085</v>
      </c>
      <c r="AK178" s="27" t="n">
        <f aca="false">SUMIFS(super1[Qtde],super1[Item],tab_higiene[[#This Row],[Item]],super1[Bairro],mercado1)+SUMIFS(supercb[Qtde],supercb[Item],tab_higiene[[#This Row],[Item]],supercb[Bairro],mercado1)</f>
        <v>1</v>
      </c>
      <c r="AL178" s="27" t="n">
        <f aca="false">SUMIFS(super1[Qtde],super1[Item],tab_higiene[[#This Row],[Item]],super1[Bairro],mercado2)+SUMIFS(supercb[Qtde],supercb[Item],tab_higiene[[#This Row],[Item]],supercb[Bairro],mercado2)</f>
        <v>2</v>
      </c>
      <c r="AM178" s="27" t="n">
        <f aca="false">SUMIFS(super1[Qtde],super1[Item],tab_higiene[[#This Row],[Item]],super1[Bairro],mercado3)+SUMIFS(supercb[Qtde],supercb[Item],tab_higiene[[#This Row],[Item]],supercb[Bairro],mercado3)</f>
        <v>0</v>
      </c>
      <c r="AN178" s="27" t="n">
        <f aca="false">SUMIFS(super1[Qtde],super1[Item],tab_higiene[[#This Row],[Item]],super1[Bairro],mercado4)+SUMIFS(supercb[Qtde],supercb[Item],tab_higiene[[#This Row],[Item]],supercb[Bairro],mercado4)</f>
        <v>1</v>
      </c>
      <c r="AO178" s="27" t="n">
        <f aca="false">SUMIFS(super1[Qtde],super1[Item],tab_higiene[[#This Row],[Item]],super1[Bairro],mercado5)+SUMIFS(supercb[Qtde],supercb[Item],tab_higiene[[#This Row],[Item]],supercb[Bairro],mercado5)</f>
        <v>0</v>
      </c>
      <c r="AP178" s="27" t="n">
        <f aca="false">SUMIFS(super1[Qtde],super1[Item],tab_higiene[[#This Row],[Item]],super1[Bairro],mercado6)+SUMIFS(supercb[Qtde],supercb[Item],tab_higiene[[#This Row],[Item]],supercb[Bairro],mercado6)</f>
        <v>9</v>
      </c>
      <c r="AQ178" s="27" t="n">
        <f aca="false">SUMIFS(super1[Qtde],super1[Item],tab_higiene[[#This Row],[Item]],super1[Bairro],mercado7)+SUMIFS(supercb[Qtde],supercb[Item],tab_higiene[[#This Row],[Item]],supercb[Bairro],mercado7)</f>
        <v>0</v>
      </c>
      <c r="AR178" s="27" t="n">
        <f aca="false">SUMIFS(super1[Qtde],super1[Item],tab_higiene[[#This Row],[Item]],super1[Bairro],mercado8)+SUMIFS(supercb[Qtde],supercb[Item],tab_higiene[[#This Row],[Item]],supercb[Bairro],mercado8)</f>
        <v>7</v>
      </c>
      <c r="AS178" s="27" t="n">
        <f aca="false">SUMIFS(super1[Qtde],super1[Item],tab_higiene[[#This Row],[Item]],super1[Bairro],mercado9)+SUMIFS(supercb[Qtde],supercb[Item],tab_higiene[[#This Row],[Item]],supercb[Bairro],mercado9)</f>
        <v>0</v>
      </c>
      <c r="AT178" s="27" t="n">
        <f aca="false">SUMIFS(super1[Qtde],super1[Item],tab_higiene[[#This Row],[Item]],super1[Bairro],mercado10)+SUMIFS(supercb[Qtde],supercb[Item],tab_higiene[[#This Row],[Item]],supercb[Bairro],mercado10)</f>
        <v>1</v>
      </c>
      <c r="AU178" s="27" t="n">
        <f aca="false">SUMIFS(super1[Qtde],super1[Item],tab_higiene[[#This Row],[Item]],super1[Bairro],mercado11)+SUMIFS(supercb[Qtde],supercb[Item],tab_higiene[[#This Row],[Item]],supercb[Bairro],mercado11)</f>
        <v>0</v>
      </c>
      <c r="AV178" s="27" t="n">
        <f aca="false">SUMIFS(super1[Qtde],super1[Item],tab_higiene[[#This Row],[Item]],super1[Bairro],mercado12)+SUMIFS(supercb[Qtde],supercb[Item],tab_higiene[[#This Row],[Item]],supercb[Bairro],mercado12)</f>
        <v>0</v>
      </c>
      <c r="AW178" s="27" t="n">
        <f aca="false">SUMIFS(super1[Qtde],super1[Item],tab_higiene[[#This Row],[Item]],super1[Bairro],mercado13)+SUMIFS(supercb[Qtde],supercb[Item],tab_higiene[[#This Row],[Item]],supercb[Bairro],mercado13)</f>
        <v>0</v>
      </c>
      <c r="AX178" s="27" t="n">
        <f aca="false">SUMIFS(super1[Qtde],super1[Item],tab_higiene[[#This Row],[Item]],super1[Bairro],mercado14)+SUMIFS(supercb[Qtde],supercb[Item],tab_higiene[[#This Row],[Item]],supercb[Bairro],mercado14)</f>
        <v>0</v>
      </c>
      <c r="AY178" s="27" t="n">
        <f aca="false">SUMIFS(super1[Qtde],super1[Item],tab_higiene[[#This Row],[Item]],super1[Bairro],mercado15)+SUMIFS(supercb[Qtde],supercb[Item],tab_higiene[[#This Row],[Item]],supercb[Bairro],mercado15)</f>
        <v>0</v>
      </c>
      <c r="AZ178" s="27" t="n">
        <f aca="false">SUMIFS(super1[Qtde],super1[Item],tab_higiene[[#This Row],[Item]],super1[Bairro],mercado16)+SUMIFS(supercb[Qtde],supercb[Item],tab_higiene[[#This Row],[Item]],supercb[Bairro],mercado16)</f>
        <v>0</v>
      </c>
      <c r="BA178" s="27" t="n">
        <f aca="false">SUMIFS(super1[Qtde],super1[Item],tab_higiene[[#This Row],[Item]],super1[Bairro],mercado17)+SUMIFS(supercb[Qtde],supercb[Item],tab_higiene[[#This Row],[Item]],supercb[Bairro],mercado17)</f>
        <v>0</v>
      </c>
      <c r="BB178" s="27" t="n">
        <f aca="false">SUMIFS(super1[Qtde],super1[Item],tab_higiene[[#This Row],[Item]],super1[Bairro],mercado18)+SUMIFS(supercb[Qtde],supercb[Item],tab_higiene[[#This Row],[Item]],supercb[Bairro],mercado18)</f>
        <v>0</v>
      </c>
      <c r="BC178" s="27" t="n">
        <f aca="false">SUMIFS(super1[Qtde],super1[Item],tab_higiene[[#This Row],[Item]],super1[Bairro],extras)+SUMIFS(supercb[Qtde],supercb[Item],tab_higiene[[#This Row],[Item]],supercb[Bairro],extras)</f>
        <v>0</v>
      </c>
      <c r="BD178" s="27" t="n">
        <f aca="false">SUM(AK178:BB178)</f>
        <v>21</v>
      </c>
      <c r="BE178" s="27" t="n">
        <f aca="false">IFERROR(BD178*AJ178,0)</f>
        <v>43.785</v>
      </c>
      <c r="BF178" s="28" t="n">
        <f aca="false">IFERROR(AI178*BD178,0)</f>
        <v>13.2184630690026</v>
      </c>
    </row>
    <row r="179" customFormat="false" ht="15" hidden="false" customHeight="false" outlineLevel="0" collapsed="false">
      <c r="I179" s="26" t="str">
        <f aca="false">alimentos[[#This Row],[Item]]</f>
        <v>Maria Mole (50g)</v>
      </c>
      <c r="J179" s="27" t="n">
        <f aca="false">IFERROR(alimentos[[#This Row],[kg/embalagem]],0)</f>
        <v>0.05</v>
      </c>
      <c r="K179" s="27" t="n">
        <f aca="false">IFERROR(alimentos[[#This Row],[Preço]],0)</f>
        <v>3.37333333333333</v>
      </c>
      <c r="L179" s="27" t="n">
        <f aca="false">SUMIFS(super1[Qtde],super1[Item],tab_alimentos[[#This Row],[Item]],super1[Bairro],mercado1)+SUMIFS(supercb[Qtde],supercb[Item],tab_alimentos[[#This Row],[Item]],supercb[Bairro],mercado1)</f>
        <v>0</v>
      </c>
      <c r="M179" s="27" t="n">
        <f aca="false">SUMIFS(super1[Qtde],super1[Item],tab_alimentos[[#This Row],[Item]],super1[Bairro],mercado2)+SUMIFS(supercb[Qtde],supercb[Item],tab_alimentos[[#This Row],[Item]],supercb[Bairro],mercado2)</f>
        <v>0</v>
      </c>
      <c r="N179" s="27" t="n">
        <f aca="false">SUMIFS(super1[Qtde],super1[Item],tab_alimentos[[#This Row],[Item]],super1[Bairro],mercado3)+SUMIFS(supercb[Qtde],supercb[Item],tab_alimentos[[#This Row],[Item]],supercb[Bairro],mercado3)</f>
        <v>0</v>
      </c>
      <c r="O179" s="27" t="n">
        <f aca="false">SUMIFS(super1[Qtde],super1[Item],tab_alimentos[[#This Row],[Item]],super1[Bairro],mercado4)+SUMIFS(supercb[Qtde],supercb[Item],tab_alimentos[[#This Row],[Item]],supercb[Bairro],mercado4)</f>
        <v>0</v>
      </c>
      <c r="P179" s="27" t="n">
        <f aca="false">SUMIFS(super1[Qtde],super1[Item],tab_alimentos[[#This Row],[Item]],super1[Bairro],mercado5)+SUMIFS(supercb[Qtde],supercb[Item],tab_alimentos[[#This Row],[Item]],supercb[Bairro],mercado5)</f>
        <v>0</v>
      </c>
      <c r="Q179" s="27" t="n">
        <f aca="false">SUMIFS(super1[Qtde],super1[Item],tab_alimentos[[#This Row],[Item]],super1[Bairro],mercado6)+SUMIFS(supercb[Qtde],supercb[Item],tab_alimentos[[#This Row],[Item]],supercb[Bairro],mercado6)</f>
        <v>0</v>
      </c>
      <c r="R179" s="27" t="n">
        <f aca="false">SUMIFS(super1[Qtde],super1[Item],tab_alimentos[[#This Row],[Item]],super1[Bairro],mercado7)+SUMIFS(supercb[Qtde],supercb[Item],tab_alimentos[[#This Row],[Item]],supercb[Bairro],mercado7)</f>
        <v>0</v>
      </c>
      <c r="S179" s="27" t="n">
        <f aca="false">SUMIFS(super1[Qtde],super1[Item],tab_alimentos[[#This Row],[Item]],super1[Bairro],mercado8)+SUMIFS(supercb[Qtde],supercb[Item],tab_alimentos[[#This Row],[Item]],supercb[Bairro],mercado8)</f>
        <v>0</v>
      </c>
      <c r="T179" s="27" t="n">
        <f aca="false">SUMIFS(super1[Qtde],super1[Item],tab_alimentos[[#This Row],[Item]],super1[Bairro],mercado9)+SUMIFS(supercb[Qtde],supercb[Item],tab_alimentos[[#This Row],[Item]],supercb[Bairro],mercado9)</f>
        <v>0</v>
      </c>
      <c r="U179" s="27" t="n">
        <f aca="false">SUMIFS(super1[Qtde],super1[Item],tab_alimentos[[#This Row],[Item]],super1[Bairro],mercado10)+SUMIFS(supercb[Qtde],supercb[Item],tab_alimentos[[#This Row],[Item]],supercb[Bairro],mercado10)</f>
        <v>0</v>
      </c>
      <c r="V179" s="27" t="n">
        <f aca="false">SUMIFS(super1[Qtde],super1[Item],tab_alimentos[[#This Row],[Item]],super1[Bairro],mercado11)+SUMIFS(supercb[Qtde],supercb[Item],tab_alimentos[[#This Row],[Item]],supercb[Bairro],mercado11)</f>
        <v>0</v>
      </c>
      <c r="W179" s="27" t="n">
        <f aca="false">SUMIFS(super1[Qtde],super1[Item],tab_alimentos[[#This Row],[Item]],super1[Bairro],mercado12)+SUMIFS(supercb[Qtde],supercb[Item],tab_alimentos[[#This Row],[Item]],supercb[Bairro],mercado12)</f>
        <v>0</v>
      </c>
      <c r="X179" s="27" t="n">
        <f aca="false">SUMIFS(super1[Qtde],super1[Item],tab_alimentos[[#This Row],[Item]],super1[Bairro],mercado13)+SUMIFS(supercb[Qtde],supercb[Item],tab_alimentos[[#This Row],[Item]],supercb[Bairro],mercado13)</f>
        <v>0</v>
      </c>
      <c r="Y179" s="27" t="n">
        <f aca="false">SUMIFS(super1[Qtde],super1[Item],tab_alimentos[[#This Row],[Item]],super1[Bairro],mercado14)+SUMIFS(supercb[Qtde],supercb[Item],tab_alimentos[[#This Row],[Item]],supercb[Bairro],mercado14)</f>
        <v>0</v>
      </c>
      <c r="Z179" s="27" t="n">
        <f aca="false">SUMIFS(super1[Qtde],super1[Item],tab_alimentos[[#This Row],[Item]],super1[Bairro],mercado15)+SUMIFS(supercb[Qtde],supercb[Item],tab_alimentos[[#This Row],[Item]],supercb[Bairro],mercado15)</f>
        <v>0</v>
      </c>
      <c r="AA179" s="27" t="n">
        <f aca="false">SUMIFS(super1[Qtde],super1[Item],tab_alimentos[[#This Row],[Item]],super1[Bairro],mercado16)+SUMIFS(supercb[Qtde],supercb[Item],tab_alimentos[[#This Row],[Item]],supercb[Bairro],mercado16)</f>
        <v>0</v>
      </c>
      <c r="AB179" s="27" t="n">
        <f aca="false">SUMIFS(super1[Qtde],super1[Item],tab_alimentos[[#This Row],[Item]],super1[Bairro],mercado17)+SUMIFS(supercb[Qtde],supercb[Item],tab_alimentos[[#This Row],[Item]],supercb[Bairro],mercado17)</f>
        <v>0</v>
      </c>
      <c r="AC179" s="27" t="n">
        <f aca="false">SUMIFS(super1[Qtde],super1[Item],tab_alimentos[[#This Row],[Item]],super1[Bairro],mercado18)+SUMIFS(supercb[Qtde],supercb[Item],tab_alimentos[[#This Row],[Item]],supercb[Bairro],mercado18)</f>
        <v>0</v>
      </c>
      <c r="AD179" s="27" t="n">
        <f aca="false">SUMIFS(super1[Qtde],super1[Item],tab_alimentos[[#This Row],[Item]],super1[Bairro],extras)+SUMIFS(supercb[Qtde],supercb[Item],tab_alimentos[[#This Row],[Item]],supercb[Bairro],extras)</f>
        <v>0</v>
      </c>
      <c r="AE179" s="27" t="n">
        <f aca="false">SUM(L179:AC179)</f>
        <v>0</v>
      </c>
      <c r="AF179" s="27" t="n">
        <f aca="false">IFERROR(AE179*K179,0)</f>
        <v>0</v>
      </c>
      <c r="AG179" s="28" t="n">
        <f aca="false">IFERROR(J179*AE179,0)</f>
        <v>0</v>
      </c>
      <c r="AH179" s="26" t="str">
        <f aca="false">higiene[[#This Row],[Item]]</f>
        <v>sabonete (150g)</v>
      </c>
      <c r="AI179" s="27" t="n">
        <f aca="false">IFERROR(higiene[[#This Row],[Kg equivalente]],0)</f>
        <v>0.630960096247926</v>
      </c>
      <c r="AJ179" s="27" t="n">
        <f aca="false">IFERROR(higiene[[#This Row],[Preço por produto]],0)</f>
        <v>2.09</v>
      </c>
      <c r="AK179" s="27" t="n">
        <f aca="false">SUMIFS(super1[Qtde],super1[Item],tab_higiene[[#This Row],[Item]],super1[Bairro],mercado1)+SUMIFS(supercb[Qtde],supercb[Item],tab_higiene[[#This Row],[Item]],supercb[Bairro],mercado1)</f>
        <v>0</v>
      </c>
      <c r="AL179" s="27" t="n">
        <f aca="false">SUMIFS(super1[Qtde],super1[Item],tab_higiene[[#This Row],[Item]],super1[Bairro],mercado2)+SUMIFS(supercb[Qtde],supercb[Item],tab_higiene[[#This Row],[Item]],supercb[Bairro],mercado2)</f>
        <v>0</v>
      </c>
      <c r="AM179" s="27" t="n">
        <f aca="false">SUMIFS(super1[Qtde],super1[Item],tab_higiene[[#This Row],[Item]],super1[Bairro],mercado3)+SUMIFS(supercb[Qtde],supercb[Item],tab_higiene[[#This Row],[Item]],supercb[Bairro],mercado3)</f>
        <v>0</v>
      </c>
      <c r="AN179" s="27" t="n">
        <f aca="false">SUMIFS(super1[Qtde],super1[Item],tab_higiene[[#This Row],[Item]],super1[Bairro],mercado4)+SUMIFS(supercb[Qtde],supercb[Item],tab_higiene[[#This Row],[Item]],supercb[Bairro],mercado4)</f>
        <v>0</v>
      </c>
      <c r="AO179" s="27" t="n">
        <f aca="false">SUMIFS(super1[Qtde],super1[Item],tab_higiene[[#This Row],[Item]],super1[Bairro],mercado5)+SUMIFS(supercb[Qtde],supercb[Item],tab_higiene[[#This Row],[Item]],supercb[Bairro],mercado5)</f>
        <v>0</v>
      </c>
      <c r="AP179" s="27" t="n">
        <f aca="false">SUMIFS(super1[Qtde],super1[Item],tab_higiene[[#This Row],[Item]],super1[Bairro],mercado6)+SUMIFS(supercb[Qtde],supercb[Item],tab_higiene[[#This Row],[Item]],supercb[Bairro],mercado6)</f>
        <v>0</v>
      </c>
      <c r="AQ179" s="27" t="n">
        <f aca="false">SUMIFS(super1[Qtde],super1[Item],tab_higiene[[#This Row],[Item]],super1[Bairro],mercado7)+SUMIFS(supercb[Qtde],supercb[Item],tab_higiene[[#This Row],[Item]],supercb[Bairro],mercado7)</f>
        <v>0</v>
      </c>
      <c r="AR179" s="27" t="n">
        <f aca="false">SUMIFS(super1[Qtde],super1[Item],tab_higiene[[#This Row],[Item]],super1[Bairro],mercado8)+SUMIFS(supercb[Qtde],supercb[Item],tab_higiene[[#This Row],[Item]],supercb[Bairro],mercado8)</f>
        <v>0</v>
      </c>
      <c r="AS179" s="27" t="n">
        <f aca="false">SUMIFS(super1[Qtde],super1[Item],tab_higiene[[#This Row],[Item]],super1[Bairro],mercado9)+SUMIFS(supercb[Qtde],supercb[Item],tab_higiene[[#This Row],[Item]],supercb[Bairro],mercado9)</f>
        <v>6</v>
      </c>
      <c r="AT179" s="27" t="n">
        <f aca="false">SUMIFS(super1[Qtde],super1[Item],tab_higiene[[#This Row],[Item]],super1[Bairro],mercado10)+SUMIFS(supercb[Qtde],supercb[Item],tab_higiene[[#This Row],[Item]],supercb[Bairro],mercado10)</f>
        <v>0</v>
      </c>
      <c r="AU179" s="27" t="n">
        <f aca="false">SUMIFS(super1[Qtde],super1[Item],tab_higiene[[#This Row],[Item]],super1[Bairro],mercado11)+SUMIFS(supercb[Qtde],supercb[Item],tab_higiene[[#This Row],[Item]],supercb[Bairro],mercado11)</f>
        <v>0</v>
      </c>
      <c r="AV179" s="27" t="n">
        <f aca="false">SUMIFS(super1[Qtde],super1[Item],tab_higiene[[#This Row],[Item]],super1[Bairro],mercado12)+SUMIFS(supercb[Qtde],supercb[Item],tab_higiene[[#This Row],[Item]],supercb[Bairro],mercado12)</f>
        <v>0</v>
      </c>
      <c r="AW179" s="27" t="n">
        <f aca="false">SUMIFS(super1[Qtde],super1[Item],tab_higiene[[#This Row],[Item]],super1[Bairro],mercado13)+SUMIFS(supercb[Qtde],supercb[Item],tab_higiene[[#This Row],[Item]],supercb[Bairro],mercado13)</f>
        <v>0</v>
      </c>
      <c r="AX179" s="27" t="n">
        <f aca="false">SUMIFS(super1[Qtde],super1[Item],tab_higiene[[#This Row],[Item]],super1[Bairro],mercado14)+SUMIFS(supercb[Qtde],supercb[Item],tab_higiene[[#This Row],[Item]],supercb[Bairro],mercado14)</f>
        <v>0</v>
      </c>
      <c r="AY179" s="27" t="n">
        <f aca="false">SUMIFS(super1[Qtde],super1[Item],tab_higiene[[#This Row],[Item]],super1[Bairro],mercado15)+SUMIFS(supercb[Qtde],supercb[Item],tab_higiene[[#This Row],[Item]],supercb[Bairro],mercado15)</f>
        <v>0</v>
      </c>
      <c r="AZ179" s="27" t="n">
        <f aca="false">SUMIFS(super1[Qtde],super1[Item],tab_higiene[[#This Row],[Item]],super1[Bairro],mercado16)+SUMIFS(supercb[Qtde],supercb[Item],tab_higiene[[#This Row],[Item]],supercb[Bairro],mercado16)</f>
        <v>0</v>
      </c>
      <c r="BA179" s="27" t="n">
        <f aca="false">SUMIFS(super1[Qtde],super1[Item],tab_higiene[[#This Row],[Item]],super1[Bairro],mercado17)+SUMIFS(supercb[Qtde],supercb[Item],tab_higiene[[#This Row],[Item]],supercb[Bairro],mercado17)</f>
        <v>0</v>
      </c>
      <c r="BB179" s="27" t="n">
        <f aca="false">SUMIFS(super1[Qtde],super1[Item],tab_higiene[[#This Row],[Item]],super1[Bairro],mercado18)+SUMIFS(supercb[Qtde],supercb[Item],tab_higiene[[#This Row],[Item]],supercb[Bairro],mercado18)</f>
        <v>0</v>
      </c>
      <c r="BC179" s="27" t="n">
        <f aca="false">SUMIFS(super1[Qtde],super1[Item],tab_higiene[[#This Row],[Item]],super1[Bairro],extras)+SUMIFS(supercb[Qtde],supercb[Item],tab_higiene[[#This Row],[Item]],supercb[Bairro],extras)</f>
        <v>0</v>
      </c>
      <c r="BD179" s="27" t="n">
        <f aca="false">SUM(AK179:BB179)</f>
        <v>6</v>
      </c>
      <c r="BE179" s="27" t="n">
        <f aca="false">IFERROR(BD179*AJ179,0)</f>
        <v>12.54</v>
      </c>
      <c r="BF179" s="28" t="n">
        <f aca="false">IFERROR(AI179*BD179,0)</f>
        <v>3.78576057748755</v>
      </c>
    </row>
    <row r="180" customFormat="false" ht="15" hidden="false" customHeight="false" outlineLevel="0" collapsed="false">
      <c r="I180" s="26" t="str">
        <f aca="false">alimentos[[#This Row],[Item]]</f>
        <v>Massa lasanha (200g)</v>
      </c>
      <c r="J180" s="27" t="n">
        <f aca="false">IFERROR(alimentos[[#This Row],[kg/embalagem]],0)</f>
        <v>0.3</v>
      </c>
      <c r="K180" s="27" t="n">
        <f aca="false">IFERROR(alimentos[[#This Row],[Preço]],0)</f>
        <v>3.68</v>
      </c>
      <c r="L180" s="27" t="n">
        <f aca="false">SUMIFS(super1[Qtde],super1[Item],tab_alimentos[[#This Row],[Item]],super1[Bairro],mercado1)+SUMIFS(supercb[Qtde],supercb[Item],tab_alimentos[[#This Row],[Item]],supercb[Bairro],mercado1)</f>
        <v>0</v>
      </c>
      <c r="M180" s="27" t="n">
        <f aca="false">SUMIFS(super1[Qtde],super1[Item],tab_alimentos[[#This Row],[Item]],super1[Bairro],mercado2)+SUMIFS(supercb[Qtde],supercb[Item],tab_alimentos[[#This Row],[Item]],supercb[Bairro],mercado2)</f>
        <v>0</v>
      </c>
      <c r="N180" s="27" t="n">
        <f aca="false">SUMIFS(super1[Qtde],super1[Item],tab_alimentos[[#This Row],[Item]],super1[Bairro],mercado3)+SUMIFS(supercb[Qtde],supercb[Item],tab_alimentos[[#This Row],[Item]],supercb[Bairro],mercado3)</f>
        <v>0</v>
      </c>
      <c r="O180" s="27" t="n">
        <f aca="false">SUMIFS(super1[Qtde],super1[Item],tab_alimentos[[#This Row],[Item]],super1[Bairro],mercado4)+SUMIFS(supercb[Qtde],supercb[Item],tab_alimentos[[#This Row],[Item]],supercb[Bairro],mercado4)</f>
        <v>0</v>
      </c>
      <c r="P180" s="27" t="n">
        <f aca="false">SUMIFS(super1[Qtde],super1[Item],tab_alimentos[[#This Row],[Item]],super1[Bairro],mercado5)+SUMIFS(supercb[Qtde],supercb[Item],tab_alimentos[[#This Row],[Item]],supercb[Bairro],mercado5)</f>
        <v>0</v>
      </c>
      <c r="Q180" s="27" t="n">
        <f aca="false">SUMIFS(super1[Qtde],super1[Item],tab_alimentos[[#This Row],[Item]],super1[Bairro],mercado6)+SUMIFS(supercb[Qtde],supercb[Item],tab_alimentos[[#This Row],[Item]],supercb[Bairro],mercado6)</f>
        <v>0</v>
      </c>
      <c r="R180" s="27" t="n">
        <f aca="false">SUMIFS(super1[Qtde],super1[Item],tab_alimentos[[#This Row],[Item]],super1[Bairro],mercado7)+SUMIFS(supercb[Qtde],supercb[Item],tab_alimentos[[#This Row],[Item]],supercb[Bairro],mercado7)</f>
        <v>0</v>
      </c>
      <c r="S180" s="27" t="n">
        <f aca="false">SUMIFS(super1[Qtde],super1[Item],tab_alimentos[[#This Row],[Item]],super1[Bairro],mercado8)+SUMIFS(supercb[Qtde],supercb[Item],tab_alimentos[[#This Row],[Item]],supercb[Bairro],mercado8)</f>
        <v>0</v>
      </c>
      <c r="T180" s="27" t="n">
        <f aca="false">SUMIFS(super1[Qtde],super1[Item],tab_alimentos[[#This Row],[Item]],super1[Bairro],mercado9)+SUMIFS(supercb[Qtde],supercb[Item],tab_alimentos[[#This Row],[Item]],supercb[Bairro],mercado9)</f>
        <v>0</v>
      </c>
      <c r="U180" s="27" t="n">
        <f aca="false">SUMIFS(super1[Qtde],super1[Item],tab_alimentos[[#This Row],[Item]],super1[Bairro],mercado10)+SUMIFS(supercb[Qtde],supercb[Item],tab_alimentos[[#This Row],[Item]],supercb[Bairro],mercado10)</f>
        <v>0</v>
      </c>
      <c r="V180" s="27" t="n">
        <f aca="false">SUMIFS(super1[Qtde],super1[Item],tab_alimentos[[#This Row],[Item]],super1[Bairro],mercado11)+SUMIFS(supercb[Qtde],supercb[Item],tab_alimentos[[#This Row],[Item]],supercb[Bairro],mercado11)</f>
        <v>0</v>
      </c>
      <c r="W180" s="27" t="n">
        <f aca="false">SUMIFS(super1[Qtde],super1[Item],tab_alimentos[[#This Row],[Item]],super1[Bairro],mercado12)+SUMIFS(supercb[Qtde],supercb[Item],tab_alimentos[[#This Row],[Item]],supercb[Bairro],mercado12)</f>
        <v>0</v>
      </c>
      <c r="X180" s="27" t="n">
        <f aca="false">SUMIFS(super1[Qtde],super1[Item],tab_alimentos[[#This Row],[Item]],super1[Bairro],mercado13)+SUMIFS(supercb[Qtde],supercb[Item],tab_alimentos[[#This Row],[Item]],supercb[Bairro],mercado13)</f>
        <v>0</v>
      </c>
      <c r="Y180" s="27" t="n">
        <f aca="false">SUMIFS(super1[Qtde],super1[Item],tab_alimentos[[#This Row],[Item]],super1[Bairro],mercado14)+SUMIFS(supercb[Qtde],supercb[Item],tab_alimentos[[#This Row],[Item]],supercb[Bairro],mercado14)</f>
        <v>0</v>
      </c>
      <c r="Z180" s="27" t="n">
        <f aca="false">SUMIFS(super1[Qtde],super1[Item],tab_alimentos[[#This Row],[Item]],super1[Bairro],mercado15)+SUMIFS(supercb[Qtde],supercb[Item],tab_alimentos[[#This Row],[Item]],supercb[Bairro],mercado15)</f>
        <v>0</v>
      </c>
      <c r="AA180" s="27" t="n">
        <f aca="false">SUMIFS(super1[Qtde],super1[Item],tab_alimentos[[#This Row],[Item]],super1[Bairro],mercado16)+SUMIFS(supercb[Qtde],supercb[Item],tab_alimentos[[#This Row],[Item]],supercb[Bairro],mercado16)</f>
        <v>0</v>
      </c>
      <c r="AB180" s="27" t="n">
        <f aca="false">SUMIFS(super1[Qtde],super1[Item],tab_alimentos[[#This Row],[Item]],super1[Bairro],mercado17)+SUMIFS(supercb[Qtde],supercb[Item],tab_alimentos[[#This Row],[Item]],supercb[Bairro],mercado17)</f>
        <v>0</v>
      </c>
      <c r="AC180" s="27" t="n">
        <f aca="false">SUMIFS(super1[Qtde],super1[Item],tab_alimentos[[#This Row],[Item]],super1[Bairro],mercado18)+SUMIFS(supercb[Qtde],supercb[Item],tab_alimentos[[#This Row],[Item]],supercb[Bairro],mercado18)</f>
        <v>0</v>
      </c>
      <c r="AD180" s="27" t="n">
        <f aca="false">SUMIFS(super1[Qtde],super1[Item],tab_alimentos[[#This Row],[Item]],super1[Bairro],extras)+SUMIFS(supercb[Qtde],supercb[Item],tab_alimentos[[#This Row],[Item]],supercb[Bairro],extras)</f>
        <v>0</v>
      </c>
      <c r="AE180" s="27" t="n">
        <f aca="false">SUM(L180:AC180)</f>
        <v>0</v>
      </c>
      <c r="AF180" s="27" t="n">
        <f aca="false">IFERROR(AE180*K180,0)</f>
        <v>0</v>
      </c>
      <c r="AG180" s="28" t="n">
        <f aca="false">IFERROR(J180*AE180,0)</f>
        <v>0</v>
      </c>
      <c r="AH180" s="26" t="str">
        <f aca="false">higiene[[#This Row],[Item]]</f>
        <v>Sabonete (180 g)</v>
      </c>
      <c r="AI180" s="27" t="n">
        <f aca="false">IFERROR(higiene[[#This Row],[Kg equivalente]],0)</f>
        <v>1.02417805096703</v>
      </c>
      <c r="AJ180" s="27" t="n">
        <f aca="false">IFERROR(higiene[[#This Row],[Preço por produto]],0)</f>
        <v>3.3925</v>
      </c>
      <c r="AK180" s="27" t="n">
        <f aca="false">SUMIFS(super1[Qtde],super1[Item],tab_higiene[[#This Row],[Item]],super1[Bairro],mercado1)+SUMIFS(supercb[Qtde],supercb[Item],tab_higiene[[#This Row],[Item]],supercb[Bairro],mercado1)</f>
        <v>0</v>
      </c>
      <c r="AL180" s="27" t="n">
        <f aca="false">SUMIFS(super1[Qtde],super1[Item],tab_higiene[[#This Row],[Item]],super1[Bairro],mercado2)+SUMIFS(supercb[Qtde],supercb[Item],tab_higiene[[#This Row],[Item]],supercb[Bairro],mercado2)</f>
        <v>0</v>
      </c>
      <c r="AM180" s="27" t="n">
        <f aca="false">SUMIFS(super1[Qtde],super1[Item],tab_higiene[[#This Row],[Item]],super1[Bairro],mercado3)+SUMIFS(supercb[Qtde],supercb[Item],tab_higiene[[#This Row],[Item]],supercb[Bairro],mercado3)</f>
        <v>0</v>
      </c>
      <c r="AN180" s="27" t="n">
        <f aca="false">SUMIFS(super1[Qtde],super1[Item],tab_higiene[[#This Row],[Item]],super1[Bairro],mercado4)+SUMIFS(supercb[Qtde],supercb[Item],tab_higiene[[#This Row],[Item]],supercb[Bairro],mercado4)</f>
        <v>0</v>
      </c>
      <c r="AO180" s="27" t="n">
        <f aca="false">SUMIFS(super1[Qtde],super1[Item],tab_higiene[[#This Row],[Item]],super1[Bairro],mercado5)+SUMIFS(supercb[Qtde],supercb[Item],tab_higiene[[#This Row],[Item]],supercb[Bairro],mercado5)</f>
        <v>0</v>
      </c>
      <c r="AP180" s="27" t="n">
        <f aca="false">SUMIFS(super1[Qtde],super1[Item],tab_higiene[[#This Row],[Item]],super1[Bairro],mercado6)+SUMIFS(supercb[Qtde],supercb[Item],tab_higiene[[#This Row],[Item]],supercb[Bairro],mercado6)</f>
        <v>1</v>
      </c>
      <c r="AQ180" s="27" t="n">
        <f aca="false">SUMIFS(super1[Qtde],super1[Item],tab_higiene[[#This Row],[Item]],super1[Bairro],mercado7)+SUMIFS(supercb[Qtde],supercb[Item],tab_higiene[[#This Row],[Item]],supercb[Bairro],mercado7)</f>
        <v>0</v>
      </c>
      <c r="AR180" s="27" t="n">
        <f aca="false">SUMIFS(super1[Qtde],super1[Item],tab_higiene[[#This Row],[Item]],super1[Bairro],mercado8)+SUMIFS(supercb[Qtde],supercb[Item],tab_higiene[[#This Row],[Item]],supercb[Bairro],mercado8)</f>
        <v>0</v>
      </c>
      <c r="AS180" s="27" t="n">
        <f aca="false">SUMIFS(super1[Qtde],super1[Item],tab_higiene[[#This Row],[Item]],super1[Bairro],mercado9)+SUMIFS(supercb[Qtde],supercb[Item],tab_higiene[[#This Row],[Item]],supercb[Bairro],mercado9)</f>
        <v>0</v>
      </c>
      <c r="AT180" s="27" t="n">
        <f aca="false">SUMIFS(super1[Qtde],super1[Item],tab_higiene[[#This Row],[Item]],super1[Bairro],mercado10)+SUMIFS(supercb[Qtde],supercb[Item],tab_higiene[[#This Row],[Item]],supercb[Bairro],mercado10)</f>
        <v>0</v>
      </c>
      <c r="AU180" s="27" t="n">
        <f aca="false">SUMIFS(super1[Qtde],super1[Item],tab_higiene[[#This Row],[Item]],super1[Bairro],mercado11)+SUMIFS(supercb[Qtde],supercb[Item],tab_higiene[[#This Row],[Item]],supercb[Bairro],mercado11)</f>
        <v>0</v>
      </c>
      <c r="AV180" s="27" t="n">
        <f aca="false">SUMIFS(super1[Qtde],super1[Item],tab_higiene[[#This Row],[Item]],super1[Bairro],mercado12)+SUMIFS(supercb[Qtde],supercb[Item],tab_higiene[[#This Row],[Item]],supercb[Bairro],mercado12)</f>
        <v>0</v>
      </c>
      <c r="AW180" s="27" t="n">
        <f aca="false">SUMIFS(super1[Qtde],super1[Item],tab_higiene[[#This Row],[Item]],super1[Bairro],mercado13)+SUMIFS(supercb[Qtde],supercb[Item],tab_higiene[[#This Row],[Item]],supercb[Bairro],mercado13)</f>
        <v>0</v>
      </c>
      <c r="AX180" s="27" t="n">
        <f aca="false">SUMIFS(super1[Qtde],super1[Item],tab_higiene[[#This Row],[Item]],super1[Bairro],mercado14)+SUMIFS(supercb[Qtde],supercb[Item],tab_higiene[[#This Row],[Item]],supercb[Bairro],mercado14)</f>
        <v>0</v>
      </c>
      <c r="AY180" s="27" t="n">
        <f aca="false">SUMIFS(super1[Qtde],super1[Item],tab_higiene[[#This Row],[Item]],super1[Bairro],mercado15)+SUMIFS(supercb[Qtde],supercb[Item],tab_higiene[[#This Row],[Item]],supercb[Bairro],mercado15)</f>
        <v>0</v>
      </c>
      <c r="AZ180" s="27" t="n">
        <f aca="false">SUMIFS(super1[Qtde],super1[Item],tab_higiene[[#This Row],[Item]],super1[Bairro],mercado16)+SUMIFS(supercb[Qtde],supercb[Item],tab_higiene[[#This Row],[Item]],supercb[Bairro],mercado16)</f>
        <v>0</v>
      </c>
      <c r="BA180" s="27" t="n">
        <f aca="false">SUMIFS(super1[Qtde],super1[Item],tab_higiene[[#This Row],[Item]],super1[Bairro],mercado17)+SUMIFS(supercb[Qtde],supercb[Item],tab_higiene[[#This Row],[Item]],supercb[Bairro],mercado17)</f>
        <v>0</v>
      </c>
      <c r="BB180" s="27" t="n">
        <f aca="false">SUMIFS(super1[Qtde],super1[Item],tab_higiene[[#This Row],[Item]],super1[Bairro],mercado18)+SUMIFS(supercb[Qtde],supercb[Item],tab_higiene[[#This Row],[Item]],supercb[Bairro],mercado18)</f>
        <v>0</v>
      </c>
      <c r="BC180" s="27" t="n">
        <f aca="false">SUMIFS(super1[Qtde],super1[Item],tab_higiene[[#This Row],[Item]],super1[Bairro],extras)+SUMIFS(supercb[Qtde],supercb[Item],tab_higiene[[#This Row],[Item]],supercb[Bairro],extras)</f>
        <v>0</v>
      </c>
      <c r="BD180" s="27" t="n">
        <f aca="false">SUM(AK180:BB180)</f>
        <v>1</v>
      </c>
      <c r="BE180" s="27" t="n">
        <f aca="false">IFERROR(BD180*AJ180,0)</f>
        <v>3.3925</v>
      </c>
      <c r="BF180" s="28" t="n">
        <f aca="false">IFERROR(AI180*BD180,0)</f>
        <v>1.02417805096703</v>
      </c>
    </row>
    <row r="181" customFormat="false" ht="15" hidden="false" customHeight="false" outlineLevel="0" collapsed="false">
      <c r="I181" s="26" t="str">
        <f aca="false">alimentos[[#This Row],[Item]]</f>
        <v>Massa lasanha (500g)</v>
      </c>
      <c r="J181" s="27" t="n">
        <f aca="false">IFERROR(alimentos[[#This Row],[kg/embalagem]],0)</f>
        <v>0.3</v>
      </c>
      <c r="K181" s="27" t="n">
        <f aca="false">IFERROR(alimentos[[#This Row],[Preço]],0)</f>
        <v>5.56</v>
      </c>
      <c r="L181" s="27" t="n">
        <f aca="false">SUMIFS(super1[Qtde],super1[Item],tab_alimentos[[#This Row],[Item]],super1[Bairro],mercado1)+SUMIFS(supercb[Qtde],supercb[Item],tab_alimentos[[#This Row],[Item]],supercb[Bairro],mercado1)</f>
        <v>0</v>
      </c>
      <c r="M181" s="27" t="n">
        <f aca="false">SUMIFS(super1[Qtde],super1[Item],tab_alimentos[[#This Row],[Item]],super1[Bairro],mercado2)+SUMIFS(supercb[Qtde],supercb[Item],tab_alimentos[[#This Row],[Item]],supercb[Bairro],mercado2)</f>
        <v>1</v>
      </c>
      <c r="N181" s="27" t="n">
        <f aca="false">SUMIFS(super1[Qtde],super1[Item],tab_alimentos[[#This Row],[Item]],super1[Bairro],mercado3)+SUMIFS(supercb[Qtde],supercb[Item],tab_alimentos[[#This Row],[Item]],supercb[Bairro],mercado3)</f>
        <v>0</v>
      </c>
      <c r="O181" s="27" t="n">
        <f aca="false">SUMIFS(super1[Qtde],super1[Item],tab_alimentos[[#This Row],[Item]],super1[Bairro],mercado4)+SUMIFS(supercb[Qtde],supercb[Item],tab_alimentos[[#This Row],[Item]],supercb[Bairro],mercado4)</f>
        <v>0</v>
      </c>
      <c r="P181" s="27" t="n">
        <f aca="false">SUMIFS(super1[Qtde],super1[Item],tab_alimentos[[#This Row],[Item]],super1[Bairro],mercado5)+SUMIFS(supercb[Qtde],supercb[Item],tab_alimentos[[#This Row],[Item]],supercb[Bairro],mercado5)</f>
        <v>0</v>
      </c>
      <c r="Q181" s="27" t="n">
        <f aca="false">SUMIFS(super1[Qtde],super1[Item],tab_alimentos[[#This Row],[Item]],super1[Bairro],mercado6)+SUMIFS(supercb[Qtde],supercb[Item],tab_alimentos[[#This Row],[Item]],supercb[Bairro],mercado6)</f>
        <v>0</v>
      </c>
      <c r="R181" s="27" t="n">
        <f aca="false">SUMIFS(super1[Qtde],super1[Item],tab_alimentos[[#This Row],[Item]],super1[Bairro],mercado7)+SUMIFS(supercb[Qtde],supercb[Item],tab_alimentos[[#This Row],[Item]],supercb[Bairro],mercado7)</f>
        <v>0</v>
      </c>
      <c r="S181" s="27" t="n">
        <f aca="false">SUMIFS(super1[Qtde],super1[Item],tab_alimentos[[#This Row],[Item]],super1[Bairro],mercado8)+SUMIFS(supercb[Qtde],supercb[Item],tab_alimentos[[#This Row],[Item]],supercb[Bairro],mercado8)</f>
        <v>0</v>
      </c>
      <c r="T181" s="27" t="n">
        <f aca="false">SUMIFS(super1[Qtde],super1[Item],tab_alimentos[[#This Row],[Item]],super1[Bairro],mercado9)+SUMIFS(supercb[Qtde],supercb[Item],tab_alimentos[[#This Row],[Item]],supercb[Bairro],mercado9)</f>
        <v>0</v>
      </c>
      <c r="U181" s="27" t="n">
        <f aca="false">SUMIFS(super1[Qtde],super1[Item],tab_alimentos[[#This Row],[Item]],super1[Bairro],mercado10)+SUMIFS(supercb[Qtde],supercb[Item],tab_alimentos[[#This Row],[Item]],supercb[Bairro],mercado10)</f>
        <v>0</v>
      </c>
      <c r="V181" s="27" t="n">
        <f aca="false">SUMIFS(super1[Qtde],super1[Item],tab_alimentos[[#This Row],[Item]],super1[Bairro],mercado11)+SUMIFS(supercb[Qtde],supercb[Item],tab_alimentos[[#This Row],[Item]],supercb[Bairro],mercado11)</f>
        <v>0</v>
      </c>
      <c r="W181" s="27" t="n">
        <f aca="false">SUMIFS(super1[Qtde],super1[Item],tab_alimentos[[#This Row],[Item]],super1[Bairro],mercado12)+SUMIFS(supercb[Qtde],supercb[Item],tab_alimentos[[#This Row],[Item]],supercb[Bairro],mercado12)</f>
        <v>0</v>
      </c>
      <c r="X181" s="27" t="n">
        <f aca="false">SUMIFS(super1[Qtde],super1[Item],tab_alimentos[[#This Row],[Item]],super1[Bairro],mercado13)+SUMIFS(supercb[Qtde],supercb[Item],tab_alimentos[[#This Row],[Item]],supercb[Bairro],mercado13)</f>
        <v>0</v>
      </c>
      <c r="Y181" s="27" t="n">
        <f aca="false">SUMIFS(super1[Qtde],super1[Item],tab_alimentos[[#This Row],[Item]],super1[Bairro],mercado14)+SUMIFS(supercb[Qtde],supercb[Item],tab_alimentos[[#This Row],[Item]],supercb[Bairro],mercado14)</f>
        <v>0</v>
      </c>
      <c r="Z181" s="27" t="n">
        <f aca="false">SUMIFS(super1[Qtde],super1[Item],tab_alimentos[[#This Row],[Item]],super1[Bairro],mercado15)+SUMIFS(supercb[Qtde],supercb[Item],tab_alimentos[[#This Row],[Item]],supercb[Bairro],mercado15)</f>
        <v>0</v>
      </c>
      <c r="AA181" s="27" t="n">
        <f aca="false">SUMIFS(super1[Qtde],super1[Item],tab_alimentos[[#This Row],[Item]],super1[Bairro],mercado16)+SUMIFS(supercb[Qtde],supercb[Item],tab_alimentos[[#This Row],[Item]],supercb[Bairro],mercado16)</f>
        <v>0</v>
      </c>
      <c r="AB181" s="27" t="n">
        <f aca="false">SUMIFS(super1[Qtde],super1[Item],tab_alimentos[[#This Row],[Item]],super1[Bairro],mercado17)+SUMIFS(supercb[Qtde],supercb[Item],tab_alimentos[[#This Row],[Item]],supercb[Bairro],mercado17)</f>
        <v>0</v>
      </c>
      <c r="AC181" s="27" t="n">
        <f aca="false">SUMIFS(super1[Qtde],super1[Item],tab_alimentos[[#This Row],[Item]],super1[Bairro],mercado18)+SUMIFS(supercb[Qtde],supercb[Item],tab_alimentos[[#This Row],[Item]],supercb[Bairro],mercado18)</f>
        <v>0</v>
      </c>
      <c r="AD181" s="27" t="n">
        <f aca="false">SUMIFS(super1[Qtde],super1[Item],tab_alimentos[[#This Row],[Item]],super1[Bairro],extras)+SUMIFS(supercb[Qtde],supercb[Item],tab_alimentos[[#This Row],[Item]],supercb[Bairro],extras)</f>
        <v>0</v>
      </c>
      <c r="AE181" s="27" t="n">
        <f aca="false">SUM(L181:AC181)</f>
        <v>1</v>
      </c>
      <c r="AF181" s="27" t="n">
        <f aca="false">IFERROR(AE181*K181,0)</f>
        <v>5.56</v>
      </c>
      <c r="AG181" s="28" t="n">
        <f aca="false">IFERROR(J181*AE181,0)</f>
        <v>0.3</v>
      </c>
      <c r="AH181" s="26" t="str">
        <f aca="false">higiene[[#This Row],[Item]]</f>
        <v>Sabonete (3 in)</v>
      </c>
      <c r="AI181" s="27" t="n">
        <f aca="false">IFERROR(higiene[[#This Row],[Kg equivalente]],0)</f>
        <v>0.896627505194421</v>
      </c>
      <c r="AJ181" s="27" t="n">
        <f aca="false">IFERROR(higiene[[#This Row],[Preço por produto]],0)</f>
        <v>2.97</v>
      </c>
      <c r="AK181" s="27" t="n">
        <f aca="false">SUMIFS(super1[Qtde],super1[Item],tab_higiene[[#This Row],[Item]],super1[Bairro],mercado1)+SUMIFS(supercb[Qtde],supercb[Item],tab_higiene[[#This Row],[Item]],supercb[Bairro],mercado1)</f>
        <v>0</v>
      </c>
      <c r="AL181" s="27" t="n">
        <f aca="false">SUMIFS(super1[Qtde],super1[Item],tab_higiene[[#This Row],[Item]],super1[Bairro],mercado2)+SUMIFS(supercb[Qtde],supercb[Item],tab_higiene[[#This Row],[Item]],supercb[Bairro],mercado2)</f>
        <v>0</v>
      </c>
      <c r="AM181" s="27" t="n">
        <f aca="false">SUMIFS(super1[Qtde],super1[Item],tab_higiene[[#This Row],[Item]],super1[Bairro],mercado3)+SUMIFS(supercb[Qtde],supercb[Item],tab_higiene[[#This Row],[Item]],supercb[Bairro],mercado3)</f>
        <v>0</v>
      </c>
      <c r="AN181" s="27" t="n">
        <f aca="false">SUMIFS(super1[Qtde],super1[Item],tab_higiene[[#This Row],[Item]],super1[Bairro],mercado4)+SUMIFS(supercb[Qtde],supercb[Item],tab_higiene[[#This Row],[Item]],supercb[Bairro],mercado4)</f>
        <v>0</v>
      </c>
      <c r="AO181" s="27" t="n">
        <f aca="false">SUMIFS(super1[Qtde],super1[Item],tab_higiene[[#This Row],[Item]],super1[Bairro],mercado5)+SUMIFS(supercb[Qtde],supercb[Item],tab_higiene[[#This Row],[Item]],supercb[Bairro],mercado5)</f>
        <v>0</v>
      </c>
      <c r="AP181" s="27" t="n">
        <f aca="false">SUMIFS(super1[Qtde],super1[Item],tab_higiene[[#This Row],[Item]],super1[Bairro],mercado6)+SUMIFS(supercb[Qtde],supercb[Item],tab_higiene[[#This Row],[Item]],supercb[Bairro],mercado6)</f>
        <v>0</v>
      </c>
      <c r="AQ181" s="27" t="n">
        <f aca="false">SUMIFS(super1[Qtde],super1[Item],tab_higiene[[#This Row],[Item]],super1[Bairro],mercado7)+SUMIFS(supercb[Qtde],supercb[Item],tab_higiene[[#This Row],[Item]],supercb[Bairro],mercado7)</f>
        <v>0</v>
      </c>
      <c r="AR181" s="27" t="n">
        <f aca="false">SUMIFS(super1[Qtde],super1[Item],tab_higiene[[#This Row],[Item]],super1[Bairro],mercado8)+SUMIFS(supercb[Qtde],supercb[Item],tab_higiene[[#This Row],[Item]],supercb[Bairro],mercado8)</f>
        <v>0</v>
      </c>
      <c r="AS181" s="27" t="n">
        <f aca="false">SUMIFS(super1[Qtde],super1[Item],tab_higiene[[#This Row],[Item]],super1[Bairro],mercado9)+SUMIFS(supercb[Qtde],supercb[Item],tab_higiene[[#This Row],[Item]],supercb[Bairro],mercado9)</f>
        <v>2</v>
      </c>
      <c r="AT181" s="27" t="n">
        <f aca="false">SUMIFS(super1[Qtde],super1[Item],tab_higiene[[#This Row],[Item]],super1[Bairro],mercado10)+SUMIFS(supercb[Qtde],supercb[Item],tab_higiene[[#This Row],[Item]],supercb[Bairro],mercado10)</f>
        <v>0</v>
      </c>
      <c r="AU181" s="27" t="n">
        <f aca="false">SUMIFS(super1[Qtde],super1[Item],tab_higiene[[#This Row],[Item]],super1[Bairro],mercado11)+SUMIFS(supercb[Qtde],supercb[Item],tab_higiene[[#This Row],[Item]],supercb[Bairro],mercado11)</f>
        <v>0</v>
      </c>
      <c r="AV181" s="27" t="n">
        <f aca="false">SUMIFS(super1[Qtde],super1[Item],tab_higiene[[#This Row],[Item]],super1[Bairro],mercado12)+SUMIFS(supercb[Qtde],supercb[Item],tab_higiene[[#This Row],[Item]],supercb[Bairro],mercado12)</f>
        <v>0</v>
      </c>
      <c r="AW181" s="27" t="n">
        <f aca="false">SUMIFS(super1[Qtde],super1[Item],tab_higiene[[#This Row],[Item]],super1[Bairro],mercado13)+SUMIFS(supercb[Qtde],supercb[Item],tab_higiene[[#This Row],[Item]],supercb[Bairro],mercado13)</f>
        <v>0</v>
      </c>
      <c r="AX181" s="27" t="n">
        <f aca="false">SUMIFS(super1[Qtde],super1[Item],tab_higiene[[#This Row],[Item]],super1[Bairro],mercado14)+SUMIFS(supercb[Qtde],supercb[Item],tab_higiene[[#This Row],[Item]],supercb[Bairro],mercado14)</f>
        <v>0</v>
      </c>
      <c r="AY181" s="27" t="n">
        <f aca="false">SUMIFS(super1[Qtde],super1[Item],tab_higiene[[#This Row],[Item]],super1[Bairro],mercado15)+SUMIFS(supercb[Qtde],supercb[Item],tab_higiene[[#This Row],[Item]],supercb[Bairro],mercado15)</f>
        <v>0</v>
      </c>
      <c r="AZ181" s="27" t="n">
        <f aca="false">SUMIFS(super1[Qtde],super1[Item],tab_higiene[[#This Row],[Item]],super1[Bairro],mercado16)+SUMIFS(supercb[Qtde],supercb[Item],tab_higiene[[#This Row],[Item]],supercb[Bairro],mercado16)</f>
        <v>0</v>
      </c>
      <c r="BA181" s="27" t="n">
        <f aca="false">SUMIFS(super1[Qtde],super1[Item],tab_higiene[[#This Row],[Item]],super1[Bairro],mercado17)+SUMIFS(supercb[Qtde],supercb[Item],tab_higiene[[#This Row],[Item]],supercb[Bairro],mercado17)</f>
        <v>0</v>
      </c>
      <c r="BB181" s="27" t="n">
        <f aca="false">SUMIFS(super1[Qtde],super1[Item],tab_higiene[[#This Row],[Item]],super1[Bairro],mercado18)+SUMIFS(supercb[Qtde],supercb[Item],tab_higiene[[#This Row],[Item]],supercb[Bairro],mercado18)</f>
        <v>0</v>
      </c>
      <c r="BC181" s="27" t="n">
        <f aca="false">SUMIFS(super1[Qtde],super1[Item],tab_higiene[[#This Row],[Item]],super1[Bairro],extras)+SUMIFS(supercb[Qtde],supercb[Item],tab_higiene[[#This Row],[Item]],supercb[Bairro],extras)</f>
        <v>0</v>
      </c>
      <c r="BD181" s="27" t="n">
        <f aca="false">SUM(AK181:BB181)</f>
        <v>2</v>
      </c>
      <c r="BE181" s="27" t="n">
        <f aca="false">IFERROR(BD181*AJ181,0)</f>
        <v>5.94</v>
      </c>
      <c r="BF181" s="28" t="n">
        <f aca="false">IFERROR(AI181*BD181,0)</f>
        <v>1.79325501038884</v>
      </c>
    </row>
    <row r="182" customFormat="false" ht="15" hidden="false" customHeight="false" outlineLevel="0" collapsed="false">
      <c r="I182" s="26" t="str">
        <f aca="false">alimentos[[#This Row],[Item]]</f>
        <v>Milho + ervilha</v>
      </c>
      <c r="J182" s="27" t="n">
        <f aca="false">IFERROR(alimentos[[#This Row],[kg/embalagem]],0)</f>
        <v>0.2</v>
      </c>
      <c r="K182" s="27" t="n">
        <f aca="false">IFERROR(alimentos[[#This Row],[Preço]],0)</f>
        <v>2.105</v>
      </c>
      <c r="L182" s="27" t="n">
        <f aca="false">SUMIFS(super1[Qtde],super1[Item],tab_alimentos[[#This Row],[Item]],super1[Bairro],mercado1)+SUMIFS(supercb[Qtde],supercb[Item],tab_alimentos[[#This Row],[Item]],supercb[Bairro],mercado1)</f>
        <v>0</v>
      </c>
      <c r="M182" s="27" t="n">
        <f aca="false">SUMIFS(super1[Qtde],super1[Item],tab_alimentos[[#This Row],[Item]],super1[Bairro],mercado2)+SUMIFS(supercb[Qtde],supercb[Item],tab_alimentos[[#This Row],[Item]],supercb[Bairro],mercado2)</f>
        <v>0</v>
      </c>
      <c r="N182" s="27" t="n">
        <f aca="false">SUMIFS(super1[Qtde],super1[Item],tab_alimentos[[#This Row],[Item]],super1[Bairro],mercado3)+SUMIFS(supercb[Qtde],supercb[Item],tab_alimentos[[#This Row],[Item]],supercb[Bairro],mercado3)</f>
        <v>0</v>
      </c>
      <c r="O182" s="27" t="n">
        <f aca="false">SUMIFS(super1[Qtde],super1[Item],tab_alimentos[[#This Row],[Item]],super1[Bairro],mercado4)+SUMIFS(supercb[Qtde],supercb[Item],tab_alimentos[[#This Row],[Item]],supercb[Bairro],mercado4)</f>
        <v>0</v>
      </c>
      <c r="P182" s="27" t="n">
        <f aca="false">SUMIFS(super1[Qtde],super1[Item],tab_alimentos[[#This Row],[Item]],super1[Bairro],mercado5)+SUMIFS(supercb[Qtde],supercb[Item],tab_alimentos[[#This Row],[Item]],supercb[Bairro],mercado5)</f>
        <v>0</v>
      </c>
      <c r="Q182" s="27" t="n">
        <f aca="false">SUMIFS(super1[Qtde],super1[Item],tab_alimentos[[#This Row],[Item]],super1[Bairro],mercado6)+SUMIFS(supercb[Qtde],supercb[Item],tab_alimentos[[#This Row],[Item]],supercb[Bairro],mercado6)</f>
        <v>0</v>
      </c>
      <c r="R182" s="27" t="n">
        <f aca="false">SUMIFS(super1[Qtde],super1[Item],tab_alimentos[[#This Row],[Item]],super1[Bairro],mercado7)+SUMIFS(supercb[Qtde],supercb[Item],tab_alimentos[[#This Row],[Item]],supercb[Bairro],mercado7)</f>
        <v>0</v>
      </c>
      <c r="S182" s="27" t="n">
        <f aca="false">SUMIFS(super1[Qtde],super1[Item],tab_alimentos[[#This Row],[Item]],super1[Bairro],mercado8)+SUMIFS(supercb[Qtde],supercb[Item],tab_alimentos[[#This Row],[Item]],supercb[Bairro],mercado8)</f>
        <v>0</v>
      </c>
      <c r="T182" s="27" t="n">
        <f aca="false">SUMIFS(super1[Qtde],super1[Item],tab_alimentos[[#This Row],[Item]],super1[Bairro],mercado9)+SUMIFS(supercb[Qtde],supercb[Item],tab_alimentos[[#This Row],[Item]],supercb[Bairro],mercado9)</f>
        <v>0</v>
      </c>
      <c r="U182" s="27" t="n">
        <f aca="false">SUMIFS(super1[Qtde],super1[Item],tab_alimentos[[#This Row],[Item]],super1[Bairro],mercado10)+SUMIFS(supercb[Qtde],supercb[Item],tab_alimentos[[#This Row],[Item]],supercb[Bairro],mercado10)</f>
        <v>1</v>
      </c>
      <c r="V182" s="27" t="n">
        <f aca="false">SUMIFS(super1[Qtde],super1[Item],tab_alimentos[[#This Row],[Item]],super1[Bairro],mercado11)+SUMIFS(supercb[Qtde],supercb[Item],tab_alimentos[[#This Row],[Item]],supercb[Bairro],mercado11)</f>
        <v>0</v>
      </c>
      <c r="W182" s="27" t="n">
        <f aca="false">SUMIFS(super1[Qtde],super1[Item],tab_alimentos[[#This Row],[Item]],super1[Bairro],mercado12)+SUMIFS(supercb[Qtde],supercb[Item],tab_alimentos[[#This Row],[Item]],supercb[Bairro],mercado12)</f>
        <v>0</v>
      </c>
      <c r="X182" s="27" t="n">
        <f aca="false">SUMIFS(super1[Qtde],super1[Item],tab_alimentos[[#This Row],[Item]],super1[Bairro],mercado13)+SUMIFS(supercb[Qtde],supercb[Item],tab_alimentos[[#This Row],[Item]],supercb[Bairro],mercado13)</f>
        <v>0</v>
      </c>
      <c r="Y182" s="27" t="n">
        <f aca="false">SUMIFS(super1[Qtde],super1[Item],tab_alimentos[[#This Row],[Item]],super1[Bairro],mercado14)+SUMIFS(supercb[Qtde],supercb[Item],tab_alimentos[[#This Row],[Item]],supercb[Bairro],mercado14)</f>
        <v>0</v>
      </c>
      <c r="Z182" s="27" t="n">
        <f aca="false">SUMIFS(super1[Qtde],super1[Item],tab_alimentos[[#This Row],[Item]],super1[Bairro],mercado15)+SUMIFS(supercb[Qtde],supercb[Item],tab_alimentos[[#This Row],[Item]],supercb[Bairro],mercado15)</f>
        <v>0</v>
      </c>
      <c r="AA182" s="27" t="n">
        <f aca="false">SUMIFS(super1[Qtde],super1[Item],tab_alimentos[[#This Row],[Item]],super1[Bairro],mercado16)+SUMIFS(supercb[Qtde],supercb[Item],tab_alimentos[[#This Row],[Item]],supercb[Bairro],mercado16)</f>
        <v>0</v>
      </c>
      <c r="AB182" s="27" t="n">
        <f aca="false">SUMIFS(super1[Qtde],super1[Item],tab_alimentos[[#This Row],[Item]],super1[Bairro],mercado17)+SUMIFS(supercb[Qtde],supercb[Item],tab_alimentos[[#This Row],[Item]],supercb[Bairro],mercado17)</f>
        <v>0</v>
      </c>
      <c r="AC182" s="27" t="n">
        <f aca="false">SUMIFS(super1[Qtde],super1[Item],tab_alimentos[[#This Row],[Item]],super1[Bairro],mercado18)+SUMIFS(supercb[Qtde],supercb[Item],tab_alimentos[[#This Row],[Item]],supercb[Bairro],mercado18)</f>
        <v>0</v>
      </c>
      <c r="AD182" s="27" t="n">
        <f aca="false">SUMIFS(super1[Qtde],super1[Item],tab_alimentos[[#This Row],[Item]],super1[Bairro],extras)+SUMIFS(supercb[Qtde],supercb[Item],tab_alimentos[[#This Row],[Item]],supercb[Bairro],extras)</f>
        <v>0</v>
      </c>
      <c r="AE182" s="27" t="n">
        <f aca="false">SUM(L182:AC182)</f>
        <v>1</v>
      </c>
      <c r="AF182" s="27" t="n">
        <f aca="false">IFERROR(AE182*K182,0)</f>
        <v>2.105</v>
      </c>
      <c r="AG182" s="28" t="n">
        <f aca="false">IFERROR(J182*AE182,0)</f>
        <v>0.2</v>
      </c>
      <c r="AH182" s="26" t="str">
        <f aca="false">higiene[[#This Row],[Item]]</f>
        <v>Sabonete (3un)</v>
      </c>
      <c r="AI182" s="27" t="n">
        <f aca="false">IFERROR(higiene[[#This Row],[Kg equivalente]],0)</f>
        <v>0.896627505194421</v>
      </c>
      <c r="AJ182" s="27" t="n">
        <f aca="false">IFERROR(higiene[[#This Row],[Preço por produto]],0)</f>
        <v>2.97</v>
      </c>
      <c r="AK182" s="27" t="n">
        <f aca="false">SUMIFS(super1[Qtde],super1[Item],tab_higiene[[#This Row],[Item]],super1[Bairro],mercado1)+SUMIFS(supercb[Qtde],supercb[Item],tab_higiene[[#This Row],[Item]],supercb[Bairro],mercado1)</f>
        <v>1</v>
      </c>
      <c r="AL182" s="27" t="n">
        <f aca="false">SUMIFS(super1[Qtde],super1[Item],tab_higiene[[#This Row],[Item]],super1[Bairro],mercado2)+SUMIFS(supercb[Qtde],supercb[Item],tab_higiene[[#This Row],[Item]],supercb[Bairro],mercado2)</f>
        <v>0</v>
      </c>
      <c r="AM182" s="27" t="n">
        <f aca="false">SUMIFS(super1[Qtde],super1[Item],tab_higiene[[#This Row],[Item]],super1[Bairro],mercado3)+SUMIFS(supercb[Qtde],supercb[Item],tab_higiene[[#This Row],[Item]],supercb[Bairro],mercado3)</f>
        <v>0</v>
      </c>
      <c r="AN182" s="27" t="n">
        <f aca="false">SUMIFS(super1[Qtde],super1[Item],tab_higiene[[#This Row],[Item]],super1[Bairro],mercado4)+SUMIFS(supercb[Qtde],supercb[Item],tab_higiene[[#This Row],[Item]],supercb[Bairro],mercado4)</f>
        <v>0</v>
      </c>
      <c r="AO182" s="27" t="n">
        <f aca="false">SUMIFS(super1[Qtde],super1[Item],tab_higiene[[#This Row],[Item]],super1[Bairro],mercado5)+SUMIFS(supercb[Qtde],supercb[Item],tab_higiene[[#This Row],[Item]],supercb[Bairro],mercado5)</f>
        <v>2</v>
      </c>
      <c r="AP182" s="27" t="n">
        <f aca="false">SUMIFS(super1[Qtde],super1[Item],tab_higiene[[#This Row],[Item]],super1[Bairro],mercado6)+SUMIFS(supercb[Qtde],supercb[Item],tab_higiene[[#This Row],[Item]],supercb[Bairro],mercado6)</f>
        <v>0</v>
      </c>
      <c r="AQ182" s="27" t="n">
        <f aca="false">SUMIFS(super1[Qtde],super1[Item],tab_higiene[[#This Row],[Item]],super1[Bairro],mercado7)+SUMIFS(supercb[Qtde],supercb[Item],tab_higiene[[#This Row],[Item]],supercb[Bairro],mercado7)</f>
        <v>0</v>
      </c>
      <c r="AR182" s="27" t="n">
        <f aca="false">SUMIFS(super1[Qtde],super1[Item],tab_higiene[[#This Row],[Item]],super1[Bairro],mercado8)+SUMIFS(supercb[Qtde],supercb[Item],tab_higiene[[#This Row],[Item]],supercb[Bairro],mercado8)</f>
        <v>0</v>
      </c>
      <c r="AS182" s="27" t="n">
        <f aca="false">SUMIFS(super1[Qtde],super1[Item],tab_higiene[[#This Row],[Item]],super1[Bairro],mercado9)+SUMIFS(supercb[Qtde],supercb[Item],tab_higiene[[#This Row],[Item]],supercb[Bairro],mercado9)</f>
        <v>4</v>
      </c>
      <c r="AT182" s="27" t="n">
        <f aca="false">SUMIFS(super1[Qtde],super1[Item],tab_higiene[[#This Row],[Item]],super1[Bairro],mercado10)+SUMIFS(supercb[Qtde],supercb[Item],tab_higiene[[#This Row],[Item]],supercb[Bairro],mercado10)</f>
        <v>5</v>
      </c>
      <c r="AU182" s="27" t="n">
        <f aca="false">SUMIFS(super1[Qtde],super1[Item],tab_higiene[[#This Row],[Item]],super1[Bairro],mercado11)+SUMIFS(supercb[Qtde],supercb[Item],tab_higiene[[#This Row],[Item]],supercb[Bairro],mercado11)</f>
        <v>9</v>
      </c>
      <c r="AV182" s="27" t="n">
        <f aca="false">SUMIFS(super1[Qtde],super1[Item],tab_higiene[[#This Row],[Item]],super1[Bairro],mercado12)+SUMIFS(supercb[Qtde],supercb[Item],tab_higiene[[#This Row],[Item]],supercb[Bairro],mercado12)</f>
        <v>0</v>
      </c>
      <c r="AW182" s="27" t="n">
        <f aca="false">SUMIFS(super1[Qtde],super1[Item],tab_higiene[[#This Row],[Item]],super1[Bairro],mercado13)+SUMIFS(supercb[Qtde],supercb[Item],tab_higiene[[#This Row],[Item]],supercb[Bairro],mercado13)</f>
        <v>0</v>
      </c>
      <c r="AX182" s="27" t="n">
        <f aca="false">SUMIFS(super1[Qtde],super1[Item],tab_higiene[[#This Row],[Item]],super1[Bairro],mercado14)+SUMIFS(supercb[Qtde],supercb[Item],tab_higiene[[#This Row],[Item]],supercb[Bairro],mercado14)</f>
        <v>0</v>
      </c>
      <c r="AY182" s="27" t="n">
        <f aca="false">SUMIFS(super1[Qtde],super1[Item],tab_higiene[[#This Row],[Item]],super1[Bairro],mercado15)+SUMIFS(supercb[Qtde],supercb[Item],tab_higiene[[#This Row],[Item]],supercb[Bairro],mercado15)</f>
        <v>0</v>
      </c>
      <c r="AZ182" s="27" t="n">
        <f aca="false">SUMIFS(super1[Qtde],super1[Item],tab_higiene[[#This Row],[Item]],super1[Bairro],mercado16)+SUMIFS(supercb[Qtde],supercb[Item],tab_higiene[[#This Row],[Item]],supercb[Bairro],mercado16)</f>
        <v>0</v>
      </c>
      <c r="BA182" s="27" t="n">
        <f aca="false">SUMIFS(super1[Qtde],super1[Item],tab_higiene[[#This Row],[Item]],super1[Bairro],mercado17)+SUMIFS(supercb[Qtde],supercb[Item],tab_higiene[[#This Row],[Item]],supercb[Bairro],mercado17)</f>
        <v>0</v>
      </c>
      <c r="BB182" s="27" t="n">
        <f aca="false">SUMIFS(super1[Qtde],super1[Item],tab_higiene[[#This Row],[Item]],super1[Bairro],mercado18)+SUMIFS(supercb[Qtde],supercb[Item],tab_higiene[[#This Row],[Item]],supercb[Bairro],mercado18)</f>
        <v>0</v>
      </c>
      <c r="BC182" s="27" t="n">
        <f aca="false">SUMIFS(super1[Qtde],super1[Item],tab_higiene[[#This Row],[Item]],super1[Bairro],extras)+SUMIFS(supercb[Qtde],supercb[Item],tab_higiene[[#This Row],[Item]],supercb[Bairro],extras)</f>
        <v>0</v>
      </c>
      <c r="BD182" s="27" t="n">
        <f aca="false">SUM(AK182:BB182)</f>
        <v>21</v>
      </c>
      <c r="BE182" s="27" t="n">
        <f aca="false">IFERROR(BD182*AJ182,0)</f>
        <v>62.37</v>
      </c>
      <c r="BF182" s="28" t="n">
        <f aca="false">IFERROR(AI182*BD182,0)</f>
        <v>18.8291776090828</v>
      </c>
    </row>
    <row r="183" customFormat="false" ht="15" hidden="false" customHeight="false" outlineLevel="0" collapsed="false">
      <c r="I183" s="26" t="str">
        <f aca="false">alimentos[[#This Row],[Item]]</f>
        <v>Milho conserva (Lata)</v>
      </c>
      <c r="J183" s="27" t="n">
        <f aca="false">IFERROR(alimentos[[#This Row],[kg/embalagem]],0)</f>
        <v>0.23</v>
      </c>
      <c r="K183" s="27" t="n">
        <f aca="false">IFERROR(alimentos[[#This Row],[Preço]],0)</f>
        <v>1.59</v>
      </c>
      <c r="L183" s="27" t="n">
        <f aca="false">SUMIFS(super1[Qtde],super1[Item],tab_alimentos[[#This Row],[Item]],super1[Bairro],mercado1)+SUMIFS(supercb[Qtde],supercb[Item],tab_alimentos[[#This Row],[Item]],supercb[Bairro],mercado1)</f>
        <v>0</v>
      </c>
      <c r="M183" s="27" t="n">
        <f aca="false">SUMIFS(super1[Qtde],super1[Item],tab_alimentos[[#This Row],[Item]],super1[Bairro],mercado2)+SUMIFS(supercb[Qtde],supercb[Item],tab_alimentos[[#This Row],[Item]],supercb[Bairro],mercado2)</f>
        <v>1</v>
      </c>
      <c r="N183" s="27" t="n">
        <f aca="false">SUMIFS(super1[Qtde],super1[Item],tab_alimentos[[#This Row],[Item]],super1[Bairro],mercado3)+SUMIFS(supercb[Qtde],supercb[Item],tab_alimentos[[#This Row],[Item]],supercb[Bairro],mercado3)</f>
        <v>0</v>
      </c>
      <c r="O183" s="27" t="n">
        <f aca="false">SUMIFS(super1[Qtde],super1[Item],tab_alimentos[[#This Row],[Item]],super1[Bairro],mercado4)+SUMIFS(supercb[Qtde],supercb[Item],tab_alimentos[[#This Row],[Item]],supercb[Bairro],mercado4)</f>
        <v>0</v>
      </c>
      <c r="P183" s="27" t="n">
        <f aca="false">SUMIFS(super1[Qtde],super1[Item],tab_alimentos[[#This Row],[Item]],super1[Bairro],mercado5)+SUMIFS(supercb[Qtde],supercb[Item],tab_alimentos[[#This Row],[Item]],supercb[Bairro],mercado5)</f>
        <v>0</v>
      </c>
      <c r="Q183" s="27" t="n">
        <f aca="false">SUMIFS(super1[Qtde],super1[Item],tab_alimentos[[#This Row],[Item]],super1[Bairro],mercado6)+SUMIFS(supercb[Qtde],supercb[Item],tab_alimentos[[#This Row],[Item]],supercb[Bairro],mercado6)</f>
        <v>0</v>
      </c>
      <c r="R183" s="27" t="n">
        <f aca="false">SUMIFS(super1[Qtde],super1[Item],tab_alimentos[[#This Row],[Item]],super1[Bairro],mercado7)+SUMIFS(supercb[Qtde],supercb[Item],tab_alimentos[[#This Row],[Item]],supercb[Bairro],mercado7)</f>
        <v>0</v>
      </c>
      <c r="S183" s="27" t="n">
        <f aca="false">SUMIFS(super1[Qtde],super1[Item],tab_alimentos[[#This Row],[Item]],super1[Bairro],mercado8)+SUMIFS(supercb[Qtde],supercb[Item],tab_alimentos[[#This Row],[Item]],supercb[Bairro],mercado8)</f>
        <v>0</v>
      </c>
      <c r="T183" s="27" t="n">
        <f aca="false">SUMIFS(super1[Qtde],super1[Item],tab_alimentos[[#This Row],[Item]],super1[Bairro],mercado9)+SUMIFS(supercb[Qtde],supercb[Item],tab_alimentos[[#This Row],[Item]],supercb[Bairro],mercado9)</f>
        <v>0</v>
      </c>
      <c r="U183" s="27" t="n">
        <f aca="false">SUMIFS(super1[Qtde],super1[Item],tab_alimentos[[#This Row],[Item]],super1[Bairro],mercado10)+SUMIFS(supercb[Qtde],supercb[Item],tab_alimentos[[#This Row],[Item]],supercb[Bairro],mercado10)</f>
        <v>0</v>
      </c>
      <c r="V183" s="27" t="n">
        <f aca="false">SUMIFS(super1[Qtde],super1[Item],tab_alimentos[[#This Row],[Item]],super1[Bairro],mercado11)+SUMIFS(supercb[Qtde],supercb[Item],tab_alimentos[[#This Row],[Item]],supercb[Bairro],mercado11)</f>
        <v>0</v>
      </c>
      <c r="W183" s="27" t="n">
        <f aca="false">SUMIFS(super1[Qtde],super1[Item],tab_alimentos[[#This Row],[Item]],super1[Bairro],mercado12)+SUMIFS(supercb[Qtde],supercb[Item],tab_alimentos[[#This Row],[Item]],supercb[Bairro],mercado12)</f>
        <v>0</v>
      </c>
      <c r="X183" s="27" t="n">
        <f aca="false">SUMIFS(super1[Qtde],super1[Item],tab_alimentos[[#This Row],[Item]],super1[Bairro],mercado13)+SUMIFS(supercb[Qtde],supercb[Item],tab_alimentos[[#This Row],[Item]],supercb[Bairro],mercado13)</f>
        <v>1</v>
      </c>
      <c r="Y183" s="27" t="n">
        <f aca="false">SUMIFS(super1[Qtde],super1[Item],tab_alimentos[[#This Row],[Item]],super1[Bairro],mercado14)+SUMIFS(supercb[Qtde],supercb[Item],tab_alimentos[[#This Row],[Item]],supercb[Bairro],mercado14)</f>
        <v>0</v>
      </c>
      <c r="Z183" s="27" t="n">
        <f aca="false">SUMIFS(super1[Qtde],super1[Item],tab_alimentos[[#This Row],[Item]],super1[Bairro],mercado15)+SUMIFS(supercb[Qtde],supercb[Item],tab_alimentos[[#This Row],[Item]],supercb[Bairro],mercado15)</f>
        <v>0</v>
      </c>
      <c r="AA183" s="27" t="n">
        <f aca="false">SUMIFS(super1[Qtde],super1[Item],tab_alimentos[[#This Row],[Item]],super1[Bairro],mercado16)+SUMIFS(supercb[Qtde],supercb[Item],tab_alimentos[[#This Row],[Item]],supercb[Bairro],mercado16)</f>
        <v>0</v>
      </c>
      <c r="AB183" s="27" t="n">
        <f aca="false">SUMIFS(super1[Qtde],super1[Item],tab_alimentos[[#This Row],[Item]],super1[Bairro],mercado17)+SUMIFS(supercb[Qtde],supercb[Item],tab_alimentos[[#This Row],[Item]],supercb[Bairro],mercado17)</f>
        <v>0</v>
      </c>
      <c r="AC183" s="27" t="n">
        <f aca="false">SUMIFS(super1[Qtde],super1[Item],tab_alimentos[[#This Row],[Item]],super1[Bairro],mercado18)+SUMIFS(supercb[Qtde],supercb[Item],tab_alimentos[[#This Row],[Item]],supercb[Bairro],mercado18)</f>
        <v>0</v>
      </c>
      <c r="AD183" s="27" t="n">
        <f aca="false">SUMIFS(super1[Qtde],super1[Item],tab_alimentos[[#This Row],[Item]],super1[Bairro],extras)+SUMIFS(supercb[Qtde],supercb[Item],tab_alimentos[[#This Row],[Item]],supercb[Bairro],extras)</f>
        <v>0</v>
      </c>
      <c r="AE183" s="27" t="n">
        <f aca="false">SUM(L183:AC183)</f>
        <v>2</v>
      </c>
      <c r="AF183" s="27" t="n">
        <f aca="false">IFERROR(AE183*K183,0)</f>
        <v>3.18</v>
      </c>
      <c r="AG183" s="28" t="n">
        <f aca="false">IFERROR(J183*AE183,0)</f>
        <v>0.46</v>
      </c>
      <c r="AH183" s="26" t="str">
        <f aca="false">higiene[[#This Row],[Item]]</f>
        <v>sabonete (4un)</v>
      </c>
      <c r="AI183" s="27" t="n">
        <f aca="false">IFERROR(higiene[[#This Row],[Kg equivalente]],0)</f>
        <v>2.02118557147362</v>
      </c>
      <c r="AJ183" s="27" t="n">
        <f aca="false">IFERROR(higiene[[#This Row],[Preço por produto]],0)</f>
        <v>6.695</v>
      </c>
      <c r="AK183" s="27" t="n">
        <f aca="false">SUMIFS(super1[Qtde],super1[Item],tab_higiene[[#This Row],[Item]],super1[Bairro],mercado1)+SUMIFS(supercb[Qtde],supercb[Item],tab_higiene[[#This Row],[Item]],supercb[Bairro],mercado1)</f>
        <v>0</v>
      </c>
      <c r="AL183" s="27" t="n">
        <f aca="false">SUMIFS(super1[Qtde],super1[Item],tab_higiene[[#This Row],[Item]],super1[Bairro],mercado2)+SUMIFS(supercb[Qtde],supercb[Item],tab_higiene[[#This Row],[Item]],supercb[Bairro],mercado2)</f>
        <v>0</v>
      </c>
      <c r="AM183" s="27" t="n">
        <f aca="false">SUMIFS(super1[Qtde],super1[Item],tab_higiene[[#This Row],[Item]],super1[Bairro],mercado3)+SUMIFS(supercb[Qtde],supercb[Item],tab_higiene[[#This Row],[Item]],supercb[Bairro],mercado3)</f>
        <v>0</v>
      </c>
      <c r="AN183" s="27" t="n">
        <f aca="false">SUMIFS(super1[Qtde],super1[Item],tab_higiene[[#This Row],[Item]],super1[Bairro],mercado4)+SUMIFS(supercb[Qtde],supercb[Item],tab_higiene[[#This Row],[Item]],supercb[Bairro],mercado4)</f>
        <v>0</v>
      </c>
      <c r="AO183" s="27" t="n">
        <f aca="false">SUMIFS(super1[Qtde],super1[Item],tab_higiene[[#This Row],[Item]],super1[Bairro],mercado5)+SUMIFS(supercb[Qtde],supercb[Item],tab_higiene[[#This Row],[Item]],supercb[Bairro],mercado5)</f>
        <v>0</v>
      </c>
      <c r="AP183" s="27" t="n">
        <f aca="false">SUMIFS(super1[Qtde],super1[Item],tab_higiene[[#This Row],[Item]],super1[Bairro],mercado6)+SUMIFS(supercb[Qtde],supercb[Item],tab_higiene[[#This Row],[Item]],supercb[Bairro],mercado6)</f>
        <v>0</v>
      </c>
      <c r="AQ183" s="27" t="n">
        <f aca="false">SUMIFS(super1[Qtde],super1[Item],tab_higiene[[#This Row],[Item]],super1[Bairro],mercado7)+SUMIFS(supercb[Qtde],supercb[Item],tab_higiene[[#This Row],[Item]],supercb[Bairro],mercado7)</f>
        <v>0</v>
      </c>
      <c r="AR183" s="27" t="n">
        <f aca="false">SUMIFS(super1[Qtde],super1[Item],tab_higiene[[#This Row],[Item]],super1[Bairro],mercado8)+SUMIFS(supercb[Qtde],supercb[Item],tab_higiene[[#This Row],[Item]],supercb[Bairro],mercado8)</f>
        <v>0</v>
      </c>
      <c r="AS183" s="27" t="n">
        <f aca="false">SUMIFS(super1[Qtde],super1[Item],tab_higiene[[#This Row],[Item]],super1[Bairro],mercado9)+SUMIFS(supercb[Qtde],supercb[Item],tab_higiene[[#This Row],[Item]],supercb[Bairro],mercado9)</f>
        <v>0</v>
      </c>
      <c r="AT183" s="27" t="n">
        <f aca="false">SUMIFS(super1[Qtde],super1[Item],tab_higiene[[#This Row],[Item]],super1[Bairro],mercado10)+SUMIFS(supercb[Qtde],supercb[Item],tab_higiene[[#This Row],[Item]],supercb[Bairro],mercado10)</f>
        <v>1</v>
      </c>
      <c r="AU183" s="27" t="n">
        <f aca="false">SUMIFS(super1[Qtde],super1[Item],tab_higiene[[#This Row],[Item]],super1[Bairro],mercado11)+SUMIFS(supercb[Qtde],supercb[Item],tab_higiene[[#This Row],[Item]],supercb[Bairro],mercado11)</f>
        <v>2</v>
      </c>
      <c r="AV183" s="27" t="n">
        <f aca="false">SUMIFS(super1[Qtde],super1[Item],tab_higiene[[#This Row],[Item]],super1[Bairro],mercado12)+SUMIFS(supercb[Qtde],supercb[Item],tab_higiene[[#This Row],[Item]],supercb[Bairro],mercado12)</f>
        <v>0</v>
      </c>
      <c r="AW183" s="27" t="n">
        <f aca="false">SUMIFS(super1[Qtde],super1[Item],tab_higiene[[#This Row],[Item]],super1[Bairro],mercado13)+SUMIFS(supercb[Qtde],supercb[Item],tab_higiene[[#This Row],[Item]],supercb[Bairro],mercado13)</f>
        <v>0</v>
      </c>
      <c r="AX183" s="27" t="n">
        <f aca="false">SUMIFS(super1[Qtde],super1[Item],tab_higiene[[#This Row],[Item]],super1[Bairro],mercado14)+SUMIFS(supercb[Qtde],supercb[Item],tab_higiene[[#This Row],[Item]],supercb[Bairro],mercado14)</f>
        <v>0</v>
      </c>
      <c r="AY183" s="27" t="n">
        <f aca="false">SUMIFS(super1[Qtde],super1[Item],tab_higiene[[#This Row],[Item]],super1[Bairro],mercado15)+SUMIFS(supercb[Qtde],supercb[Item],tab_higiene[[#This Row],[Item]],supercb[Bairro],mercado15)</f>
        <v>0</v>
      </c>
      <c r="AZ183" s="27" t="n">
        <f aca="false">SUMIFS(super1[Qtde],super1[Item],tab_higiene[[#This Row],[Item]],super1[Bairro],mercado16)+SUMIFS(supercb[Qtde],supercb[Item],tab_higiene[[#This Row],[Item]],supercb[Bairro],mercado16)</f>
        <v>0</v>
      </c>
      <c r="BA183" s="27" t="n">
        <f aca="false">SUMIFS(super1[Qtde],super1[Item],tab_higiene[[#This Row],[Item]],super1[Bairro],mercado17)+SUMIFS(supercb[Qtde],supercb[Item],tab_higiene[[#This Row],[Item]],supercb[Bairro],mercado17)</f>
        <v>0</v>
      </c>
      <c r="BB183" s="27" t="n">
        <f aca="false">SUMIFS(super1[Qtde],super1[Item],tab_higiene[[#This Row],[Item]],super1[Bairro],mercado18)+SUMIFS(supercb[Qtde],supercb[Item],tab_higiene[[#This Row],[Item]],supercb[Bairro],mercado18)</f>
        <v>0</v>
      </c>
      <c r="BC183" s="27" t="n">
        <f aca="false">SUMIFS(super1[Qtde],super1[Item],tab_higiene[[#This Row],[Item]],super1[Bairro],extras)+SUMIFS(supercb[Qtde],supercb[Item],tab_higiene[[#This Row],[Item]],supercb[Bairro],extras)</f>
        <v>0</v>
      </c>
      <c r="BD183" s="27" t="n">
        <f aca="false">SUM(AK183:BB183)</f>
        <v>3</v>
      </c>
      <c r="BE183" s="27" t="n">
        <f aca="false">IFERROR(BD183*AJ183,0)</f>
        <v>20.085</v>
      </c>
      <c r="BF183" s="28" t="n">
        <f aca="false">IFERROR(AI183*BD183,0)</f>
        <v>6.06355671442085</v>
      </c>
    </row>
    <row r="184" customFormat="false" ht="15" hidden="false" customHeight="false" outlineLevel="0" collapsed="false">
      <c r="I184" s="26" t="str">
        <f aca="false">alimentos[[#This Row],[Item]]</f>
        <v>Milho conserva (Sache)</v>
      </c>
      <c r="J184" s="27" t="n">
        <f aca="false">IFERROR(alimentos[[#This Row],[kg/embalagem]],0)</f>
        <v>0.5</v>
      </c>
      <c r="K184" s="27" t="n">
        <f aca="false">IFERROR(alimentos[[#This Row],[Preço]],0)</f>
        <v>1.8</v>
      </c>
      <c r="L184" s="27" t="n">
        <f aca="false">SUMIFS(super1[Qtde],super1[Item],tab_alimentos[[#This Row],[Item]],super1[Bairro],mercado1)+SUMIFS(supercb[Qtde],supercb[Item],tab_alimentos[[#This Row],[Item]],supercb[Bairro],mercado1)</f>
        <v>0</v>
      </c>
      <c r="M184" s="27" t="n">
        <f aca="false">SUMIFS(super1[Qtde],super1[Item],tab_alimentos[[#This Row],[Item]],super1[Bairro],mercado2)+SUMIFS(supercb[Qtde],supercb[Item],tab_alimentos[[#This Row],[Item]],supercb[Bairro],mercado2)</f>
        <v>0</v>
      </c>
      <c r="N184" s="27" t="n">
        <f aca="false">SUMIFS(super1[Qtde],super1[Item],tab_alimentos[[#This Row],[Item]],super1[Bairro],mercado3)+SUMIFS(supercb[Qtde],supercb[Item],tab_alimentos[[#This Row],[Item]],supercb[Bairro],mercado3)</f>
        <v>0</v>
      </c>
      <c r="O184" s="27" t="n">
        <f aca="false">SUMIFS(super1[Qtde],super1[Item],tab_alimentos[[#This Row],[Item]],super1[Bairro],mercado4)+SUMIFS(supercb[Qtde],supercb[Item],tab_alimentos[[#This Row],[Item]],supercb[Bairro],mercado4)</f>
        <v>0</v>
      </c>
      <c r="P184" s="27" t="n">
        <f aca="false">SUMIFS(super1[Qtde],super1[Item],tab_alimentos[[#This Row],[Item]],super1[Bairro],mercado5)+SUMIFS(supercb[Qtde],supercb[Item],tab_alimentos[[#This Row],[Item]],supercb[Bairro],mercado5)</f>
        <v>1</v>
      </c>
      <c r="Q184" s="27" t="n">
        <f aca="false">SUMIFS(super1[Qtde],super1[Item],tab_alimentos[[#This Row],[Item]],super1[Bairro],mercado6)+SUMIFS(supercb[Qtde],supercb[Item],tab_alimentos[[#This Row],[Item]],supercb[Bairro],mercado6)</f>
        <v>0</v>
      </c>
      <c r="R184" s="27" t="n">
        <f aca="false">SUMIFS(super1[Qtde],super1[Item],tab_alimentos[[#This Row],[Item]],super1[Bairro],mercado7)+SUMIFS(supercb[Qtde],supercb[Item],tab_alimentos[[#This Row],[Item]],supercb[Bairro],mercado7)</f>
        <v>3</v>
      </c>
      <c r="S184" s="27" t="n">
        <f aca="false">SUMIFS(super1[Qtde],super1[Item],tab_alimentos[[#This Row],[Item]],super1[Bairro],mercado8)+SUMIFS(supercb[Qtde],supercb[Item],tab_alimentos[[#This Row],[Item]],supercb[Bairro],mercado8)</f>
        <v>0</v>
      </c>
      <c r="T184" s="27" t="n">
        <f aca="false">SUMIFS(super1[Qtde],super1[Item],tab_alimentos[[#This Row],[Item]],super1[Bairro],mercado9)+SUMIFS(supercb[Qtde],supercb[Item],tab_alimentos[[#This Row],[Item]],supercb[Bairro],mercado9)</f>
        <v>0</v>
      </c>
      <c r="U184" s="27" t="n">
        <f aca="false">SUMIFS(super1[Qtde],super1[Item],tab_alimentos[[#This Row],[Item]],super1[Bairro],mercado10)+SUMIFS(supercb[Qtde],supercb[Item],tab_alimentos[[#This Row],[Item]],supercb[Bairro],mercado10)</f>
        <v>0</v>
      </c>
      <c r="V184" s="27" t="n">
        <f aca="false">SUMIFS(super1[Qtde],super1[Item],tab_alimentos[[#This Row],[Item]],super1[Bairro],mercado11)+SUMIFS(supercb[Qtde],supercb[Item],tab_alimentos[[#This Row],[Item]],supercb[Bairro],mercado11)</f>
        <v>1</v>
      </c>
      <c r="W184" s="27" t="n">
        <f aca="false">SUMIFS(super1[Qtde],super1[Item],tab_alimentos[[#This Row],[Item]],super1[Bairro],mercado12)+SUMIFS(supercb[Qtde],supercb[Item],tab_alimentos[[#This Row],[Item]],supercb[Bairro],mercado12)</f>
        <v>0</v>
      </c>
      <c r="X184" s="27" t="n">
        <f aca="false">SUMIFS(super1[Qtde],super1[Item],tab_alimentos[[#This Row],[Item]],super1[Bairro],mercado13)+SUMIFS(supercb[Qtde],supercb[Item],tab_alimentos[[#This Row],[Item]],supercb[Bairro],mercado13)</f>
        <v>0</v>
      </c>
      <c r="Y184" s="27" t="n">
        <f aca="false">SUMIFS(super1[Qtde],super1[Item],tab_alimentos[[#This Row],[Item]],super1[Bairro],mercado14)+SUMIFS(supercb[Qtde],supercb[Item],tab_alimentos[[#This Row],[Item]],supercb[Bairro],mercado14)</f>
        <v>0</v>
      </c>
      <c r="Z184" s="27" t="n">
        <f aca="false">SUMIFS(super1[Qtde],super1[Item],tab_alimentos[[#This Row],[Item]],super1[Bairro],mercado15)+SUMIFS(supercb[Qtde],supercb[Item],tab_alimentos[[#This Row],[Item]],supercb[Bairro],mercado15)</f>
        <v>0</v>
      </c>
      <c r="AA184" s="27" t="n">
        <f aca="false">SUMIFS(super1[Qtde],super1[Item],tab_alimentos[[#This Row],[Item]],super1[Bairro],mercado16)+SUMIFS(supercb[Qtde],supercb[Item],tab_alimentos[[#This Row],[Item]],supercb[Bairro],mercado16)</f>
        <v>0</v>
      </c>
      <c r="AB184" s="27" t="n">
        <f aca="false">SUMIFS(super1[Qtde],super1[Item],tab_alimentos[[#This Row],[Item]],super1[Bairro],mercado17)+SUMIFS(supercb[Qtde],supercb[Item],tab_alimentos[[#This Row],[Item]],supercb[Bairro],mercado17)</f>
        <v>0</v>
      </c>
      <c r="AC184" s="27" t="n">
        <f aca="false">SUMIFS(super1[Qtde],super1[Item],tab_alimentos[[#This Row],[Item]],super1[Bairro],mercado18)+SUMIFS(supercb[Qtde],supercb[Item],tab_alimentos[[#This Row],[Item]],supercb[Bairro],mercado18)</f>
        <v>0</v>
      </c>
      <c r="AD184" s="27" t="n">
        <f aca="false">SUMIFS(super1[Qtde],super1[Item],tab_alimentos[[#This Row],[Item]],super1[Bairro],extras)+SUMIFS(supercb[Qtde],supercb[Item],tab_alimentos[[#This Row],[Item]],supercb[Bairro],extras)</f>
        <v>0</v>
      </c>
      <c r="AE184" s="27" t="n">
        <f aca="false">SUM(L184:AC184)</f>
        <v>5</v>
      </c>
      <c r="AF184" s="27" t="n">
        <f aca="false">IFERROR(AE184*K184,0)</f>
        <v>9</v>
      </c>
      <c r="AG184" s="28" t="n">
        <f aca="false">IFERROR(J184*AE184,0)</f>
        <v>2.5</v>
      </c>
      <c r="AH184" s="26" t="str">
        <f aca="false">higiene[[#This Row],[Item]]</f>
        <v>sabonete (6un)</v>
      </c>
      <c r="AI184" s="27" t="n">
        <f aca="false">IFERROR(higiene[[#This Row],[Kg equivalente]],0)</f>
        <v>3.11706363337791</v>
      </c>
      <c r="AJ184" s="27" t="n">
        <f aca="false">IFERROR(higiene[[#This Row],[Preço por produto]],0)</f>
        <v>10.325</v>
      </c>
      <c r="AK184" s="27" t="n">
        <f aca="false">SUMIFS(super1[Qtde],super1[Item],tab_higiene[[#This Row],[Item]],super1[Bairro],mercado1)+SUMIFS(supercb[Qtde],supercb[Item],tab_higiene[[#This Row],[Item]],supercb[Bairro],mercado1)</f>
        <v>0</v>
      </c>
      <c r="AL184" s="27" t="n">
        <f aca="false">SUMIFS(super1[Qtde],super1[Item],tab_higiene[[#This Row],[Item]],super1[Bairro],mercado2)+SUMIFS(supercb[Qtde],supercb[Item],tab_higiene[[#This Row],[Item]],supercb[Bairro],mercado2)</f>
        <v>0</v>
      </c>
      <c r="AM184" s="27" t="n">
        <f aca="false">SUMIFS(super1[Qtde],super1[Item],tab_higiene[[#This Row],[Item]],super1[Bairro],mercado3)+SUMIFS(supercb[Qtde],supercb[Item],tab_higiene[[#This Row],[Item]],supercb[Bairro],mercado3)</f>
        <v>0</v>
      </c>
      <c r="AN184" s="27" t="n">
        <f aca="false">SUMIFS(super1[Qtde],super1[Item],tab_higiene[[#This Row],[Item]],super1[Bairro],mercado4)+SUMIFS(supercb[Qtde],supercb[Item],tab_higiene[[#This Row],[Item]],supercb[Bairro],mercado4)</f>
        <v>0</v>
      </c>
      <c r="AO184" s="27" t="n">
        <f aca="false">SUMIFS(super1[Qtde],super1[Item],tab_higiene[[#This Row],[Item]],super1[Bairro],mercado5)+SUMIFS(supercb[Qtde],supercb[Item],tab_higiene[[#This Row],[Item]],supercb[Bairro],mercado5)</f>
        <v>0</v>
      </c>
      <c r="AP184" s="27" t="n">
        <f aca="false">SUMIFS(super1[Qtde],super1[Item],tab_higiene[[#This Row],[Item]],super1[Bairro],mercado6)+SUMIFS(supercb[Qtde],supercb[Item],tab_higiene[[#This Row],[Item]],supercb[Bairro],mercado6)</f>
        <v>0</v>
      </c>
      <c r="AQ184" s="27" t="n">
        <f aca="false">SUMIFS(super1[Qtde],super1[Item],tab_higiene[[#This Row],[Item]],super1[Bairro],mercado7)+SUMIFS(supercb[Qtde],supercb[Item],tab_higiene[[#This Row],[Item]],supercb[Bairro],mercado7)</f>
        <v>0</v>
      </c>
      <c r="AR184" s="27" t="n">
        <f aca="false">SUMIFS(super1[Qtde],super1[Item],tab_higiene[[#This Row],[Item]],super1[Bairro],mercado8)+SUMIFS(supercb[Qtde],supercb[Item],tab_higiene[[#This Row],[Item]],supercb[Bairro],mercado8)</f>
        <v>0</v>
      </c>
      <c r="AS184" s="27" t="n">
        <f aca="false">SUMIFS(super1[Qtde],super1[Item],tab_higiene[[#This Row],[Item]],super1[Bairro],mercado9)+SUMIFS(supercb[Qtde],supercb[Item],tab_higiene[[#This Row],[Item]],supercb[Bairro],mercado9)</f>
        <v>3</v>
      </c>
      <c r="AT184" s="27" t="n">
        <f aca="false">SUMIFS(super1[Qtde],super1[Item],tab_higiene[[#This Row],[Item]],super1[Bairro],mercado10)+SUMIFS(supercb[Qtde],supercb[Item],tab_higiene[[#This Row],[Item]],supercb[Bairro],mercado10)</f>
        <v>11</v>
      </c>
      <c r="AU184" s="27" t="n">
        <f aca="false">SUMIFS(super1[Qtde],super1[Item],tab_higiene[[#This Row],[Item]],super1[Bairro],mercado11)+SUMIFS(supercb[Qtde],supercb[Item],tab_higiene[[#This Row],[Item]],supercb[Bairro],mercado11)</f>
        <v>3</v>
      </c>
      <c r="AV184" s="27" t="n">
        <f aca="false">SUMIFS(super1[Qtde],super1[Item],tab_higiene[[#This Row],[Item]],super1[Bairro],mercado12)+SUMIFS(supercb[Qtde],supercb[Item],tab_higiene[[#This Row],[Item]],supercb[Bairro],mercado12)</f>
        <v>0</v>
      </c>
      <c r="AW184" s="27" t="n">
        <f aca="false">SUMIFS(super1[Qtde],super1[Item],tab_higiene[[#This Row],[Item]],super1[Bairro],mercado13)+SUMIFS(supercb[Qtde],supercb[Item],tab_higiene[[#This Row],[Item]],supercb[Bairro],mercado13)</f>
        <v>0</v>
      </c>
      <c r="AX184" s="27" t="n">
        <f aca="false">SUMIFS(super1[Qtde],super1[Item],tab_higiene[[#This Row],[Item]],super1[Bairro],mercado14)+SUMIFS(supercb[Qtde],supercb[Item],tab_higiene[[#This Row],[Item]],supercb[Bairro],mercado14)</f>
        <v>0</v>
      </c>
      <c r="AY184" s="27" t="n">
        <f aca="false">SUMIFS(super1[Qtde],super1[Item],tab_higiene[[#This Row],[Item]],super1[Bairro],mercado15)+SUMIFS(supercb[Qtde],supercb[Item],tab_higiene[[#This Row],[Item]],supercb[Bairro],mercado15)</f>
        <v>0</v>
      </c>
      <c r="AZ184" s="27" t="n">
        <f aca="false">SUMIFS(super1[Qtde],super1[Item],tab_higiene[[#This Row],[Item]],super1[Bairro],mercado16)+SUMIFS(supercb[Qtde],supercb[Item],tab_higiene[[#This Row],[Item]],supercb[Bairro],mercado16)</f>
        <v>0</v>
      </c>
      <c r="BA184" s="27" t="n">
        <f aca="false">SUMIFS(super1[Qtde],super1[Item],tab_higiene[[#This Row],[Item]],super1[Bairro],mercado17)+SUMIFS(supercb[Qtde],supercb[Item],tab_higiene[[#This Row],[Item]],supercb[Bairro],mercado17)</f>
        <v>0</v>
      </c>
      <c r="BB184" s="27" t="n">
        <f aca="false">SUMIFS(super1[Qtde],super1[Item],tab_higiene[[#This Row],[Item]],super1[Bairro],mercado18)+SUMIFS(supercb[Qtde],supercb[Item],tab_higiene[[#This Row],[Item]],supercb[Bairro],mercado18)</f>
        <v>0</v>
      </c>
      <c r="BC184" s="27" t="n">
        <f aca="false">SUMIFS(super1[Qtde],super1[Item],tab_higiene[[#This Row],[Item]],super1[Bairro],extras)+SUMIFS(supercb[Qtde],supercb[Item],tab_higiene[[#This Row],[Item]],supercb[Bairro],extras)</f>
        <v>0</v>
      </c>
      <c r="BD184" s="27" t="n">
        <f aca="false">SUM(AK184:BB184)</f>
        <v>17</v>
      </c>
      <c r="BE184" s="27" t="n">
        <f aca="false">IFERROR(BD184*AJ184,0)</f>
        <v>175.525</v>
      </c>
      <c r="BF184" s="28" t="n">
        <f aca="false">IFERROR(AI184*BD184,0)</f>
        <v>52.9900817674245</v>
      </c>
    </row>
    <row r="185" customFormat="false" ht="15" hidden="false" customHeight="false" outlineLevel="0" collapsed="false">
      <c r="I185" s="26" t="str">
        <f aca="false">alimentos[[#This Row],[Item]]</f>
        <v>Milho de pipoca (500g)</v>
      </c>
      <c r="J185" s="27" t="n">
        <f aca="false">IFERROR(alimentos[[#This Row],[kg/embalagem]],0)</f>
        <v>0.5</v>
      </c>
      <c r="K185" s="27" t="n">
        <f aca="false">IFERROR(alimentos[[#This Row],[Preço]],0)</f>
        <v>3.29</v>
      </c>
      <c r="L185" s="27" t="n">
        <f aca="false">SUMIFS(super1[Qtde],super1[Item],tab_alimentos[[#This Row],[Item]],super1[Bairro],mercado1)+SUMIFS(supercb[Qtde],supercb[Item],tab_alimentos[[#This Row],[Item]],supercb[Bairro],mercado1)</f>
        <v>0</v>
      </c>
      <c r="M185" s="27" t="n">
        <f aca="false">SUMIFS(super1[Qtde],super1[Item],tab_alimentos[[#This Row],[Item]],super1[Bairro],mercado2)+SUMIFS(supercb[Qtde],supercb[Item],tab_alimentos[[#This Row],[Item]],supercb[Bairro],mercado2)</f>
        <v>0</v>
      </c>
      <c r="N185" s="27" t="n">
        <f aca="false">SUMIFS(super1[Qtde],super1[Item],tab_alimentos[[#This Row],[Item]],super1[Bairro],mercado3)+SUMIFS(supercb[Qtde],supercb[Item],tab_alimentos[[#This Row],[Item]],supercb[Bairro],mercado3)</f>
        <v>0</v>
      </c>
      <c r="O185" s="27" t="n">
        <f aca="false">SUMIFS(super1[Qtde],super1[Item],tab_alimentos[[#This Row],[Item]],super1[Bairro],mercado4)+SUMIFS(supercb[Qtde],supercb[Item],tab_alimentos[[#This Row],[Item]],supercb[Bairro],mercado4)</f>
        <v>0</v>
      </c>
      <c r="P185" s="27" t="n">
        <f aca="false">SUMIFS(super1[Qtde],super1[Item],tab_alimentos[[#This Row],[Item]],super1[Bairro],mercado5)+SUMIFS(supercb[Qtde],supercb[Item],tab_alimentos[[#This Row],[Item]],supercb[Bairro],mercado5)</f>
        <v>0</v>
      </c>
      <c r="Q185" s="27" t="n">
        <f aca="false">SUMIFS(super1[Qtde],super1[Item],tab_alimentos[[#This Row],[Item]],super1[Bairro],mercado6)+SUMIFS(supercb[Qtde],supercb[Item],tab_alimentos[[#This Row],[Item]],supercb[Bairro],mercado6)</f>
        <v>0</v>
      </c>
      <c r="R185" s="27" t="n">
        <f aca="false">SUMIFS(super1[Qtde],super1[Item],tab_alimentos[[#This Row],[Item]],super1[Bairro],mercado7)+SUMIFS(supercb[Qtde],supercb[Item],tab_alimentos[[#This Row],[Item]],supercb[Bairro],mercado7)</f>
        <v>0</v>
      </c>
      <c r="S185" s="27" t="n">
        <f aca="false">SUMIFS(super1[Qtde],super1[Item],tab_alimentos[[#This Row],[Item]],super1[Bairro],mercado8)+SUMIFS(supercb[Qtde],supercb[Item],tab_alimentos[[#This Row],[Item]],supercb[Bairro],mercado8)</f>
        <v>0</v>
      </c>
      <c r="T185" s="27" t="n">
        <f aca="false">SUMIFS(super1[Qtde],super1[Item],tab_alimentos[[#This Row],[Item]],super1[Bairro],mercado9)+SUMIFS(supercb[Qtde],supercb[Item],tab_alimentos[[#This Row],[Item]],supercb[Bairro],mercado9)</f>
        <v>0</v>
      </c>
      <c r="U185" s="27" t="n">
        <f aca="false">SUMIFS(super1[Qtde],super1[Item],tab_alimentos[[#This Row],[Item]],super1[Bairro],mercado10)+SUMIFS(supercb[Qtde],supercb[Item],tab_alimentos[[#This Row],[Item]],supercb[Bairro],mercado10)</f>
        <v>1</v>
      </c>
      <c r="V185" s="27" t="n">
        <f aca="false">SUMIFS(super1[Qtde],super1[Item],tab_alimentos[[#This Row],[Item]],super1[Bairro],mercado11)+SUMIFS(supercb[Qtde],supercb[Item],tab_alimentos[[#This Row],[Item]],supercb[Bairro],mercado11)</f>
        <v>0</v>
      </c>
      <c r="W185" s="27" t="n">
        <f aca="false">SUMIFS(super1[Qtde],super1[Item],tab_alimentos[[#This Row],[Item]],super1[Bairro],mercado12)+SUMIFS(supercb[Qtde],supercb[Item],tab_alimentos[[#This Row],[Item]],supercb[Bairro],mercado12)</f>
        <v>0</v>
      </c>
      <c r="X185" s="27" t="n">
        <f aca="false">SUMIFS(super1[Qtde],super1[Item],tab_alimentos[[#This Row],[Item]],super1[Bairro],mercado13)+SUMIFS(supercb[Qtde],supercb[Item],tab_alimentos[[#This Row],[Item]],supercb[Bairro],mercado13)</f>
        <v>0</v>
      </c>
      <c r="Y185" s="27" t="n">
        <f aca="false">SUMIFS(super1[Qtde],super1[Item],tab_alimentos[[#This Row],[Item]],super1[Bairro],mercado14)+SUMIFS(supercb[Qtde],supercb[Item],tab_alimentos[[#This Row],[Item]],supercb[Bairro],mercado14)</f>
        <v>0</v>
      </c>
      <c r="Z185" s="27" t="n">
        <f aca="false">SUMIFS(super1[Qtde],super1[Item],tab_alimentos[[#This Row],[Item]],super1[Bairro],mercado15)+SUMIFS(supercb[Qtde],supercb[Item],tab_alimentos[[#This Row],[Item]],supercb[Bairro],mercado15)</f>
        <v>0</v>
      </c>
      <c r="AA185" s="27" t="n">
        <f aca="false">SUMIFS(super1[Qtde],super1[Item],tab_alimentos[[#This Row],[Item]],super1[Bairro],mercado16)+SUMIFS(supercb[Qtde],supercb[Item],tab_alimentos[[#This Row],[Item]],supercb[Bairro],mercado16)</f>
        <v>0</v>
      </c>
      <c r="AB185" s="27" t="n">
        <f aca="false">SUMIFS(super1[Qtde],super1[Item],tab_alimentos[[#This Row],[Item]],super1[Bairro],mercado17)+SUMIFS(supercb[Qtde],supercb[Item],tab_alimentos[[#This Row],[Item]],supercb[Bairro],mercado17)</f>
        <v>0</v>
      </c>
      <c r="AC185" s="27" t="n">
        <f aca="false">SUMIFS(super1[Qtde],super1[Item],tab_alimentos[[#This Row],[Item]],super1[Bairro],mercado18)+SUMIFS(supercb[Qtde],supercb[Item],tab_alimentos[[#This Row],[Item]],supercb[Bairro],mercado18)</f>
        <v>0</v>
      </c>
      <c r="AD185" s="27" t="n">
        <f aca="false">SUMIFS(super1[Qtde],super1[Item],tab_alimentos[[#This Row],[Item]],super1[Bairro],extras)+SUMIFS(supercb[Qtde],supercb[Item],tab_alimentos[[#This Row],[Item]],supercb[Bairro],extras)</f>
        <v>0</v>
      </c>
      <c r="AE185" s="27" t="n">
        <f aca="false">SUM(L185:AC185)</f>
        <v>1</v>
      </c>
      <c r="AF185" s="27" t="n">
        <f aca="false">IFERROR(AE185*K185,0)</f>
        <v>3.29</v>
      </c>
      <c r="AG185" s="28" t="n">
        <f aca="false">IFERROR(J185*AE185,0)</f>
        <v>0.5</v>
      </c>
      <c r="AH185" s="26" t="str">
        <f aca="false">higiene[[#This Row],[Item]]</f>
        <v>Sabonete (84g)</v>
      </c>
      <c r="AI185" s="27" t="n">
        <f aca="false">IFERROR(higiene[[#This Row],[Kg equivalente]],0)</f>
        <v>0.349191632213764</v>
      </c>
      <c r="AJ185" s="27" t="n">
        <f aca="false">IFERROR(higiene[[#This Row],[Preço por produto]],0)</f>
        <v>1.15666666666667</v>
      </c>
      <c r="AK185" s="27" t="n">
        <f aca="false">SUMIFS(super1[Qtde],super1[Item],tab_higiene[[#This Row],[Item]],super1[Bairro],mercado1)+SUMIFS(supercb[Qtde],supercb[Item],tab_higiene[[#This Row],[Item]],supercb[Bairro],mercado1)</f>
        <v>35</v>
      </c>
      <c r="AL185" s="27" t="n">
        <f aca="false">SUMIFS(super1[Qtde],super1[Item],tab_higiene[[#This Row],[Item]],super1[Bairro],mercado2)+SUMIFS(supercb[Qtde],supercb[Item],tab_higiene[[#This Row],[Item]],supercb[Bairro],mercado2)</f>
        <v>45</v>
      </c>
      <c r="AM185" s="27" t="n">
        <f aca="false">SUMIFS(super1[Qtde],super1[Item],tab_higiene[[#This Row],[Item]],super1[Bairro],mercado3)+SUMIFS(supercb[Qtde],supercb[Item],tab_higiene[[#This Row],[Item]],supercb[Bairro],mercado3)</f>
        <v>38</v>
      </c>
      <c r="AN185" s="27" t="n">
        <f aca="false">SUMIFS(super1[Qtde],super1[Item],tab_higiene[[#This Row],[Item]],super1[Bairro],mercado4)+SUMIFS(supercb[Qtde],supercb[Item],tab_higiene[[#This Row],[Item]],supercb[Bairro],mercado4)</f>
        <v>98</v>
      </c>
      <c r="AO185" s="27" t="n">
        <f aca="false">SUMIFS(super1[Qtde],super1[Item],tab_higiene[[#This Row],[Item]],super1[Bairro],mercado5)+SUMIFS(supercb[Qtde],supercb[Item],tab_higiene[[#This Row],[Item]],supercb[Bairro],mercado5)</f>
        <v>186</v>
      </c>
      <c r="AP185" s="27" t="n">
        <f aca="false">SUMIFS(super1[Qtde],super1[Item],tab_higiene[[#This Row],[Item]],super1[Bairro],mercado6)+SUMIFS(supercb[Qtde],supercb[Item],tab_higiene[[#This Row],[Item]],supercb[Bairro],mercado6)</f>
        <v>93</v>
      </c>
      <c r="AQ185" s="27" t="n">
        <f aca="false">SUMIFS(super1[Qtde],super1[Item],tab_higiene[[#This Row],[Item]],super1[Bairro],mercado7)+SUMIFS(supercb[Qtde],supercb[Item],tab_higiene[[#This Row],[Item]],supercb[Bairro],mercado7)</f>
        <v>92</v>
      </c>
      <c r="AR185" s="27" t="n">
        <f aca="false">SUMIFS(super1[Qtde],super1[Item],tab_higiene[[#This Row],[Item]],super1[Bairro],mercado8)+SUMIFS(supercb[Qtde],supercb[Item],tab_higiene[[#This Row],[Item]],supercb[Bairro],mercado8)</f>
        <v>112</v>
      </c>
      <c r="AS185" s="27" t="n">
        <f aca="false">SUMIFS(super1[Qtde],super1[Item],tab_higiene[[#This Row],[Item]],super1[Bairro],mercado9)+SUMIFS(supercb[Qtde],supercb[Item],tab_higiene[[#This Row],[Item]],supercb[Bairro],mercado9)</f>
        <v>21</v>
      </c>
      <c r="AT185" s="27" t="n">
        <f aca="false">SUMIFS(super1[Qtde],super1[Item],tab_higiene[[#This Row],[Item]],super1[Bairro],mercado10)+SUMIFS(supercb[Qtde],supercb[Item],tab_higiene[[#This Row],[Item]],supercb[Bairro],mercado10)</f>
        <v>32</v>
      </c>
      <c r="AU185" s="27" t="n">
        <f aca="false">SUMIFS(super1[Qtde],super1[Item],tab_higiene[[#This Row],[Item]],super1[Bairro],mercado11)+SUMIFS(supercb[Qtde],supercb[Item],tab_higiene[[#This Row],[Item]],supercb[Bairro],mercado11)</f>
        <v>58</v>
      </c>
      <c r="AV185" s="27" t="n">
        <f aca="false">SUMIFS(super1[Qtde],super1[Item],tab_higiene[[#This Row],[Item]],super1[Bairro],mercado12)+SUMIFS(supercb[Qtde],supercb[Item],tab_higiene[[#This Row],[Item]],supercb[Bairro],mercado12)</f>
        <v>0</v>
      </c>
      <c r="AW185" s="27" t="n">
        <f aca="false">SUMIFS(super1[Qtde],super1[Item],tab_higiene[[#This Row],[Item]],super1[Bairro],mercado13)+SUMIFS(supercb[Qtde],supercb[Item],tab_higiene[[#This Row],[Item]],supercb[Bairro],mercado13)</f>
        <v>168</v>
      </c>
      <c r="AX185" s="27" t="n">
        <f aca="false">SUMIFS(super1[Qtde],super1[Item],tab_higiene[[#This Row],[Item]],super1[Bairro],mercado14)+SUMIFS(supercb[Qtde],supercb[Item],tab_higiene[[#This Row],[Item]],supercb[Bairro],mercado14)</f>
        <v>0</v>
      </c>
      <c r="AY185" s="27" t="n">
        <f aca="false">SUMIFS(super1[Qtde],super1[Item],tab_higiene[[#This Row],[Item]],super1[Bairro],mercado15)+SUMIFS(supercb[Qtde],supercb[Item],tab_higiene[[#This Row],[Item]],supercb[Bairro],mercado15)</f>
        <v>0</v>
      </c>
      <c r="AZ185" s="27" t="n">
        <f aca="false">SUMIFS(super1[Qtde],super1[Item],tab_higiene[[#This Row],[Item]],super1[Bairro],mercado16)+SUMIFS(supercb[Qtde],supercb[Item],tab_higiene[[#This Row],[Item]],supercb[Bairro],mercado16)</f>
        <v>0</v>
      </c>
      <c r="BA185" s="27" t="n">
        <f aca="false">SUMIFS(super1[Qtde],super1[Item],tab_higiene[[#This Row],[Item]],super1[Bairro],mercado17)+SUMIFS(supercb[Qtde],supercb[Item],tab_higiene[[#This Row],[Item]],supercb[Bairro],mercado17)</f>
        <v>0</v>
      </c>
      <c r="BB185" s="27" t="n">
        <f aca="false">SUMIFS(super1[Qtde],super1[Item],tab_higiene[[#This Row],[Item]],super1[Bairro],mercado18)+SUMIFS(supercb[Qtde],supercb[Item],tab_higiene[[#This Row],[Item]],supercb[Bairro],mercado18)</f>
        <v>0</v>
      </c>
      <c r="BC185" s="27" t="n">
        <f aca="false">SUMIFS(super1[Qtde],super1[Item],tab_higiene[[#This Row],[Item]],super1[Bairro],extras)+SUMIFS(supercb[Qtde],supercb[Item],tab_higiene[[#This Row],[Item]],supercb[Bairro],extras)</f>
        <v>0</v>
      </c>
      <c r="BD185" s="27" t="n">
        <f aca="false">SUM(AK185:BB185)</f>
        <v>978</v>
      </c>
      <c r="BE185" s="27" t="n">
        <f aca="false">IFERROR(BD185*AJ185,0)</f>
        <v>1131.22</v>
      </c>
      <c r="BF185" s="28" t="n">
        <f aca="false">IFERROR(AI185*BD185,0)</f>
        <v>341.509416305061</v>
      </c>
    </row>
    <row r="186" customFormat="false" ht="15.75" hidden="false" customHeight="false" outlineLevel="0" collapsed="false">
      <c r="I186" s="26" t="str">
        <f aca="false">alimentos[[#This Row],[Item]]</f>
        <v>Mingau (230g)</v>
      </c>
      <c r="J186" s="27" t="n">
        <f aca="false">IFERROR(alimentos[[#This Row],[kg/embalagem]],0)</f>
        <v>0.23</v>
      </c>
      <c r="K186" s="27" t="n">
        <f aca="false">IFERROR(alimentos[[#This Row],[Preço]],0)</f>
        <v>9.16</v>
      </c>
      <c r="L186" s="27" t="n">
        <f aca="false">SUMIFS(super1[Qtde],super1[Item],tab_alimentos[[#This Row],[Item]],super1[Bairro],mercado1)+SUMIFS(supercb[Qtde],supercb[Item],tab_alimentos[[#This Row],[Item]],supercb[Bairro],mercado1)</f>
        <v>0</v>
      </c>
      <c r="M186" s="27" t="n">
        <f aca="false">SUMIFS(super1[Qtde],super1[Item],tab_alimentos[[#This Row],[Item]],super1[Bairro],mercado2)+SUMIFS(supercb[Qtde],supercb[Item],tab_alimentos[[#This Row],[Item]],supercb[Bairro],mercado2)</f>
        <v>0</v>
      </c>
      <c r="N186" s="27" t="n">
        <f aca="false">SUMIFS(super1[Qtde],super1[Item],tab_alimentos[[#This Row],[Item]],super1[Bairro],mercado3)+SUMIFS(supercb[Qtde],supercb[Item],tab_alimentos[[#This Row],[Item]],supercb[Bairro],mercado3)</f>
        <v>0</v>
      </c>
      <c r="O186" s="27" t="n">
        <f aca="false">SUMIFS(super1[Qtde],super1[Item],tab_alimentos[[#This Row],[Item]],super1[Bairro],mercado4)+SUMIFS(supercb[Qtde],supercb[Item],tab_alimentos[[#This Row],[Item]],supercb[Bairro],mercado4)</f>
        <v>0</v>
      </c>
      <c r="P186" s="27" t="n">
        <f aca="false">SUMIFS(super1[Qtde],super1[Item],tab_alimentos[[#This Row],[Item]],super1[Bairro],mercado5)+SUMIFS(supercb[Qtde],supercb[Item],tab_alimentos[[#This Row],[Item]],supercb[Bairro],mercado5)</f>
        <v>0</v>
      </c>
      <c r="Q186" s="27" t="n">
        <f aca="false">SUMIFS(super1[Qtde],super1[Item],tab_alimentos[[#This Row],[Item]],super1[Bairro],mercado6)+SUMIFS(supercb[Qtde],supercb[Item],tab_alimentos[[#This Row],[Item]],supercb[Bairro],mercado6)</f>
        <v>0</v>
      </c>
      <c r="R186" s="27" t="n">
        <f aca="false">SUMIFS(super1[Qtde],super1[Item],tab_alimentos[[#This Row],[Item]],super1[Bairro],mercado7)+SUMIFS(supercb[Qtde],supercb[Item],tab_alimentos[[#This Row],[Item]],supercb[Bairro],mercado7)</f>
        <v>0</v>
      </c>
      <c r="S186" s="27" t="n">
        <f aca="false">SUMIFS(super1[Qtde],super1[Item],tab_alimentos[[#This Row],[Item]],super1[Bairro],mercado8)+SUMIFS(supercb[Qtde],supercb[Item],tab_alimentos[[#This Row],[Item]],supercb[Bairro],mercado8)</f>
        <v>0</v>
      </c>
      <c r="T186" s="27" t="n">
        <f aca="false">SUMIFS(super1[Qtde],super1[Item],tab_alimentos[[#This Row],[Item]],super1[Bairro],mercado9)+SUMIFS(supercb[Qtde],supercb[Item],tab_alimentos[[#This Row],[Item]],supercb[Bairro],mercado9)</f>
        <v>0</v>
      </c>
      <c r="U186" s="27" t="n">
        <f aca="false">SUMIFS(super1[Qtde],super1[Item],tab_alimentos[[#This Row],[Item]],super1[Bairro],mercado10)+SUMIFS(supercb[Qtde],supercb[Item],tab_alimentos[[#This Row],[Item]],supercb[Bairro],mercado10)</f>
        <v>0</v>
      </c>
      <c r="V186" s="27" t="n">
        <f aca="false">SUMIFS(super1[Qtde],super1[Item],tab_alimentos[[#This Row],[Item]],super1[Bairro],mercado11)+SUMIFS(supercb[Qtde],supercb[Item],tab_alimentos[[#This Row],[Item]],supercb[Bairro],mercado11)</f>
        <v>0</v>
      </c>
      <c r="W186" s="27" t="n">
        <f aca="false">SUMIFS(super1[Qtde],super1[Item],tab_alimentos[[#This Row],[Item]],super1[Bairro],mercado12)+SUMIFS(supercb[Qtde],supercb[Item],tab_alimentos[[#This Row],[Item]],supercb[Bairro],mercado12)</f>
        <v>0</v>
      </c>
      <c r="X186" s="27" t="n">
        <f aca="false">SUMIFS(super1[Qtde],super1[Item],tab_alimentos[[#This Row],[Item]],super1[Bairro],mercado13)+SUMIFS(supercb[Qtde],supercb[Item],tab_alimentos[[#This Row],[Item]],supercb[Bairro],mercado13)</f>
        <v>0</v>
      </c>
      <c r="Y186" s="27" t="n">
        <f aca="false">SUMIFS(super1[Qtde],super1[Item],tab_alimentos[[#This Row],[Item]],super1[Bairro],mercado14)+SUMIFS(supercb[Qtde],supercb[Item],tab_alimentos[[#This Row],[Item]],supercb[Bairro],mercado14)</f>
        <v>0</v>
      </c>
      <c r="Z186" s="27" t="n">
        <f aca="false">SUMIFS(super1[Qtde],super1[Item],tab_alimentos[[#This Row],[Item]],super1[Bairro],mercado15)+SUMIFS(supercb[Qtde],supercb[Item],tab_alimentos[[#This Row],[Item]],supercb[Bairro],mercado15)</f>
        <v>0</v>
      </c>
      <c r="AA186" s="27" t="n">
        <f aca="false">SUMIFS(super1[Qtde],super1[Item],tab_alimentos[[#This Row],[Item]],super1[Bairro],mercado16)+SUMIFS(supercb[Qtde],supercb[Item],tab_alimentos[[#This Row],[Item]],supercb[Bairro],mercado16)</f>
        <v>0</v>
      </c>
      <c r="AB186" s="27" t="n">
        <f aca="false">SUMIFS(super1[Qtde],super1[Item],tab_alimentos[[#This Row],[Item]],super1[Bairro],mercado17)+SUMIFS(supercb[Qtde],supercb[Item],tab_alimentos[[#This Row],[Item]],supercb[Bairro],mercado17)</f>
        <v>0</v>
      </c>
      <c r="AC186" s="27" t="n">
        <f aca="false">SUMIFS(super1[Qtde],super1[Item],tab_alimentos[[#This Row],[Item]],super1[Bairro],mercado18)+SUMIFS(supercb[Qtde],supercb[Item],tab_alimentos[[#This Row],[Item]],supercb[Bairro],mercado18)</f>
        <v>0</v>
      </c>
      <c r="AD186" s="27" t="n">
        <f aca="false">SUMIFS(super1[Qtde],super1[Item],tab_alimentos[[#This Row],[Item]],super1[Bairro],extras)+SUMIFS(supercb[Qtde],supercb[Item],tab_alimentos[[#This Row],[Item]],supercb[Bairro],extras)</f>
        <v>0</v>
      </c>
      <c r="AE186" s="27" t="n">
        <f aca="false">SUM(L186:AC186)</f>
        <v>0</v>
      </c>
      <c r="AF186" s="27" t="n">
        <f aca="false">IFERROR(AE186*K186,0)</f>
        <v>0</v>
      </c>
      <c r="AG186" s="28" t="n">
        <f aca="false">IFERROR(J186*AE186,0)</f>
        <v>0</v>
      </c>
      <c r="AH186" s="37" t="str">
        <f aca="false">higiene[[#This Row],[Item]]</f>
        <v>Sabonete (85g)</v>
      </c>
      <c r="AI186" s="38" t="n">
        <f aca="false">IFERROR(higiene[[#This Row],[Kg equivalente]],0)</f>
        <v>0.359254791643556</v>
      </c>
      <c r="AJ186" s="38" t="n">
        <f aca="false">IFERROR(higiene[[#This Row],[Preço por produto]],0)</f>
        <v>1.19</v>
      </c>
      <c r="AK186" s="27" t="n">
        <f aca="false">SUMIFS(super1[Qtde],super1[Item],tab_higiene[[#This Row],[Item]],super1[Bairro],mercado1)+SUMIFS(supercb[Qtde],supercb[Item],tab_higiene[[#This Row],[Item]],supercb[Bairro],mercado1)</f>
        <v>0</v>
      </c>
      <c r="AL186" s="27" t="n">
        <f aca="false">SUMIFS(super1[Qtde],super1[Item],tab_higiene[[#This Row],[Item]],super1[Bairro],mercado2)+SUMIFS(supercb[Qtde],supercb[Item],tab_higiene[[#This Row],[Item]],supercb[Bairro],mercado2)</f>
        <v>24</v>
      </c>
      <c r="AM186" s="27" t="n">
        <f aca="false">SUMIFS(super1[Qtde],super1[Item],tab_higiene[[#This Row],[Item]],super1[Bairro],mercado3)+SUMIFS(supercb[Qtde],supercb[Item],tab_higiene[[#This Row],[Item]],supercb[Bairro],mercado3)</f>
        <v>0</v>
      </c>
      <c r="AN186" s="27" t="n">
        <f aca="false">SUMIFS(super1[Qtde],super1[Item],tab_higiene[[#This Row],[Item]],super1[Bairro],mercado4)+SUMIFS(supercb[Qtde],supercb[Item],tab_higiene[[#This Row],[Item]],supercb[Bairro],mercado4)</f>
        <v>37</v>
      </c>
      <c r="AO186" s="27" t="n">
        <f aca="false">SUMIFS(super1[Qtde],super1[Item],tab_higiene[[#This Row],[Item]],super1[Bairro],mercado5)+SUMIFS(supercb[Qtde],supercb[Item],tab_higiene[[#This Row],[Item]],supercb[Bairro],mercado5)</f>
        <v>48</v>
      </c>
      <c r="AP186" s="27" t="n">
        <f aca="false">SUMIFS(super1[Qtde],super1[Item],tab_higiene[[#This Row],[Item]],super1[Bairro],mercado6)+SUMIFS(supercb[Qtde],supercb[Item],tab_higiene[[#This Row],[Item]],supercb[Bairro],mercado6)</f>
        <v>0</v>
      </c>
      <c r="AQ186" s="27" t="n">
        <f aca="false">SUMIFS(super1[Qtde],super1[Item],tab_higiene[[#This Row],[Item]],super1[Bairro],mercado7)+SUMIFS(supercb[Qtde],supercb[Item],tab_higiene[[#This Row],[Item]],supercb[Bairro],mercado7)</f>
        <v>3</v>
      </c>
      <c r="AR186" s="27" t="n">
        <f aca="false">SUMIFS(super1[Qtde],super1[Item],tab_higiene[[#This Row],[Item]],super1[Bairro],mercado8)+SUMIFS(supercb[Qtde],supercb[Item],tab_higiene[[#This Row],[Item]],supercb[Bairro],mercado8)</f>
        <v>8</v>
      </c>
      <c r="AS186" s="27" t="n">
        <f aca="false">SUMIFS(super1[Qtde],super1[Item],tab_higiene[[#This Row],[Item]],super1[Bairro],mercado9)+SUMIFS(supercb[Qtde],supercb[Item],tab_higiene[[#This Row],[Item]],supercb[Bairro],mercado9)</f>
        <v>9</v>
      </c>
      <c r="AT186" s="27" t="n">
        <f aca="false">SUMIFS(super1[Qtde],super1[Item],tab_higiene[[#This Row],[Item]],super1[Bairro],mercado10)+SUMIFS(supercb[Qtde],supercb[Item],tab_higiene[[#This Row],[Item]],supercb[Bairro],mercado10)</f>
        <v>64</v>
      </c>
      <c r="AU186" s="27" t="n">
        <f aca="false">SUMIFS(super1[Qtde],super1[Item],tab_higiene[[#This Row],[Item]],super1[Bairro],mercado11)+SUMIFS(supercb[Qtde],supercb[Item],tab_higiene[[#This Row],[Item]],supercb[Bairro],mercado11)</f>
        <v>0</v>
      </c>
      <c r="AV186" s="27" t="n">
        <f aca="false">SUMIFS(super1[Qtde],super1[Item],tab_higiene[[#This Row],[Item]],super1[Bairro],mercado12)+SUMIFS(supercb[Qtde],supercb[Item],tab_higiene[[#This Row],[Item]],supercb[Bairro],mercado12)</f>
        <v>0</v>
      </c>
      <c r="AW186" s="27" t="n">
        <f aca="false">SUMIFS(super1[Qtde],super1[Item],tab_higiene[[#This Row],[Item]],super1[Bairro],mercado13)+SUMIFS(supercb[Qtde],supercb[Item],tab_higiene[[#This Row],[Item]],supercb[Bairro],mercado13)</f>
        <v>13</v>
      </c>
      <c r="AX186" s="27" t="n">
        <f aca="false">SUMIFS(super1[Qtde],super1[Item],tab_higiene[[#This Row],[Item]],super1[Bairro],mercado14)+SUMIFS(supercb[Qtde],supercb[Item],tab_higiene[[#This Row],[Item]],supercb[Bairro],mercado14)</f>
        <v>0</v>
      </c>
      <c r="AY186" s="27" t="n">
        <f aca="false">SUMIFS(super1[Qtde],super1[Item],tab_higiene[[#This Row],[Item]],super1[Bairro],mercado15)+SUMIFS(supercb[Qtde],supercb[Item],tab_higiene[[#This Row],[Item]],supercb[Bairro],mercado15)</f>
        <v>0</v>
      </c>
      <c r="AZ186" s="27" t="n">
        <f aca="false">SUMIFS(super1[Qtde],super1[Item],tab_higiene[[#This Row],[Item]],super1[Bairro],mercado16)+SUMIFS(supercb[Qtde],supercb[Item],tab_higiene[[#This Row],[Item]],supercb[Bairro],mercado16)</f>
        <v>0</v>
      </c>
      <c r="BA186" s="27" t="n">
        <f aca="false">SUMIFS(super1[Qtde],super1[Item],tab_higiene[[#This Row],[Item]],super1[Bairro],mercado17)+SUMIFS(supercb[Qtde],supercb[Item],tab_higiene[[#This Row],[Item]],supercb[Bairro],mercado17)</f>
        <v>0</v>
      </c>
      <c r="BB186" s="27" t="n">
        <f aca="false">SUMIFS(super1[Qtde],super1[Item],tab_higiene[[#This Row],[Item]],super1[Bairro],mercado18)+SUMIFS(supercb[Qtde],supercb[Item],tab_higiene[[#This Row],[Item]],supercb[Bairro],mercado18)</f>
        <v>0</v>
      </c>
      <c r="BC186" s="39" t="n">
        <f aca="false">SUMIFS(super1[Qtde],super1[Item],tab_higiene[[#This Row],[Item]],super1[Bairro],extras)+SUMIFS(supercb[Qtde],supercb[Item],tab_higiene[[#This Row],[Item]],supercb[Bairro],extras)</f>
        <v>0</v>
      </c>
      <c r="BD186" s="38" t="n">
        <f aca="false">SUM(AK186:BB186)</f>
        <v>206</v>
      </c>
      <c r="BE186" s="38" t="n">
        <f aca="false">IFERROR(BD186*AJ186,0)</f>
        <v>245.14</v>
      </c>
      <c r="BF186" s="40" t="n">
        <f aca="false">IFERROR(AI186*BD186,0)</f>
        <v>74.0064870785725</v>
      </c>
    </row>
    <row r="187" customFormat="false" ht="15.75" hidden="false" customHeight="false" outlineLevel="0" collapsed="false">
      <c r="I187" s="26" t="str">
        <f aca="false">alimentos[[#This Row],[Item]]</f>
        <v>Miojo (500g)</v>
      </c>
      <c r="J187" s="27" t="n">
        <f aca="false">IFERROR(alimentos[[#This Row],[kg/embalagem]],0)</f>
        <v>0.5</v>
      </c>
      <c r="K187" s="27" t="n">
        <f aca="false">IFERROR(alimentos[[#This Row],[Preço]],0)</f>
        <v>6.515</v>
      </c>
      <c r="L187" s="27" t="n">
        <f aca="false">SUMIFS(super1[Qtde],super1[Item],tab_alimentos[[#This Row],[Item]],super1[Bairro],mercado1)+SUMIFS(supercb[Qtde],supercb[Item],tab_alimentos[[#This Row],[Item]],supercb[Bairro],mercado1)</f>
        <v>0</v>
      </c>
      <c r="M187" s="27" t="n">
        <f aca="false">SUMIFS(super1[Qtde],super1[Item],tab_alimentos[[#This Row],[Item]],super1[Bairro],mercado2)+SUMIFS(supercb[Qtde],supercb[Item],tab_alimentos[[#This Row],[Item]],supercb[Bairro],mercado2)</f>
        <v>0</v>
      </c>
      <c r="N187" s="27" t="n">
        <f aca="false">SUMIFS(super1[Qtde],super1[Item],tab_alimentos[[#This Row],[Item]],super1[Bairro],mercado3)+SUMIFS(supercb[Qtde],supercb[Item],tab_alimentos[[#This Row],[Item]],supercb[Bairro],mercado3)</f>
        <v>0</v>
      </c>
      <c r="O187" s="27" t="n">
        <f aca="false">SUMIFS(super1[Qtde],super1[Item],tab_alimentos[[#This Row],[Item]],super1[Bairro],mercado4)+SUMIFS(supercb[Qtde],supercb[Item],tab_alimentos[[#This Row],[Item]],supercb[Bairro],mercado4)</f>
        <v>0</v>
      </c>
      <c r="P187" s="27" t="n">
        <f aca="false">SUMIFS(super1[Qtde],super1[Item],tab_alimentos[[#This Row],[Item]],super1[Bairro],mercado5)+SUMIFS(supercb[Qtde],supercb[Item],tab_alimentos[[#This Row],[Item]],supercb[Bairro],mercado5)</f>
        <v>0</v>
      </c>
      <c r="Q187" s="27" t="n">
        <f aca="false">SUMIFS(super1[Qtde],super1[Item],tab_alimentos[[#This Row],[Item]],super1[Bairro],mercado6)+SUMIFS(supercb[Qtde],supercb[Item],tab_alimentos[[#This Row],[Item]],supercb[Bairro],mercado6)</f>
        <v>0</v>
      </c>
      <c r="R187" s="27" t="n">
        <f aca="false">SUMIFS(super1[Qtde],super1[Item],tab_alimentos[[#This Row],[Item]],super1[Bairro],mercado7)+SUMIFS(supercb[Qtde],supercb[Item],tab_alimentos[[#This Row],[Item]],supercb[Bairro],mercado7)</f>
        <v>0</v>
      </c>
      <c r="S187" s="27" t="n">
        <f aca="false">SUMIFS(super1[Qtde],super1[Item],tab_alimentos[[#This Row],[Item]],super1[Bairro],mercado8)+SUMIFS(supercb[Qtde],supercb[Item],tab_alimentos[[#This Row],[Item]],supercb[Bairro],mercado8)</f>
        <v>0</v>
      </c>
      <c r="T187" s="27" t="n">
        <f aca="false">SUMIFS(super1[Qtde],super1[Item],tab_alimentos[[#This Row],[Item]],super1[Bairro],mercado9)+SUMIFS(supercb[Qtde],supercb[Item],tab_alimentos[[#This Row],[Item]],supercb[Bairro],mercado9)</f>
        <v>0</v>
      </c>
      <c r="U187" s="27" t="n">
        <f aca="false">SUMIFS(super1[Qtde],super1[Item],tab_alimentos[[#This Row],[Item]],super1[Bairro],mercado10)+SUMIFS(supercb[Qtde],supercb[Item],tab_alimentos[[#This Row],[Item]],supercb[Bairro],mercado10)</f>
        <v>0</v>
      </c>
      <c r="V187" s="27" t="n">
        <f aca="false">SUMIFS(super1[Qtde],super1[Item],tab_alimentos[[#This Row],[Item]],super1[Bairro],mercado11)+SUMIFS(supercb[Qtde],supercb[Item],tab_alimentos[[#This Row],[Item]],supercb[Bairro],mercado11)</f>
        <v>0</v>
      </c>
      <c r="W187" s="27" t="n">
        <f aca="false">SUMIFS(super1[Qtde],super1[Item],tab_alimentos[[#This Row],[Item]],super1[Bairro],mercado12)+SUMIFS(supercb[Qtde],supercb[Item],tab_alimentos[[#This Row],[Item]],supercb[Bairro],mercado12)</f>
        <v>0</v>
      </c>
      <c r="X187" s="27" t="n">
        <f aca="false">SUMIFS(super1[Qtde],super1[Item],tab_alimentos[[#This Row],[Item]],super1[Bairro],mercado13)+SUMIFS(supercb[Qtde],supercb[Item],tab_alimentos[[#This Row],[Item]],supercb[Bairro],mercado13)</f>
        <v>0</v>
      </c>
      <c r="Y187" s="27" t="n">
        <f aca="false">SUMIFS(super1[Qtde],super1[Item],tab_alimentos[[#This Row],[Item]],super1[Bairro],mercado14)+SUMIFS(supercb[Qtde],supercb[Item],tab_alimentos[[#This Row],[Item]],supercb[Bairro],mercado14)</f>
        <v>0</v>
      </c>
      <c r="Z187" s="27" t="n">
        <f aca="false">SUMIFS(super1[Qtde],super1[Item],tab_alimentos[[#This Row],[Item]],super1[Bairro],mercado15)+SUMIFS(supercb[Qtde],supercb[Item],tab_alimentos[[#This Row],[Item]],supercb[Bairro],mercado15)</f>
        <v>0</v>
      </c>
      <c r="AA187" s="27" t="n">
        <f aca="false">SUMIFS(super1[Qtde],super1[Item],tab_alimentos[[#This Row],[Item]],super1[Bairro],mercado16)+SUMIFS(supercb[Qtde],supercb[Item],tab_alimentos[[#This Row],[Item]],supercb[Bairro],mercado16)</f>
        <v>0</v>
      </c>
      <c r="AB187" s="27" t="n">
        <f aca="false">SUMIFS(super1[Qtde],super1[Item],tab_alimentos[[#This Row],[Item]],super1[Bairro],mercado17)+SUMIFS(supercb[Qtde],supercb[Item],tab_alimentos[[#This Row],[Item]],supercb[Bairro],mercado17)</f>
        <v>0</v>
      </c>
      <c r="AC187" s="27" t="n">
        <f aca="false">SUMIFS(super1[Qtde],super1[Item],tab_alimentos[[#This Row],[Item]],super1[Bairro],mercado18)+SUMIFS(supercb[Qtde],supercb[Item],tab_alimentos[[#This Row],[Item]],supercb[Bairro],mercado18)</f>
        <v>0</v>
      </c>
      <c r="AD187" s="27" t="n">
        <f aca="false">SUMIFS(super1[Qtde],super1[Item],tab_alimentos[[#This Row],[Item]],super1[Bairro],extras)+SUMIFS(supercb[Qtde],supercb[Item],tab_alimentos[[#This Row],[Item]],supercb[Bairro],extras)</f>
        <v>0</v>
      </c>
      <c r="AE187" s="27" t="n">
        <f aca="false">SUM(L187:AC187)</f>
        <v>0</v>
      </c>
      <c r="AF187" s="27" t="n">
        <f aca="false">IFERROR(AE187*K187,0)</f>
        <v>0</v>
      </c>
      <c r="AG187" s="28" t="n">
        <f aca="false">IFERROR(J187*AE187,0)</f>
        <v>0</v>
      </c>
      <c r="AH187" s="37" t="str">
        <f aca="false">higiene[[#This Row],[Item]]</f>
        <v>Sabonete (8un)</v>
      </c>
      <c r="AI187" s="38" t="n">
        <f aca="false">IFERROR(higiene[[#This Row],[Kg equivalente]],0)</f>
        <v>2.85290569834588</v>
      </c>
      <c r="AJ187" s="38" t="n">
        <f aca="false">IFERROR(higiene[[#This Row],[Preço por produto]],0)</f>
        <v>9.45</v>
      </c>
      <c r="AK187" s="27" t="n">
        <f aca="false">SUMIFS(super1[Qtde],super1[Item],tab_higiene[[#This Row],[Item]],super1[Bairro],mercado1)+SUMIFS(supercb[Qtde],supercb[Item],tab_higiene[[#This Row],[Item]],supercb[Bairro],mercado1)</f>
        <v>0</v>
      </c>
      <c r="AL187" s="27" t="n">
        <f aca="false">SUMIFS(super1[Qtde],super1[Item],tab_higiene[[#This Row],[Item]],super1[Bairro],mercado2)+SUMIFS(supercb[Qtde],supercb[Item],tab_higiene[[#This Row],[Item]],supercb[Bairro],mercado2)</f>
        <v>0</v>
      </c>
      <c r="AM187" s="27" t="n">
        <f aca="false">SUMIFS(super1[Qtde],super1[Item],tab_higiene[[#This Row],[Item]],super1[Bairro],mercado3)+SUMIFS(supercb[Qtde],supercb[Item],tab_higiene[[#This Row],[Item]],supercb[Bairro],mercado3)</f>
        <v>0</v>
      </c>
      <c r="AN187" s="27" t="n">
        <f aca="false">SUMIFS(super1[Qtde],super1[Item],tab_higiene[[#This Row],[Item]],super1[Bairro],mercado4)+SUMIFS(supercb[Qtde],supercb[Item],tab_higiene[[#This Row],[Item]],supercb[Bairro],mercado4)</f>
        <v>0</v>
      </c>
      <c r="AO187" s="27" t="n">
        <f aca="false">SUMIFS(super1[Qtde],super1[Item],tab_higiene[[#This Row],[Item]],super1[Bairro],mercado5)+SUMIFS(supercb[Qtde],supercb[Item],tab_higiene[[#This Row],[Item]],supercb[Bairro],mercado5)</f>
        <v>0</v>
      </c>
      <c r="AP187" s="27" t="n">
        <f aca="false">SUMIFS(super1[Qtde],super1[Item],tab_higiene[[#This Row],[Item]],super1[Bairro],mercado6)+SUMIFS(supercb[Qtde],supercb[Item],tab_higiene[[#This Row],[Item]],supercb[Bairro],mercado6)</f>
        <v>0</v>
      </c>
      <c r="AQ187" s="27" t="n">
        <f aca="false">SUMIFS(super1[Qtde],super1[Item],tab_higiene[[#This Row],[Item]],super1[Bairro],mercado7)+SUMIFS(supercb[Qtde],supercb[Item],tab_higiene[[#This Row],[Item]],supercb[Bairro],mercado7)</f>
        <v>0</v>
      </c>
      <c r="AR187" s="27" t="n">
        <f aca="false">SUMIFS(super1[Qtde],super1[Item],tab_higiene[[#This Row],[Item]],super1[Bairro],mercado8)+SUMIFS(supercb[Qtde],supercb[Item],tab_higiene[[#This Row],[Item]],supercb[Bairro],mercado8)</f>
        <v>0</v>
      </c>
      <c r="AS187" s="27" t="n">
        <f aca="false">SUMIFS(super1[Qtde],super1[Item],tab_higiene[[#This Row],[Item]],super1[Bairro],mercado9)+SUMIFS(supercb[Qtde],supercb[Item],tab_higiene[[#This Row],[Item]],supercb[Bairro],mercado9)</f>
        <v>0</v>
      </c>
      <c r="AT187" s="27" t="n">
        <f aca="false">SUMIFS(super1[Qtde],super1[Item],tab_higiene[[#This Row],[Item]],super1[Bairro],mercado10)+SUMIFS(supercb[Qtde],supercb[Item],tab_higiene[[#This Row],[Item]],supercb[Bairro],mercado10)</f>
        <v>1</v>
      </c>
      <c r="AU187" s="27" t="n">
        <f aca="false">SUMIFS(super1[Qtde],super1[Item],tab_higiene[[#This Row],[Item]],super1[Bairro],mercado11)+SUMIFS(supercb[Qtde],supercb[Item],tab_higiene[[#This Row],[Item]],supercb[Bairro],mercado11)</f>
        <v>0</v>
      </c>
      <c r="AV187" s="27" t="n">
        <f aca="false">SUMIFS(super1[Qtde],super1[Item],tab_higiene[[#This Row],[Item]],super1[Bairro],mercado12)+SUMIFS(supercb[Qtde],supercb[Item],tab_higiene[[#This Row],[Item]],supercb[Bairro],mercado12)</f>
        <v>0</v>
      </c>
      <c r="AW187" s="27" t="n">
        <f aca="false">SUMIFS(super1[Qtde],super1[Item],tab_higiene[[#This Row],[Item]],super1[Bairro],mercado13)+SUMIFS(supercb[Qtde],supercb[Item],tab_higiene[[#This Row],[Item]],supercb[Bairro],mercado13)</f>
        <v>0</v>
      </c>
      <c r="AX187" s="27" t="n">
        <f aca="false">SUMIFS(super1[Qtde],super1[Item],tab_higiene[[#This Row],[Item]],super1[Bairro],mercado14)+SUMIFS(supercb[Qtde],supercb[Item],tab_higiene[[#This Row],[Item]],supercb[Bairro],mercado14)</f>
        <v>0</v>
      </c>
      <c r="AY187" s="27" t="n">
        <f aca="false">SUMIFS(super1[Qtde],super1[Item],tab_higiene[[#This Row],[Item]],super1[Bairro],mercado15)+SUMIFS(supercb[Qtde],supercb[Item],tab_higiene[[#This Row],[Item]],supercb[Bairro],mercado15)</f>
        <v>0</v>
      </c>
      <c r="AZ187" s="27" t="n">
        <f aca="false">SUMIFS(super1[Qtde],super1[Item],tab_higiene[[#This Row],[Item]],super1[Bairro],mercado16)+SUMIFS(supercb[Qtde],supercb[Item],tab_higiene[[#This Row],[Item]],supercb[Bairro],mercado16)</f>
        <v>0</v>
      </c>
      <c r="BA187" s="27" t="n">
        <f aca="false">SUMIFS(super1[Qtde],super1[Item],tab_higiene[[#This Row],[Item]],super1[Bairro],mercado17)+SUMIFS(supercb[Qtde],supercb[Item],tab_higiene[[#This Row],[Item]],supercb[Bairro],mercado17)</f>
        <v>0</v>
      </c>
      <c r="BB187" s="27" t="n">
        <f aca="false">SUMIFS(super1[Qtde],super1[Item],tab_higiene[[#This Row],[Item]],super1[Bairro],mercado18)+SUMIFS(supercb[Qtde],supercb[Item],tab_higiene[[#This Row],[Item]],supercb[Bairro],mercado18)</f>
        <v>0</v>
      </c>
      <c r="BC187" s="39" t="n">
        <f aca="false">SUMIFS(super1[Qtde],super1[Item],tab_higiene[[#This Row],[Item]],super1[Bairro],extras)+SUMIFS(supercb[Qtde],supercb[Item],tab_higiene[[#This Row],[Item]],supercb[Bairro],extras)</f>
        <v>0</v>
      </c>
      <c r="BD187" s="38" t="n">
        <f aca="false">SUM(AK187:BB187)</f>
        <v>1</v>
      </c>
      <c r="BE187" s="38" t="n">
        <f aca="false">IFERROR(BD187*AJ187,0)</f>
        <v>9.45</v>
      </c>
      <c r="BF187" s="40" t="n">
        <f aca="false">IFERROR(AI187*BD187,0)</f>
        <v>2.85290569834588</v>
      </c>
    </row>
    <row r="188" customFormat="false" ht="15.75" hidden="false" customHeight="false" outlineLevel="0" collapsed="false">
      <c r="I188" s="26" t="str">
        <f aca="false">alimentos[[#This Row],[Item]]</f>
        <v>Miojo (80g)</v>
      </c>
      <c r="J188" s="27" t="n">
        <f aca="false">IFERROR(alimentos[[#This Row],[kg/embalagem]],0)</f>
        <v>0.08</v>
      </c>
      <c r="K188" s="27" t="n">
        <f aca="false">IFERROR(alimentos[[#This Row],[Preço]],0)</f>
        <v>1.18333333333333</v>
      </c>
      <c r="L188" s="27" t="n">
        <f aca="false">SUMIFS(super1[Qtde],super1[Item],tab_alimentos[[#This Row],[Item]],super1[Bairro],mercado1)+SUMIFS(supercb[Qtde],supercb[Item],tab_alimentos[[#This Row],[Item]],supercb[Bairro],mercado1)</f>
        <v>0</v>
      </c>
      <c r="M188" s="27" t="n">
        <f aca="false">SUMIFS(super1[Qtde],super1[Item],tab_alimentos[[#This Row],[Item]],super1[Bairro],mercado2)+SUMIFS(supercb[Qtde],supercb[Item],tab_alimentos[[#This Row],[Item]],supercb[Bairro],mercado2)</f>
        <v>0</v>
      </c>
      <c r="N188" s="27" t="n">
        <f aca="false">SUMIFS(super1[Qtde],super1[Item],tab_alimentos[[#This Row],[Item]],super1[Bairro],mercado3)+SUMIFS(supercb[Qtde],supercb[Item],tab_alimentos[[#This Row],[Item]],supercb[Bairro],mercado3)</f>
        <v>0</v>
      </c>
      <c r="O188" s="27" t="n">
        <f aca="false">SUMIFS(super1[Qtde],super1[Item],tab_alimentos[[#This Row],[Item]],super1[Bairro],mercado4)+SUMIFS(supercb[Qtde],supercb[Item],tab_alimentos[[#This Row],[Item]],supercb[Bairro],mercado4)</f>
        <v>1</v>
      </c>
      <c r="P188" s="27" t="n">
        <f aca="false">SUMIFS(super1[Qtde],super1[Item],tab_alimentos[[#This Row],[Item]],super1[Bairro],mercado5)+SUMIFS(supercb[Qtde],supercb[Item],tab_alimentos[[#This Row],[Item]],supercb[Bairro],mercado5)</f>
        <v>4</v>
      </c>
      <c r="Q188" s="27" t="n">
        <f aca="false">SUMIFS(super1[Qtde],super1[Item],tab_alimentos[[#This Row],[Item]],super1[Bairro],mercado6)+SUMIFS(supercb[Qtde],supercb[Item],tab_alimentos[[#This Row],[Item]],supercb[Bairro],mercado6)</f>
        <v>6</v>
      </c>
      <c r="R188" s="27" t="n">
        <f aca="false">SUMIFS(super1[Qtde],super1[Item],tab_alimentos[[#This Row],[Item]],super1[Bairro],mercado7)+SUMIFS(supercb[Qtde],supercb[Item],tab_alimentos[[#This Row],[Item]],supercb[Bairro],mercado7)</f>
        <v>0</v>
      </c>
      <c r="S188" s="27" t="n">
        <f aca="false">SUMIFS(super1[Qtde],super1[Item],tab_alimentos[[#This Row],[Item]],super1[Bairro],mercado8)+SUMIFS(supercb[Qtde],supercb[Item],tab_alimentos[[#This Row],[Item]],supercb[Bairro],mercado8)</f>
        <v>0</v>
      </c>
      <c r="T188" s="27" t="n">
        <f aca="false">SUMIFS(super1[Qtde],super1[Item],tab_alimentos[[#This Row],[Item]],super1[Bairro],mercado9)+SUMIFS(supercb[Qtde],supercb[Item],tab_alimentos[[#This Row],[Item]],supercb[Bairro],mercado9)</f>
        <v>1</v>
      </c>
      <c r="U188" s="27" t="n">
        <f aca="false">SUMIFS(super1[Qtde],super1[Item],tab_alimentos[[#This Row],[Item]],super1[Bairro],mercado10)+SUMIFS(supercb[Qtde],supercb[Item],tab_alimentos[[#This Row],[Item]],supercb[Bairro],mercado10)</f>
        <v>1</v>
      </c>
      <c r="V188" s="27" t="n">
        <f aca="false">SUMIFS(super1[Qtde],super1[Item],tab_alimentos[[#This Row],[Item]],super1[Bairro],mercado11)+SUMIFS(supercb[Qtde],supercb[Item],tab_alimentos[[#This Row],[Item]],supercb[Bairro],mercado11)</f>
        <v>2</v>
      </c>
      <c r="W188" s="27" t="n">
        <f aca="false">SUMIFS(super1[Qtde],super1[Item],tab_alimentos[[#This Row],[Item]],super1[Bairro],mercado12)+SUMIFS(supercb[Qtde],supercb[Item],tab_alimentos[[#This Row],[Item]],supercb[Bairro],mercado12)</f>
        <v>0</v>
      </c>
      <c r="X188" s="27" t="n">
        <f aca="false">SUMIFS(super1[Qtde],super1[Item],tab_alimentos[[#This Row],[Item]],super1[Bairro],mercado13)+SUMIFS(supercb[Qtde],supercb[Item],tab_alimentos[[#This Row],[Item]],supercb[Bairro],mercado13)</f>
        <v>7</v>
      </c>
      <c r="Y188" s="27" t="n">
        <f aca="false">SUMIFS(super1[Qtde],super1[Item],tab_alimentos[[#This Row],[Item]],super1[Bairro],mercado14)+SUMIFS(supercb[Qtde],supercb[Item],tab_alimentos[[#This Row],[Item]],supercb[Bairro],mercado14)</f>
        <v>0</v>
      </c>
      <c r="Z188" s="27" t="n">
        <f aca="false">SUMIFS(super1[Qtde],super1[Item],tab_alimentos[[#This Row],[Item]],super1[Bairro],mercado15)+SUMIFS(supercb[Qtde],supercb[Item],tab_alimentos[[#This Row],[Item]],supercb[Bairro],mercado15)</f>
        <v>0</v>
      </c>
      <c r="AA188" s="27" t="n">
        <f aca="false">SUMIFS(super1[Qtde],super1[Item],tab_alimentos[[#This Row],[Item]],super1[Bairro],mercado16)+SUMIFS(supercb[Qtde],supercb[Item],tab_alimentos[[#This Row],[Item]],supercb[Bairro],mercado16)</f>
        <v>0</v>
      </c>
      <c r="AB188" s="27" t="n">
        <f aca="false">SUMIFS(super1[Qtde],super1[Item],tab_alimentos[[#This Row],[Item]],super1[Bairro],mercado17)+SUMIFS(supercb[Qtde],supercb[Item],tab_alimentos[[#This Row],[Item]],supercb[Bairro],mercado17)</f>
        <v>0</v>
      </c>
      <c r="AC188" s="27" t="n">
        <f aca="false">SUMIFS(super1[Qtde],super1[Item],tab_alimentos[[#This Row],[Item]],super1[Bairro],mercado18)+SUMIFS(supercb[Qtde],supercb[Item],tab_alimentos[[#This Row],[Item]],supercb[Bairro],mercado18)</f>
        <v>0</v>
      </c>
      <c r="AD188" s="27" t="n">
        <f aca="false">SUMIFS(super1[Qtde],super1[Item],tab_alimentos[[#This Row],[Item]],super1[Bairro],extras)+SUMIFS(supercb[Qtde],supercb[Item],tab_alimentos[[#This Row],[Item]],supercb[Bairro],extras)</f>
        <v>0</v>
      </c>
      <c r="AE188" s="27" t="n">
        <f aca="false">SUM(L188:AC188)</f>
        <v>22</v>
      </c>
      <c r="AF188" s="27" t="n">
        <f aca="false">IFERROR(AE188*K188,0)</f>
        <v>26.0333333333333</v>
      </c>
      <c r="AG188" s="28" t="n">
        <f aca="false">IFERROR(J188*AE188,0)</f>
        <v>1.76</v>
      </c>
      <c r="AH188" s="37" t="str">
        <f aca="false">higiene[[#This Row],[Item]]</f>
        <v>Sabonete 85g</v>
      </c>
      <c r="AI188" s="38" t="n">
        <f aca="false">IFERROR(higiene[[#This Row],[Kg equivalente]],0)</f>
        <v>0.896627505194421</v>
      </c>
      <c r="AJ188" s="38" t="n">
        <f aca="false">IFERROR(higiene[[#This Row],[Preço por produto]],0)</f>
        <v>2.97</v>
      </c>
      <c r="AK188" s="27" t="n">
        <f aca="false">SUMIFS(super1[Qtde],super1[Item],tab_higiene[[#This Row],[Item]],super1[Bairro],mercado1)+SUMIFS(supercb[Qtde],supercb[Item],tab_higiene[[#This Row],[Item]],supercb[Bairro],mercado1)</f>
        <v>0</v>
      </c>
      <c r="AL188" s="27" t="n">
        <f aca="false">SUMIFS(super1[Qtde],super1[Item],tab_higiene[[#This Row],[Item]],super1[Bairro],mercado2)+SUMIFS(supercb[Qtde],supercb[Item],tab_higiene[[#This Row],[Item]],supercb[Bairro],mercado2)</f>
        <v>0</v>
      </c>
      <c r="AM188" s="27" t="n">
        <f aca="false">SUMIFS(super1[Qtde],super1[Item],tab_higiene[[#This Row],[Item]],super1[Bairro],mercado3)+SUMIFS(supercb[Qtde],supercb[Item],tab_higiene[[#This Row],[Item]],supercb[Bairro],mercado3)</f>
        <v>0</v>
      </c>
      <c r="AN188" s="27" t="n">
        <f aca="false">SUMIFS(super1[Qtde],super1[Item],tab_higiene[[#This Row],[Item]],super1[Bairro],mercado4)+SUMIFS(supercb[Qtde],supercb[Item],tab_higiene[[#This Row],[Item]],supercb[Bairro],mercado4)</f>
        <v>0</v>
      </c>
      <c r="AO188" s="27" t="n">
        <f aca="false">SUMIFS(super1[Qtde],super1[Item],tab_higiene[[#This Row],[Item]],super1[Bairro],mercado5)+SUMIFS(supercb[Qtde],supercb[Item],tab_higiene[[#This Row],[Item]],supercb[Bairro],mercado5)</f>
        <v>0</v>
      </c>
      <c r="AP188" s="27" t="n">
        <f aca="false">SUMIFS(super1[Qtde],super1[Item],tab_higiene[[#This Row],[Item]],super1[Bairro],mercado6)+SUMIFS(supercb[Qtde],supercb[Item],tab_higiene[[#This Row],[Item]],supercb[Bairro],mercado6)</f>
        <v>0</v>
      </c>
      <c r="AQ188" s="27" t="n">
        <f aca="false">SUMIFS(super1[Qtde],super1[Item],tab_higiene[[#This Row],[Item]],super1[Bairro],mercado7)+SUMIFS(supercb[Qtde],supercb[Item],tab_higiene[[#This Row],[Item]],supercb[Bairro],mercado7)</f>
        <v>0</v>
      </c>
      <c r="AR188" s="27" t="n">
        <f aca="false">SUMIFS(super1[Qtde],super1[Item],tab_higiene[[#This Row],[Item]],super1[Bairro],mercado8)+SUMIFS(supercb[Qtde],supercb[Item],tab_higiene[[#This Row],[Item]],supercb[Bairro],mercado8)</f>
        <v>0</v>
      </c>
      <c r="AS188" s="27" t="n">
        <f aca="false">SUMIFS(super1[Qtde],super1[Item],tab_higiene[[#This Row],[Item]],super1[Bairro],mercado9)+SUMIFS(supercb[Qtde],supercb[Item],tab_higiene[[#This Row],[Item]],supercb[Bairro],mercado9)</f>
        <v>0</v>
      </c>
      <c r="AT188" s="27" t="n">
        <f aca="false">SUMIFS(super1[Qtde],super1[Item],tab_higiene[[#This Row],[Item]],super1[Bairro],mercado10)+SUMIFS(supercb[Qtde],supercb[Item],tab_higiene[[#This Row],[Item]],supercb[Bairro],mercado10)</f>
        <v>0</v>
      </c>
      <c r="AU188" s="27" t="n">
        <f aca="false">SUMIFS(super1[Qtde],super1[Item],tab_higiene[[#This Row],[Item]],super1[Bairro],mercado11)+SUMIFS(supercb[Qtde],supercb[Item],tab_higiene[[#This Row],[Item]],supercb[Bairro],mercado11)</f>
        <v>0</v>
      </c>
      <c r="AV188" s="27" t="n">
        <f aca="false">SUMIFS(super1[Qtde],super1[Item],tab_higiene[[#This Row],[Item]],super1[Bairro],mercado12)+SUMIFS(supercb[Qtde],supercb[Item],tab_higiene[[#This Row],[Item]],supercb[Bairro],mercado12)</f>
        <v>0</v>
      </c>
      <c r="AW188" s="27" t="n">
        <f aca="false">SUMIFS(super1[Qtde],super1[Item],tab_higiene[[#This Row],[Item]],super1[Bairro],mercado13)+SUMIFS(supercb[Qtde],supercb[Item],tab_higiene[[#This Row],[Item]],supercb[Bairro],mercado13)</f>
        <v>0</v>
      </c>
      <c r="AX188" s="27" t="n">
        <f aca="false">SUMIFS(super1[Qtde],super1[Item],tab_higiene[[#This Row],[Item]],super1[Bairro],mercado14)+SUMIFS(supercb[Qtde],supercb[Item],tab_higiene[[#This Row],[Item]],supercb[Bairro],mercado14)</f>
        <v>0</v>
      </c>
      <c r="AY188" s="27" t="n">
        <f aca="false">SUMIFS(super1[Qtde],super1[Item],tab_higiene[[#This Row],[Item]],super1[Bairro],mercado15)+SUMIFS(supercb[Qtde],supercb[Item],tab_higiene[[#This Row],[Item]],supercb[Bairro],mercado15)</f>
        <v>0</v>
      </c>
      <c r="AZ188" s="27" t="n">
        <f aca="false">SUMIFS(super1[Qtde],super1[Item],tab_higiene[[#This Row],[Item]],super1[Bairro],mercado16)+SUMIFS(supercb[Qtde],supercb[Item],tab_higiene[[#This Row],[Item]],supercb[Bairro],mercado16)</f>
        <v>0</v>
      </c>
      <c r="BA188" s="27" t="n">
        <f aca="false">SUMIFS(super1[Qtde],super1[Item],tab_higiene[[#This Row],[Item]],super1[Bairro],mercado17)+SUMIFS(supercb[Qtde],supercb[Item],tab_higiene[[#This Row],[Item]],supercb[Bairro],mercado17)</f>
        <v>0</v>
      </c>
      <c r="BB188" s="27" t="n">
        <f aca="false">SUMIFS(super1[Qtde],super1[Item],tab_higiene[[#This Row],[Item]],super1[Bairro],mercado18)+SUMIFS(supercb[Qtde],supercb[Item],tab_higiene[[#This Row],[Item]],supercb[Bairro],mercado18)</f>
        <v>0</v>
      </c>
      <c r="BC188" s="39" t="n">
        <f aca="false">SUMIFS(super1[Qtde],super1[Item],tab_higiene[[#This Row],[Item]],super1[Bairro],extras)+SUMIFS(supercb[Qtde],supercb[Item],tab_higiene[[#This Row],[Item]],supercb[Bairro],extras)</f>
        <v>0</v>
      </c>
      <c r="BD188" s="38" t="n">
        <f aca="false">SUM(AK188:BB188)</f>
        <v>0</v>
      </c>
      <c r="BE188" s="38" t="n">
        <f aca="false">IFERROR(BD188*AJ188,0)</f>
        <v>0</v>
      </c>
      <c r="BF188" s="40" t="n">
        <f aca="false">IFERROR(AI188*BD188,0)</f>
        <v>0</v>
      </c>
    </row>
    <row r="189" customFormat="false" ht="15.75" hidden="false" customHeight="false" outlineLevel="0" collapsed="false">
      <c r="I189" s="26" t="str">
        <f aca="false">alimentos[[#This Row],[Item]]</f>
        <v>Mistura de Bolo</v>
      </c>
      <c r="J189" s="27" t="n">
        <f aca="false">IFERROR(alimentos[[#This Row],[kg/embalagem]],0)</f>
        <v>0.45</v>
      </c>
      <c r="K189" s="27" t="n">
        <f aca="false">IFERROR(alimentos[[#This Row],[Preço]],0)</f>
        <v>3.93</v>
      </c>
      <c r="L189" s="27" t="n">
        <f aca="false">SUMIFS(super1[Qtde],super1[Item],tab_alimentos[[#This Row],[Item]],super1[Bairro],mercado1)+SUMIFS(supercb[Qtde],supercb[Item],tab_alimentos[[#This Row],[Item]],supercb[Bairro],mercado1)</f>
        <v>0</v>
      </c>
      <c r="M189" s="27" t="n">
        <f aca="false">SUMIFS(super1[Qtde],super1[Item],tab_alimentos[[#This Row],[Item]],super1[Bairro],mercado2)+SUMIFS(supercb[Qtde],supercb[Item],tab_alimentos[[#This Row],[Item]],supercb[Bairro],mercado2)</f>
        <v>0</v>
      </c>
      <c r="N189" s="27" t="n">
        <f aca="false">SUMIFS(super1[Qtde],super1[Item],tab_alimentos[[#This Row],[Item]],super1[Bairro],mercado3)+SUMIFS(supercb[Qtde],supercb[Item],tab_alimentos[[#This Row],[Item]],supercb[Bairro],mercado3)</f>
        <v>0</v>
      </c>
      <c r="O189" s="27" t="n">
        <f aca="false">SUMIFS(super1[Qtde],super1[Item],tab_alimentos[[#This Row],[Item]],super1[Bairro],mercado4)+SUMIFS(supercb[Qtde],supercb[Item],tab_alimentos[[#This Row],[Item]],supercb[Bairro],mercado4)</f>
        <v>0</v>
      </c>
      <c r="P189" s="27" t="n">
        <f aca="false">SUMIFS(super1[Qtde],super1[Item],tab_alimentos[[#This Row],[Item]],super1[Bairro],mercado5)+SUMIFS(supercb[Qtde],supercb[Item],tab_alimentos[[#This Row],[Item]],supercb[Bairro],mercado5)</f>
        <v>0</v>
      </c>
      <c r="Q189" s="27" t="n">
        <f aca="false">SUMIFS(super1[Qtde],super1[Item],tab_alimentos[[#This Row],[Item]],super1[Bairro],mercado6)+SUMIFS(supercb[Qtde],supercb[Item],tab_alimentos[[#This Row],[Item]],supercb[Bairro],mercado6)</f>
        <v>0</v>
      </c>
      <c r="R189" s="27" t="n">
        <f aca="false">SUMIFS(super1[Qtde],super1[Item],tab_alimentos[[#This Row],[Item]],super1[Bairro],mercado7)+SUMIFS(supercb[Qtde],supercb[Item],tab_alimentos[[#This Row],[Item]],supercb[Bairro],mercado7)</f>
        <v>0</v>
      </c>
      <c r="S189" s="27" t="n">
        <f aca="false">SUMIFS(super1[Qtde],super1[Item],tab_alimentos[[#This Row],[Item]],super1[Bairro],mercado8)+SUMIFS(supercb[Qtde],supercb[Item],tab_alimentos[[#This Row],[Item]],supercb[Bairro],mercado8)</f>
        <v>0</v>
      </c>
      <c r="T189" s="27" t="n">
        <f aca="false">SUMIFS(super1[Qtde],super1[Item],tab_alimentos[[#This Row],[Item]],super1[Bairro],mercado9)+SUMIFS(supercb[Qtde],supercb[Item],tab_alimentos[[#This Row],[Item]],supercb[Bairro],mercado9)</f>
        <v>0</v>
      </c>
      <c r="U189" s="27" t="n">
        <f aca="false">SUMIFS(super1[Qtde],super1[Item],tab_alimentos[[#This Row],[Item]],super1[Bairro],mercado10)+SUMIFS(supercb[Qtde],supercb[Item],tab_alimentos[[#This Row],[Item]],supercb[Bairro],mercado10)</f>
        <v>1</v>
      </c>
      <c r="V189" s="27" t="n">
        <f aca="false">SUMIFS(super1[Qtde],super1[Item],tab_alimentos[[#This Row],[Item]],super1[Bairro],mercado11)+SUMIFS(supercb[Qtde],supercb[Item],tab_alimentos[[#This Row],[Item]],supercb[Bairro],mercado11)</f>
        <v>0</v>
      </c>
      <c r="W189" s="27" t="n">
        <f aca="false">SUMIFS(super1[Qtde],super1[Item],tab_alimentos[[#This Row],[Item]],super1[Bairro],mercado12)+SUMIFS(supercb[Qtde],supercb[Item],tab_alimentos[[#This Row],[Item]],supercb[Bairro],mercado12)</f>
        <v>0</v>
      </c>
      <c r="X189" s="27" t="n">
        <f aca="false">SUMIFS(super1[Qtde],super1[Item],tab_alimentos[[#This Row],[Item]],super1[Bairro],mercado13)+SUMIFS(supercb[Qtde],supercb[Item],tab_alimentos[[#This Row],[Item]],supercb[Bairro],mercado13)</f>
        <v>0</v>
      </c>
      <c r="Y189" s="27" t="n">
        <f aca="false">SUMIFS(super1[Qtde],super1[Item],tab_alimentos[[#This Row],[Item]],super1[Bairro],mercado14)+SUMIFS(supercb[Qtde],supercb[Item],tab_alimentos[[#This Row],[Item]],supercb[Bairro],mercado14)</f>
        <v>0</v>
      </c>
      <c r="Z189" s="27" t="n">
        <f aca="false">SUMIFS(super1[Qtde],super1[Item],tab_alimentos[[#This Row],[Item]],super1[Bairro],mercado15)+SUMIFS(supercb[Qtde],supercb[Item],tab_alimentos[[#This Row],[Item]],supercb[Bairro],mercado15)</f>
        <v>0</v>
      </c>
      <c r="AA189" s="27" t="n">
        <f aca="false">SUMIFS(super1[Qtde],super1[Item],tab_alimentos[[#This Row],[Item]],super1[Bairro],mercado16)+SUMIFS(supercb[Qtde],supercb[Item],tab_alimentos[[#This Row],[Item]],supercb[Bairro],mercado16)</f>
        <v>0</v>
      </c>
      <c r="AB189" s="27" t="n">
        <f aca="false">SUMIFS(super1[Qtde],super1[Item],tab_alimentos[[#This Row],[Item]],super1[Bairro],mercado17)+SUMIFS(supercb[Qtde],supercb[Item],tab_alimentos[[#This Row],[Item]],supercb[Bairro],mercado17)</f>
        <v>0</v>
      </c>
      <c r="AC189" s="27" t="n">
        <f aca="false">SUMIFS(super1[Qtde],super1[Item],tab_alimentos[[#This Row],[Item]],super1[Bairro],mercado18)+SUMIFS(supercb[Qtde],supercb[Item],tab_alimentos[[#This Row],[Item]],supercb[Bairro],mercado18)</f>
        <v>0</v>
      </c>
      <c r="AD189" s="27" t="n">
        <f aca="false">SUMIFS(super1[Qtde],super1[Item],tab_alimentos[[#This Row],[Item]],super1[Bairro],extras)+SUMIFS(supercb[Qtde],supercb[Item],tab_alimentos[[#This Row],[Item]],supercb[Bairro],extras)</f>
        <v>0</v>
      </c>
      <c r="AE189" s="27" t="n">
        <f aca="false">SUM(L189:AC189)</f>
        <v>1</v>
      </c>
      <c r="AF189" s="27" t="n">
        <f aca="false">IFERROR(AE189*K189,0)</f>
        <v>3.93</v>
      </c>
      <c r="AG189" s="28" t="n">
        <f aca="false">IFERROR(J189*AE189,0)</f>
        <v>0.45</v>
      </c>
      <c r="AH189" s="37" t="str">
        <f aca="false">higiene[[#This Row],[Item]]</f>
        <v>Sabonete Líquido (250ml)</v>
      </c>
      <c r="AI189" s="38" t="n">
        <f aca="false">IFERROR(higiene[[#This Row],[Kg equivalente]],0)</f>
        <v>1.97791398592551</v>
      </c>
      <c r="AJ189" s="38" t="n">
        <f aca="false">IFERROR(higiene[[#This Row],[Preço por produto]],0)</f>
        <v>6.55166666666667</v>
      </c>
      <c r="AK189" s="27" t="n">
        <f aca="false">SUMIFS(super1[Qtde],super1[Item],tab_higiene[[#This Row],[Item]],super1[Bairro],mercado1)+SUMIFS(supercb[Qtde],supercb[Item],tab_higiene[[#This Row],[Item]],supercb[Bairro],mercado1)</f>
        <v>0</v>
      </c>
      <c r="AL189" s="27" t="n">
        <f aca="false">SUMIFS(super1[Qtde],super1[Item],tab_higiene[[#This Row],[Item]],super1[Bairro],mercado2)+SUMIFS(supercb[Qtde],supercb[Item],tab_higiene[[#This Row],[Item]],supercb[Bairro],mercado2)</f>
        <v>0</v>
      </c>
      <c r="AM189" s="27" t="n">
        <f aca="false">SUMIFS(super1[Qtde],super1[Item],tab_higiene[[#This Row],[Item]],super1[Bairro],mercado3)+SUMIFS(supercb[Qtde],supercb[Item],tab_higiene[[#This Row],[Item]],supercb[Bairro],mercado3)</f>
        <v>0</v>
      </c>
      <c r="AN189" s="27" t="n">
        <f aca="false">SUMIFS(super1[Qtde],super1[Item],tab_higiene[[#This Row],[Item]],super1[Bairro],mercado4)+SUMIFS(supercb[Qtde],supercb[Item],tab_higiene[[#This Row],[Item]],supercb[Bairro],mercado4)</f>
        <v>0</v>
      </c>
      <c r="AO189" s="27" t="n">
        <f aca="false">SUMIFS(super1[Qtde],super1[Item],tab_higiene[[#This Row],[Item]],super1[Bairro],mercado5)+SUMIFS(supercb[Qtde],supercb[Item],tab_higiene[[#This Row],[Item]],supercb[Bairro],mercado5)</f>
        <v>0</v>
      </c>
      <c r="AP189" s="27" t="n">
        <f aca="false">SUMIFS(super1[Qtde],super1[Item],tab_higiene[[#This Row],[Item]],super1[Bairro],mercado6)+SUMIFS(supercb[Qtde],supercb[Item],tab_higiene[[#This Row],[Item]],supercb[Bairro],mercado6)</f>
        <v>0</v>
      </c>
      <c r="AQ189" s="27" t="n">
        <f aca="false">SUMIFS(super1[Qtde],super1[Item],tab_higiene[[#This Row],[Item]],super1[Bairro],mercado7)+SUMIFS(supercb[Qtde],supercb[Item],tab_higiene[[#This Row],[Item]],supercb[Bairro],mercado7)</f>
        <v>0</v>
      </c>
      <c r="AR189" s="27" t="n">
        <f aca="false">SUMIFS(super1[Qtde],super1[Item],tab_higiene[[#This Row],[Item]],super1[Bairro],mercado8)+SUMIFS(supercb[Qtde],supercb[Item],tab_higiene[[#This Row],[Item]],supercb[Bairro],mercado8)</f>
        <v>0</v>
      </c>
      <c r="AS189" s="27" t="n">
        <f aca="false">SUMIFS(super1[Qtde],super1[Item],tab_higiene[[#This Row],[Item]],super1[Bairro],mercado9)+SUMIFS(supercb[Qtde],supercb[Item],tab_higiene[[#This Row],[Item]],supercb[Bairro],mercado9)</f>
        <v>0</v>
      </c>
      <c r="AT189" s="27" t="n">
        <f aca="false">SUMIFS(super1[Qtde],super1[Item],tab_higiene[[#This Row],[Item]],super1[Bairro],mercado10)+SUMIFS(supercb[Qtde],supercb[Item],tab_higiene[[#This Row],[Item]],supercb[Bairro],mercado10)</f>
        <v>0</v>
      </c>
      <c r="AU189" s="27" t="n">
        <f aca="false">SUMIFS(super1[Qtde],super1[Item],tab_higiene[[#This Row],[Item]],super1[Bairro],mercado11)+SUMIFS(supercb[Qtde],supercb[Item],tab_higiene[[#This Row],[Item]],supercb[Bairro],mercado11)</f>
        <v>0</v>
      </c>
      <c r="AV189" s="27" t="n">
        <f aca="false">SUMIFS(super1[Qtde],super1[Item],tab_higiene[[#This Row],[Item]],super1[Bairro],mercado12)+SUMIFS(supercb[Qtde],supercb[Item],tab_higiene[[#This Row],[Item]],supercb[Bairro],mercado12)</f>
        <v>0</v>
      </c>
      <c r="AW189" s="27" t="n">
        <f aca="false">SUMIFS(super1[Qtde],super1[Item],tab_higiene[[#This Row],[Item]],super1[Bairro],mercado13)+SUMIFS(supercb[Qtde],supercb[Item],tab_higiene[[#This Row],[Item]],supercb[Bairro],mercado13)</f>
        <v>1</v>
      </c>
      <c r="AX189" s="27" t="n">
        <f aca="false">SUMIFS(super1[Qtde],super1[Item],tab_higiene[[#This Row],[Item]],super1[Bairro],mercado14)+SUMIFS(supercb[Qtde],supercb[Item],tab_higiene[[#This Row],[Item]],supercb[Bairro],mercado14)</f>
        <v>0</v>
      </c>
      <c r="AY189" s="27" t="n">
        <f aca="false">SUMIFS(super1[Qtde],super1[Item],tab_higiene[[#This Row],[Item]],super1[Bairro],mercado15)+SUMIFS(supercb[Qtde],supercb[Item],tab_higiene[[#This Row],[Item]],supercb[Bairro],mercado15)</f>
        <v>0</v>
      </c>
      <c r="AZ189" s="27" t="n">
        <f aca="false">SUMIFS(super1[Qtde],super1[Item],tab_higiene[[#This Row],[Item]],super1[Bairro],mercado16)+SUMIFS(supercb[Qtde],supercb[Item],tab_higiene[[#This Row],[Item]],supercb[Bairro],mercado16)</f>
        <v>0</v>
      </c>
      <c r="BA189" s="27" t="n">
        <f aca="false">SUMIFS(super1[Qtde],super1[Item],tab_higiene[[#This Row],[Item]],super1[Bairro],mercado17)+SUMIFS(supercb[Qtde],supercb[Item],tab_higiene[[#This Row],[Item]],supercb[Bairro],mercado17)</f>
        <v>0</v>
      </c>
      <c r="BB189" s="27" t="n">
        <f aca="false">SUMIFS(super1[Qtde],super1[Item],tab_higiene[[#This Row],[Item]],super1[Bairro],mercado18)+SUMIFS(supercb[Qtde],supercb[Item],tab_higiene[[#This Row],[Item]],supercb[Bairro],mercado18)</f>
        <v>0</v>
      </c>
      <c r="BC189" s="39" t="n">
        <f aca="false">SUMIFS(super1[Qtde],super1[Item],tab_higiene[[#This Row],[Item]],super1[Bairro],extras)+SUMIFS(supercb[Qtde],supercb[Item],tab_higiene[[#This Row],[Item]],supercb[Bairro],extras)</f>
        <v>0</v>
      </c>
      <c r="BD189" s="38" t="n">
        <f aca="false">SUM(AK189:BB189)</f>
        <v>1</v>
      </c>
      <c r="BE189" s="38" t="n">
        <f aca="false">IFERROR(BD189*AJ189,0)</f>
        <v>6.55166666666667</v>
      </c>
      <c r="BF189" s="40" t="n">
        <f aca="false">IFERROR(AI189*BD189,0)</f>
        <v>1.97791398592551</v>
      </c>
    </row>
    <row r="190" customFormat="false" ht="15.75" hidden="false" customHeight="false" outlineLevel="0" collapsed="false">
      <c r="I190" s="26" t="str">
        <f aca="false">alimentos[[#This Row],[Item]]</f>
        <v>Molho de tomate (130g)</v>
      </c>
      <c r="J190" s="27" t="n">
        <f aca="false">IFERROR(alimentos[[#This Row],[kg/embalagem]],0)</f>
        <v>0.13</v>
      </c>
      <c r="K190" s="27" t="n">
        <f aca="false">IFERROR(alimentos[[#This Row],[Preço]],0)</f>
        <v>1.25</v>
      </c>
      <c r="L190" s="27" t="n">
        <f aca="false">SUMIFS(super1[Qtde],super1[Item],tab_alimentos[[#This Row],[Item]],super1[Bairro],mercado1)+SUMIFS(supercb[Qtde],supercb[Item],tab_alimentos[[#This Row],[Item]],supercb[Bairro],mercado1)</f>
        <v>0</v>
      </c>
      <c r="M190" s="27" t="n">
        <f aca="false">SUMIFS(super1[Qtde],super1[Item],tab_alimentos[[#This Row],[Item]],super1[Bairro],mercado2)+SUMIFS(supercb[Qtde],supercb[Item],tab_alimentos[[#This Row],[Item]],supercb[Bairro],mercado2)</f>
        <v>0</v>
      </c>
      <c r="N190" s="27" t="n">
        <f aca="false">SUMIFS(super1[Qtde],super1[Item],tab_alimentos[[#This Row],[Item]],super1[Bairro],mercado3)+SUMIFS(supercb[Qtde],supercb[Item],tab_alimentos[[#This Row],[Item]],supercb[Bairro],mercado3)</f>
        <v>1</v>
      </c>
      <c r="O190" s="27" t="n">
        <f aca="false">SUMIFS(super1[Qtde],super1[Item],tab_alimentos[[#This Row],[Item]],super1[Bairro],mercado4)+SUMIFS(supercb[Qtde],supercb[Item],tab_alimentos[[#This Row],[Item]],supercb[Bairro],mercado4)</f>
        <v>0</v>
      </c>
      <c r="P190" s="27" t="n">
        <f aca="false">SUMIFS(super1[Qtde],super1[Item],tab_alimentos[[#This Row],[Item]],super1[Bairro],mercado5)+SUMIFS(supercb[Qtde],supercb[Item],tab_alimentos[[#This Row],[Item]],supercb[Bairro],mercado5)</f>
        <v>1</v>
      </c>
      <c r="Q190" s="27" t="n">
        <f aca="false">SUMIFS(super1[Qtde],super1[Item],tab_alimentos[[#This Row],[Item]],super1[Bairro],mercado6)+SUMIFS(supercb[Qtde],supercb[Item],tab_alimentos[[#This Row],[Item]],supercb[Bairro],mercado6)</f>
        <v>0</v>
      </c>
      <c r="R190" s="27" t="n">
        <f aca="false">SUMIFS(super1[Qtde],super1[Item],tab_alimentos[[#This Row],[Item]],super1[Bairro],mercado7)+SUMIFS(supercb[Qtde],supercb[Item],tab_alimentos[[#This Row],[Item]],supercb[Bairro],mercado7)</f>
        <v>0</v>
      </c>
      <c r="S190" s="27" t="n">
        <f aca="false">SUMIFS(super1[Qtde],super1[Item],tab_alimentos[[#This Row],[Item]],super1[Bairro],mercado8)+SUMIFS(supercb[Qtde],supercb[Item],tab_alimentos[[#This Row],[Item]],supercb[Bairro],mercado8)</f>
        <v>0</v>
      </c>
      <c r="T190" s="27" t="n">
        <f aca="false">SUMIFS(super1[Qtde],super1[Item],tab_alimentos[[#This Row],[Item]],super1[Bairro],mercado9)+SUMIFS(supercb[Qtde],supercb[Item],tab_alimentos[[#This Row],[Item]],supercb[Bairro],mercado9)</f>
        <v>2</v>
      </c>
      <c r="U190" s="27" t="n">
        <f aca="false">SUMIFS(super1[Qtde],super1[Item],tab_alimentos[[#This Row],[Item]],super1[Bairro],mercado10)+SUMIFS(supercb[Qtde],supercb[Item],tab_alimentos[[#This Row],[Item]],supercb[Bairro],mercado10)</f>
        <v>0</v>
      </c>
      <c r="V190" s="27" t="n">
        <f aca="false">SUMIFS(super1[Qtde],super1[Item],tab_alimentos[[#This Row],[Item]],super1[Bairro],mercado11)+SUMIFS(supercb[Qtde],supercb[Item],tab_alimentos[[#This Row],[Item]],supercb[Bairro],mercado11)</f>
        <v>0</v>
      </c>
      <c r="W190" s="27" t="n">
        <f aca="false">SUMIFS(super1[Qtde],super1[Item],tab_alimentos[[#This Row],[Item]],super1[Bairro],mercado12)+SUMIFS(supercb[Qtde],supercb[Item],tab_alimentos[[#This Row],[Item]],supercb[Bairro],mercado12)</f>
        <v>0</v>
      </c>
      <c r="X190" s="27" t="n">
        <f aca="false">SUMIFS(super1[Qtde],super1[Item],tab_alimentos[[#This Row],[Item]],super1[Bairro],mercado13)+SUMIFS(supercb[Qtde],supercb[Item],tab_alimentos[[#This Row],[Item]],supercb[Bairro],mercado13)</f>
        <v>2</v>
      </c>
      <c r="Y190" s="27" t="n">
        <f aca="false">SUMIFS(super1[Qtde],super1[Item],tab_alimentos[[#This Row],[Item]],super1[Bairro],mercado14)+SUMIFS(supercb[Qtde],supercb[Item],tab_alimentos[[#This Row],[Item]],supercb[Bairro],mercado14)</f>
        <v>0</v>
      </c>
      <c r="Z190" s="27" t="n">
        <f aca="false">SUMIFS(super1[Qtde],super1[Item],tab_alimentos[[#This Row],[Item]],super1[Bairro],mercado15)+SUMIFS(supercb[Qtde],supercb[Item],tab_alimentos[[#This Row],[Item]],supercb[Bairro],mercado15)</f>
        <v>0</v>
      </c>
      <c r="AA190" s="27" t="n">
        <f aca="false">SUMIFS(super1[Qtde],super1[Item],tab_alimentos[[#This Row],[Item]],super1[Bairro],mercado16)+SUMIFS(supercb[Qtde],supercb[Item],tab_alimentos[[#This Row],[Item]],supercb[Bairro],mercado16)</f>
        <v>0</v>
      </c>
      <c r="AB190" s="27" t="n">
        <f aca="false">SUMIFS(super1[Qtde],super1[Item],tab_alimentos[[#This Row],[Item]],super1[Bairro],mercado17)+SUMIFS(supercb[Qtde],supercb[Item],tab_alimentos[[#This Row],[Item]],supercb[Bairro],mercado17)</f>
        <v>0</v>
      </c>
      <c r="AC190" s="27" t="n">
        <f aca="false">SUMIFS(super1[Qtde],super1[Item],tab_alimentos[[#This Row],[Item]],super1[Bairro],mercado18)+SUMIFS(supercb[Qtde],supercb[Item],tab_alimentos[[#This Row],[Item]],supercb[Bairro],mercado18)</f>
        <v>0</v>
      </c>
      <c r="AD190" s="27" t="n">
        <f aca="false">SUMIFS(super1[Qtde],super1[Item],tab_alimentos[[#This Row],[Item]],super1[Bairro],extras)+SUMIFS(supercb[Qtde],supercb[Item],tab_alimentos[[#This Row],[Item]],supercb[Bairro],extras)</f>
        <v>0</v>
      </c>
      <c r="AE190" s="27" t="n">
        <f aca="false">SUM(L190:AC190)</f>
        <v>6</v>
      </c>
      <c r="AF190" s="27" t="n">
        <f aca="false">IFERROR(AE190*K190,0)</f>
        <v>7.5</v>
      </c>
      <c r="AG190" s="28" t="n">
        <f aca="false">IFERROR(J190*AE190,0)</f>
        <v>0.78</v>
      </c>
      <c r="AH190" s="37" t="str">
        <f aca="false">higiene[[#This Row],[Item]]</f>
        <v>Sabonetes (90g)</v>
      </c>
      <c r="AI190" s="38" t="n">
        <f aca="false">IFERROR(higiene[[#This Row],[Kg equivalente]],0)</f>
        <v>0.364537950344196</v>
      </c>
      <c r="AJ190" s="38" t="n">
        <f aca="false">IFERROR(higiene[[#This Row],[Preço por produto]],0)</f>
        <v>1.2075</v>
      </c>
      <c r="AK190" s="27" t="n">
        <f aca="false">SUMIFS(super1[Qtde],super1[Item],tab_higiene[[#This Row],[Item]],super1[Bairro],mercado1)+SUMIFS(supercb[Qtde],supercb[Item],tab_higiene[[#This Row],[Item]],supercb[Bairro],mercado1)</f>
        <v>2</v>
      </c>
      <c r="AL190" s="27" t="n">
        <f aca="false">SUMIFS(super1[Qtde],super1[Item],tab_higiene[[#This Row],[Item]],super1[Bairro],mercado2)+SUMIFS(supercb[Qtde],supercb[Item],tab_higiene[[#This Row],[Item]],supercb[Bairro],mercado2)</f>
        <v>0</v>
      </c>
      <c r="AM190" s="27" t="n">
        <f aca="false">SUMIFS(super1[Qtde],super1[Item],tab_higiene[[#This Row],[Item]],super1[Bairro],mercado3)+SUMIFS(supercb[Qtde],supercb[Item],tab_higiene[[#This Row],[Item]],supercb[Bairro],mercado3)</f>
        <v>0</v>
      </c>
      <c r="AN190" s="27" t="n">
        <f aca="false">SUMIFS(super1[Qtde],super1[Item],tab_higiene[[#This Row],[Item]],super1[Bairro],mercado4)+SUMIFS(supercb[Qtde],supercb[Item],tab_higiene[[#This Row],[Item]],supercb[Bairro],mercado4)</f>
        <v>0</v>
      </c>
      <c r="AO190" s="27" t="n">
        <f aca="false">SUMIFS(super1[Qtde],super1[Item],tab_higiene[[#This Row],[Item]],super1[Bairro],mercado5)+SUMIFS(supercb[Qtde],supercb[Item],tab_higiene[[#This Row],[Item]],supercb[Bairro],mercado5)</f>
        <v>12</v>
      </c>
      <c r="AP190" s="27" t="n">
        <f aca="false">SUMIFS(super1[Qtde],super1[Item],tab_higiene[[#This Row],[Item]],super1[Bairro],mercado6)+SUMIFS(supercb[Qtde],supercb[Item],tab_higiene[[#This Row],[Item]],supercb[Bairro],mercado6)</f>
        <v>42</v>
      </c>
      <c r="AQ190" s="27" t="n">
        <f aca="false">SUMIFS(super1[Qtde],super1[Item],tab_higiene[[#This Row],[Item]],super1[Bairro],mercado7)+SUMIFS(supercb[Qtde],supercb[Item],tab_higiene[[#This Row],[Item]],supercb[Bairro],mercado7)</f>
        <v>4</v>
      </c>
      <c r="AR190" s="27" t="n">
        <f aca="false">SUMIFS(super1[Qtde],super1[Item],tab_higiene[[#This Row],[Item]],super1[Bairro],mercado8)+SUMIFS(supercb[Qtde],supercb[Item],tab_higiene[[#This Row],[Item]],supercb[Bairro],mercado8)</f>
        <v>19</v>
      </c>
      <c r="AS190" s="27" t="n">
        <f aca="false">SUMIFS(super1[Qtde],super1[Item],tab_higiene[[#This Row],[Item]],super1[Bairro],mercado9)+SUMIFS(supercb[Qtde],supercb[Item],tab_higiene[[#This Row],[Item]],supercb[Bairro],mercado9)</f>
        <v>24</v>
      </c>
      <c r="AT190" s="27" t="n">
        <f aca="false">SUMIFS(super1[Qtde],super1[Item],tab_higiene[[#This Row],[Item]],super1[Bairro],mercado10)+SUMIFS(supercb[Qtde],supercb[Item],tab_higiene[[#This Row],[Item]],supercb[Bairro],mercado10)</f>
        <v>11</v>
      </c>
      <c r="AU190" s="27" t="n">
        <f aca="false">SUMIFS(super1[Qtde],super1[Item],tab_higiene[[#This Row],[Item]],super1[Bairro],mercado11)+SUMIFS(supercb[Qtde],supercb[Item],tab_higiene[[#This Row],[Item]],supercb[Bairro],mercado11)</f>
        <v>10</v>
      </c>
      <c r="AV190" s="27" t="n">
        <f aca="false">SUMIFS(super1[Qtde],super1[Item],tab_higiene[[#This Row],[Item]],super1[Bairro],mercado12)+SUMIFS(supercb[Qtde],supercb[Item],tab_higiene[[#This Row],[Item]],supercb[Bairro],mercado12)</f>
        <v>0</v>
      </c>
      <c r="AW190" s="27" t="n">
        <f aca="false">SUMIFS(super1[Qtde],super1[Item],tab_higiene[[#This Row],[Item]],super1[Bairro],mercado13)+SUMIFS(supercb[Qtde],supercb[Item],tab_higiene[[#This Row],[Item]],supercb[Bairro],mercado13)</f>
        <v>0</v>
      </c>
      <c r="AX190" s="27" t="n">
        <f aca="false">SUMIFS(super1[Qtde],super1[Item],tab_higiene[[#This Row],[Item]],super1[Bairro],mercado14)+SUMIFS(supercb[Qtde],supercb[Item],tab_higiene[[#This Row],[Item]],supercb[Bairro],mercado14)</f>
        <v>0</v>
      </c>
      <c r="AY190" s="27" t="n">
        <f aca="false">SUMIFS(super1[Qtde],super1[Item],tab_higiene[[#This Row],[Item]],super1[Bairro],mercado15)+SUMIFS(supercb[Qtde],supercb[Item],tab_higiene[[#This Row],[Item]],supercb[Bairro],mercado15)</f>
        <v>0</v>
      </c>
      <c r="AZ190" s="27" t="n">
        <f aca="false">SUMIFS(super1[Qtde],super1[Item],tab_higiene[[#This Row],[Item]],super1[Bairro],mercado16)+SUMIFS(supercb[Qtde],supercb[Item],tab_higiene[[#This Row],[Item]],supercb[Bairro],mercado16)</f>
        <v>0</v>
      </c>
      <c r="BA190" s="27" t="n">
        <f aca="false">SUMIFS(super1[Qtde],super1[Item],tab_higiene[[#This Row],[Item]],super1[Bairro],mercado17)+SUMIFS(supercb[Qtde],supercb[Item],tab_higiene[[#This Row],[Item]],supercb[Bairro],mercado17)</f>
        <v>0</v>
      </c>
      <c r="BB190" s="27" t="n">
        <f aca="false">SUMIFS(super1[Qtde],super1[Item],tab_higiene[[#This Row],[Item]],super1[Bairro],mercado18)+SUMIFS(supercb[Qtde],supercb[Item],tab_higiene[[#This Row],[Item]],supercb[Bairro],mercado18)</f>
        <v>0</v>
      </c>
      <c r="BC190" s="39" t="n">
        <f aca="false">SUMIFS(super1[Qtde],super1[Item],tab_higiene[[#This Row],[Item]],super1[Bairro],extras)+SUMIFS(supercb[Qtde],supercb[Item],tab_higiene[[#This Row],[Item]],supercb[Bairro],extras)</f>
        <v>0</v>
      </c>
      <c r="BD190" s="38" t="n">
        <f aca="false">SUM(AK190:BB190)</f>
        <v>124</v>
      </c>
      <c r="BE190" s="38" t="n">
        <f aca="false">IFERROR(BD190*AJ190,0)</f>
        <v>149.73</v>
      </c>
      <c r="BF190" s="40" t="n">
        <f aca="false">IFERROR(AI190*BD190,0)</f>
        <v>45.2027058426803</v>
      </c>
    </row>
    <row r="191" customFormat="false" ht="15.75" hidden="false" customHeight="false" outlineLevel="0" collapsed="false">
      <c r="I191" s="26" t="str">
        <f aca="false">alimentos[[#This Row],[Item]]</f>
        <v>Molho de Tomate (260g)</v>
      </c>
      <c r="J191" s="27" t="n">
        <f aca="false">IFERROR(alimentos[[#This Row],[kg/embalagem]],0)</f>
        <v>0.26</v>
      </c>
      <c r="K191" s="27" t="n">
        <f aca="false">IFERROR(alimentos[[#This Row],[Preço]],0)</f>
        <v>2.56</v>
      </c>
      <c r="L191" s="27" t="n">
        <f aca="false">SUMIFS(super1[Qtde],super1[Item],tab_alimentos[[#This Row],[Item]],super1[Bairro],mercado1)+SUMIFS(supercb[Qtde],supercb[Item],tab_alimentos[[#This Row],[Item]],supercb[Bairro],mercado1)</f>
        <v>0</v>
      </c>
      <c r="M191" s="27" t="n">
        <f aca="false">SUMIFS(super1[Qtde],super1[Item],tab_alimentos[[#This Row],[Item]],super1[Bairro],mercado2)+SUMIFS(supercb[Qtde],supercb[Item],tab_alimentos[[#This Row],[Item]],supercb[Bairro],mercado2)</f>
        <v>0</v>
      </c>
      <c r="N191" s="27" t="n">
        <f aca="false">SUMIFS(super1[Qtde],super1[Item],tab_alimentos[[#This Row],[Item]],super1[Bairro],mercado3)+SUMIFS(supercb[Qtde],supercb[Item],tab_alimentos[[#This Row],[Item]],supercb[Bairro],mercado3)</f>
        <v>0</v>
      </c>
      <c r="O191" s="27" t="n">
        <f aca="false">SUMIFS(super1[Qtde],super1[Item],tab_alimentos[[#This Row],[Item]],super1[Bairro],mercado4)+SUMIFS(supercb[Qtde],supercb[Item],tab_alimentos[[#This Row],[Item]],supercb[Bairro],mercado4)</f>
        <v>0</v>
      </c>
      <c r="P191" s="27" t="n">
        <f aca="false">SUMIFS(super1[Qtde],super1[Item],tab_alimentos[[#This Row],[Item]],super1[Bairro],mercado5)+SUMIFS(supercb[Qtde],supercb[Item],tab_alimentos[[#This Row],[Item]],supercb[Bairro],mercado5)</f>
        <v>0</v>
      </c>
      <c r="Q191" s="27" t="n">
        <f aca="false">SUMIFS(super1[Qtde],super1[Item],tab_alimentos[[#This Row],[Item]],super1[Bairro],mercado6)+SUMIFS(supercb[Qtde],supercb[Item],tab_alimentos[[#This Row],[Item]],supercb[Bairro],mercado6)</f>
        <v>0</v>
      </c>
      <c r="R191" s="27" t="n">
        <f aca="false">SUMIFS(super1[Qtde],super1[Item],tab_alimentos[[#This Row],[Item]],super1[Bairro],mercado7)+SUMIFS(supercb[Qtde],supercb[Item],tab_alimentos[[#This Row],[Item]],supercb[Bairro],mercado7)</f>
        <v>0</v>
      </c>
      <c r="S191" s="27" t="n">
        <f aca="false">SUMIFS(super1[Qtde],super1[Item],tab_alimentos[[#This Row],[Item]],super1[Bairro],mercado8)+SUMIFS(supercb[Qtde],supercb[Item],tab_alimentos[[#This Row],[Item]],supercb[Bairro],mercado8)</f>
        <v>0</v>
      </c>
      <c r="T191" s="27" t="n">
        <f aca="false">SUMIFS(super1[Qtde],super1[Item],tab_alimentos[[#This Row],[Item]],super1[Bairro],mercado9)+SUMIFS(supercb[Qtde],supercb[Item],tab_alimentos[[#This Row],[Item]],supercb[Bairro],mercado9)</f>
        <v>0</v>
      </c>
      <c r="U191" s="27" t="n">
        <f aca="false">SUMIFS(super1[Qtde],super1[Item],tab_alimentos[[#This Row],[Item]],super1[Bairro],mercado10)+SUMIFS(supercb[Qtde],supercb[Item],tab_alimentos[[#This Row],[Item]],supercb[Bairro],mercado10)</f>
        <v>0</v>
      </c>
      <c r="V191" s="27" t="n">
        <f aca="false">SUMIFS(super1[Qtde],super1[Item],tab_alimentos[[#This Row],[Item]],super1[Bairro],mercado11)+SUMIFS(supercb[Qtde],supercb[Item],tab_alimentos[[#This Row],[Item]],supercb[Bairro],mercado11)</f>
        <v>0</v>
      </c>
      <c r="W191" s="27" t="n">
        <f aca="false">SUMIFS(super1[Qtde],super1[Item],tab_alimentos[[#This Row],[Item]],super1[Bairro],mercado12)+SUMIFS(supercb[Qtde],supercb[Item],tab_alimentos[[#This Row],[Item]],supercb[Bairro],mercado12)</f>
        <v>0</v>
      </c>
      <c r="X191" s="27" t="n">
        <f aca="false">SUMIFS(super1[Qtde],super1[Item],tab_alimentos[[#This Row],[Item]],super1[Bairro],mercado13)+SUMIFS(supercb[Qtde],supercb[Item],tab_alimentos[[#This Row],[Item]],supercb[Bairro],mercado13)</f>
        <v>0</v>
      </c>
      <c r="Y191" s="27" t="n">
        <f aca="false">SUMIFS(super1[Qtde],super1[Item],tab_alimentos[[#This Row],[Item]],super1[Bairro],mercado14)+SUMIFS(supercb[Qtde],supercb[Item],tab_alimentos[[#This Row],[Item]],supercb[Bairro],mercado14)</f>
        <v>0</v>
      </c>
      <c r="Z191" s="27" t="n">
        <f aca="false">SUMIFS(super1[Qtde],super1[Item],tab_alimentos[[#This Row],[Item]],super1[Bairro],mercado15)+SUMIFS(supercb[Qtde],supercb[Item],tab_alimentos[[#This Row],[Item]],supercb[Bairro],mercado15)</f>
        <v>0</v>
      </c>
      <c r="AA191" s="27" t="n">
        <f aca="false">SUMIFS(super1[Qtde],super1[Item],tab_alimentos[[#This Row],[Item]],super1[Bairro],mercado16)+SUMIFS(supercb[Qtde],supercb[Item],tab_alimentos[[#This Row],[Item]],supercb[Bairro],mercado16)</f>
        <v>0</v>
      </c>
      <c r="AB191" s="27" t="n">
        <f aca="false">SUMIFS(super1[Qtde],super1[Item],tab_alimentos[[#This Row],[Item]],super1[Bairro],mercado17)+SUMIFS(supercb[Qtde],supercb[Item],tab_alimentos[[#This Row],[Item]],supercb[Bairro],mercado17)</f>
        <v>0</v>
      </c>
      <c r="AC191" s="27" t="n">
        <f aca="false">SUMIFS(super1[Qtde],super1[Item],tab_alimentos[[#This Row],[Item]],super1[Bairro],mercado18)+SUMIFS(supercb[Qtde],supercb[Item],tab_alimentos[[#This Row],[Item]],supercb[Bairro],mercado18)</f>
        <v>0</v>
      </c>
      <c r="AD191" s="27" t="n">
        <f aca="false">SUMIFS(super1[Qtde],super1[Item],tab_alimentos[[#This Row],[Item]],super1[Bairro],extras)+SUMIFS(supercb[Qtde],supercb[Item],tab_alimentos[[#This Row],[Item]],supercb[Bairro],extras)</f>
        <v>0</v>
      </c>
      <c r="AE191" s="27" t="n">
        <f aca="false">SUM(L191:AC191)</f>
        <v>0</v>
      </c>
      <c r="AF191" s="27" t="n">
        <f aca="false">IFERROR(AE191*K191,0)</f>
        <v>0</v>
      </c>
      <c r="AG191" s="28" t="n">
        <f aca="false">IFERROR(J191*AE191,0)</f>
        <v>0</v>
      </c>
      <c r="AH191" s="37" t="str">
        <f aca="false">higiene[[#This Row],[Item]]</f>
        <v>Saco de Lixo (100un) 15L</v>
      </c>
      <c r="AI191" s="38" t="n">
        <f aca="false">IFERROR(higiene[[#This Row],[Kg equivalente]],0)</f>
        <v>4.80012704801053</v>
      </c>
      <c r="AJ191" s="38" t="n">
        <f aca="false">IFERROR(higiene[[#This Row],[Preço por produto]],0)</f>
        <v>15.9</v>
      </c>
      <c r="AK191" s="27" t="n">
        <f aca="false">SUMIFS(super1[Qtde],super1[Item],tab_higiene[[#This Row],[Item]],super1[Bairro],mercado1)+SUMIFS(supercb[Qtde],supercb[Item],tab_higiene[[#This Row],[Item]],supercb[Bairro],mercado1)</f>
        <v>0</v>
      </c>
      <c r="AL191" s="27" t="n">
        <f aca="false">SUMIFS(super1[Qtde],super1[Item],tab_higiene[[#This Row],[Item]],super1[Bairro],mercado2)+SUMIFS(supercb[Qtde],supercb[Item],tab_higiene[[#This Row],[Item]],supercb[Bairro],mercado2)</f>
        <v>0</v>
      </c>
      <c r="AM191" s="27" t="n">
        <f aca="false">SUMIFS(super1[Qtde],super1[Item],tab_higiene[[#This Row],[Item]],super1[Bairro],mercado3)+SUMIFS(supercb[Qtde],supercb[Item],tab_higiene[[#This Row],[Item]],supercb[Bairro],mercado3)</f>
        <v>0</v>
      </c>
      <c r="AN191" s="27" t="n">
        <f aca="false">SUMIFS(super1[Qtde],super1[Item],tab_higiene[[#This Row],[Item]],super1[Bairro],mercado4)+SUMIFS(supercb[Qtde],supercb[Item],tab_higiene[[#This Row],[Item]],supercb[Bairro],mercado4)</f>
        <v>0</v>
      </c>
      <c r="AO191" s="27" t="n">
        <f aca="false">SUMIFS(super1[Qtde],super1[Item],tab_higiene[[#This Row],[Item]],super1[Bairro],mercado5)+SUMIFS(supercb[Qtde],supercb[Item],tab_higiene[[#This Row],[Item]],supercb[Bairro],mercado5)</f>
        <v>0</v>
      </c>
      <c r="AP191" s="27" t="n">
        <f aca="false">SUMIFS(super1[Qtde],super1[Item],tab_higiene[[#This Row],[Item]],super1[Bairro],mercado6)+SUMIFS(supercb[Qtde],supercb[Item],tab_higiene[[#This Row],[Item]],supercb[Bairro],mercado6)</f>
        <v>0</v>
      </c>
      <c r="AQ191" s="27" t="n">
        <f aca="false">SUMIFS(super1[Qtde],super1[Item],tab_higiene[[#This Row],[Item]],super1[Bairro],mercado7)+SUMIFS(supercb[Qtde],supercb[Item],tab_higiene[[#This Row],[Item]],supercb[Bairro],mercado7)</f>
        <v>0</v>
      </c>
      <c r="AR191" s="27" t="n">
        <f aca="false">SUMIFS(super1[Qtde],super1[Item],tab_higiene[[#This Row],[Item]],super1[Bairro],mercado8)+SUMIFS(supercb[Qtde],supercb[Item],tab_higiene[[#This Row],[Item]],supercb[Bairro],mercado8)</f>
        <v>0</v>
      </c>
      <c r="AS191" s="27" t="n">
        <f aca="false">SUMIFS(super1[Qtde],super1[Item],tab_higiene[[#This Row],[Item]],super1[Bairro],mercado9)+SUMIFS(supercb[Qtde],supercb[Item],tab_higiene[[#This Row],[Item]],supercb[Bairro],mercado9)</f>
        <v>0</v>
      </c>
      <c r="AT191" s="27" t="n">
        <f aca="false">SUMIFS(super1[Qtde],super1[Item],tab_higiene[[#This Row],[Item]],super1[Bairro],mercado10)+SUMIFS(supercb[Qtde],supercb[Item],tab_higiene[[#This Row],[Item]],supercb[Bairro],mercado10)</f>
        <v>1</v>
      </c>
      <c r="AU191" s="27" t="n">
        <f aca="false">SUMIFS(super1[Qtde],super1[Item],tab_higiene[[#This Row],[Item]],super1[Bairro],mercado11)+SUMIFS(supercb[Qtde],supercb[Item],tab_higiene[[#This Row],[Item]],supercb[Bairro],mercado11)</f>
        <v>0</v>
      </c>
      <c r="AV191" s="27" t="n">
        <f aca="false">SUMIFS(super1[Qtde],super1[Item],tab_higiene[[#This Row],[Item]],super1[Bairro],mercado12)+SUMIFS(supercb[Qtde],supercb[Item],tab_higiene[[#This Row],[Item]],supercb[Bairro],mercado12)</f>
        <v>0</v>
      </c>
      <c r="AW191" s="27" t="n">
        <f aca="false">SUMIFS(super1[Qtde],super1[Item],tab_higiene[[#This Row],[Item]],super1[Bairro],mercado13)+SUMIFS(supercb[Qtde],supercb[Item],tab_higiene[[#This Row],[Item]],supercb[Bairro],mercado13)</f>
        <v>0</v>
      </c>
      <c r="AX191" s="27" t="n">
        <f aca="false">SUMIFS(super1[Qtde],super1[Item],tab_higiene[[#This Row],[Item]],super1[Bairro],mercado14)+SUMIFS(supercb[Qtde],supercb[Item],tab_higiene[[#This Row],[Item]],supercb[Bairro],mercado14)</f>
        <v>0</v>
      </c>
      <c r="AY191" s="27" t="n">
        <f aca="false">SUMIFS(super1[Qtde],super1[Item],tab_higiene[[#This Row],[Item]],super1[Bairro],mercado15)+SUMIFS(supercb[Qtde],supercb[Item],tab_higiene[[#This Row],[Item]],supercb[Bairro],mercado15)</f>
        <v>0</v>
      </c>
      <c r="AZ191" s="27" t="n">
        <f aca="false">SUMIFS(super1[Qtde],super1[Item],tab_higiene[[#This Row],[Item]],super1[Bairro],mercado16)+SUMIFS(supercb[Qtde],supercb[Item],tab_higiene[[#This Row],[Item]],supercb[Bairro],mercado16)</f>
        <v>0</v>
      </c>
      <c r="BA191" s="27" t="n">
        <f aca="false">SUMIFS(super1[Qtde],super1[Item],tab_higiene[[#This Row],[Item]],super1[Bairro],mercado17)+SUMIFS(supercb[Qtde],supercb[Item],tab_higiene[[#This Row],[Item]],supercb[Bairro],mercado17)</f>
        <v>0</v>
      </c>
      <c r="BB191" s="27" t="n">
        <f aca="false">SUMIFS(super1[Qtde],super1[Item],tab_higiene[[#This Row],[Item]],super1[Bairro],mercado18)+SUMIFS(supercb[Qtde],supercb[Item],tab_higiene[[#This Row],[Item]],supercb[Bairro],mercado18)</f>
        <v>0</v>
      </c>
      <c r="BC191" s="39" t="n">
        <f aca="false">SUMIFS(super1[Qtde],super1[Item],tab_higiene[[#This Row],[Item]],super1[Bairro],extras)+SUMIFS(supercb[Qtde],supercb[Item],tab_higiene[[#This Row],[Item]],supercb[Bairro],extras)</f>
        <v>0</v>
      </c>
      <c r="BD191" s="38" t="n">
        <f aca="false">SUM(AK191:BB191)</f>
        <v>1</v>
      </c>
      <c r="BE191" s="38" t="n">
        <f aca="false">IFERROR(BD191*AJ191,0)</f>
        <v>15.9</v>
      </c>
      <c r="BF191" s="40" t="n">
        <f aca="false">IFERROR(AI191*BD191,0)</f>
        <v>4.80012704801053</v>
      </c>
    </row>
    <row r="192" customFormat="false" ht="15.75" hidden="false" customHeight="false" outlineLevel="0" collapsed="false">
      <c r="I192" s="26" t="str">
        <f aca="false">alimentos[[#This Row],[Item]]</f>
        <v>Molho de Tomate (300g)</v>
      </c>
      <c r="J192" s="27" t="n">
        <f aca="false">IFERROR(alimentos[[#This Row],[kg/embalagem]],0)</f>
        <v>0.3</v>
      </c>
      <c r="K192" s="27" t="n">
        <f aca="false">IFERROR(alimentos[[#This Row],[Preço]],0)</f>
        <v>3.05</v>
      </c>
      <c r="L192" s="27" t="n">
        <f aca="false">SUMIFS(super1[Qtde],super1[Item],tab_alimentos[[#This Row],[Item]],super1[Bairro],mercado1)+SUMIFS(supercb[Qtde],supercb[Item],tab_alimentos[[#This Row],[Item]],supercb[Bairro],mercado1)</f>
        <v>0</v>
      </c>
      <c r="M192" s="27" t="n">
        <f aca="false">SUMIFS(super1[Qtde],super1[Item],tab_alimentos[[#This Row],[Item]],super1[Bairro],mercado2)+SUMIFS(supercb[Qtde],supercb[Item],tab_alimentos[[#This Row],[Item]],supercb[Bairro],mercado2)</f>
        <v>0</v>
      </c>
      <c r="N192" s="27" t="n">
        <f aca="false">SUMIFS(super1[Qtde],super1[Item],tab_alimentos[[#This Row],[Item]],super1[Bairro],mercado3)+SUMIFS(supercb[Qtde],supercb[Item],tab_alimentos[[#This Row],[Item]],supercb[Bairro],mercado3)</f>
        <v>0</v>
      </c>
      <c r="O192" s="27" t="n">
        <f aca="false">SUMIFS(super1[Qtde],super1[Item],tab_alimentos[[#This Row],[Item]],super1[Bairro],mercado4)+SUMIFS(supercb[Qtde],supercb[Item],tab_alimentos[[#This Row],[Item]],supercb[Bairro],mercado4)</f>
        <v>0</v>
      </c>
      <c r="P192" s="27" t="n">
        <f aca="false">SUMIFS(super1[Qtde],super1[Item],tab_alimentos[[#This Row],[Item]],super1[Bairro],mercado5)+SUMIFS(supercb[Qtde],supercb[Item],tab_alimentos[[#This Row],[Item]],supercb[Bairro],mercado5)</f>
        <v>0</v>
      </c>
      <c r="Q192" s="27" t="n">
        <f aca="false">SUMIFS(super1[Qtde],super1[Item],tab_alimentos[[#This Row],[Item]],super1[Bairro],mercado6)+SUMIFS(supercb[Qtde],supercb[Item],tab_alimentos[[#This Row],[Item]],supercb[Bairro],mercado6)</f>
        <v>0</v>
      </c>
      <c r="R192" s="27" t="n">
        <f aca="false">SUMIFS(super1[Qtde],super1[Item],tab_alimentos[[#This Row],[Item]],super1[Bairro],mercado7)+SUMIFS(supercb[Qtde],supercb[Item],tab_alimentos[[#This Row],[Item]],supercb[Bairro],mercado7)</f>
        <v>0</v>
      </c>
      <c r="S192" s="27" t="n">
        <f aca="false">SUMIFS(super1[Qtde],super1[Item],tab_alimentos[[#This Row],[Item]],super1[Bairro],mercado8)+SUMIFS(supercb[Qtde],supercb[Item],tab_alimentos[[#This Row],[Item]],supercb[Bairro],mercado8)</f>
        <v>0</v>
      </c>
      <c r="T192" s="27" t="n">
        <f aca="false">SUMIFS(super1[Qtde],super1[Item],tab_alimentos[[#This Row],[Item]],super1[Bairro],mercado9)+SUMIFS(supercb[Qtde],supercb[Item],tab_alimentos[[#This Row],[Item]],supercb[Bairro],mercado9)</f>
        <v>0</v>
      </c>
      <c r="U192" s="27" t="n">
        <f aca="false">SUMIFS(super1[Qtde],super1[Item],tab_alimentos[[#This Row],[Item]],super1[Bairro],mercado10)+SUMIFS(supercb[Qtde],supercb[Item],tab_alimentos[[#This Row],[Item]],supercb[Bairro],mercado10)</f>
        <v>0</v>
      </c>
      <c r="V192" s="27" t="n">
        <f aca="false">SUMIFS(super1[Qtde],super1[Item],tab_alimentos[[#This Row],[Item]],super1[Bairro],mercado11)+SUMIFS(supercb[Qtde],supercb[Item],tab_alimentos[[#This Row],[Item]],supercb[Bairro],mercado11)</f>
        <v>0</v>
      </c>
      <c r="W192" s="27" t="n">
        <f aca="false">SUMIFS(super1[Qtde],super1[Item],tab_alimentos[[#This Row],[Item]],super1[Bairro],mercado12)+SUMIFS(supercb[Qtde],supercb[Item],tab_alimentos[[#This Row],[Item]],supercb[Bairro],mercado12)</f>
        <v>0</v>
      </c>
      <c r="X192" s="27" t="n">
        <f aca="false">SUMIFS(super1[Qtde],super1[Item],tab_alimentos[[#This Row],[Item]],super1[Bairro],mercado13)+SUMIFS(supercb[Qtde],supercb[Item],tab_alimentos[[#This Row],[Item]],supercb[Bairro],mercado13)</f>
        <v>0</v>
      </c>
      <c r="Y192" s="27" t="n">
        <f aca="false">SUMIFS(super1[Qtde],super1[Item],tab_alimentos[[#This Row],[Item]],super1[Bairro],mercado14)+SUMIFS(supercb[Qtde],supercb[Item],tab_alimentos[[#This Row],[Item]],supercb[Bairro],mercado14)</f>
        <v>0</v>
      </c>
      <c r="Z192" s="27" t="n">
        <f aca="false">SUMIFS(super1[Qtde],super1[Item],tab_alimentos[[#This Row],[Item]],super1[Bairro],mercado15)+SUMIFS(supercb[Qtde],supercb[Item],tab_alimentos[[#This Row],[Item]],supercb[Bairro],mercado15)</f>
        <v>0</v>
      </c>
      <c r="AA192" s="27" t="n">
        <f aca="false">SUMIFS(super1[Qtde],super1[Item],tab_alimentos[[#This Row],[Item]],super1[Bairro],mercado16)+SUMIFS(supercb[Qtde],supercb[Item],tab_alimentos[[#This Row],[Item]],supercb[Bairro],mercado16)</f>
        <v>0</v>
      </c>
      <c r="AB192" s="27" t="n">
        <f aca="false">SUMIFS(super1[Qtde],super1[Item],tab_alimentos[[#This Row],[Item]],super1[Bairro],mercado17)+SUMIFS(supercb[Qtde],supercb[Item],tab_alimentos[[#This Row],[Item]],supercb[Bairro],mercado17)</f>
        <v>0</v>
      </c>
      <c r="AC192" s="27" t="n">
        <f aca="false">SUMIFS(super1[Qtde],super1[Item],tab_alimentos[[#This Row],[Item]],super1[Bairro],mercado18)+SUMIFS(supercb[Qtde],supercb[Item],tab_alimentos[[#This Row],[Item]],supercb[Bairro],mercado18)</f>
        <v>0</v>
      </c>
      <c r="AD192" s="27" t="n">
        <f aca="false">SUMIFS(super1[Qtde],super1[Item],tab_alimentos[[#This Row],[Item]],super1[Bairro],extras)+SUMIFS(supercb[Qtde],supercb[Item],tab_alimentos[[#This Row],[Item]],supercb[Bairro],extras)</f>
        <v>0</v>
      </c>
      <c r="AE192" s="27" t="n">
        <f aca="false">SUM(L192:AC192)</f>
        <v>0</v>
      </c>
      <c r="AF192" s="27" t="n">
        <f aca="false">IFERROR(AE192*K192,0)</f>
        <v>0</v>
      </c>
      <c r="AG192" s="28" t="n">
        <f aca="false">IFERROR(J192*AE192,0)</f>
        <v>0</v>
      </c>
      <c r="AH192" s="37" t="str">
        <f aca="false">higiene[[#This Row],[Item]]</f>
        <v>Saco de Lixo (10un)</v>
      </c>
      <c r="AI192" s="38" t="n">
        <f aca="false">IFERROR(higiene[[#This Row],[Kg equivalente]],0)</f>
        <v>3.31721987443646</v>
      </c>
      <c r="AJ192" s="38" t="n">
        <f aca="false">IFERROR(higiene[[#This Row],[Preço por produto]],0)</f>
        <v>10.988</v>
      </c>
      <c r="AK192" s="27" t="n">
        <f aca="false">SUMIFS(super1[Qtde],super1[Item],tab_higiene[[#This Row],[Item]],super1[Bairro],mercado1)+SUMIFS(supercb[Qtde],supercb[Item],tab_higiene[[#This Row],[Item]],supercb[Bairro],mercado1)</f>
        <v>0</v>
      </c>
      <c r="AL192" s="27" t="n">
        <f aca="false">SUMIFS(super1[Qtde],super1[Item],tab_higiene[[#This Row],[Item]],super1[Bairro],mercado2)+SUMIFS(supercb[Qtde],supercb[Item],tab_higiene[[#This Row],[Item]],supercb[Bairro],mercado2)</f>
        <v>1</v>
      </c>
      <c r="AM192" s="27" t="n">
        <f aca="false">SUMIFS(super1[Qtde],super1[Item],tab_higiene[[#This Row],[Item]],super1[Bairro],mercado3)+SUMIFS(supercb[Qtde],supercb[Item],tab_higiene[[#This Row],[Item]],supercb[Bairro],mercado3)</f>
        <v>0</v>
      </c>
      <c r="AN192" s="27" t="n">
        <f aca="false">SUMIFS(super1[Qtde],super1[Item],tab_higiene[[#This Row],[Item]],super1[Bairro],mercado4)+SUMIFS(supercb[Qtde],supercb[Item],tab_higiene[[#This Row],[Item]],supercb[Bairro],mercado4)</f>
        <v>1</v>
      </c>
      <c r="AO192" s="27" t="n">
        <f aca="false">SUMIFS(super1[Qtde],super1[Item],tab_higiene[[#This Row],[Item]],super1[Bairro],mercado5)+SUMIFS(supercb[Qtde],supercb[Item],tab_higiene[[#This Row],[Item]],supercb[Bairro],mercado5)</f>
        <v>0</v>
      </c>
      <c r="AP192" s="27" t="n">
        <f aca="false">SUMIFS(super1[Qtde],super1[Item],tab_higiene[[#This Row],[Item]],super1[Bairro],mercado6)+SUMIFS(supercb[Qtde],supercb[Item],tab_higiene[[#This Row],[Item]],supercb[Bairro],mercado6)</f>
        <v>8</v>
      </c>
      <c r="AQ192" s="27" t="n">
        <f aca="false">SUMIFS(super1[Qtde],super1[Item],tab_higiene[[#This Row],[Item]],super1[Bairro],mercado7)+SUMIFS(supercb[Qtde],supercb[Item],tab_higiene[[#This Row],[Item]],supercb[Bairro],mercado7)</f>
        <v>0</v>
      </c>
      <c r="AR192" s="27" t="n">
        <f aca="false">SUMIFS(super1[Qtde],super1[Item],tab_higiene[[#This Row],[Item]],super1[Bairro],mercado8)+SUMIFS(supercb[Qtde],supercb[Item],tab_higiene[[#This Row],[Item]],supercb[Bairro],mercado8)</f>
        <v>0</v>
      </c>
      <c r="AS192" s="27" t="n">
        <f aca="false">SUMIFS(super1[Qtde],super1[Item],tab_higiene[[#This Row],[Item]],super1[Bairro],mercado9)+SUMIFS(supercb[Qtde],supercb[Item],tab_higiene[[#This Row],[Item]],supercb[Bairro],mercado9)</f>
        <v>0</v>
      </c>
      <c r="AT192" s="27" t="n">
        <f aca="false">SUMIFS(super1[Qtde],super1[Item],tab_higiene[[#This Row],[Item]],super1[Bairro],mercado10)+SUMIFS(supercb[Qtde],supercb[Item],tab_higiene[[#This Row],[Item]],supercb[Bairro],mercado10)</f>
        <v>0</v>
      </c>
      <c r="AU192" s="27" t="n">
        <f aca="false">SUMIFS(super1[Qtde],super1[Item],tab_higiene[[#This Row],[Item]],super1[Bairro],mercado11)+SUMIFS(supercb[Qtde],supercb[Item],tab_higiene[[#This Row],[Item]],supercb[Bairro],mercado11)</f>
        <v>0</v>
      </c>
      <c r="AV192" s="27" t="n">
        <f aca="false">SUMIFS(super1[Qtde],super1[Item],tab_higiene[[#This Row],[Item]],super1[Bairro],mercado12)+SUMIFS(supercb[Qtde],supercb[Item],tab_higiene[[#This Row],[Item]],supercb[Bairro],mercado12)</f>
        <v>0</v>
      </c>
      <c r="AW192" s="27" t="n">
        <f aca="false">SUMIFS(super1[Qtde],super1[Item],tab_higiene[[#This Row],[Item]],super1[Bairro],mercado13)+SUMIFS(supercb[Qtde],supercb[Item],tab_higiene[[#This Row],[Item]],supercb[Bairro],mercado13)</f>
        <v>0</v>
      </c>
      <c r="AX192" s="27" t="n">
        <f aca="false">SUMIFS(super1[Qtde],super1[Item],tab_higiene[[#This Row],[Item]],super1[Bairro],mercado14)+SUMIFS(supercb[Qtde],supercb[Item],tab_higiene[[#This Row],[Item]],supercb[Bairro],mercado14)</f>
        <v>0</v>
      </c>
      <c r="AY192" s="27" t="n">
        <f aca="false">SUMIFS(super1[Qtde],super1[Item],tab_higiene[[#This Row],[Item]],super1[Bairro],mercado15)+SUMIFS(supercb[Qtde],supercb[Item],tab_higiene[[#This Row],[Item]],supercb[Bairro],mercado15)</f>
        <v>0</v>
      </c>
      <c r="AZ192" s="27" t="n">
        <f aca="false">SUMIFS(super1[Qtde],super1[Item],tab_higiene[[#This Row],[Item]],super1[Bairro],mercado16)+SUMIFS(supercb[Qtde],supercb[Item],tab_higiene[[#This Row],[Item]],supercb[Bairro],mercado16)</f>
        <v>0</v>
      </c>
      <c r="BA192" s="27" t="n">
        <f aca="false">SUMIFS(super1[Qtde],super1[Item],tab_higiene[[#This Row],[Item]],super1[Bairro],mercado17)+SUMIFS(supercb[Qtde],supercb[Item],tab_higiene[[#This Row],[Item]],supercb[Bairro],mercado17)</f>
        <v>0</v>
      </c>
      <c r="BB192" s="27" t="n">
        <f aca="false">SUMIFS(super1[Qtde],super1[Item],tab_higiene[[#This Row],[Item]],super1[Bairro],mercado18)+SUMIFS(supercb[Qtde],supercb[Item],tab_higiene[[#This Row],[Item]],supercb[Bairro],mercado18)</f>
        <v>0</v>
      </c>
      <c r="BC192" s="39" t="n">
        <f aca="false">SUMIFS(super1[Qtde],super1[Item],tab_higiene[[#This Row],[Item]],super1[Bairro],extras)+SUMIFS(supercb[Qtde],supercb[Item],tab_higiene[[#This Row],[Item]],supercb[Bairro],extras)</f>
        <v>0</v>
      </c>
      <c r="BD192" s="38" t="n">
        <f aca="false">SUM(AK192:BB192)</f>
        <v>10</v>
      </c>
      <c r="BE192" s="38" t="n">
        <f aca="false">IFERROR(BD192*AJ192,0)</f>
        <v>109.88</v>
      </c>
      <c r="BF192" s="40" t="n">
        <f aca="false">IFERROR(AI192*BD192,0)</f>
        <v>33.1721987443646</v>
      </c>
    </row>
    <row r="193" customFormat="false" ht="15.75" hidden="false" customHeight="false" outlineLevel="0" collapsed="false">
      <c r="I193" s="26" t="str">
        <f aca="false">alimentos[[#This Row],[Item]]</f>
        <v>Molho de Tomate (340g)</v>
      </c>
      <c r="J193" s="27" t="n">
        <f aca="false">IFERROR(alimentos[[#This Row],[kg/embalagem]],0)</f>
        <v>0.34</v>
      </c>
      <c r="K193" s="27" t="n">
        <f aca="false">IFERROR(alimentos[[#This Row],[Preço]],0)</f>
        <v>1.08666666666667</v>
      </c>
      <c r="L193" s="27" t="n">
        <f aca="false">SUMIFS(super1[Qtde],super1[Item],tab_alimentos[[#This Row],[Item]],super1[Bairro],mercado1)+SUMIFS(supercb[Qtde],supercb[Item],tab_alimentos[[#This Row],[Item]],supercb[Bairro],mercado1)</f>
        <v>40</v>
      </c>
      <c r="M193" s="27" t="n">
        <f aca="false">SUMIFS(super1[Qtde],super1[Item],tab_alimentos[[#This Row],[Item]],super1[Bairro],mercado2)+SUMIFS(supercb[Qtde],supercb[Item],tab_alimentos[[#This Row],[Item]],supercb[Bairro],mercado2)</f>
        <v>27</v>
      </c>
      <c r="N193" s="27" t="n">
        <f aca="false">SUMIFS(super1[Qtde],super1[Item],tab_alimentos[[#This Row],[Item]],super1[Bairro],mercado3)+SUMIFS(supercb[Qtde],supercb[Item],tab_alimentos[[#This Row],[Item]],supercb[Bairro],mercado3)</f>
        <v>23</v>
      </c>
      <c r="O193" s="27" t="n">
        <f aca="false">SUMIFS(super1[Qtde],super1[Item],tab_alimentos[[#This Row],[Item]],super1[Bairro],mercado4)+SUMIFS(supercb[Qtde],supercb[Item],tab_alimentos[[#This Row],[Item]],supercb[Bairro],mercado4)</f>
        <v>60</v>
      </c>
      <c r="P193" s="27" t="n">
        <f aca="false">SUMIFS(super1[Qtde],super1[Item],tab_alimentos[[#This Row],[Item]],super1[Bairro],mercado5)+SUMIFS(supercb[Qtde],supercb[Item],tab_alimentos[[#This Row],[Item]],supercb[Bairro],mercado5)</f>
        <v>79</v>
      </c>
      <c r="Q193" s="27" t="n">
        <f aca="false">SUMIFS(super1[Qtde],super1[Item],tab_alimentos[[#This Row],[Item]],super1[Bairro],mercado6)+SUMIFS(supercb[Qtde],supercb[Item],tab_alimentos[[#This Row],[Item]],supercb[Bairro],mercado6)</f>
        <v>74</v>
      </c>
      <c r="R193" s="27" t="n">
        <f aca="false">SUMIFS(super1[Qtde],super1[Item],tab_alimentos[[#This Row],[Item]],super1[Bairro],mercado7)+SUMIFS(supercb[Qtde],supercb[Item],tab_alimentos[[#This Row],[Item]],supercb[Bairro],mercado7)</f>
        <v>49</v>
      </c>
      <c r="S193" s="27" t="n">
        <f aca="false">SUMIFS(super1[Qtde],super1[Item],tab_alimentos[[#This Row],[Item]],super1[Bairro],mercado8)+SUMIFS(supercb[Qtde],supercb[Item],tab_alimentos[[#This Row],[Item]],supercb[Bairro],mercado8)</f>
        <v>24</v>
      </c>
      <c r="T193" s="27" t="n">
        <f aca="false">SUMIFS(super1[Qtde],super1[Item],tab_alimentos[[#This Row],[Item]],super1[Bairro],mercado9)+SUMIFS(supercb[Qtde],supercb[Item],tab_alimentos[[#This Row],[Item]],supercb[Bairro],mercado9)</f>
        <v>84</v>
      </c>
      <c r="U193" s="27" t="n">
        <f aca="false">SUMIFS(super1[Qtde],super1[Item],tab_alimentos[[#This Row],[Item]],super1[Bairro],mercado10)+SUMIFS(supercb[Qtde],supercb[Item],tab_alimentos[[#This Row],[Item]],supercb[Bairro],mercado10)</f>
        <v>85</v>
      </c>
      <c r="V193" s="27" t="n">
        <f aca="false">SUMIFS(super1[Qtde],super1[Item],tab_alimentos[[#This Row],[Item]],super1[Bairro],mercado11)+SUMIFS(supercb[Qtde],supercb[Item],tab_alimentos[[#This Row],[Item]],supercb[Bairro],mercado11)</f>
        <v>88</v>
      </c>
      <c r="W193" s="27" t="n">
        <f aca="false">SUMIFS(super1[Qtde],super1[Item],tab_alimentos[[#This Row],[Item]],super1[Bairro],mercado12)+SUMIFS(supercb[Qtde],supercb[Item],tab_alimentos[[#This Row],[Item]],supercb[Bairro],mercado12)</f>
        <v>0</v>
      </c>
      <c r="X193" s="27" t="n">
        <f aca="false">SUMIFS(super1[Qtde],super1[Item],tab_alimentos[[#This Row],[Item]],super1[Bairro],mercado13)+SUMIFS(supercb[Qtde],supercb[Item],tab_alimentos[[#This Row],[Item]],supercb[Bairro],mercado13)</f>
        <v>31</v>
      </c>
      <c r="Y193" s="27" t="n">
        <f aca="false">SUMIFS(super1[Qtde],super1[Item],tab_alimentos[[#This Row],[Item]],super1[Bairro],mercado14)+SUMIFS(supercb[Qtde],supercb[Item],tab_alimentos[[#This Row],[Item]],supercb[Bairro],mercado14)</f>
        <v>0</v>
      </c>
      <c r="Z193" s="27" t="n">
        <f aca="false">SUMIFS(super1[Qtde],super1[Item],tab_alimentos[[#This Row],[Item]],super1[Bairro],mercado15)+SUMIFS(supercb[Qtde],supercb[Item],tab_alimentos[[#This Row],[Item]],supercb[Bairro],mercado15)</f>
        <v>0</v>
      </c>
      <c r="AA193" s="27" t="n">
        <f aca="false">SUMIFS(super1[Qtde],super1[Item],tab_alimentos[[#This Row],[Item]],super1[Bairro],mercado16)+SUMIFS(supercb[Qtde],supercb[Item],tab_alimentos[[#This Row],[Item]],supercb[Bairro],mercado16)</f>
        <v>0</v>
      </c>
      <c r="AB193" s="27" t="n">
        <f aca="false">SUMIFS(super1[Qtde],super1[Item],tab_alimentos[[#This Row],[Item]],super1[Bairro],mercado17)+SUMIFS(supercb[Qtde],supercb[Item],tab_alimentos[[#This Row],[Item]],supercb[Bairro],mercado17)</f>
        <v>0</v>
      </c>
      <c r="AC193" s="27" t="n">
        <f aca="false">SUMIFS(super1[Qtde],super1[Item],tab_alimentos[[#This Row],[Item]],super1[Bairro],mercado18)+SUMIFS(supercb[Qtde],supercb[Item],tab_alimentos[[#This Row],[Item]],supercb[Bairro],mercado18)</f>
        <v>0</v>
      </c>
      <c r="AD193" s="27" t="n">
        <f aca="false">SUMIFS(super1[Qtde],super1[Item],tab_alimentos[[#This Row],[Item]],super1[Bairro],extras)+SUMIFS(supercb[Qtde],supercb[Item],tab_alimentos[[#This Row],[Item]],supercb[Bairro],extras)</f>
        <v>0</v>
      </c>
      <c r="AE193" s="27" t="n">
        <f aca="false">SUM(L193:AC193)</f>
        <v>664</v>
      </c>
      <c r="AF193" s="27" t="n">
        <f aca="false">IFERROR(AE193*K193,0)</f>
        <v>721.546666666667</v>
      </c>
      <c r="AG193" s="28" t="n">
        <f aca="false">IFERROR(J193*AE193,0)</f>
        <v>225.76</v>
      </c>
      <c r="AH193" s="37" t="str">
        <f aca="false">higiene[[#This Row],[Item]]</f>
        <v>Saco de Lixo (10un) 30l/50l</v>
      </c>
      <c r="AI193" s="38" t="n">
        <f aca="false">IFERROR(higiene[[#This Row],[Kg equivalente]],0)</f>
        <v>1.11701069670685</v>
      </c>
      <c r="AJ193" s="38" t="n">
        <f aca="false">IFERROR(higiene[[#This Row],[Preço por produto]],0)</f>
        <v>3.7</v>
      </c>
      <c r="AK193" s="27" t="n">
        <f aca="false">SUMIFS(super1[Qtde],super1[Item],tab_higiene[[#This Row],[Item]],super1[Bairro],mercado1)+SUMIFS(supercb[Qtde],supercb[Item],tab_higiene[[#This Row],[Item]],supercb[Bairro],mercado1)</f>
        <v>0</v>
      </c>
      <c r="AL193" s="27" t="n">
        <f aca="false">SUMIFS(super1[Qtde],super1[Item],tab_higiene[[#This Row],[Item]],super1[Bairro],mercado2)+SUMIFS(supercb[Qtde],supercb[Item],tab_higiene[[#This Row],[Item]],supercb[Bairro],mercado2)</f>
        <v>0</v>
      </c>
      <c r="AM193" s="27" t="n">
        <f aca="false">SUMIFS(super1[Qtde],super1[Item],tab_higiene[[#This Row],[Item]],super1[Bairro],mercado3)+SUMIFS(supercb[Qtde],supercb[Item],tab_higiene[[#This Row],[Item]],supercb[Bairro],mercado3)</f>
        <v>0</v>
      </c>
      <c r="AN193" s="27" t="n">
        <f aca="false">SUMIFS(super1[Qtde],super1[Item],tab_higiene[[#This Row],[Item]],super1[Bairro],mercado4)+SUMIFS(supercb[Qtde],supercb[Item],tab_higiene[[#This Row],[Item]],supercb[Bairro],mercado4)</f>
        <v>3</v>
      </c>
      <c r="AO193" s="27" t="n">
        <f aca="false">SUMIFS(super1[Qtde],super1[Item],tab_higiene[[#This Row],[Item]],super1[Bairro],mercado5)+SUMIFS(supercb[Qtde],supercb[Item],tab_higiene[[#This Row],[Item]],supercb[Bairro],mercado5)</f>
        <v>0</v>
      </c>
      <c r="AP193" s="27" t="n">
        <f aca="false">SUMIFS(super1[Qtde],super1[Item],tab_higiene[[#This Row],[Item]],super1[Bairro],mercado6)+SUMIFS(supercb[Qtde],supercb[Item],tab_higiene[[#This Row],[Item]],supercb[Bairro],mercado6)</f>
        <v>0</v>
      </c>
      <c r="AQ193" s="27" t="n">
        <f aca="false">SUMIFS(super1[Qtde],super1[Item],tab_higiene[[#This Row],[Item]],super1[Bairro],mercado7)+SUMIFS(supercb[Qtde],supercb[Item],tab_higiene[[#This Row],[Item]],supercb[Bairro],mercado7)</f>
        <v>0</v>
      </c>
      <c r="AR193" s="27" t="n">
        <f aca="false">SUMIFS(super1[Qtde],super1[Item],tab_higiene[[#This Row],[Item]],super1[Bairro],mercado8)+SUMIFS(supercb[Qtde],supercb[Item],tab_higiene[[#This Row],[Item]],supercb[Bairro],mercado8)</f>
        <v>1</v>
      </c>
      <c r="AS193" s="27" t="n">
        <f aca="false">SUMIFS(super1[Qtde],super1[Item],tab_higiene[[#This Row],[Item]],super1[Bairro],mercado9)+SUMIFS(supercb[Qtde],supercb[Item],tab_higiene[[#This Row],[Item]],supercb[Bairro],mercado9)</f>
        <v>1</v>
      </c>
      <c r="AT193" s="27" t="n">
        <f aca="false">SUMIFS(super1[Qtde],super1[Item],tab_higiene[[#This Row],[Item]],super1[Bairro],mercado10)+SUMIFS(supercb[Qtde],supercb[Item],tab_higiene[[#This Row],[Item]],supercb[Bairro],mercado10)</f>
        <v>6</v>
      </c>
      <c r="AU193" s="27" t="n">
        <f aca="false">SUMIFS(super1[Qtde],super1[Item],tab_higiene[[#This Row],[Item]],super1[Bairro],mercado11)+SUMIFS(supercb[Qtde],supercb[Item],tab_higiene[[#This Row],[Item]],supercb[Bairro],mercado11)</f>
        <v>0</v>
      </c>
      <c r="AV193" s="27" t="n">
        <f aca="false">SUMIFS(super1[Qtde],super1[Item],tab_higiene[[#This Row],[Item]],super1[Bairro],mercado12)+SUMIFS(supercb[Qtde],supercb[Item],tab_higiene[[#This Row],[Item]],supercb[Bairro],mercado12)</f>
        <v>0</v>
      </c>
      <c r="AW193" s="27" t="n">
        <f aca="false">SUMIFS(super1[Qtde],super1[Item],tab_higiene[[#This Row],[Item]],super1[Bairro],mercado13)+SUMIFS(supercb[Qtde],supercb[Item],tab_higiene[[#This Row],[Item]],supercb[Bairro],mercado13)</f>
        <v>0</v>
      </c>
      <c r="AX193" s="27" t="n">
        <f aca="false">SUMIFS(super1[Qtde],super1[Item],tab_higiene[[#This Row],[Item]],super1[Bairro],mercado14)+SUMIFS(supercb[Qtde],supercb[Item],tab_higiene[[#This Row],[Item]],supercb[Bairro],mercado14)</f>
        <v>0</v>
      </c>
      <c r="AY193" s="27" t="n">
        <f aca="false">SUMIFS(super1[Qtde],super1[Item],tab_higiene[[#This Row],[Item]],super1[Bairro],mercado15)+SUMIFS(supercb[Qtde],supercb[Item],tab_higiene[[#This Row],[Item]],supercb[Bairro],mercado15)</f>
        <v>0</v>
      </c>
      <c r="AZ193" s="27" t="n">
        <f aca="false">SUMIFS(super1[Qtde],super1[Item],tab_higiene[[#This Row],[Item]],super1[Bairro],mercado16)+SUMIFS(supercb[Qtde],supercb[Item],tab_higiene[[#This Row],[Item]],supercb[Bairro],mercado16)</f>
        <v>0</v>
      </c>
      <c r="BA193" s="27" t="n">
        <f aca="false">SUMIFS(super1[Qtde],super1[Item],tab_higiene[[#This Row],[Item]],super1[Bairro],mercado17)+SUMIFS(supercb[Qtde],supercb[Item],tab_higiene[[#This Row],[Item]],supercb[Bairro],mercado17)</f>
        <v>0</v>
      </c>
      <c r="BB193" s="27" t="n">
        <f aca="false">SUMIFS(super1[Qtde],super1[Item],tab_higiene[[#This Row],[Item]],super1[Bairro],mercado18)+SUMIFS(supercb[Qtde],supercb[Item],tab_higiene[[#This Row],[Item]],supercb[Bairro],mercado18)</f>
        <v>0</v>
      </c>
      <c r="BC193" s="39" t="n">
        <f aca="false">SUMIFS(super1[Qtde],super1[Item],tab_higiene[[#This Row],[Item]],super1[Bairro],extras)+SUMIFS(supercb[Qtde],supercb[Item],tab_higiene[[#This Row],[Item]],supercb[Bairro],extras)</f>
        <v>0</v>
      </c>
      <c r="BD193" s="38" t="n">
        <f aca="false">SUM(AK193:BB193)</f>
        <v>11</v>
      </c>
      <c r="BE193" s="38" t="n">
        <f aca="false">IFERROR(BD193*AJ193,0)</f>
        <v>40.7</v>
      </c>
      <c r="BF193" s="40" t="n">
        <f aca="false">IFERROR(AI193*BD193,0)</f>
        <v>12.2871176637754</v>
      </c>
    </row>
    <row r="194" customFormat="false" ht="15.75" hidden="false" customHeight="false" outlineLevel="0" collapsed="false">
      <c r="I194" s="26" t="str">
        <f aca="false">alimentos[[#This Row],[Item]]</f>
        <v>Molho de tomate (400g)</v>
      </c>
      <c r="J194" s="27" t="n">
        <f aca="false">IFERROR(alimentos[[#This Row],[kg/embalagem]],0)</f>
        <v>0.4</v>
      </c>
      <c r="K194" s="27" t="n">
        <f aca="false">IFERROR(alimentos[[#This Row],[Preço]],0)</f>
        <v>4.19</v>
      </c>
      <c r="L194" s="27" t="n">
        <f aca="false">SUMIFS(super1[Qtde],super1[Item],tab_alimentos[[#This Row],[Item]],super1[Bairro],mercado1)+SUMIFS(supercb[Qtde],supercb[Item],tab_alimentos[[#This Row],[Item]],supercb[Bairro],mercado1)</f>
        <v>0</v>
      </c>
      <c r="M194" s="27" t="n">
        <f aca="false">SUMIFS(super1[Qtde],super1[Item],tab_alimentos[[#This Row],[Item]],super1[Bairro],mercado2)+SUMIFS(supercb[Qtde],supercb[Item],tab_alimentos[[#This Row],[Item]],supercb[Bairro],mercado2)</f>
        <v>0</v>
      </c>
      <c r="N194" s="27" t="n">
        <f aca="false">SUMIFS(super1[Qtde],super1[Item],tab_alimentos[[#This Row],[Item]],super1[Bairro],mercado3)+SUMIFS(supercb[Qtde],supercb[Item],tab_alimentos[[#This Row],[Item]],supercb[Bairro],mercado3)</f>
        <v>0</v>
      </c>
      <c r="O194" s="27" t="n">
        <f aca="false">SUMIFS(super1[Qtde],super1[Item],tab_alimentos[[#This Row],[Item]],super1[Bairro],mercado4)+SUMIFS(supercb[Qtde],supercb[Item],tab_alimentos[[#This Row],[Item]],supercb[Bairro],mercado4)</f>
        <v>0</v>
      </c>
      <c r="P194" s="27" t="n">
        <f aca="false">SUMIFS(super1[Qtde],super1[Item],tab_alimentos[[#This Row],[Item]],super1[Bairro],mercado5)+SUMIFS(supercb[Qtde],supercb[Item],tab_alimentos[[#This Row],[Item]],supercb[Bairro],mercado5)</f>
        <v>0</v>
      </c>
      <c r="Q194" s="27" t="n">
        <f aca="false">SUMIFS(super1[Qtde],super1[Item],tab_alimentos[[#This Row],[Item]],super1[Bairro],mercado6)+SUMIFS(supercb[Qtde],supercb[Item],tab_alimentos[[#This Row],[Item]],supercb[Bairro],mercado6)</f>
        <v>0</v>
      </c>
      <c r="R194" s="27" t="n">
        <f aca="false">SUMIFS(super1[Qtde],super1[Item],tab_alimentos[[#This Row],[Item]],super1[Bairro],mercado7)+SUMIFS(supercb[Qtde],supercb[Item],tab_alimentos[[#This Row],[Item]],supercb[Bairro],mercado7)</f>
        <v>0</v>
      </c>
      <c r="S194" s="27" t="n">
        <f aca="false">SUMIFS(super1[Qtde],super1[Item],tab_alimentos[[#This Row],[Item]],super1[Bairro],mercado8)+SUMIFS(supercb[Qtde],supercb[Item],tab_alimentos[[#This Row],[Item]],supercb[Bairro],mercado8)</f>
        <v>0</v>
      </c>
      <c r="T194" s="27" t="n">
        <f aca="false">SUMIFS(super1[Qtde],super1[Item],tab_alimentos[[#This Row],[Item]],super1[Bairro],mercado9)+SUMIFS(supercb[Qtde],supercb[Item],tab_alimentos[[#This Row],[Item]],supercb[Bairro],mercado9)</f>
        <v>0</v>
      </c>
      <c r="U194" s="27" t="n">
        <f aca="false">SUMIFS(super1[Qtde],super1[Item],tab_alimentos[[#This Row],[Item]],super1[Bairro],mercado10)+SUMIFS(supercb[Qtde],supercb[Item],tab_alimentos[[#This Row],[Item]],supercb[Bairro],mercado10)</f>
        <v>0</v>
      </c>
      <c r="V194" s="27" t="n">
        <f aca="false">SUMIFS(super1[Qtde],super1[Item],tab_alimentos[[#This Row],[Item]],super1[Bairro],mercado11)+SUMIFS(supercb[Qtde],supercb[Item],tab_alimentos[[#This Row],[Item]],supercb[Bairro],mercado11)</f>
        <v>0</v>
      </c>
      <c r="W194" s="27" t="n">
        <f aca="false">SUMIFS(super1[Qtde],super1[Item],tab_alimentos[[#This Row],[Item]],super1[Bairro],mercado12)+SUMIFS(supercb[Qtde],supercb[Item],tab_alimentos[[#This Row],[Item]],supercb[Bairro],mercado12)</f>
        <v>0</v>
      </c>
      <c r="X194" s="27" t="n">
        <f aca="false">SUMIFS(super1[Qtde],super1[Item],tab_alimentos[[#This Row],[Item]],super1[Bairro],mercado13)+SUMIFS(supercb[Qtde],supercb[Item],tab_alimentos[[#This Row],[Item]],supercb[Bairro],mercado13)</f>
        <v>0</v>
      </c>
      <c r="Y194" s="27" t="n">
        <f aca="false">SUMIFS(super1[Qtde],super1[Item],tab_alimentos[[#This Row],[Item]],super1[Bairro],mercado14)+SUMIFS(supercb[Qtde],supercb[Item],tab_alimentos[[#This Row],[Item]],supercb[Bairro],mercado14)</f>
        <v>0</v>
      </c>
      <c r="Z194" s="27" t="n">
        <f aca="false">SUMIFS(super1[Qtde],super1[Item],tab_alimentos[[#This Row],[Item]],super1[Bairro],mercado15)+SUMIFS(supercb[Qtde],supercb[Item],tab_alimentos[[#This Row],[Item]],supercb[Bairro],mercado15)</f>
        <v>0</v>
      </c>
      <c r="AA194" s="27" t="n">
        <f aca="false">SUMIFS(super1[Qtde],super1[Item],tab_alimentos[[#This Row],[Item]],super1[Bairro],mercado16)+SUMIFS(supercb[Qtde],supercb[Item],tab_alimentos[[#This Row],[Item]],supercb[Bairro],mercado16)</f>
        <v>0</v>
      </c>
      <c r="AB194" s="27" t="n">
        <f aca="false">SUMIFS(super1[Qtde],super1[Item],tab_alimentos[[#This Row],[Item]],super1[Bairro],mercado17)+SUMIFS(supercb[Qtde],supercb[Item],tab_alimentos[[#This Row],[Item]],supercb[Bairro],mercado17)</f>
        <v>0</v>
      </c>
      <c r="AC194" s="27" t="n">
        <f aca="false">SUMIFS(super1[Qtde],super1[Item],tab_alimentos[[#This Row],[Item]],super1[Bairro],mercado18)+SUMIFS(supercb[Qtde],supercb[Item],tab_alimentos[[#This Row],[Item]],supercb[Bairro],mercado18)</f>
        <v>0</v>
      </c>
      <c r="AD194" s="27" t="n">
        <f aca="false">SUMIFS(super1[Qtde],super1[Item],tab_alimentos[[#This Row],[Item]],super1[Bairro],extras)+SUMIFS(supercb[Qtde],supercb[Item],tab_alimentos[[#This Row],[Item]],supercb[Bairro],extras)</f>
        <v>0</v>
      </c>
      <c r="AE194" s="27" t="n">
        <f aca="false">SUM(L194:AC194)</f>
        <v>0</v>
      </c>
      <c r="AF194" s="27" t="n">
        <f aca="false">IFERROR(AE194*K194,0)</f>
        <v>0</v>
      </c>
      <c r="AG194" s="28" t="n">
        <f aca="false">IFERROR(J194*AE194,0)</f>
        <v>0</v>
      </c>
      <c r="AH194" s="37" t="str">
        <f aca="false">higiene[[#This Row],[Item]]</f>
        <v>Saco de Lixo (20un)</v>
      </c>
      <c r="AI194" s="38" t="n">
        <f aca="false">IFERROR(higiene[[#This Row],[Kg equivalente]],0)</f>
        <v>3.29970997702863</v>
      </c>
      <c r="AJ194" s="38" t="n">
        <f aca="false">IFERROR(higiene[[#This Row],[Preço por produto]],0)</f>
        <v>10.93</v>
      </c>
      <c r="AK194" s="27" t="n">
        <f aca="false">SUMIFS(super1[Qtde],super1[Item],tab_higiene[[#This Row],[Item]],super1[Bairro],mercado1)+SUMIFS(supercb[Qtde],supercb[Item],tab_higiene[[#This Row],[Item]],supercb[Bairro],mercado1)</f>
        <v>0</v>
      </c>
      <c r="AL194" s="27" t="n">
        <f aca="false">SUMIFS(super1[Qtde],super1[Item],tab_higiene[[#This Row],[Item]],super1[Bairro],mercado2)+SUMIFS(supercb[Qtde],supercb[Item],tab_higiene[[#This Row],[Item]],supercb[Bairro],mercado2)</f>
        <v>0</v>
      </c>
      <c r="AM194" s="27" t="n">
        <f aca="false">SUMIFS(super1[Qtde],super1[Item],tab_higiene[[#This Row],[Item]],super1[Bairro],mercado3)+SUMIFS(supercb[Qtde],supercb[Item],tab_higiene[[#This Row],[Item]],supercb[Bairro],mercado3)</f>
        <v>0</v>
      </c>
      <c r="AN194" s="27" t="n">
        <f aca="false">SUMIFS(super1[Qtde],super1[Item],tab_higiene[[#This Row],[Item]],super1[Bairro],mercado4)+SUMIFS(supercb[Qtde],supercb[Item],tab_higiene[[#This Row],[Item]],supercb[Bairro],mercado4)</f>
        <v>0</v>
      </c>
      <c r="AO194" s="27" t="n">
        <f aca="false">SUMIFS(super1[Qtde],super1[Item],tab_higiene[[#This Row],[Item]],super1[Bairro],mercado5)+SUMIFS(supercb[Qtde],supercb[Item],tab_higiene[[#This Row],[Item]],supercb[Bairro],mercado5)</f>
        <v>0</v>
      </c>
      <c r="AP194" s="27" t="n">
        <f aca="false">SUMIFS(super1[Qtde],super1[Item],tab_higiene[[#This Row],[Item]],super1[Bairro],mercado6)+SUMIFS(supercb[Qtde],supercb[Item],tab_higiene[[#This Row],[Item]],supercb[Bairro],mercado6)</f>
        <v>0</v>
      </c>
      <c r="AQ194" s="27" t="n">
        <f aca="false">SUMIFS(super1[Qtde],super1[Item],tab_higiene[[#This Row],[Item]],super1[Bairro],mercado7)+SUMIFS(supercb[Qtde],supercb[Item],tab_higiene[[#This Row],[Item]],supercb[Bairro],mercado7)</f>
        <v>0</v>
      </c>
      <c r="AR194" s="27" t="n">
        <f aca="false">SUMIFS(super1[Qtde],super1[Item],tab_higiene[[#This Row],[Item]],super1[Bairro],mercado8)+SUMIFS(supercb[Qtde],supercb[Item],tab_higiene[[#This Row],[Item]],supercb[Bairro],mercado8)</f>
        <v>0</v>
      </c>
      <c r="AS194" s="27" t="n">
        <f aca="false">SUMIFS(super1[Qtde],super1[Item],tab_higiene[[#This Row],[Item]],super1[Bairro],mercado9)+SUMIFS(supercb[Qtde],supercb[Item],tab_higiene[[#This Row],[Item]],supercb[Bairro],mercado9)</f>
        <v>0</v>
      </c>
      <c r="AT194" s="27" t="n">
        <f aca="false">SUMIFS(super1[Qtde],super1[Item],tab_higiene[[#This Row],[Item]],super1[Bairro],mercado10)+SUMIFS(supercb[Qtde],supercb[Item],tab_higiene[[#This Row],[Item]],supercb[Bairro],mercado10)</f>
        <v>0</v>
      </c>
      <c r="AU194" s="27" t="n">
        <f aca="false">SUMIFS(super1[Qtde],super1[Item],tab_higiene[[#This Row],[Item]],super1[Bairro],mercado11)+SUMIFS(supercb[Qtde],supercb[Item],tab_higiene[[#This Row],[Item]],supercb[Bairro],mercado11)</f>
        <v>0</v>
      </c>
      <c r="AV194" s="27" t="n">
        <f aca="false">SUMIFS(super1[Qtde],super1[Item],tab_higiene[[#This Row],[Item]],super1[Bairro],mercado12)+SUMIFS(supercb[Qtde],supercb[Item],tab_higiene[[#This Row],[Item]],supercb[Bairro],mercado12)</f>
        <v>0</v>
      </c>
      <c r="AW194" s="27" t="n">
        <f aca="false">SUMIFS(super1[Qtde],super1[Item],tab_higiene[[#This Row],[Item]],super1[Bairro],mercado13)+SUMIFS(supercb[Qtde],supercb[Item],tab_higiene[[#This Row],[Item]],supercb[Bairro],mercado13)</f>
        <v>0</v>
      </c>
      <c r="AX194" s="27" t="n">
        <f aca="false">SUMIFS(super1[Qtde],super1[Item],tab_higiene[[#This Row],[Item]],super1[Bairro],mercado14)+SUMIFS(supercb[Qtde],supercb[Item],tab_higiene[[#This Row],[Item]],supercb[Bairro],mercado14)</f>
        <v>0</v>
      </c>
      <c r="AY194" s="27" t="n">
        <f aca="false">SUMIFS(super1[Qtde],super1[Item],tab_higiene[[#This Row],[Item]],super1[Bairro],mercado15)+SUMIFS(supercb[Qtde],supercb[Item],tab_higiene[[#This Row],[Item]],supercb[Bairro],mercado15)</f>
        <v>0</v>
      </c>
      <c r="AZ194" s="27" t="n">
        <f aca="false">SUMIFS(super1[Qtde],super1[Item],tab_higiene[[#This Row],[Item]],super1[Bairro],mercado16)+SUMIFS(supercb[Qtde],supercb[Item],tab_higiene[[#This Row],[Item]],supercb[Bairro],mercado16)</f>
        <v>0</v>
      </c>
      <c r="BA194" s="27" t="n">
        <f aca="false">SUMIFS(super1[Qtde],super1[Item],tab_higiene[[#This Row],[Item]],super1[Bairro],mercado17)+SUMIFS(supercb[Qtde],supercb[Item],tab_higiene[[#This Row],[Item]],supercb[Bairro],mercado17)</f>
        <v>0</v>
      </c>
      <c r="BB194" s="27" t="n">
        <f aca="false">SUMIFS(super1[Qtde],super1[Item],tab_higiene[[#This Row],[Item]],super1[Bairro],mercado18)+SUMIFS(supercb[Qtde],supercb[Item],tab_higiene[[#This Row],[Item]],supercb[Bairro],mercado18)</f>
        <v>0</v>
      </c>
      <c r="BC194" s="39" t="n">
        <f aca="false">SUMIFS(super1[Qtde],super1[Item],tab_higiene[[#This Row],[Item]],super1[Bairro],extras)+SUMIFS(supercb[Qtde],supercb[Item],tab_higiene[[#This Row],[Item]],supercb[Bairro],extras)</f>
        <v>0</v>
      </c>
      <c r="BD194" s="38" t="n">
        <f aca="false">SUM(AK194:BB194)</f>
        <v>0</v>
      </c>
      <c r="BE194" s="38" t="n">
        <f aca="false">IFERROR(BD194*AJ194,0)</f>
        <v>0</v>
      </c>
      <c r="BF194" s="40" t="n">
        <f aca="false">IFERROR(AI194*BD194,0)</f>
        <v>0</v>
      </c>
    </row>
    <row r="195" customFormat="false" ht="15.75" hidden="false" customHeight="false" outlineLevel="0" collapsed="false">
      <c r="I195" s="26" t="str">
        <f aca="false">alimentos[[#This Row],[Item]]</f>
        <v>Molho de Tomate (440g)</v>
      </c>
      <c r="J195" s="27" t="n">
        <f aca="false">IFERROR(alimentos[[#This Row],[kg/embalagem]],0)</f>
        <v>0.44</v>
      </c>
      <c r="K195" s="27" t="n">
        <f aca="false">IFERROR(alimentos[[#This Row],[Preço]],0)</f>
        <v>4.32</v>
      </c>
      <c r="L195" s="27" t="n">
        <f aca="false">SUMIFS(super1[Qtde],super1[Item],tab_alimentos[[#This Row],[Item]],super1[Bairro],mercado1)+SUMIFS(supercb[Qtde],supercb[Item],tab_alimentos[[#This Row],[Item]],supercb[Bairro],mercado1)</f>
        <v>0</v>
      </c>
      <c r="M195" s="27" t="n">
        <f aca="false">SUMIFS(super1[Qtde],super1[Item],tab_alimentos[[#This Row],[Item]],super1[Bairro],mercado2)+SUMIFS(supercb[Qtde],supercb[Item],tab_alimentos[[#This Row],[Item]],supercb[Bairro],mercado2)</f>
        <v>0</v>
      </c>
      <c r="N195" s="27" t="n">
        <f aca="false">SUMIFS(super1[Qtde],super1[Item],tab_alimentos[[#This Row],[Item]],super1[Bairro],mercado3)+SUMIFS(supercb[Qtde],supercb[Item],tab_alimentos[[#This Row],[Item]],supercb[Bairro],mercado3)</f>
        <v>0</v>
      </c>
      <c r="O195" s="27" t="n">
        <f aca="false">SUMIFS(super1[Qtde],super1[Item],tab_alimentos[[#This Row],[Item]],super1[Bairro],mercado4)+SUMIFS(supercb[Qtde],supercb[Item],tab_alimentos[[#This Row],[Item]],supercb[Bairro],mercado4)</f>
        <v>0</v>
      </c>
      <c r="P195" s="27" t="n">
        <f aca="false">SUMIFS(super1[Qtde],super1[Item],tab_alimentos[[#This Row],[Item]],super1[Bairro],mercado5)+SUMIFS(supercb[Qtde],supercb[Item],tab_alimentos[[#This Row],[Item]],supercb[Bairro],mercado5)</f>
        <v>0</v>
      </c>
      <c r="Q195" s="27" t="n">
        <f aca="false">SUMIFS(super1[Qtde],super1[Item],tab_alimentos[[#This Row],[Item]],super1[Bairro],mercado6)+SUMIFS(supercb[Qtde],supercb[Item],tab_alimentos[[#This Row],[Item]],supercb[Bairro],mercado6)</f>
        <v>0</v>
      </c>
      <c r="R195" s="27" t="n">
        <f aca="false">SUMIFS(super1[Qtde],super1[Item],tab_alimentos[[#This Row],[Item]],super1[Bairro],mercado7)+SUMIFS(supercb[Qtde],supercb[Item],tab_alimentos[[#This Row],[Item]],supercb[Bairro],mercado7)</f>
        <v>0</v>
      </c>
      <c r="S195" s="27" t="n">
        <f aca="false">SUMIFS(super1[Qtde],super1[Item],tab_alimentos[[#This Row],[Item]],super1[Bairro],mercado8)+SUMIFS(supercb[Qtde],supercb[Item],tab_alimentos[[#This Row],[Item]],supercb[Bairro],mercado8)</f>
        <v>0</v>
      </c>
      <c r="T195" s="27" t="n">
        <f aca="false">SUMIFS(super1[Qtde],super1[Item],tab_alimentos[[#This Row],[Item]],super1[Bairro],mercado9)+SUMIFS(supercb[Qtde],supercb[Item],tab_alimentos[[#This Row],[Item]],supercb[Bairro],mercado9)</f>
        <v>0</v>
      </c>
      <c r="U195" s="27" t="n">
        <f aca="false">SUMIFS(super1[Qtde],super1[Item],tab_alimentos[[#This Row],[Item]],super1[Bairro],mercado10)+SUMIFS(supercb[Qtde],supercb[Item],tab_alimentos[[#This Row],[Item]],supercb[Bairro],mercado10)</f>
        <v>0</v>
      </c>
      <c r="V195" s="27" t="n">
        <f aca="false">SUMIFS(super1[Qtde],super1[Item],tab_alimentos[[#This Row],[Item]],super1[Bairro],mercado11)+SUMIFS(supercb[Qtde],supercb[Item],tab_alimentos[[#This Row],[Item]],supercb[Bairro],mercado11)</f>
        <v>0</v>
      </c>
      <c r="W195" s="27" t="n">
        <f aca="false">SUMIFS(super1[Qtde],super1[Item],tab_alimentos[[#This Row],[Item]],super1[Bairro],mercado12)+SUMIFS(supercb[Qtde],supercb[Item],tab_alimentos[[#This Row],[Item]],supercb[Bairro],mercado12)</f>
        <v>0</v>
      </c>
      <c r="X195" s="27" t="n">
        <f aca="false">SUMIFS(super1[Qtde],super1[Item],tab_alimentos[[#This Row],[Item]],super1[Bairro],mercado13)+SUMIFS(supercb[Qtde],supercb[Item],tab_alimentos[[#This Row],[Item]],supercb[Bairro],mercado13)</f>
        <v>0</v>
      </c>
      <c r="Y195" s="27" t="n">
        <f aca="false">SUMIFS(super1[Qtde],super1[Item],tab_alimentos[[#This Row],[Item]],super1[Bairro],mercado14)+SUMIFS(supercb[Qtde],supercb[Item],tab_alimentos[[#This Row],[Item]],supercb[Bairro],mercado14)</f>
        <v>0</v>
      </c>
      <c r="Z195" s="27" t="n">
        <f aca="false">SUMIFS(super1[Qtde],super1[Item],tab_alimentos[[#This Row],[Item]],super1[Bairro],mercado15)+SUMIFS(supercb[Qtde],supercb[Item],tab_alimentos[[#This Row],[Item]],supercb[Bairro],mercado15)</f>
        <v>0</v>
      </c>
      <c r="AA195" s="27" t="n">
        <f aca="false">SUMIFS(super1[Qtde],super1[Item],tab_alimentos[[#This Row],[Item]],super1[Bairro],mercado16)+SUMIFS(supercb[Qtde],supercb[Item],tab_alimentos[[#This Row],[Item]],supercb[Bairro],mercado16)</f>
        <v>0</v>
      </c>
      <c r="AB195" s="27" t="n">
        <f aca="false">SUMIFS(super1[Qtde],super1[Item],tab_alimentos[[#This Row],[Item]],super1[Bairro],mercado17)+SUMIFS(supercb[Qtde],supercb[Item],tab_alimentos[[#This Row],[Item]],supercb[Bairro],mercado17)</f>
        <v>0</v>
      </c>
      <c r="AC195" s="27" t="n">
        <f aca="false">SUMIFS(super1[Qtde],super1[Item],tab_alimentos[[#This Row],[Item]],super1[Bairro],mercado18)+SUMIFS(supercb[Qtde],supercb[Item],tab_alimentos[[#This Row],[Item]],supercb[Bairro],mercado18)</f>
        <v>0</v>
      </c>
      <c r="AD195" s="27" t="n">
        <f aca="false">SUMIFS(super1[Qtde],super1[Item],tab_alimentos[[#This Row],[Item]],super1[Bairro],extras)+SUMIFS(supercb[Qtde],supercb[Item],tab_alimentos[[#This Row],[Item]],supercb[Bairro],extras)</f>
        <v>0</v>
      </c>
      <c r="AE195" s="27" t="n">
        <f aca="false">SUM(L195:AC195)</f>
        <v>0</v>
      </c>
      <c r="AF195" s="27" t="n">
        <f aca="false">IFERROR(AE195*K195,0)</f>
        <v>0</v>
      </c>
      <c r="AG195" s="28" t="n">
        <f aca="false">IFERROR(J195*AE195,0)</f>
        <v>0</v>
      </c>
      <c r="AH195" s="37" t="str">
        <f aca="false">higiene[[#This Row],[Item]]</f>
        <v>Saco de Lixo (20un) 15l</v>
      </c>
      <c r="AI195" s="38" t="n">
        <f aca="false">IFERROR(higiene[[#This Row],[Kg equivalente]],0)</f>
        <v>1.46418969703466</v>
      </c>
      <c r="AJ195" s="38" t="n">
        <f aca="false">IFERROR(higiene[[#This Row],[Preço por produto]],0)</f>
        <v>4.85</v>
      </c>
      <c r="AK195" s="27" t="n">
        <f aca="false">SUMIFS(super1[Qtde],super1[Item],tab_higiene[[#This Row],[Item]],super1[Bairro],mercado1)+SUMIFS(supercb[Qtde],supercb[Item],tab_higiene[[#This Row],[Item]],supercb[Bairro],mercado1)</f>
        <v>0</v>
      </c>
      <c r="AL195" s="27" t="n">
        <f aca="false">SUMIFS(super1[Qtde],super1[Item],tab_higiene[[#This Row],[Item]],super1[Bairro],mercado2)+SUMIFS(supercb[Qtde],supercb[Item],tab_higiene[[#This Row],[Item]],supercb[Bairro],mercado2)</f>
        <v>0</v>
      </c>
      <c r="AM195" s="27" t="n">
        <f aca="false">SUMIFS(super1[Qtde],super1[Item],tab_higiene[[#This Row],[Item]],super1[Bairro],mercado3)+SUMIFS(supercb[Qtde],supercb[Item],tab_higiene[[#This Row],[Item]],supercb[Bairro],mercado3)</f>
        <v>0</v>
      </c>
      <c r="AN195" s="27" t="n">
        <f aca="false">SUMIFS(super1[Qtde],super1[Item],tab_higiene[[#This Row],[Item]],super1[Bairro],mercado4)+SUMIFS(supercb[Qtde],supercb[Item],tab_higiene[[#This Row],[Item]],supercb[Bairro],mercado4)</f>
        <v>0</v>
      </c>
      <c r="AO195" s="27" t="n">
        <f aca="false">SUMIFS(super1[Qtde],super1[Item],tab_higiene[[#This Row],[Item]],super1[Bairro],mercado5)+SUMIFS(supercb[Qtde],supercb[Item],tab_higiene[[#This Row],[Item]],supercb[Bairro],mercado5)</f>
        <v>0</v>
      </c>
      <c r="AP195" s="27" t="n">
        <f aca="false">SUMIFS(super1[Qtde],super1[Item],tab_higiene[[#This Row],[Item]],super1[Bairro],mercado6)+SUMIFS(supercb[Qtde],supercb[Item],tab_higiene[[#This Row],[Item]],supercb[Bairro],mercado6)</f>
        <v>0</v>
      </c>
      <c r="AQ195" s="27" t="n">
        <f aca="false">SUMIFS(super1[Qtde],super1[Item],tab_higiene[[#This Row],[Item]],super1[Bairro],mercado7)+SUMIFS(supercb[Qtde],supercb[Item],tab_higiene[[#This Row],[Item]],supercb[Bairro],mercado7)</f>
        <v>0</v>
      </c>
      <c r="AR195" s="27" t="n">
        <f aca="false">SUMIFS(super1[Qtde],super1[Item],tab_higiene[[#This Row],[Item]],super1[Bairro],mercado8)+SUMIFS(supercb[Qtde],supercb[Item],tab_higiene[[#This Row],[Item]],supercb[Bairro],mercado8)</f>
        <v>0</v>
      </c>
      <c r="AS195" s="27" t="n">
        <f aca="false">SUMIFS(super1[Qtde],super1[Item],tab_higiene[[#This Row],[Item]],super1[Bairro],mercado9)+SUMIFS(supercb[Qtde],supercb[Item],tab_higiene[[#This Row],[Item]],supercb[Bairro],mercado9)</f>
        <v>0</v>
      </c>
      <c r="AT195" s="27" t="n">
        <f aca="false">SUMIFS(super1[Qtde],super1[Item],tab_higiene[[#This Row],[Item]],super1[Bairro],mercado10)+SUMIFS(supercb[Qtde],supercb[Item],tab_higiene[[#This Row],[Item]],supercb[Bairro],mercado10)</f>
        <v>0</v>
      </c>
      <c r="AU195" s="27" t="n">
        <f aca="false">SUMIFS(super1[Qtde],super1[Item],tab_higiene[[#This Row],[Item]],super1[Bairro],mercado11)+SUMIFS(supercb[Qtde],supercb[Item],tab_higiene[[#This Row],[Item]],supercb[Bairro],mercado11)</f>
        <v>0</v>
      </c>
      <c r="AV195" s="27" t="n">
        <f aca="false">SUMIFS(super1[Qtde],super1[Item],tab_higiene[[#This Row],[Item]],super1[Bairro],mercado12)+SUMIFS(supercb[Qtde],supercb[Item],tab_higiene[[#This Row],[Item]],supercb[Bairro],mercado12)</f>
        <v>0</v>
      </c>
      <c r="AW195" s="27" t="n">
        <f aca="false">SUMIFS(super1[Qtde],super1[Item],tab_higiene[[#This Row],[Item]],super1[Bairro],mercado13)+SUMIFS(supercb[Qtde],supercb[Item],tab_higiene[[#This Row],[Item]],supercb[Bairro],mercado13)</f>
        <v>0</v>
      </c>
      <c r="AX195" s="27" t="n">
        <f aca="false">SUMIFS(super1[Qtde],super1[Item],tab_higiene[[#This Row],[Item]],super1[Bairro],mercado14)+SUMIFS(supercb[Qtde],supercb[Item],tab_higiene[[#This Row],[Item]],supercb[Bairro],mercado14)</f>
        <v>0</v>
      </c>
      <c r="AY195" s="27" t="n">
        <f aca="false">SUMIFS(super1[Qtde],super1[Item],tab_higiene[[#This Row],[Item]],super1[Bairro],mercado15)+SUMIFS(supercb[Qtde],supercb[Item],tab_higiene[[#This Row],[Item]],supercb[Bairro],mercado15)</f>
        <v>0</v>
      </c>
      <c r="AZ195" s="27" t="n">
        <f aca="false">SUMIFS(super1[Qtde],super1[Item],tab_higiene[[#This Row],[Item]],super1[Bairro],mercado16)+SUMIFS(supercb[Qtde],supercb[Item],tab_higiene[[#This Row],[Item]],supercb[Bairro],mercado16)</f>
        <v>0</v>
      </c>
      <c r="BA195" s="27" t="n">
        <f aca="false">SUMIFS(super1[Qtde],super1[Item],tab_higiene[[#This Row],[Item]],super1[Bairro],mercado17)+SUMIFS(supercb[Qtde],supercb[Item],tab_higiene[[#This Row],[Item]],supercb[Bairro],mercado17)</f>
        <v>0</v>
      </c>
      <c r="BB195" s="27" t="n">
        <f aca="false">SUMIFS(super1[Qtde],super1[Item],tab_higiene[[#This Row],[Item]],super1[Bairro],mercado18)+SUMIFS(supercb[Qtde],supercb[Item],tab_higiene[[#This Row],[Item]],supercb[Bairro],mercado18)</f>
        <v>0</v>
      </c>
      <c r="BC195" s="39" t="n">
        <f aca="false">SUMIFS(super1[Qtde],super1[Item],tab_higiene[[#This Row],[Item]],super1[Bairro],extras)+SUMIFS(supercb[Qtde],supercb[Item],tab_higiene[[#This Row],[Item]],supercb[Bairro],extras)</f>
        <v>0</v>
      </c>
      <c r="BD195" s="38" t="n">
        <f aca="false">SUM(AK195:BB195)</f>
        <v>0</v>
      </c>
      <c r="BE195" s="38" t="n">
        <f aca="false">IFERROR(BD195*AJ195,0)</f>
        <v>0</v>
      </c>
      <c r="BF195" s="40" t="n">
        <f aca="false">IFERROR(AI195*BD195,0)</f>
        <v>0</v>
      </c>
    </row>
    <row r="196" customFormat="false" ht="15.75" hidden="false" customHeight="false" outlineLevel="0" collapsed="false">
      <c r="I196" s="26" t="str">
        <f aca="false">alimentos[[#This Row],[Item]]</f>
        <v>Molho de tomate (520g)</v>
      </c>
      <c r="J196" s="27" t="n">
        <f aca="false">IFERROR(alimentos[[#This Row],[kg/embalagem]],0)</f>
        <v>0.52</v>
      </c>
      <c r="K196" s="27" t="n">
        <f aca="false">IFERROR(alimentos[[#This Row],[Preço]],0)</f>
        <v>3.486</v>
      </c>
      <c r="L196" s="27" t="n">
        <f aca="false">SUMIFS(super1[Qtde],super1[Item],tab_alimentos[[#This Row],[Item]],super1[Bairro],mercado1)+SUMIFS(supercb[Qtde],supercb[Item],tab_alimentos[[#This Row],[Item]],supercb[Bairro],mercado1)</f>
        <v>0</v>
      </c>
      <c r="M196" s="27" t="n">
        <f aca="false">SUMIFS(super1[Qtde],super1[Item],tab_alimentos[[#This Row],[Item]],super1[Bairro],mercado2)+SUMIFS(supercb[Qtde],supercb[Item],tab_alimentos[[#This Row],[Item]],supercb[Bairro],mercado2)</f>
        <v>0</v>
      </c>
      <c r="N196" s="27" t="n">
        <f aca="false">SUMIFS(super1[Qtde],super1[Item],tab_alimentos[[#This Row],[Item]],super1[Bairro],mercado3)+SUMIFS(supercb[Qtde],supercb[Item],tab_alimentos[[#This Row],[Item]],supercb[Bairro],mercado3)</f>
        <v>0</v>
      </c>
      <c r="O196" s="27" t="n">
        <f aca="false">SUMIFS(super1[Qtde],super1[Item],tab_alimentos[[#This Row],[Item]],super1[Bairro],mercado4)+SUMIFS(supercb[Qtde],supercb[Item],tab_alimentos[[#This Row],[Item]],supercb[Bairro],mercado4)</f>
        <v>0</v>
      </c>
      <c r="P196" s="27" t="n">
        <f aca="false">SUMIFS(super1[Qtde],super1[Item],tab_alimentos[[#This Row],[Item]],super1[Bairro],mercado5)+SUMIFS(supercb[Qtde],supercb[Item],tab_alimentos[[#This Row],[Item]],supercb[Bairro],mercado5)</f>
        <v>0</v>
      </c>
      <c r="Q196" s="27" t="n">
        <f aca="false">SUMIFS(super1[Qtde],super1[Item],tab_alimentos[[#This Row],[Item]],super1[Bairro],mercado6)+SUMIFS(supercb[Qtde],supercb[Item],tab_alimentos[[#This Row],[Item]],supercb[Bairro],mercado6)</f>
        <v>0</v>
      </c>
      <c r="R196" s="27" t="n">
        <f aca="false">SUMIFS(super1[Qtde],super1[Item],tab_alimentos[[#This Row],[Item]],super1[Bairro],mercado7)+SUMIFS(supercb[Qtde],supercb[Item],tab_alimentos[[#This Row],[Item]],supercb[Bairro],mercado7)</f>
        <v>0</v>
      </c>
      <c r="S196" s="27" t="n">
        <f aca="false">SUMIFS(super1[Qtde],super1[Item],tab_alimentos[[#This Row],[Item]],super1[Bairro],mercado8)+SUMIFS(supercb[Qtde],supercb[Item],tab_alimentos[[#This Row],[Item]],supercb[Bairro],mercado8)</f>
        <v>0</v>
      </c>
      <c r="T196" s="27" t="n">
        <f aca="false">SUMIFS(super1[Qtde],super1[Item],tab_alimentos[[#This Row],[Item]],super1[Bairro],mercado9)+SUMIFS(supercb[Qtde],supercb[Item],tab_alimentos[[#This Row],[Item]],supercb[Bairro],mercado9)</f>
        <v>1</v>
      </c>
      <c r="U196" s="27" t="n">
        <f aca="false">SUMIFS(super1[Qtde],super1[Item],tab_alimentos[[#This Row],[Item]],super1[Bairro],mercado10)+SUMIFS(supercb[Qtde],supercb[Item],tab_alimentos[[#This Row],[Item]],supercb[Bairro],mercado10)</f>
        <v>2</v>
      </c>
      <c r="V196" s="27" t="n">
        <f aca="false">SUMIFS(super1[Qtde],super1[Item],tab_alimentos[[#This Row],[Item]],super1[Bairro],mercado11)+SUMIFS(supercb[Qtde],supercb[Item],tab_alimentos[[#This Row],[Item]],supercb[Bairro],mercado11)</f>
        <v>0</v>
      </c>
      <c r="W196" s="27" t="n">
        <f aca="false">SUMIFS(super1[Qtde],super1[Item],tab_alimentos[[#This Row],[Item]],super1[Bairro],mercado12)+SUMIFS(supercb[Qtde],supercb[Item],tab_alimentos[[#This Row],[Item]],supercb[Bairro],mercado12)</f>
        <v>0</v>
      </c>
      <c r="X196" s="27" t="n">
        <f aca="false">SUMIFS(super1[Qtde],super1[Item],tab_alimentos[[#This Row],[Item]],super1[Bairro],mercado13)+SUMIFS(supercb[Qtde],supercb[Item],tab_alimentos[[#This Row],[Item]],supercb[Bairro],mercado13)</f>
        <v>4</v>
      </c>
      <c r="Y196" s="27" t="n">
        <f aca="false">SUMIFS(super1[Qtde],super1[Item],tab_alimentos[[#This Row],[Item]],super1[Bairro],mercado14)+SUMIFS(supercb[Qtde],supercb[Item],tab_alimentos[[#This Row],[Item]],supercb[Bairro],mercado14)</f>
        <v>0</v>
      </c>
      <c r="Z196" s="27" t="n">
        <f aca="false">SUMIFS(super1[Qtde],super1[Item],tab_alimentos[[#This Row],[Item]],super1[Bairro],mercado15)+SUMIFS(supercb[Qtde],supercb[Item],tab_alimentos[[#This Row],[Item]],supercb[Bairro],mercado15)</f>
        <v>0</v>
      </c>
      <c r="AA196" s="27" t="n">
        <f aca="false">SUMIFS(super1[Qtde],super1[Item],tab_alimentos[[#This Row],[Item]],super1[Bairro],mercado16)+SUMIFS(supercb[Qtde],supercb[Item],tab_alimentos[[#This Row],[Item]],supercb[Bairro],mercado16)</f>
        <v>0</v>
      </c>
      <c r="AB196" s="27" t="n">
        <f aca="false">SUMIFS(super1[Qtde],super1[Item],tab_alimentos[[#This Row],[Item]],super1[Bairro],mercado17)+SUMIFS(supercb[Qtde],supercb[Item],tab_alimentos[[#This Row],[Item]],supercb[Bairro],mercado17)</f>
        <v>0</v>
      </c>
      <c r="AC196" s="27" t="n">
        <f aca="false">SUMIFS(super1[Qtde],super1[Item],tab_alimentos[[#This Row],[Item]],super1[Bairro],mercado18)+SUMIFS(supercb[Qtde],supercb[Item],tab_alimentos[[#This Row],[Item]],supercb[Bairro],mercado18)</f>
        <v>0</v>
      </c>
      <c r="AD196" s="27" t="n">
        <f aca="false">SUMIFS(super1[Qtde],super1[Item],tab_alimentos[[#This Row],[Item]],super1[Bairro],extras)+SUMIFS(supercb[Qtde],supercb[Item],tab_alimentos[[#This Row],[Item]],supercb[Bairro],extras)</f>
        <v>0</v>
      </c>
      <c r="AE196" s="27" t="n">
        <f aca="false">SUM(L196:AC196)</f>
        <v>7</v>
      </c>
      <c r="AF196" s="27" t="n">
        <f aca="false">IFERROR(AE196*K196,0)</f>
        <v>24.402</v>
      </c>
      <c r="AG196" s="28" t="n">
        <f aca="false">IFERROR(J196*AE196,0)</f>
        <v>3.64</v>
      </c>
      <c r="AH196" s="37" t="str">
        <f aca="false">higiene[[#This Row],[Item]]</f>
        <v>Saco de Lixo (50un)</v>
      </c>
      <c r="AI196" s="38" t="n">
        <f aca="false">IFERROR(higiene[[#This Row],[Kg equivalente]],0)</f>
        <v>4.14124168434494</v>
      </c>
      <c r="AJ196" s="38" t="n">
        <f aca="false">IFERROR(higiene[[#This Row],[Preço por produto]],0)</f>
        <v>13.7175</v>
      </c>
      <c r="AK196" s="27" t="n">
        <f aca="false">SUMIFS(super1[Qtde],super1[Item],tab_higiene[[#This Row],[Item]],super1[Bairro],mercado1)+SUMIFS(supercb[Qtde],supercb[Item],tab_higiene[[#This Row],[Item]],supercb[Bairro],mercado1)</f>
        <v>0</v>
      </c>
      <c r="AL196" s="27" t="n">
        <f aca="false">SUMIFS(super1[Qtde],super1[Item],tab_higiene[[#This Row],[Item]],super1[Bairro],mercado2)+SUMIFS(supercb[Qtde],supercb[Item],tab_higiene[[#This Row],[Item]],supercb[Bairro],mercado2)</f>
        <v>0</v>
      </c>
      <c r="AM196" s="27" t="n">
        <f aca="false">SUMIFS(super1[Qtde],super1[Item],tab_higiene[[#This Row],[Item]],super1[Bairro],mercado3)+SUMIFS(supercb[Qtde],supercb[Item],tab_higiene[[#This Row],[Item]],supercb[Bairro],mercado3)</f>
        <v>0</v>
      </c>
      <c r="AN196" s="27" t="n">
        <f aca="false">SUMIFS(super1[Qtde],super1[Item],tab_higiene[[#This Row],[Item]],super1[Bairro],mercado4)+SUMIFS(supercb[Qtde],supercb[Item],tab_higiene[[#This Row],[Item]],supercb[Bairro],mercado4)</f>
        <v>0</v>
      </c>
      <c r="AO196" s="27" t="n">
        <f aca="false">SUMIFS(super1[Qtde],super1[Item],tab_higiene[[#This Row],[Item]],super1[Bairro],mercado5)+SUMIFS(supercb[Qtde],supercb[Item],tab_higiene[[#This Row],[Item]],supercb[Bairro],mercado5)</f>
        <v>0</v>
      </c>
      <c r="AP196" s="27" t="n">
        <f aca="false">SUMIFS(super1[Qtde],super1[Item],tab_higiene[[#This Row],[Item]],super1[Bairro],mercado6)+SUMIFS(supercb[Qtde],supercb[Item],tab_higiene[[#This Row],[Item]],supercb[Bairro],mercado6)</f>
        <v>0</v>
      </c>
      <c r="AQ196" s="27" t="n">
        <f aca="false">SUMIFS(super1[Qtde],super1[Item],tab_higiene[[#This Row],[Item]],super1[Bairro],mercado7)+SUMIFS(supercb[Qtde],supercb[Item],tab_higiene[[#This Row],[Item]],supercb[Bairro],mercado7)</f>
        <v>0</v>
      </c>
      <c r="AR196" s="27" t="n">
        <f aca="false">SUMIFS(super1[Qtde],super1[Item],tab_higiene[[#This Row],[Item]],super1[Bairro],mercado8)+SUMIFS(supercb[Qtde],supercb[Item],tab_higiene[[#This Row],[Item]],supercb[Bairro],mercado8)</f>
        <v>0</v>
      </c>
      <c r="AS196" s="27" t="n">
        <f aca="false">SUMIFS(super1[Qtde],super1[Item],tab_higiene[[#This Row],[Item]],super1[Bairro],mercado9)+SUMIFS(supercb[Qtde],supercb[Item],tab_higiene[[#This Row],[Item]],supercb[Bairro],mercado9)</f>
        <v>0</v>
      </c>
      <c r="AT196" s="27" t="n">
        <f aca="false">SUMIFS(super1[Qtde],super1[Item],tab_higiene[[#This Row],[Item]],super1[Bairro],mercado10)+SUMIFS(supercb[Qtde],supercb[Item],tab_higiene[[#This Row],[Item]],supercb[Bairro],mercado10)</f>
        <v>0</v>
      </c>
      <c r="AU196" s="27" t="n">
        <f aca="false">SUMIFS(super1[Qtde],super1[Item],tab_higiene[[#This Row],[Item]],super1[Bairro],mercado11)+SUMIFS(supercb[Qtde],supercb[Item],tab_higiene[[#This Row],[Item]],supercb[Bairro],mercado11)</f>
        <v>0</v>
      </c>
      <c r="AV196" s="27" t="n">
        <f aca="false">SUMIFS(super1[Qtde],super1[Item],tab_higiene[[#This Row],[Item]],super1[Bairro],mercado12)+SUMIFS(supercb[Qtde],supercb[Item],tab_higiene[[#This Row],[Item]],supercb[Bairro],mercado12)</f>
        <v>0</v>
      </c>
      <c r="AW196" s="27" t="n">
        <f aca="false">SUMIFS(super1[Qtde],super1[Item],tab_higiene[[#This Row],[Item]],super1[Bairro],mercado13)+SUMIFS(supercb[Qtde],supercb[Item],tab_higiene[[#This Row],[Item]],supercb[Bairro],mercado13)</f>
        <v>0</v>
      </c>
      <c r="AX196" s="27" t="n">
        <f aca="false">SUMIFS(super1[Qtde],super1[Item],tab_higiene[[#This Row],[Item]],super1[Bairro],mercado14)+SUMIFS(supercb[Qtde],supercb[Item],tab_higiene[[#This Row],[Item]],supercb[Bairro],mercado14)</f>
        <v>0</v>
      </c>
      <c r="AY196" s="27" t="n">
        <f aca="false">SUMIFS(super1[Qtde],super1[Item],tab_higiene[[#This Row],[Item]],super1[Bairro],mercado15)+SUMIFS(supercb[Qtde],supercb[Item],tab_higiene[[#This Row],[Item]],supercb[Bairro],mercado15)</f>
        <v>0</v>
      </c>
      <c r="AZ196" s="27" t="n">
        <f aca="false">SUMIFS(super1[Qtde],super1[Item],tab_higiene[[#This Row],[Item]],super1[Bairro],mercado16)+SUMIFS(supercb[Qtde],supercb[Item],tab_higiene[[#This Row],[Item]],supercb[Bairro],mercado16)</f>
        <v>0</v>
      </c>
      <c r="BA196" s="27" t="n">
        <f aca="false">SUMIFS(super1[Qtde],super1[Item],tab_higiene[[#This Row],[Item]],super1[Bairro],mercado17)+SUMIFS(supercb[Qtde],supercb[Item],tab_higiene[[#This Row],[Item]],supercb[Bairro],mercado17)</f>
        <v>0</v>
      </c>
      <c r="BB196" s="27" t="n">
        <f aca="false">SUMIFS(super1[Qtde],super1[Item],tab_higiene[[#This Row],[Item]],super1[Bairro],mercado18)+SUMIFS(supercb[Qtde],supercb[Item],tab_higiene[[#This Row],[Item]],supercb[Bairro],mercado18)</f>
        <v>0</v>
      </c>
      <c r="BC196" s="39" t="n">
        <f aca="false">SUMIFS(super1[Qtde],super1[Item],tab_higiene[[#This Row],[Item]],super1[Bairro],extras)+SUMIFS(supercb[Qtde],supercb[Item],tab_higiene[[#This Row],[Item]],supercb[Bairro],extras)</f>
        <v>0</v>
      </c>
      <c r="BD196" s="38" t="n">
        <f aca="false">SUM(AK196:BB196)</f>
        <v>0</v>
      </c>
      <c r="BE196" s="38" t="n">
        <f aca="false">IFERROR(BD196*AJ196,0)</f>
        <v>0</v>
      </c>
      <c r="BF196" s="40" t="n">
        <f aca="false">IFERROR(AI196*BD196,0)</f>
        <v>0</v>
      </c>
    </row>
    <row r="197" customFormat="false" ht="15.75" hidden="false" customHeight="false" outlineLevel="0" collapsed="false">
      <c r="I197" s="26" t="str">
        <f aca="false">alimentos[[#This Row],[Item]]</f>
        <v>Molho de tomate (680g)</v>
      </c>
      <c r="J197" s="27" t="n">
        <f aca="false">IFERROR(alimentos[[#This Row],[kg/embalagem]],0)</f>
        <v>0.68</v>
      </c>
      <c r="K197" s="27" t="n">
        <f aca="false">IFERROR(alimentos[[#This Row],[Preço]],0)</f>
        <v>8.99</v>
      </c>
      <c r="L197" s="27" t="n">
        <f aca="false">SUMIFS(super1[Qtde],super1[Item],tab_alimentos[[#This Row],[Item]],super1[Bairro],mercado1)+SUMIFS(supercb[Qtde],supercb[Item],tab_alimentos[[#This Row],[Item]],supercb[Bairro],mercado1)</f>
        <v>0</v>
      </c>
      <c r="M197" s="27" t="n">
        <f aca="false">SUMIFS(super1[Qtde],super1[Item],tab_alimentos[[#This Row],[Item]],super1[Bairro],mercado2)+SUMIFS(supercb[Qtde],supercb[Item],tab_alimentos[[#This Row],[Item]],supercb[Bairro],mercado2)</f>
        <v>0</v>
      </c>
      <c r="N197" s="27" t="n">
        <f aca="false">SUMIFS(super1[Qtde],super1[Item],tab_alimentos[[#This Row],[Item]],super1[Bairro],mercado3)+SUMIFS(supercb[Qtde],supercb[Item],tab_alimentos[[#This Row],[Item]],supercb[Bairro],mercado3)</f>
        <v>0</v>
      </c>
      <c r="O197" s="27" t="n">
        <f aca="false">SUMIFS(super1[Qtde],super1[Item],tab_alimentos[[#This Row],[Item]],super1[Bairro],mercado4)+SUMIFS(supercb[Qtde],supercb[Item],tab_alimentos[[#This Row],[Item]],supercb[Bairro],mercado4)</f>
        <v>0</v>
      </c>
      <c r="P197" s="27" t="n">
        <f aca="false">SUMIFS(super1[Qtde],super1[Item],tab_alimentos[[#This Row],[Item]],super1[Bairro],mercado5)+SUMIFS(supercb[Qtde],supercb[Item],tab_alimentos[[#This Row],[Item]],supercb[Bairro],mercado5)</f>
        <v>0</v>
      </c>
      <c r="Q197" s="27" t="n">
        <f aca="false">SUMIFS(super1[Qtde],super1[Item],tab_alimentos[[#This Row],[Item]],super1[Bairro],mercado6)+SUMIFS(supercb[Qtde],supercb[Item],tab_alimentos[[#This Row],[Item]],supercb[Bairro],mercado6)</f>
        <v>0</v>
      </c>
      <c r="R197" s="27" t="n">
        <f aca="false">SUMIFS(super1[Qtde],super1[Item],tab_alimentos[[#This Row],[Item]],super1[Bairro],mercado7)+SUMIFS(supercb[Qtde],supercb[Item],tab_alimentos[[#This Row],[Item]],supercb[Bairro],mercado7)</f>
        <v>0</v>
      </c>
      <c r="S197" s="27" t="n">
        <f aca="false">SUMIFS(super1[Qtde],super1[Item],tab_alimentos[[#This Row],[Item]],super1[Bairro],mercado8)+SUMIFS(supercb[Qtde],supercb[Item],tab_alimentos[[#This Row],[Item]],supercb[Bairro],mercado8)</f>
        <v>0</v>
      </c>
      <c r="T197" s="27" t="n">
        <f aca="false">SUMIFS(super1[Qtde],super1[Item],tab_alimentos[[#This Row],[Item]],super1[Bairro],mercado9)+SUMIFS(supercb[Qtde],supercb[Item],tab_alimentos[[#This Row],[Item]],supercb[Bairro],mercado9)</f>
        <v>0</v>
      </c>
      <c r="U197" s="27" t="n">
        <f aca="false">SUMIFS(super1[Qtde],super1[Item],tab_alimentos[[#This Row],[Item]],super1[Bairro],mercado10)+SUMIFS(supercb[Qtde],supercb[Item],tab_alimentos[[#This Row],[Item]],supercb[Bairro],mercado10)</f>
        <v>0</v>
      </c>
      <c r="V197" s="27" t="n">
        <f aca="false">SUMIFS(super1[Qtde],super1[Item],tab_alimentos[[#This Row],[Item]],super1[Bairro],mercado11)+SUMIFS(supercb[Qtde],supercb[Item],tab_alimentos[[#This Row],[Item]],supercb[Bairro],mercado11)</f>
        <v>0</v>
      </c>
      <c r="W197" s="27" t="n">
        <f aca="false">SUMIFS(super1[Qtde],super1[Item],tab_alimentos[[#This Row],[Item]],super1[Bairro],mercado12)+SUMIFS(supercb[Qtde],supercb[Item],tab_alimentos[[#This Row],[Item]],supercb[Bairro],mercado12)</f>
        <v>0</v>
      </c>
      <c r="X197" s="27" t="n">
        <f aca="false">SUMIFS(super1[Qtde],super1[Item],tab_alimentos[[#This Row],[Item]],super1[Bairro],mercado13)+SUMIFS(supercb[Qtde],supercb[Item],tab_alimentos[[#This Row],[Item]],supercb[Bairro],mercado13)</f>
        <v>0</v>
      </c>
      <c r="Y197" s="27" t="n">
        <f aca="false">SUMIFS(super1[Qtde],super1[Item],tab_alimentos[[#This Row],[Item]],super1[Bairro],mercado14)+SUMIFS(supercb[Qtde],supercb[Item],tab_alimentos[[#This Row],[Item]],supercb[Bairro],mercado14)</f>
        <v>0</v>
      </c>
      <c r="Z197" s="27" t="n">
        <f aca="false">SUMIFS(super1[Qtde],super1[Item],tab_alimentos[[#This Row],[Item]],super1[Bairro],mercado15)+SUMIFS(supercb[Qtde],supercb[Item],tab_alimentos[[#This Row],[Item]],supercb[Bairro],mercado15)</f>
        <v>0</v>
      </c>
      <c r="AA197" s="27" t="n">
        <f aca="false">SUMIFS(super1[Qtde],super1[Item],tab_alimentos[[#This Row],[Item]],super1[Bairro],mercado16)+SUMIFS(supercb[Qtde],supercb[Item],tab_alimentos[[#This Row],[Item]],supercb[Bairro],mercado16)</f>
        <v>0</v>
      </c>
      <c r="AB197" s="27" t="n">
        <f aca="false">SUMIFS(super1[Qtde],super1[Item],tab_alimentos[[#This Row],[Item]],super1[Bairro],mercado17)+SUMIFS(supercb[Qtde],supercb[Item],tab_alimentos[[#This Row],[Item]],supercb[Bairro],mercado17)</f>
        <v>0</v>
      </c>
      <c r="AC197" s="27" t="n">
        <f aca="false">SUMIFS(super1[Qtde],super1[Item],tab_alimentos[[#This Row],[Item]],super1[Bairro],mercado18)+SUMIFS(supercb[Qtde],supercb[Item],tab_alimentos[[#This Row],[Item]],supercb[Bairro],mercado18)</f>
        <v>0</v>
      </c>
      <c r="AD197" s="27" t="n">
        <f aca="false">SUMIFS(super1[Qtde],super1[Item],tab_alimentos[[#This Row],[Item]],super1[Bairro],extras)+SUMIFS(supercb[Qtde],supercb[Item],tab_alimentos[[#This Row],[Item]],supercb[Bairro],extras)</f>
        <v>0</v>
      </c>
      <c r="AE197" s="27" t="n">
        <f aca="false">SUM(L197:AC197)</f>
        <v>0</v>
      </c>
      <c r="AF197" s="27" t="n">
        <f aca="false">IFERROR(AE197*K197,0)</f>
        <v>0</v>
      </c>
      <c r="AG197" s="28" t="n">
        <f aca="false">IFERROR(J197*AE197,0)</f>
        <v>0</v>
      </c>
      <c r="AH197" s="37" t="str">
        <f aca="false">higiene[[#This Row],[Item]]</f>
        <v>Saco de lixo (5un - 100L)</v>
      </c>
      <c r="AI197" s="38" t="n">
        <f aca="false">IFERROR(higiene[[#This Row],[Kg equivalente]],0)</f>
        <v>1.38569705348229</v>
      </c>
      <c r="AJ197" s="38" t="n">
        <f aca="false">IFERROR(higiene[[#This Row],[Preço por produto]],0)</f>
        <v>4.59</v>
      </c>
      <c r="AK197" s="27" t="n">
        <f aca="false">SUMIFS(super1[Qtde],super1[Item],tab_higiene[[#This Row],[Item]],super1[Bairro],mercado1)+SUMIFS(supercb[Qtde],supercb[Item],tab_higiene[[#This Row],[Item]],supercb[Bairro],mercado1)</f>
        <v>0</v>
      </c>
      <c r="AL197" s="27" t="n">
        <f aca="false">SUMIFS(super1[Qtde],super1[Item],tab_higiene[[#This Row],[Item]],super1[Bairro],mercado2)+SUMIFS(supercb[Qtde],supercb[Item],tab_higiene[[#This Row],[Item]],supercb[Bairro],mercado2)</f>
        <v>0</v>
      </c>
      <c r="AM197" s="27" t="n">
        <f aca="false">SUMIFS(super1[Qtde],super1[Item],tab_higiene[[#This Row],[Item]],super1[Bairro],mercado3)+SUMIFS(supercb[Qtde],supercb[Item],tab_higiene[[#This Row],[Item]],supercb[Bairro],mercado3)</f>
        <v>0</v>
      </c>
      <c r="AN197" s="27" t="n">
        <f aca="false">SUMIFS(super1[Qtde],super1[Item],tab_higiene[[#This Row],[Item]],super1[Bairro],mercado4)+SUMIFS(supercb[Qtde],supercb[Item],tab_higiene[[#This Row],[Item]],supercb[Bairro],mercado4)</f>
        <v>2</v>
      </c>
      <c r="AO197" s="27" t="n">
        <f aca="false">SUMIFS(super1[Qtde],super1[Item],tab_higiene[[#This Row],[Item]],super1[Bairro],mercado5)+SUMIFS(supercb[Qtde],supercb[Item],tab_higiene[[#This Row],[Item]],supercb[Bairro],mercado5)</f>
        <v>0</v>
      </c>
      <c r="AP197" s="27" t="n">
        <f aca="false">SUMIFS(super1[Qtde],super1[Item],tab_higiene[[#This Row],[Item]],super1[Bairro],mercado6)+SUMIFS(supercb[Qtde],supercb[Item],tab_higiene[[#This Row],[Item]],supercb[Bairro],mercado6)</f>
        <v>0</v>
      </c>
      <c r="AQ197" s="27" t="n">
        <f aca="false">SUMIFS(super1[Qtde],super1[Item],tab_higiene[[#This Row],[Item]],super1[Bairro],mercado7)+SUMIFS(supercb[Qtde],supercb[Item],tab_higiene[[#This Row],[Item]],supercb[Bairro],mercado7)</f>
        <v>0</v>
      </c>
      <c r="AR197" s="27" t="n">
        <f aca="false">SUMIFS(super1[Qtde],super1[Item],tab_higiene[[#This Row],[Item]],super1[Bairro],mercado8)+SUMIFS(supercb[Qtde],supercb[Item],tab_higiene[[#This Row],[Item]],supercb[Bairro],mercado8)</f>
        <v>2</v>
      </c>
      <c r="AS197" s="27" t="n">
        <f aca="false">SUMIFS(super1[Qtde],super1[Item],tab_higiene[[#This Row],[Item]],super1[Bairro],mercado9)+SUMIFS(supercb[Qtde],supercb[Item],tab_higiene[[#This Row],[Item]],supercb[Bairro],mercado9)</f>
        <v>0</v>
      </c>
      <c r="AT197" s="27" t="n">
        <f aca="false">SUMIFS(super1[Qtde],super1[Item],tab_higiene[[#This Row],[Item]],super1[Bairro],mercado10)+SUMIFS(supercb[Qtde],supercb[Item],tab_higiene[[#This Row],[Item]],supercb[Bairro],mercado10)</f>
        <v>0</v>
      </c>
      <c r="AU197" s="27" t="n">
        <f aca="false">SUMIFS(super1[Qtde],super1[Item],tab_higiene[[#This Row],[Item]],super1[Bairro],mercado11)+SUMIFS(supercb[Qtde],supercb[Item],tab_higiene[[#This Row],[Item]],supercb[Bairro],mercado11)</f>
        <v>0</v>
      </c>
      <c r="AV197" s="27" t="n">
        <f aca="false">SUMIFS(super1[Qtde],super1[Item],tab_higiene[[#This Row],[Item]],super1[Bairro],mercado12)+SUMIFS(supercb[Qtde],supercb[Item],tab_higiene[[#This Row],[Item]],supercb[Bairro],mercado12)</f>
        <v>0</v>
      </c>
      <c r="AW197" s="27" t="n">
        <f aca="false">SUMIFS(super1[Qtde],super1[Item],tab_higiene[[#This Row],[Item]],super1[Bairro],mercado13)+SUMIFS(supercb[Qtde],supercb[Item],tab_higiene[[#This Row],[Item]],supercb[Bairro],mercado13)</f>
        <v>0</v>
      </c>
      <c r="AX197" s="27" t="n">
        <f aca="false">SUMIFS(super1[Qtde],super1[Item],tab_higiene[[#This Row],[Item]],super1[Bairro],mercado14)+SUMIFS(supercb[Qtde],supercb[Item],tab_higiene[[#This Row],[Item]],supercb[Bairro],mercado14)</f>
        <v>0</v>
      </c>
      <c r="AY197" s="27" t="n">
        <f aca="false">SUMIFS(super1[Qtde],super1[Item],tab_higiene[[#This Row],[Item]],super1[Bairro],mercado15)+SUMIFS(supercb[Qtde],supercb[Item],tab_higiene[[#This Row],[Item]],supercb[Bairro],mercado15)</f>
        <v>0</v>
      </c>
      <c r="AZ197" s="27" t="n">
        <f aca="false">SUMIFS(super1[Qtde],super1[Item],tab_higiene[[#This Row],[Item]],super1[Bairro],mercado16)+SUMIFS(supercb[Qtde],supercb[Item],tab_higiene[[#This Row],[Item]],supercb[Bairro],mercado16)</f>
        <v>0</v>
      </c>
      <c r="BA197" s="27" t="n">
        <f aca="false">SUMIFS(super1[Qtde],super1[Item],tab_higiene[[#This Row],[Item]],super1[Bairro],mercado17)+SUMIFS(supercb[Qtde],supercb[Item],tab_higiene[[#This Row],[Item]],supercb[Bairro],mercado17)</f>
        <v>0</v>
      </c>
      <c r="BB197" s="27" t="n">
        <f aca="false">SUMIFS(super1[Qtde],super1[Item],tab_higiene[[#This Row],[Item]],super1[Bairro],mercado18)+SUMIFS(supercb[Qtde],supercb[Item],tab_higiene[[#This Row],[Item]],supercb[Bairro],mercado18)</f>
        <v>0</v>
      </c>
      <c r="BC197" s="39" t="n">
        <f aca="false">SUMIFS(super1[Qtde],super1[Item],tab_higiene[[#This Row],[Item]],super1[Bairro],extras)+SUMIFS(supercb[Qtde],supercb[Item],tab_higiene[[#This Row],[Item]],supercb[Bairro],extras)</f>
        <v>0</v>
      </c>
      <c r="BD197" s="38" t="n">
        <f aca="false">SUM(AK197:BB197)</f>
        <v>4</v>
      </c>
      <c r="BE197" s="38" t="n">
        <f aca="false">IFERROR(BD197*AJ197,0)</f>
        <v>18.36</v>
      </c>
      <c r="BF197" s="40" t="n">
        <f aca="false">IFERROR(AI197*BD197,0)</f>
        <v>5.54278821392914</v>
      </c>
    </row>
    <row r="198" customFormat="false" ht="15.75" hidden="false" customHeight="false" outlineLevel="0" collapsed="false">
      <c r="I198" s="26" t="str">
        <f aca="false">alimentos[[#This Row],[Item]]</f>
        <v>Molho de tomate(390g)</v>
      </c>
      <c r="J198" s="27" t="n">
        <f aca="false">IFERROR(alimentos[[#This Row],[kg/embalagem]],0)</f>
        <v>0.39</v>
      </c>
      <c r="K198" s="27" t="n">
        <f aca="false">IFERROR(alimentos[[#This Row],[Preço]],0)</f>
        <v>2.98</v>
      </c>
      <c r="L198" s="27" t="n">
        <f aca="false">SUMIFS(super1[Qtde],super1[Item],tab_alimentos[[#This Row],[Item]],super1[Bairro],mercado1)+SUMIFS(supercb[Qtde],supercb[Item],tab_alimentos[[#This Row],[Item]],supercb[Bairro],mercado1)</f>
        <v>0</v>
      </c>
      <c r="M198" s="27" t="n">
        <f aca="false">SUMIFS(super1[Qtde],super1[Item],tab_alimentos[[#This Row],[Item]],super1[Bairro],mercado2)+SUMIFS(supercb[Qtde],supercb[Item],tab_alimentos[[#This Row],[Item]],supercb[Bairro],mercado2)</f>
        <v>0</v>
      </c>
      <c r="N198" s="27" t="n">
        <f aca="false">SUMIFS(super1[Qtde],super1[Item],tab_alimentos[[#This Row],[Item]],super1[Bairro],mercado3)+SUMIFS(supercb[Qtde],supercb[Item],tab_alimentos[[#This Row],[Item]],supercb[Bairro],mercado3)</f>
        <v>0</v>
      </c>
      <c r="O198" s="27" t="n">
        <f aca="false">SUMIFS(super1[Qtde],super1[Item],tab_alimentos[[#This Row],[Item]],super1[Bairro],mercado4)+SUMIFS(supercb[Qtde],supercb[Item],tab_alimentos[[#This Row],[Item]],supercb[Bairro],mercado4)</f>
        <v>1</v>
      </c>
      <c r="P198" s="27" t="n">
        <f aca="false">SUMIFS(super1[Qtde],super1[Item],tab_alimentos[[#This Row],[Item]],super1[Bairro],mercado5)+SUMIFS(supercb[Qtde],supercb[Item],tab_alimentos[[#This Row],[Item]],supercb[Bairro],mercado5)</f>
        <v>0</v>
      </c>
      <c r="Q198" s="27" t="n">
        <f aca="false">SUMIFS(super1[Qtde],super1[Item],tab_alimentos[[#This Row],[Item]],super1[Bairro],mercado6)+SUMIFS(supercb[Qtde],supercb[Item],tab_alimentos[[#This Row],[Item]],supercb[Bairro],mercado6)</f>
        <v>0</v>
      </c>
      <c r="R198" s="27" t="n">
        <f aca="false">SUMIFS(super1[Qtde],super1[Item],tab_alimentos[[#This Row],[Item]],super1[Bairro],mercado7)+SUMIFS(supercb[Qtde],supercb[Item],tab_alimentos[[#This Row],[Item]],supercb[Bairro],mercado7)</f>
        <v>0</v>
      </c>
      <c r="S198" s="27" t="n">
        <f aca="false">SUMIFS(super1[Qtde],super1[Item],tab_alimentos[[#This Row],[Item]],super1[Bairro],mercado8)+SUMIFS(supercb[Qtde],supercb[Item],tab_alimentos[[#This Row],[Item]],supercb[Bairro],mercado8)</f>
        <v>0</v>
      </c>
      <c r="T198" s="27" t="n">
        <f aca="false">SUMIFS(super1[Qtde],super1[Item],tab_alimentos[[#This Row],[Item]],super1[Bairro],mercado9)+SUMIFS(supercb[Qtde],supercb[Item],tab_alimentos[[#This Row],[Item]],supercb[Bairro],mercado9)</f>
        <v>0</v>
      </c>
      <c r="U198" s="27" t="n">
        <f aca="false">SUMIFS(super1[Qtde],super1[Item],tab_alimentos[[#This Row],[Item]],super1[Bairro],mercado10)+SUMIFS(supercb[Qtde],supercb[Item],tab_alimentos[[#This Row],[Item]],supercb[Bairro],mercado10)</f>
        <v>0</v>
      </c>
      <c r="V198" s="27" t="n">
        <f aca="false">SUMIFS(super1[Qtde],super1[Item],tab_alimentos[[#This Row],[Item]],super1[Bairro],mercado11)+SUMIFS(supercb[Qtde],supercb[Item],tab_alimentos[[#This Row],[Item]],supercb[Bairro],mercado11)</f>
        <v>0</v>
      </c>
      <c r="W198" s="27" t="n">
        <f aca="false">SUMIFS(super1[Qtde],super1[Item],tab_alimentos[[#This Row],[Item]],super1[Bairro],mercado12)+SUMIFS(supercb[Qtde],supercb[Item],tab_alimentos[[#This Row],[Item]],supercb[Bairro],mercado12)</f>
        <v>0</v>
      </c>
      <c r="X198" s="27" t="n">
        <f aca="false">SUMIFS(super1[Qtde],super1[Item],tab_alimentos[[#This Row],[Item]],super1[Bairro],mercado13)+SUMIFS(supercb[Qtde],supercb[Item],tab_alimentos[[#This Row],[Item]],supercb[Bairro],mercado13)</f>
        <v>0</v>
      </c>
      <c r="Y198" s="27" t="n">
        <f aca="false">SUMIFS(super1[Qtde],super1[Item],tab_alimentos[[#This Row],[Item]],super1[Bairro],mercado14)+SUMIFS(supercb[Qtde],supercb[Item],tab_alimentos[[#This Row],[Item]],supercb[Bairro],mercado14)</f>
        <v>0</v>
      </c>
      <c r="Z198" s="27" t="n">
        <f aca="false">SUMIFS(super1[Qtde],super1[Item],tab_alimentos[[#This Row],[Item]],super1[Bairro],mercado15)+SUMIFS(supercb[Qtde],supercb[Item],tab_alimentos[[#This Row],[Item]],supercb[Bairro],mercado15)</f>
        <v>0</v>
      </c>
      <c r="AA198" s="27" t="n">
        <f aca="false">SUMIFS(super1[Qtde],super1[Item],tab_alimentos[[#This Row],[Item]],super1[Bairro],mercado16)+SUMIFS(supercb[Qtde],supercb[Item],tab_alimentos[[#This Row],[Item]],supercb[Bairro],mercado16)</f>
        <v>0</v>
      </c>
      <c r="AB198" s="27" t="n">
        <f aca="false">SUMIFS(super1[Qtde],super1[Item],tab_alimentos[[#This Row],[Item]],super1[Bairro],mercado17)+SUMIFS(supercb[Qtde],supercb[Item],tab_alimentos[[#This Row],[Item]],supercb[Bairro],mercado17)</f>
        <v>0</v>
      </c>
      <c r="AC198" s="27" t="n">
        <f aca="false">SUMIFS(super1[Qtde],super1[Item],tab_alimentos[[#This Row],[Item]],super1[Bairro],mercado18)+SUMIFS(supercb[Qtde],supercb[Item],tab_alimentos[[#This Row],[Item]],supercb[Bairro],mercado18)</f>
        <v>0</v>
      </c>
      <c r="AD198" s="27" t="n">
        <f aca="false">SUMIFS(super1[Qtde],super1[Item],tab_alimentos[[#This Row],[Item]],super1[Bairro],extras)+SUMIFS(supercb[Qtde],supercb[Item],tab_alimentos[[#This Row],[Item]],supercb[Bairro],extras)</f>
        <v>0</v>
      </c>
      <c r="AE198" s="27" t="n">
        <f aca="false">SUM(L198:AC198)</f>
        <v>1</v>
      </c>
      <c r="AF198" s="27" t="n">
        <f aca="false">IFERROR(AE198*K198,0)</f>
        <v>2.98</v>
      </c>
      <c r="AG198" s="28" t="n">
        <f aca="false">IFERROR(J198*AE198,0)</f>
        <v>0.39</v>
      </c>
      <c r="AH198" s="37" t="str">
        <f aca="false">higiene[[#This Row],[Item]]</f>
        <v>Saco de Lixo (5un) 100l</v>
      </c>
      <c r="AI198" s="38" t="n">
        <f aca="false">IFERROR(higiene[[#This Row],[Kg equivalente]],0)</f>
        <v>1.38569705348229</v>
      </c>
      <c r="AJ198" s="38" t="n">
        <f aca="false">IFERROR(higiene[[#This Row],[Preço por produto]],0)</f>
        <v>4.59</v>
      </c>
      <c r="AK198" s="27" t="n">
        <f aca="false">SUMIFS(super1[Qtde],super1[Item],tab_higiene[[#This Row],[Item]],super1[Bairro],mercado1)+SUMIFS(supercb[Qtde],supercb[Item],tab_higiene[[#This Row],[Item]],supercb[Bairro],mercado1)</f>
        <v>0</v>
      </c>
      <c r="AL198" s="27" t="n">
        <f aca="false">SUMIFS(super1[Qtde],super1[Item],tab_higiene[[#This Row],[Item]],super1[Bairro],mercado2)+SUMIFS(supercb[Qtde],supercb[Item],tab_higiene[[#This Row],[Item]],supercb[Bairro],mercado2)</f>
        <v>1</v>
      </c>
      <c r="AM198" s="27" t="n">
        <f aca="false">SUMIFS(super1[Qtde],super1[Item],tab_higiene[[#This Row],[Item]],super1[Bairro],mercado3)+SUMIFS(supercb[Qtde],supercb[Item],tab_higiene[[#This Row],[Item]],supercb[Bairro],mercado3)</f>
        <v>0</v>
      </c>
      <c r="AN198" s="27" t="n">
        <f aca="false">SUMIFS(super1[Qtde],super1[Item],tab_higiene[[#This Row],[Item]],super1[Bairro],mercado4)+SUMIFS(supercb[Qtde],supercb[Item],tab_higiene[[#This Row],[Item]],supercb[Bairro],mercado4)</f>
        <v>0</v>
      </c>
      <c r="AO198" s="27" t="n">
        <f aca="false">SUMIFS(super1[Qtde],super1[Item],tab_higiene[[#This Row],[Item]],super1[Bairro],mercado5)+SUMIFS(supercb[Qtde],supercb[Item],tab_higiene[[#This Row],[Item]],supercb[Bairro],mercado5)</f>
        <v>0</v>
      </c>
      <c r="AP198" s="27" t="n">
        <f aca="false">SUMIFS(super1[Qtde],super1[Item],tab_higiene[[#This Row],[Item]],super1[Bairro],mercado6)+SUMIFS(supercb[Qtde],supercb[Item],tab_higiene[[#This Row],[Item]],supercb[Bairro],mercado6)</f>
        <v>0</v>
      </c>
      <c r="AQ198" s="27" t="n">
        <f aca="false">SUMIFS(super1[Qtde],super1[Item],tab_higiene[[#This Row],[Item]],super1[Bairro],mercado7)+SUMIFS(supercb[Qtde],supercb[Item],tab_higiene[[#This Row],[Item]],supercb[Bairro],mercado7)</f>
        <v>0</v>
      </c>
      <c r="AR198" s="27" t="n">
        <f aca="false">SUMIFS(super1[Qtde],super1[Item],tab_higiene[[#This Row],[Item]],super1[Bairro],mercado8)+SUMIFS(supercb[Qtde],supercb[Item],tab_higiene[[#This Row],[Item]],supercb[Bairro],mercado8)</f>
        <v>0</v>
      </c>
      <c r="AS198" s="27" t="n">
        <f aca="false">SUMIFS(super1[Qtde],super1[Item],tab_higiene[[#This Row],[Item]],super1[Bairro],mercado9)+SUMIFS(supercb[Qtde],supercb[Item],tab_higiene[[#This Row],[Item]],supercb[Bairro],mercado9)</f>
        <v>0</v>
      </c>
      <c r="AT198" s="27" t="n">
        <f aca="false">SUMIFS(super1[Qtde],super1[Item],tab_higiene[[#This Row],[Item]],super1[Bairro],mercado10)+SUMIFS(supercb[Qtde],supercb[Item],tab_higiene[[#This Row],[Item]],supercb[Bairro],mercado10)</f>
        <v>0</v>
      </c>
      <c r="AU198" s="27" t="n">
        <f aca="false">SUMIFS(super1[Qtde],super1[Item],tab_higiene[[#This Row],[Item]],super1[Bairro],mercado11)+SUMIFS(supercb[Qtde],supercb[Item],tab_higiene[[#This Row],[Item]],supercb[Bairro],mercado11)</f>
        <v>0</v>
      </c>
      <c r="AV198" s="27" t="n">
        <f aca="false">SUMIFS(super1[Qtde],super1[Item],tab_higiene[[#This Row],[Item]],super1[Bairro],mercado12)+SUMIFS(supercb[Qtde],supercb[Item],tab_higiene[[#This Row],[Item]],supercb[Bairro],mercado12)</f>
        <v>0</v>
      </c>
      <c r="AW198" s="27" t="n">
        <f aca="false">SUMIFS(super1[Qtde],super1[Item],tab_higiene[[#This Row],[Item]],super1[Bairro],mercado13)+SUMIFS(supercb[Qtde],supercb[Item],tab_higiene[[#This Row],[Item]],supercb[Bairro],mercado13)</f>
        <v>0</v>
      </c>
      <c r="AX198" s="27" t="n">
        <f aca="false">SUMIFS(super1[Qtde],super1[Item],tab_higiene[[#This Row],[Item]],super1[Bairro],mercado14)+SUMIFS(supercb[Qtde],supercb[Item],tab_higiene[[#This Row],[Item]],supercb[Bairro],mercado14)</f>
        <v>0</v>
      </c>
      <c r="AY198" s="27" t="n">
        <f aca="false">SUMIFS(super1[Qtde],super1[Item],tab_higiene[[#This Row],[Item]],super1[Bairro],mercado15)+SUMIFS(supercb[Qtde],supercb[Item],tab_higiene[[#This Row],[Item]],supercb[Bairro],mercado15)</f>
        <v>0</v>
      </c>
      <c r="AZ198" s="27" t="n">
        <f aca="false">SUMIFS(super1[Qtde],super1[Item],tab_higiene[[#This Row],[Item]],super1[Bairro],mercado16)+SUMIFS(supercb[Qtde],supercb[Item],tab_higiene[[#This Row],[Item]],supercb[Bairro],mercado16)</f>
        <v>0</v>
      </c>
      <c r="BA198" s="27" t="n">
        <f aca="false">SUMIFS(super1[Qtde],super1[Item],tab_higiene[[#This Row],[Item]],super1[Bairro],mercado17)+SUMIFS(supercb[Qtde],supercb[Item],tab_higiene[[#This Row],[Item]],supercb[Bairro],mercado17)</f>
        <v>0</v>
      </c>
      <c r="BB198" s="27" t="n">
        <f aca="false">SUMIFS(super1[Qtde],super1[Item],tab_higiene[[#This Row],[Item]],super1[Bairro],mercado18)+SUMIFS(supercb[Qtde],supercb[Item],tab_higiene[[#This Row],[Item]],supercb[Bairro],mercado18)</f>
        <v>0</v>
      </c>
      <c r="BC198" s="39" t="n">
        <f aca="false">SUMIFS(super1[Qtde],super1[Item],tab_higiene[[#This Row],[Item]],super1[Bairro],extras)+SUMIFS(supercb[Qtde],supercb[Item],tab_higiene[[#This Row],[Item]],supercb[Bairro],extras)</f>
        <v>0</v>
      </c>
      <c r="BD198" s="38" t="n">
        <f aca="false">SUM(AK198:BB198)</f>
        <v>1</v>
      </c>
      <c r="BE198" s="38" t="n">
        <f aca="false">IFERROR(BD198*AJ198,0)</f>
        <v>4.59</v>
      </c>
      <c r="BF198" s="40" t="n">
        <f aca="false">IFERROR(AI198*BD198,0)</f>
        <v>1.38569705348229</v>
      </c>
    </row>
    <row r="199" customFormat="false" ht="15.75" hidden="false" customHeight="false" outlineLevel="0" collapsed="false">
      <c r="I199" s="26" t="str">
        <f aca="false">alimentos[[#This Row],[Item]]</f>
        <v>N</v>
      </c>
      <c r="J199" s="27" t="n">
        <f aca="false">IFERROR(alimentos[[#This Row],[kg/embalagem]],0)</f>
        <v>0</v>
      </c>
      <c r="K199" s="27" t="n">
        <f aca="false">IFERROR(alimentos[[#This Row],[Preço]],0)</f>
        <v>0</v>
      </c>
      <c r="L199" s="27" t="n">
        <f aca="false">SUMIFS(super1[Qtde],super1[Item],tab_alimentos[[#This Row],[Item]],super1[Bairro],mercado1)+SUMIFS(supercb[Qtde],supercb[Item],tab_alimentos[[#This Row],[Item]],supercb[Bairro],mercado1)</f>
        <v>0</v>
      </c>
      <c r="M199" s="27" t="n">
        <f aca="false">SUMIFS(super1[Qtde],super1[Item],tab_alimentos[[#This Row],[Item]],super1[Bairro],mercado2)+SUMIFS(supercb[Qtde],supercb[Item],tab_alimentos[[#This Row],[Item]],supercb[Bairro],mercado2)</f>
        <v>0</v>
      </c>
      <c r="N199" s="27" t="n">
        <f aca="false">SUMIFS(super1[Qtde],super1[Item],tab_alimentos[[#This Row],[Item]],super1[Bairro],mercado3)+SUMIFS(supercb[Qtde],supercb[Item],tab_alimentos[[#This Row],[Item]],supercb[Bairro],mercado3)</f>
        <v>0</v>
      </c>
      <c r="O199" s="27" t="n">
        <f aca="false">SUMIFS(super1[Qtde],super1[Item],tab_alimentos[[#This Row],[Item]],super1[Bairro],mercado4)+SUMIFS(supercb[Qtde],supercb[Item],tab_alimentos[[#This Row],[Item]],supercb[Bairro],mercado4)</f>
        <v>0</v>
      </c>
      <c r="P199" s="27" t="n">
        <f aca="false">SUMIFS(super1[Qtde],super1[Item],tab_alimentos[[#This Row],[Item]],super1[Bairro],mercado5)+SUMIFS(supercb[Qtde],supercb[Item],tab_alimentos[[#This Row],[Item]],supercb[Bairro],mercado5)</f>
        <v>0</v>
      </c>
      <c r="Q199" s="27" t="n">
        <f aca="false">SUMIFS(super1[Qtde],super1[Item],tab_alimentos[[#This Row],[Item]],super1[Bairro],mercado6)+SUMIFS(supercb[Qtde],supercb[Item],tab_alimentos[[#This Row],[Item]],supercb[Bairro],mercado6)</f>
        <v>0</v>
      </c>
      <c r="R199" s="27" t="n">
        <f aca="false">SUMIFS(super1[Qtde],super1[Item],tab_alimentos[[#This Row],[Item]],super1[Bairro],mercado7)+SUMIFS(supercb[Qtde],supercb[Item],tab_alimentos[[#This Row],[Item]],supercb[Bairro],mercado7)</f>
        <v>0</v>
      </c>
      <c r="S199" s="27" t="n">
        <f aca="false">SUMIFS(super1[Qtde],super1[Item],tab_alimentos[[#This Row],[Item]],super1[Bairro],mercado8)+SUMIFS(supercb[Qtde],supercb[Item],tab_alimentos[[#This Row],[Item]],supercb[Bairro],mercado8)</f>
        <v>0</v>
      </c>
      <c r="T199" s="27" t="n">
        <f aca="false">SUMIFS(super1[Qtde],super1[Item],tab_alimentos[[#This Row],[Item]],super1[Bairro],mercado9)+SUMIFS(supercb[Qtde],supercb[Item],tab_alimentos[[#This Row],[Item]],supercb[Bairro],mercado9)</f>
        <v>0</v>
      </c>
      <c r="U199" s="27" t="n">
        <f aca="false">SUMIFS(super1[Qtde],super1[Item],tab_alimentos[[#This Row],[Item]],super1[Bairro],mercado10)+SUMIFS(supercb[Qtde],supercb[Item],tab_alimentos[[#This Row],[Item]],supercb[Bairro],mercado10)</f>
        <v>0</v>
      </c>
      <c r="V199" s="27" t="n">
        <f aca="false">SUMIFS(super1[Qtde],super1[Item],tab_alimentos[[#This Row],[Item]],super1[Bairro],mercado11)+SUMIFS(supercb[Qtde],supercb[Item],tab_alimentos[[#This Row],[Item]],supercb[Bairro],mercado11)</f>
        <v>0</v>
      </c>
      <c r="W199" s="27" t="n">
        <f aca="false">SUMIFS(super1[Qtde],super1[Item],tab_alimentos[[#This Row],[Item]],super1[Bairro],mercado12)+SUMIFS(supercb[Qtde],supercb[Item],tab_alimentos[[#This Row],[Item]],supercb[Bairro],mercado12)</f>
        <v>0</v>
      </c>
      <c r="X199" s="27" t="n">
        <f aca="false">SUMIFS(super1[Qtde],super1[Item],tab_alimentos[[#This Row],[Item]],super1[Bairro],mercado13)+SUMIFS(supercb[Qtde],supercb[Item],tab_alimentos[[#This Row],[Item]],supercb[Bairro],mercado13)</f>
        <v>0</v>
      </c>
      <c r="Y199" s="27" t="n">
        <f aca="false">SUMIFS(super1[Qtde],super1[Item],tab_alimentos[[#This Row],[Item]],super1[Bairro],mercado14)+SUMIFS(supercb[Qtde],supercb[Item],tab_alimentos[[#This Row],[Item]],supercb[Bairro],mercado14)</f>
        <v>0</v>
      </c>
      <c r="Z199" s="27" t="n">
        <f aca="false">SUMIFS(super1[Qtde],super1[Item],tab_alimentos[[#This Row],[Item]],super1[Bairro],mercado15)+SUMIFS(supercb[Qtde],supercb[Item],tab_alimentos[[#This Row],[Item]],supercb[Bairro],mercado15)</f>
        <v>0</v>
      </c>
      <c r="AA199" s="27" t="n">
        <f aca="false">SUMIFS(super1[Qtde],super1[Item],tab_alimentos[[#This Row],[Item]],super1[Bairro],mercado16)+SUMIFS(supercb[Qtde],supercb[Item],tab_alimentos[[#This Row],[Item]],supercb[Bairro],mercado16)</f>
        <v>0</v>
      </c>
      <c r="AB199" s="27" t="n">
        <f aca="false">SUMIFS(super1[Qtde],super1[Item],tab_alimentos[[#This Row],[Item]],super1[Bairro],mercado17)+SUMIFS(supercb[Qtde],supercb[Item],tab_alimentos[[#This Row],[Item]],supercb[Bairro],mercado17)</f>
        <v>0</v>
      </c>
      <c r="AC199" s="27" t="n">
        <f aca="false">SUMIFS(super1[Qtde],super1[Item],tab_alimentos[[#This Row],[Item]],super1[Bairro],mercado18)+SUMIFS(supercb[Qtde],supercb[Item],tab_alimentos[[#This Row],[Item]],supercb[Bairro],mercado18)</f>
        <v>0</v>
      </c>
      <c r="AD199" s="27" t="n">
        <f aca="false">SUMIFS(super1[Qtde],super1[Item],tab_alimentos[[#This Row],[Item]],super1[Bairro],extras)+SUMIFS(supercb[Qtde],supercb[Item],tab_alimentos[[#This Row],[Item]],supercb[Bairro],extras)</f>
        <v>0</v>
      </c>
      <c r="AE199" s="27" t="n">
        <f aca="false">SUM(L199:AC199)</f>
        <v>0</v>
      </c>
      <c r="AF199" s="27" t="n">
        <f aca="false">IFERROR(AE199*K199,0)</f>
        <v>0</v>
      </c>
      <c r="AG199" s="28" t="n">
        <f aca="false">IFERROR(J199*AE199,0)</f>
        <v>0</v>
      </c>
      <c r="AH199" s="37" t="str">
        <f aca="false">higiene[[#This Row],[Item]]</f>
        <v>SBP</v>
      </c>
      <c r="AI199" s="38" t="n">
        <f aca="false">IFERROR(higiene[[#This Row],[Kg equivalente]],0)</f>
        <v>2.78346989828032</v>
      </c>
      <c r="AJ199" s="38" t="n">
        <f aca="false">IFERROR(higiene[[#This Row],[Preço por produto]],0)</f>
        <v>9.22</v>
      </c>
      <c r="AK199" s="27" t="n">
        <f aca="false">SUMIFS(super1[Qtde],super1[Item],tab_higiene[[#This Row],[Item]],super1[Bairro],mercado1)+SUMIFS(supercb[Qtde],supercb[Item],tab_higiene[[#This Row],[Item]],supercb[Bairro],mercado1)</f>
        <v>0</v>
      </c>
      <c r="AL199" s="27" t="n">
        <f aca="false">SUMIFS(super1[Qtde],super1[Item],tab_higiene[[#This Row],[Item]],super1[Bairro],mercado2)+SUMIFS(supercb[Qtde],supercb[Item],tab_higiene[[#This Row],[Item]],supercb[Bairro],mercado2)</f>
        <v>0</v>
      </c>
      <c r="AM199" s="27" t="n">
        <f aca="false">SUMIFS(super1[Qtde],super1[Item],tab_higiene[[#This Row],[Item]],super1[Bairro],mercado3)+SUMIFS(supercb[Qtde],supercb[Item],tab_higiene[[#This Row],[Item]],supercb[Bairro],mercado3)</f>
        <v>0</v>
      </c>
      <c r="AN199" s="27" t="n">
        <f aca="false">SUMIFS(super1[Qtde],super1[Item],tab_higiene[[#This Row],[Item]],super1[Bairro],mercado4)+SUMIFS(supercb[Qtde],supercb[Item],tab_higiene[[#This Row],[Item]],supercb[Bairro],mercado4)</f>
        <v>0</v>
      </c>
      <c r="AO199" s="27" t="n">
        <f aca="false">SUMIFS(super1[Qtde],super1[Item],tab_higiene[[#This Row],[Item]],super1[Bairro],mercado5)+SUMIFS(supercb[Qtde],supercb[Item],tab_higiene[[#This Row],[Item]],supercb[Bairro],mercado5)</f>
        <v>0</v>
      </c>
      <c r="AP199" s="27" t="n">
        <f aca="false">SUMIFS(super1[Qtde],super1[Item],tab_higiene[[#This Row],[Item]],super1[Bairro],mercado6)+SUMIFS(supercb[Qtde],supercb[Item],tab_higiene[[#This Row],[Item]],supercb[Bairro],mercado6)</f>
        <v>0</v>
      </c>
      <c r="AQ199" s="27" t="n">
        <f aca="false">SUMIFS(super1[Qtde],super1[Item],tab_higiene[[#This Row],[Item]],super1[Bairro],mercado7)+SUMIFS(supercb[Qtde],supercb[Item],tab_higiene[[#This Row],[Item]],supercb[Bairro],mercado7)</f>
        <v>0</v>
      </c>
      <c r="AR199" s="27" t="n">
        <f aca="false">SUMIFS(super1[Qtde],super1[Item],tab_higiene[[#This Row],[Item]],super1[Bairro],mercado8)+SUMIFS(supercb[Qtde],supercb[Item],tab_higiene[[#This Row],[Item]],supercb[Bairro],mercado8)</f>
        <v>0</v>
      </c>
      <c r="AS199" s="27" t="n">
        <f aca="false">SUMIFS(super1[Qtde],super1[Item],tab_higiene[[#This Row],[Item]],super1[Bairro],mercado9)+SUMIFS(supercb[Qtde],supercb[Item],tab_higiene[[#This Row],[Item]],supercb[Bairro],mercado9)</f>
        <v>0</v>
      </c>
      <c r="AT199" s="27" t="n">
        <f aca="false">SUMIFS(super1[Qtde],super1[Item],tab_higiene[[#This Row],[Item]],super1[Bairro],mercado10)+SUMIFS(supercb[Qtde],supercb[Item],tab_higiene[[#This Row],[Item]],supercb[Bairro],mercado10)</f>
        <v>0</v>
      </c>
      <c r="AU199" s="27" t="n">
        <f aca="false">SUMIFS(super1[Qtde],super1[Item],tab_higiene[[#This Row],[Item]],super1[Bairro],mercado11)+SUMIFS(supercb[Qtde],supercb[Item],tab_higiene[[#This Row],[Item]],supercb[Bairro],mercado11)</f>
        <v>0</v>
      </c>
      <c r="AV199" s="27" t="n">
        <f aca="false">SUMIFS(super1[Qtde],super1[Item],tab_higiene[[#This Row],[Item]],super1[Bairro],mercado12)+SUMIFS(supercb[Qtde],supercb[Item],tab_higiene[[#This Row],[Item]],supercb[Bairro],mercado12)</f>
        <v>0</v>
      </c>
      <c r="AW199" s="27" t="n">
        <f aca="false">SUMIFS(super1[Qtde],super1[Item],tab_higiene[[#This Row],[Item]],super1[Bairro],mercado13)+SUMIFS(supercb[Qtde],supercb[Item],tab_higiene[[#This Row],[Item]],supercb[Bairro],mercado13)</f>
        <v>0</v>
      </c>
      <c r="AX199" s="27" t="n">
        <f aca="false">SUMIFS(super1[Qtde],super1[Item],tab_higiene[[#This Row],[Item]],super1[Bairro],mercado14)+SUMIFS(supercb[Qtde],supercb[Item],tab_higiene[[#This Row],[Item]],supercb[Bairro],mercado14)</f>
        <v>0</v>
      </c>
      <c r="AY199" s="27" t="n">
        <f aca="false">SUMIFS(super1[Qtde],super1[Item],tab_higiene[[#This Row],[Item]],super1[Bairro],mercado15)+SUMIFS(supercb[Qtde],supercb[Item],tab_higiene[[#This Row],[Item]],supercb[Bairro],mercado15)</f>
        <v>0</v>
      </c>
      <c r="AZ199" s="27" t="n">
        <f aca="false">SUMIFS(super1[Qtde],super1[Item],tab_higiene[[#This Row],[Item]],super1[Bairro],mercado16)+SUMIFS(supercb[Qtde],supercb[Item],tab_higiene[[#This Row],[Item]],supercb[Bairro],mercado16)</f>
        <v>0</v>
      </c>
      <c r="BA199" s="27" t="n">
        <f aca="false">SUMIFS(super1[Qtde],super1[Item],tab_higiene[[#This Row],[Item]],super1[Bairro],mercado17)+SUMIFS(supercb[Qtde],supercb[Item],tab_higiene[[#This Row],[Item]],supercb[Bairro],mercado17)</f>
        <v>0</v>
      </c>
      <c r="BB199" s="27" t="n">
        <f aca="false">SUMIFS(super1[Qtde],super1[Item],tab_higiene[[#This Row],[Item]],super1[Bairro],mercado18)+SUMIFS(supercb[Qtde],supercb[Item],tab_higiene[[#This Row],[Item]],supercb[Bairro],mercado18)</f>
        <v>0</v>
      </c>
      <c r="BC199" s="39" t="n">
        <f aca="false">SUMIFS(super1[Qtde],super1[Item],tab_higiene[[#This Row],[Item]],super1[Bairro],extras)+SUMIFS(supercb[Qtde],supercb[Item],tab_higiene[[#This Row],[Item]],supercb[Bairro],extras)</f>
        <v>0</v>
      </c>
      <c r="BD199" s="38" t="n">
        <f aca="false">SUM(AK199:BB199)</f>
        <v>0</v>
      </c>
      <c r="BE199" s="38" t="n">
        <f aca="false">IFERROR(BD199*AJ199,0)</f>
        <v>0</v>
      </c>
      <c r="BF199" s="40" t="n">
        <f aca="false">IFERROR(AI199*BD199,0)</f>
        <v>0</v>
      </c>
    </row>
    <row r="200" customFormat="false" ht="15.75" hidden="false" customHeight="false" outlineLevel="0" collapsed="false">
      <c r="I200" s="26" t="str">
        <f aca="false">alimentos[[#This Row],[Item]]</f>
        <v>Nozes (200g)</v>
      </c>
      <c r="J200" s="27" t="n">
        <f aca="false">IFERROR(alimentos[[#This Row],[kg/embalagem]],0)</f>
        <v>0.2</v>
      </c>
      <c r="K200" s="27" t="n">
        <f aca="false">IFERROR(alimentos[[#This Row],[Preço]],0)</f>
        <v>18.9</v>
      </c>
      <c r="L200" s="27" t="n">
        <f aca="false">SUMIFS(super1[Qtde],super1[Item],tab_alimentos[[#This Row],[Item]],super1[Bairro],mercado1)+SUMIFS(supercb[Qtde],supercb[Item],tab_alimentos[[#This Row],[Item]],supercb[Bairro],mercado1)</f>
        <v>0</v>
      </c>
      <c r="M200" s="27" t="n">
        <f aca="false">SUMIFS(super1[Qtde],super1[Item],tab_alimentos[[#This Row],[Item]],super1[Bairro],mercado2)+SUMIFS(supercb[Qtde],supercb[Item],tab_alimentos[[#This Row],[Item]],supercb[Bairro],mercado2)</f>
        <v>0</v>
      </c>
      <c r="N200" s="27" t="n">
        <f aca="false">SUMIFS(super1[Qtde],super1[Item],tab_alimentos[[#This Row],[Item]],super1[Bairro],mercado3)+SUMIFS(supercb[Qtde],supercb[Item],tab_alimentos[[#This Row],[Item]],supercb[Bairro],mercado3)</f>
        <v>0</v>
      </c>
      <c r="O200" s="27" t="n">
        <f aca="false">SUMIFS(super1[Qtde],super1[Item],tab_alimentos[[#This Row],[Item]],super1[Bairro],mercado4)+SUMIFS(supercb[Qtde],supercb[Item],tab_alimentos[[#This Row],[Item]],supercb[Bairro],mercado4)</f>
        <v>0</v>
      </c>
      <c r="P200" s="27" t="n">
        <f aca="false">SUMIFS(super1[Qtde],super1[Item],tab_alimentos[[#This Row],[Item]],super1[Bairro],mercado5)+SUMIFS(supercb[Qtde],supercb[Item],tab_alimentos[[#This Row],[Item]],supercb[Bairro],mercado5)</f>
        <v>0</v>
      </c>
      <c r="Q200" s="27" t="n">
        <f aca="false">SUMIFS(super1[Qtde],super1[Item],tab_alimentos[[#This Row],[Item]],super1[Bairro],mercado6)+SUMIFS(supercb[Qtde],supercb[Item],tab_alimentos[[#This Row],[Item]],supercb[Bairro],mercado6)</f>
        <v>0</v>
      </c>
      <c r="R200" s="27" t="n">
        <f aca="false">SUMIFS(super1[Qtde],super1[Item],tab_alimentos[[#This Row],[Item]],super1[Bairro],mercado7)+SUMIFS(supercb[Qtde],supercb[Item],tab_alimentos[[#This Row],[Item]],supercb[Bairro],mercado7)</f>
        <v>0</v>
      </c>
      <c r="S200" s="27" t="n">
        <f aca="false">SUMIFS(super1[Qtde],super1[Item],tab_alimentos[[#This Row],[Item]],super1[Bairro],mercado8)+SUMIFS(supercb[Qtde],supercb[Item],tab_alimentos[[#This Row],[Item]],supercb[Bairro],mercado8)</f>
        <v>0</v>
      </c>
      <c r="T200" s="27" t="n">
        <f aca="false">SUMIFS(super1[Qtde],super1[Item],tab_alimentos[[#This Row],[Item]],super1[Bairro],mercado9)+SUMIFS(supercb[Qtde],supercb[Item],tab_alimentos[[#This Row],[Item]],supercb[Bairro],mercado9)</f>
        <v>0</v>
      </c>
      <c r="U200" s="27" t="n">
        <f aca="false">SUMIFS(super1[Qtde],super1[Item],tab_alimentos[[#This Row],[Item]],super1[Bairro],mercado10)+SUMIFS(supercb[Qtde],supercb[Item],tab_alimentos[[#This Row],[Item]],supercb[Bairro],mercado10)</f>
        <v>0</v>
      </c>
      <c r="V200" s="27" t="n">
        <f aca="false">SUMIFS(super1[Qtde],super1[Item],tab_alimentos[[#This Row],[Item]],super1[Bairro],mercado11)+SUMIFS(supercb[Qtde],supercb[Item],tab_alimentos[[#This Row],[Item]],supercb[Bairro],mercado11)</f>
        <v>0</v>
      </c>
      <c r="W200" s="27" t="n">
        <f aca="false">SUMIFS(super1[Qtde],super1[Item],tab_alimentos[[#This Row],[Item]],super1[Bairro],mercado12)+SUMIFS(supercb[Qtde],supercb[Item],tab_alimentos[[#This Row],[Item]],supercb[Bairro],mercado12)</f>
        <v>0</v>
      </c>
      <c r="X200" s="27" t="n">
        <f aca="false">SUMIFS(super1[Qtde],super1[Item],tab_alimentos[[#This Row],[Item]],super1[Bairro],mercado13)+SUMIFS(supercb[Qtde],supercb[Item],tab_alimentos[[#This Row],[Item]],supercb[Bairro],mercado13)</f>
        <v>0</v>
      </c>
      <c r="Y200" s="27" t="n">
        <f aca="false">SUMIFS(super1[Qtde],super1[Item],tab_alimentos[[#This Row],[Item]],super1[Bairro],mercado14)+SUMIFS(supercb[Qtde],supercb[Item],tab_alimentos[[#This Row],[Item]],supercb[Bairro],mercado14)</f>
        <v>0</v>
      </c>
      <c r="Z200" s="27" t="n">
        <f aca="false">SUMIFS(super1[Qtde],super1[Item],tab_alimentos[[#This Row],[Item]],super1[Bairro],mercado15)+SUMIFS(supercb[Qtde],supercb[Item],tab_alimentos[[#This Row],[Item]],supercb[Bairro],mercado15)</f>
        <v>0</v>
      </c>
      <c r="AA200" s="27" t="n">
        <f aca="false">SUMIFS(super1[Qtde],super1[Item],tab_alimentos[[#This Row],[Item]],super1[Bairro],mercado16)+SUMIFS(supercb[Qtde],supercb[Item],tab_alimentos[[#This Row],[Item]],supercb[Bairro],mercado16)</f>
        <v>0</v>
      </c>
      <c r="AB200" s="27" t="n">
        <f aca="false">SUMIFS(super1[Qtde],super1[Item],tab_alimentos[[#This Row],[Item]],super1[Bairro],mercado17)+SUMIFS(supercb[Qtde],supercb[Item],tab_alimentos[[#This Row],[Item]],supercb[Bairro],mercado17)</f>
        <v>0</v>
      </c>
      <c r="AC200" s="27" t="n">
        <f aca="false">SUMIFS(super1[Qtde],super1[Item],tab_alimentos[[#This Row],[Item]],super1[Bairro],mercado18)+SUMIFS(supercb[Qtde],supercb[Item],tab_alimentos[[#This Row],[Item]],supercb[Bairro],mercado18)</f>
        <v>0</v>
      </c>
      <c r="AD200" s="27" t="n">
        <f aca="false">SUMIFS(super1[Qtde],super1[Item],tab_alimentos[[#This Row],[Item]],super1[Bairro],extras)+SUMIFS(supercb[Qtde],supercb[Item],tab_alimentos[[#This Row],[Item]],supercb[Bairro],extras)</f>
        <v>0</v>
      </c>
      <c r="AE200" s="27" t="n">
        <f aca="false">SUM(L200:AC200)</f>
        <v>0</v>
      </c>
      <c r="AF200" s="27" t="n">
        <f aca="false">IFERROR(AE200*K200,0)</f>
        <v>0</v>
      </c>
      <c r="AG200" s="28" t="n">
        <f aca="false">IFERROR(J200*AE200,0)</f>
        <v>0</v>
      </c>
      <c r="AH200" s="37" t="str">
        <f aca="false">higiene[[#This Row],[Item]]</f>
        <v>Shampoo</v>
      </c>
      <c r="AI200" s="38" t="n">
        <f aca="false">IFERROR(higiene[[#This Row],[Kg equivalente]],0)</f>
        <v>2.71403409821476</v>
      </c>
      <c r="AJ200" s="38" t="n">
        <f aca="false">IFERROR(higiene[[#This Row],[Preço por produto]],0)</f>
        <v>8.99</v>
      </c>
      <c r="AK200" s="27" t="n">
        <f aca="false">SUMIFS(super1[Qtde],super1[Item],tab_higiene[[#This Row],[Item]],super1[Bairro],mercado1)+SUMIFS(supercb[Qtde],supercb[Item],tab_higiene[[#This Row],[Item]],supercb[Bairro],mercado1)</f>
        <v>0</v>
      </c>
      <c r="AL200" s="27" t="n">
        <f aca="false">SUMIFS(super1[Qtde],super1[Item],tab_higiene[[#This Row],[Item]],super1[Bairro],mercado2)+SUMIFS(supercb[Qtde],supercb[Item],tab_higiene[[#This Row],[Item]],supercb[Bairro],mercado2)</f>
        <v>2</v>
      </c>
      <c r="AM200" s="27" t="n">
        <f aca="false">SUMIFS(super1[Qtde],super1[Item],tab_higiene[[#This Row],[Item]],super1[Bairro],mercado3)+SUMIFS(supercb[Qtde],supercb[Item],tab_higiene[[#This Row],[Item]],supercb[Bairro],mercado3)</f>
        <v>0</v>
      </c>
      <c r="AN200" s="27" t="n">
        <f aca="false">SUMIFS(super1[Qtde],super1[Item],tab_higiene[[#This Row],[Item]],super1[Bairro],mercado4)+SUMIFS(supercb[Qtde],supercb[Item],tab_higiene[[#This Row],[Item]],supercb[Bairro],mercado4)</f>
        <v>0</v>
      </c>
      <c r="AO200" s="27" t="n">
        <f aca="false">SUMIFS(super1[Qtde],super1[Item],tab_higiene[[#This Row],[Item]],super1[Bairro],mercado5)+SUMIFS(supercb[Qtde],supercb[Item],tab_higiene[[#This Row],[Item]],supercb[Bairro],mercado5)</f>
        <v>0</v>
      </c>
      <c r="AP200" s="27" t="n">
        <f aca="false">SUMIFS(super1[Qtde],super1[Item],tab_higiene[[#This Row],[Item]],super1[Bairro],mercado6)+SUMIFS(supercb[Qtde],supercb[Item],tab_higiene[[#This Row],[Item]],supercb[Bairro],mercado6)</f>
        <v>0</v>
      </c>
      <c r="AQ200" s="27" t="n">
        <f aca="false">SUMIFS(super1[Qtde],super1[Item],tab_higiene[[#This Row],[Item]],super1[Bairro],mercado7)+SUMIFS(supercb[Qtde],supercb[Item],tab_higiene[[#This Row],[Item]],supercb[Bairro],mercado7)</f>
        <v>0</v>
      </c>
      <c r="AR200" s="27" t="n">
        <f aca="false">SUMIFS(super1[Qtde],super1[Item],tab_higiene[[#This Row],[Item]],super1[Bairro],mercado8)+SUMIFS(supercb[Qtde],supercb[Item],tab_higiene[[#This Row],[Item]],supercb[Bairro],mercado8)</f>
        <v>1</v>
      </c>
      <c r="AS200" s="27" t="n">
        <f aca="false">SUMIFS(super1[Qtde],super1[Item],tab_higiene[[#This Row],[Item]],super1[Bairro],mercado9)+SUMIFS(supercb[Qtde],supercb[Item],tab_higiene[[#This Row],[Item]],supercb[Bairro],mercado9)</f>
        <v>0</v>
      </c>
      <c r="AT200" s="27" t="n">
        <f aca="false">SUMIFS(super1[Qtde],super1[Item],tab_higiene[[#This Row],[Item]],super1[Bairro],mercado10)+SUMIFS(supercb[Qtde],supercb[Item],tab_higiene[[#This Row],[Item]],supercb[Bairro],mercado10)</f>
        <v>0</v>
      </c>
      <c r="AU200" s="27" t="n">
        <f aca="false">SUMIFS(super1[Qtde],super1[Item],tab_higiene[[#This Row],[Item]],super1[Bairro],mercado11)+SUMIFS(supercb[Qtde],supercb[Item],tab_higiene[[#This Row],[Item]],supercb[Bairro],mercado11)</f>
        <v>0</v>
      </c>
      <c r="AV200" s="27" t="n">
        <f aca="false">SUMIFS(super1[Qtde],super1[Item],tab_higiene[[#This Row],[Item]],super1[Bairro],mercado12)+SUMIFS(supercb[Qtde],supercb[Item],tab_higiene[[#This Row],[Item]],supercb[Bairro],mercado12)</f>
        <v>0</v>
      </c>
      <c r="AW200" s="27" t="n">
        <f aca="false">SUMIFS(super1[Qtde],super1[Item],tab_higiene[[#This Row],[Item]],super1[Bairro],mercado13)+SUMIFS(supercb[Qtde],supercb[Item],tab_higiene[[#This Row],[Item]],supercb[Bairro],mercado13)</f>
        <v>0</v>
      </c>
      <c r="AX200" s="27" t="n">
        <f aca="false">SUMIFS(super1[Qtde],super1[Item],tab_higiene[[#This Row],[Item]],super1[Bairro],mercado14)+SUMIFS(supercb[Qtde],supercb[Item],tab_higiene[[#This Row],[Item]],supercb[Bairro],mercado14)</f>
        <v>0</v>
      </c>
      <c r="AY200" s="27" t="n">
        <f aca="false">SUMIFS(super1[Qtde],super1[Item],tab_higiene[[#This Row],[Item]],super1[Bairro],mercado15)+SUMIFS(supercb[Qtde],supercb[Item],tab_higiene[[#This Row],[Item]],supercb[Bairro],mercado15)</f>
        <v>0</v>
      </c>
      <c r="AZ200" s="27" t="n">
        <f aca="false">SUMIFS(super1[Qtde],super1[Item],tab_higiene[[#This Row],[Item]],super1[Bairro],mercado16)+SUMIFS(supercb[Qtde],supercb[Item],tab_higiene[[#This Row],[Item]],supercb[Bairro],mercado16)</f>
        <v>0</v>
      </c>
      <c r="BA200" s="27" t="n">
        <f aca="false">SUMIFS(super1[Qtde],super1[Item],tab_higiene[[#This Row],[Item]],super1[Bairro],mercado17)+SUMIFS(supercb[Qtde],supercb[Item],tab_higiene[[#This Row],[Item]],supercb[Bairro],mercado17)</f>
        <v>0</v>
      </c>
      <c r="BB200" s="27" t="n">
        <f aca="false">SUMIFS(super1[Qtde],super1[Item],tab_higiene[[#This Row],[Item]],super1[Bairro],mercado18)+SUMIFS(supercb[Qtde],supercb[Item],tab_higiene[[#This Row],[Item]],supercb[Bairro],mercado18)</f>
        <v>0</v>
      </c>
      <c r="BC200" s="39" t="n">
        <f aca="false">SUMIFS(super1[Qtde],super1[Item],tab_higiene[[#This Row],[Item]],super1[Bairro],extras)+SUMIFS(supercb[Qtde],supercb[Item],tab_higiene[[#This Row],[Item]],supercb[Bairro],extras)</f>
        <v>0</v>
      </c>
      <c r="BD200" s="38" t="n">
        <f aca="false">SUM(AK200:BB200)</f>
        <v>3</v>
      </c>
      <c r="BE200" s="38" t="n">
        <f aca="false">IFERROR(BD200*AJ200,0)</f>
        <v>26.97</v>
      </c>
      <c r="BF200" s="40" t="n">
        <f aca="false">IFERROR(AI200*BD200,0)</f>
        <v>8.14210229464428</v>
      </c>
    </row>
    <row r="201" customFormat="false" ht="15.75" hidden="false" customHeight="false" outlineLevel="0" collapsed="false">
      <c r="I201" s="26" t="str">
        <f aca="false">alimentos[[#This Row],[Item]]</f>
        <v>O</v>
      </c>
      <c r="J201" s="27" t="n">
        <f aca="false">IFERROR(alimentos[[#This Row],[kg/embalagem]],0)</f>
        <v>0</v>
      </c>
      <c r="K201" s="27" t="n">
        <f aca="false">IFERROR(alimentos[[#This Row],[Preço]],0)</f>
        <v>0</v>
      </c>
      <c r="L201" s="27" t="n">
        <f aca="false">SUMIFS(super1[Qtde],super1[Item],tab_alimentos[[#This Row],[Item]],super1[Bairro],mercado1)+SUMIFS(supercb[Qtde],supercb[Item],tab_alimentos[[#This Row],[Item]],supercb[Bairro],mercado1)</f>
        <v>0</v>
      </c>
      <c r="M201" s="27" t="n">
        <f aca="false">SUMIFS(super1[Qtde],super1[Item],tab_alimentos[[#This Row],[Item]],super1[Bairro],mercado2)+SUMIFS(supercb[Qtde],supercb[Item],tab_alimentos[[#This Row],[Item]],supercb[Bairro],mercado2)</f>
        <v>0</v>
      </c>
      <c r="N201" s="27" t="n">
        <f aca="false">SUMIFS(super1[Qtde],super1[Item],tab_alimentos[[#This Row],[Item]],super1[Bairro],mercado3)+SUMIFS(supercb[Qtde],supercb[Item],tab_alimentos[[#This Row],[Item]],supercb[Bairro],mercado3)</f>
        <v>0</v>
      </c>
      <c r="O201" s="27" t="n">
        <f aca="false">SUMIFS(super1[Qtde],super1[Item],tab_alimentos[[#This Row],[Item]],super1[Bairro],mercado4)+SUMIFS(supercb[Qtde],supercb[Item],tab_alimentos[[#This Row],[Item]],supercb[Bairro],mercado4)</f>
        <v>0</v>
      </c>
      <c r="P201" s="27" t="n">
        <f aca="false">SUMIFS(super1[Qtde],super1[Item],tab_alimentos[[#This Row],[Item]],super1[Bairro],mercado5)+SUMIFS(supercb[Qtde],supercb[Item],tab_alimentos[[#This Row],[Item]],supercb[Bairro],mercado5)</f>
        <v>0</v>
      </c>
      <c r="Q201" s="27" t="n">
        <f aca="false">SUMIFS(super1[Qtde],super1[Item],tab_alimentos[[#This Row],[Item]],super1[Bairro],mercado6)+SUMIFS(supercb[Qtde],supercb[Item],tab_alimentos[[#This Row],[Item]],supercb[Bairro],mercado6)</f>
        <v>0</v>
      </c>
      <c r="R201" s="27" t="n">
        <f aca="false">SUMIFS(super1[Qtde],super1[Item],tab_alimentos[[#This Row],[Item]],super1[Bairro],mercado7)+SUMIFS(supercb[Qtde],supercb[Item],tab_alimentos[[#This Row],[Item]],supercb[Bairro],mercado7)</f>
        <v>0</v>
      </c>
      <c r="S201" s="27" t="n">
        <f aca="false">SUMIFS(super1[Qtde],super1[Item],tab_alimentos[[#This Row],[Item]],super1[Bairro],mercado8)+SUMIFS(supercb[Qtde],supercb[Item],tab_alimentos[[#This Row],[Item]],supercb[Bairro],mercado8)</f>
        <v>0</v>
      </c>
      <c r="T201" s="27" t="n">
        <f aca="false">SUMIFS(super1[Qtde],super1[Item],tab_alimentos[[#This Row],[Item]],super1[Bairro],mercado9)+SUMIFS(supercb[Qtde],supercb[Item],tab_alimentos[[#This Row],[Item]],supercb[Bairro],mercado9)</f>
        <v>0</v>
      </c>
      <c r="U201" s="27" t="n">
        <f aca="false">SUMIFS(super1[Qtde],super1[Item],tab_alimentos[[#This Row],[Item]],super1[Bairro],mercado10)+SUMIFS(supercb[Qtde],supercb[Item],tab_alimentos[[#This Row],[Item]],supercb[Bairro],mercado10)</f>
        <v>0</v>
      </c>
      <c r="V201" s="27" t="n">
        <f aca="false">SUMIFS(super1[Qtde],super1[Item],tab_alimentos[[#This Row],[Item]],super1[Bairro],mercado11)+SUMIFS(supercb[Qtde],supercb[Item],tab_alimentos[[#This Row],[Item]],supercb[Bairro],mercado11)</f>
        <v>0</v>
      </c>
      <c r="W201" s="27" t="n">
        <f aca="false">SUMIFS(super1[Qtde],super1[Item],tab_alimentos[[#This Row],[Item]],super1[Bairro],mercado12)+SUMIFS(supercb[Qtde],supercb[Item],tab_alimentos[[#This Row],[Item]],supercb[Bairro],mercado12)</f>
        <v>0</v>
      </c>
      <c r="X201" s="27" t="n">
        <f aca="false">SUMIFS(super1[Qtde],super1[Item],tab_alimentos[[#This Row],[Item]],super1[Bairro],mercado13)+SUMIFS(supercb[Qtde],supercb[Item],tab_alimentos[[#This Row],[Item]],supercb[Bairro],mercado13)</f>
        <v>0</v>
      </c>
      <c r="Y201" s="27" t="n">
        <f aca="false">SUMIFS(super1[Qtde],super1[Item],tab_alimentos[[#This Row],[Item]],super1[Bairro],mercado14)+SUMIFS(supercb[Qtde],supercb[Item],tab_alimentos[[#This Row],[Item]],supercb[Bairro],mercado14)</f>
        <v>0</v>
      </c>
      <c r="Z201" s="27" t="n">
        <f aca="false">SUMIFS(super1[Qtde],super1[Item],tab_alimentos[[#This Row],[Item]],super1[Bairro],mercado15)+SUMIFS(supercb[Qtde],supercb[Item],tab_alimentos[[#This Row],[Item]],supercb[Bairro],mercado15)</f>
        <v>0</v>
      </c>
      <c r="AA201" s="27" t="n">
        <f aca="false">SUMIFS(super1[Qtde],super1[Item],tab_alimentos[[#This Row],[Item]],super1[Bairro],mercado16)+SUMIFS(supercb[Qtde],supercb[Item],tab_alimentos[[#This Row],[Item]],supercb[Bairro],mercado16)</f>
        <v>0</v>
      </c>
      <c r="AB201" s="27" t="n">
        <f aca="false">SUMIFS(super1[Qtde],super1[Item],tab_alimentos[[#This Row],[Item]],super1[Bairro],mercado17)+SUMIFS(supercb[Qtde],supercb[Item],tab_alimentos[[#This Row],[Item]],supercb[Bairro],mercado17)</f>
        <v>0</v>
      </c>
      <c r="AC201" s="27" t="n">
        <f aca="false">SUMIFS(super1[Qtde],super1[Item],tab_alimentos[[#This Row],[Item]],super1[Bairro],mercado18)+SUMIFS(supercb[Qtde],supercb[Item],tab_alimentos[[#This Row],[Item]],supercb[Bairro],mercado18)</f>
        <v>0</v>
      </c>
      <c r="AD201" s="27" t="n">
        <f aca="false">SUMIFS(super1[Qtde],super1[Item],tab_alimentos[[#This Row],[Item]],super1[Bairro],extras)+SUMIFS(supercb[Qtde],supercb[Item],tab_alimentos[[#This Row],[Item]],supercb[Bairro],extras)</f>
        <v>0</v>
      </c>
      <c r="AE201" s="27" t="n">
        <f aca="false">SUM(L201:AC201)</f>
        <v>0</v>
      </c>
      <c r="AF201" s="27" t="n">
        <f aca="false">IFERROR(AE201*K201,0)</f>
        <v>0</v>
      </c>
      <c r="AG201" s="28" t="n">
        <f aca="false">IFERROR(J201*AE201,0)</f>
        <v>0</v>
      </c>
      <c r="AH201" s="37" t="str">
        <f aca="false">higiene[[#This Row],[Item]]</f>
        <v>Shampoo (400mL)</v>
      </c>
      <c r="AI201" s="38" t="n">
        <f aca="false">IFERROR(higiene[[#This Row],[Kg equivalente]],0)</f>
        <v>4.40464488241973</v>
      </c>
      <c r="AJ201" s="38" t="n">
        <f aca="false">IFERROR(higiene[[#This Row],[Preço por produto]],0)</f>
        <v>14.59</v>
      </c>
      <c r="AK201" s="27" t="n">
        <f aca="false">SUMIFS(super1[Qtde],super1[Item],tab_higiene[[#This Row],[Item]],super1[Bairro],mercado1)+SUMIFS(supercb[Qtde],supercb[Item],tab_higiene[[#This Row],[Item]],supercb[Bairro],mercado1)</f>
        <v>0</v>
      </c>
      <c r="AL201" s="27" t="n">
        <f aca="false">SUMIFS(super1[Qtde],super1[Item],tab_higiene[[#This Row],[Item]],super1[Bairro],mercado2)+SUMIFS(supercb[Qtde],supercb[Item],tab_higiene[[#This Row],[Item]],supercb[Bairro],mercado2)</f>
        <v>0</v>
      </c>
      <c r="AM201" s="27" t="n">
        <f aca="false">SUMIFS(super1[Qtde],super1[Item],tab_higiene[[#This Row],[Item]],super1[Bairro],mercado3)+SUMIFS(supercb[Qtde],supercb[Item],tab_higiene[[#This Row],[Item]],supercb[Bairro],mercado3)</f>
        <v>0</v>
      </c>
      <c r="AN201" s="27" t="n">
        <f aca="false">SUMIFS(super1[Qtde],super1[Item],tab_higiene[[#This Row],[Item]],super1[Bairro],mercado4)+SUMIFS(supercb[Qtde],supercb[Item],tab_higiene[[#This Row],[Item]],supercb[Bairro],mercado4)</f>
        <v>0</v>
      </c>
      <c r="AO201" s="27" t="n">
        <f aca="false">SUMIFS(super1[Qtde],super1[Item],tab_higiene[[#This Row],[Item]],super1[Bairro],mercado5)+SUMIFS(supercb[Qtde],supercb[Item],tab_higiene[[#This Row],[Item]],supercb[Bairro],mercado5)</f>
        <v>0</v>
      </c>
      <c r="AP201" s="27" t="n">
        <f aca="false">SUMIFS(super1[Qtde],super1[Item],tab_higiene[[#This Row],[Item]],super1[Bairro],mercado6)+SUMIFS(supercb[Qtde],supercb[Item],tab_higiene[[#This Row],[Item]],supercb[Bairro],mercado6)</f>
        <v>0</v>
      </c>
      <c r="AQ201" s="27" t="n">
        <f aca="false">SUMIFS(super1[Qtde],super1[Item],tab_higiene[[#This Row],[Item]],super1[Bairro],mercado7)+SUMIFS(supercb[Qtde],supercb[Item],tab_higiene[[#This Row],[Item]],supercb[Bairro],mercado7)</f>
        <v>0</v>
      </c>
      <c r="AR201" s="27" t="n">
        <f aca="false">SUMIFS(super1[Qtde],super1[Item],tab_higiene[[#This Row],[Item]],super1[Bairro],mercado8)+SUMIFS(supercb[Qtde],supercb[Item],tab_higiene[[#This Row],[Item]],supercb[Bairro],mercado8)</f>
        <v>0</v>
      </c>
      <c r="AS201" s="27" t="n">
        <f aca="false">SUMIFS(super1[Qtde],super1[Item],tab_higiene[[#This Row],[Item]],super1[Bairro],mercado9)+SUMIFS(supercb[Qtde],supercb[Item],tab_higiene[[#This Row],[Item]],supercb[Bairro],mercado9)</f>
        <v>0</v>
      </c>
      <c r="AT201" s="27" t="n">
        <f aca="false">SUMIFS(super1[Qtde],super1[Item],tab_higiene[[#This Row],[Item]],super1[Bairro],mercado10)+SUMIFS(supercb[Qtde],supercb[Item],tab_higiene[[#This Row],[Item]],supercb[Bairro],mercado10)</f>
        <v>3</v>
      </c>
      <c r="AU201" s="27" t="n">
        <f aca="false">SUMIFS(super1[Qtde],super1[Item],tab_higiene[[#This Row],[Item]],super1[Bairro],mercado11)+SUMIFS(supercb[Qtde],supercb[Item],tab_higiene[[#This Row],[Item]],supercb[Bairro],mercado11)</f>
        <v>0</v>
      </c>
      <c r="AV201" s="27" t="n">
        <f aca="false">SUMIFS(super1[Qtde],super1[Item],tab_higiene[[#This Row],[Item]],super1[Bairro],mercado12)+SUMIFS(supercb[Qtde],supercb[Item],tab_higiene[[#This Row],[Item]],supercb[Bairro],mercado12)</f>
        <v>0</v>
      </c>
      <c r="AW201" s="27" t="n">
        <f aca="false">SUMIFS(super1[Qtde],super1[Item],tab_higiene[[#This Row],[Item]],super1[Bairro],mercado13)+SUMIFS(supercb[Qtde],supercb[Item],tab_higiene[[#This Row],[Item]],supercb[Bairro],mercado13)</f>
        <v>0</v>
      </c>
      <c r="AX201" s="27" t="n">
        <f aca="false">SUMIFS(super1[Qtde],super1[Item],tab_higiene[[#This Row],[Item]],super1[Bairro],mercado14)+SUMIFS(supercb[Qtde],supercb[Item],tab_higiene[[#This Row],[Item]],supercb[Bairro],mercado14)</f>
        <v>0</v>
      </c>
      <c r="AY201" s="27" t="n">
        <f aca="false">SUMIFS(super1[Qtde],super1[Item],tab_higiene[[#This Row],[Item]],super1[Bairro],mercado15)+SUMIFS(supercb[Qtde],supercb[Item],tab_higiene[[#This Row],[Item]],supercb[Bairro],mercado15)</f>
        <v>0</v>
      </c>
      <c r="AZ201" s="27" t="n">
        <f aca="false">SUMIFS(super1[Qtde],super1[Item],tab_higiene[[#This Row],[Item]],super1[Bairro],mercado16)+SUMIFS(supercb[Qtde],supercb[Item],tab_higiene[[#This Row],[Item]],supercb[Bairro],mercado16)</f>
        <v>0</v>
      </c>
      <c r="BA201" s="27" t="n">
        <f aca="false">SUMIFS(super1[Qtde],super1[Item],tab_higiene[[#This Row],[Item]],super1[Bairro],mercado17)+SUMIFS(supercb[Qtde],supercb[Item],tab_higiene[[#This Row],[Item]],supercb[Bairro],mercado17)</f>
        <v>0</v>
      </c>
      <c r="BB201" s="27" t="n">
        <f aca="false">SUMIFS(super1[Qtde],super1[Item],tab_higiene[[#This Row],[Item]],super1[Bairro],mercado18)+SUMIFS(supercb[Qtde],supercb[Item],tab_higiene[[#This Row],[Item]],supercb[Bairro],mercado18)</f>
        <v>0</v>
      </c>
      <c r="BC201" s="39" t="n">
        <f aca="false">SUMIFS(super1[Qtde],super1[Item],tab_higiene[[#This Row],[Item]],super1[Bairro],extras)+SUMIFS(supercb[Qtde],supercb[Item],tab_higiene[[#This Row],[Item]],supercb[Bairro],extras)</f>
        <v>0</v>
      </c>
      <c r="BD201" s="38" t="n">
        <f aca="false">SUM(AK201:BB201)</f>
        <v>3</v>
      </c>
      <c r="BE201" s="38" t="n">
        <f aca="false">IFERROR(BD201*AJ201,0)</f>
        <v>43.77</v>
      </c>
      <c r="BF201" s="40" t="n">
        <f aca="false">IFERROR(AI201*BD201,0)</f>
        <v>13.2139346472592</v>
      </c>
    </row>
    <row r="202" customFormat="false" ht="15.75" hidden="false" customHeight="false" outlineLevel="0" collapsed="false">
      <c r="I202" s="26" t="str">
        <f aca="false">alimentos[[#This Row],[Item]]</f>
        <v>Óleo</v>
      </c>
      <c r="J202" s="27" t="n">
        <f aca="false">IFERROR(alimentos[[#This Row],[kg/embalagem]],0)</f>
        <v>0.9</v>
      </c>
      <c r="K202" s="27" t="n">
        <f aca="false">IFERROR(alimentos[[#This Row],[Preço]],0)</f>
        <v>2.96833333333333</v>
      </c>
      <c r="L202" s="27" t="n">
        <f aca="false">SUMIFS(super1[Qtde],super1[Item],tab_alimentos[[#This Row],[Item]],super1[Bairro],mercado1)+SUMIFS(supercb[Qtde],supercb[Item],tab_alimentos[[#This Row],[Item]],supercb[Bairro],mercado1)</f>
        <v>9</v>
      </c>
      <c r="M202" s="27" t="n">
        <f aca="false">SUMIFS(super1[Qtde],super1[Item],tab_alimentos[[#This Row],[Item]],super1[Bairro],mercado2)+SUMIFS(supercb[Qtde],supercb[Item],tab_alimentos[[#This Row],[Item]],supercb[Bairro],mercado2)</f>
        <v>27</v>
      </c>
      <c r="N202" s="27" t="n">
        <f aca="false">SUMIFS(super1[Qtde],super1[Item],tab_alimentos[[#This Row],[Item]],super1[Bairro],mercado3)+SUMIFS(supercb[Qtde],supercb[Item],tab_alimentos[[#This Row],[Item]],supercb[Bairro],mercado3)</f>
        <v>16</v>
      </c>
      <c r="O202" s="27" t="n">
        <f aca="false">SUMIFS(super1[Qtde],super1[Item],tab_alimentos[[#This Row],[Item]],super1[Bairro],mercado4)+SUMIFS(supercb[Qtde],supercb[Item],tab_alimentos[[#This Row],[Item]],supercb[Bairro],mercado4)</f>
        <v>18</v>
      </c>
      <c r="P202" s="27" t="n">
        <f aca="false">SUMIFS(super1[Qtde],super1[Item],tab_alimentos[[#This Row],[Item]],super1[Bairro],mercado5)+SUMIFS(supercb[Qtde],supercb[Item],tab_alimentos[[#This Row],[Item]],supercb[Bairro],mercado5)</f>
        <v>14</v>
      </c>
      <c r="Q202" s="27" t="n">
        <f aca="false">SUMIFS(super1[Qtde],super1[Item],tab_alimentos[[#This Row],[Item]],super1[Bairro],mercado6)+SUMIFS(supercb[Qtde],supercb[Item],tab_alimentos[[#This Row],[Item]],supercb[Bairro],mercado6)</f>
        <v>10</v>
      </c>
      <c r="R202" s="27" t="n">
        <f aca="false">SUMIFS(super1[Qtde],super1[Item],tab_alimentos[[#This Row],[Item]],super1[Bairro],mercado7)+SUMIFS(supercb[Qtde],supercb[Item],tab_alimentos[[#This Row],[Item]],supercb[Bairro],mercado7)</f>
        <v>18</v>
      </c>
      <c r="S202" s="27" t="n">
        <f aca="false">SUMIFS(super1[Qtde],super1[Item],tab_alimentos[[#This Row],[Item]],super1[Bairro],mercado8)+SUMIFS(supercb[Qtde],supercb[Item],tab_alimentos[[#This Row],[Item]],supercb[Bairro],mercado8)</f>
        <v>21</v>
      </c>
      <c r="T202" s="27" t="n">
        <f aca="false">SUMIFS(super1[Qtde],super1[Item],tab_alimentos[[#This Row],[Item]],super1[Bairro],mercado9)+SUMIFS(supercb[Qtde],supercb[Item],tab_alimentos[[#This Row],[Item]],supercb[Bairro],mercado9)</f>
        <v>29</v>
      </c>
      <c r="U202" s="27" t="n">
        <f aca="false">SUMIFS(super1[Qtde],super1[Item],tab_alimentos[[#This Row],[Item]],super1[Bairro],mercado10)+SUMIFS(supercb[Qtde],supercb[Item],tab_alimentos[[#This Row],[Item]],supercb[Bairro],mercado10)</f>
        <v>76</v>
      </c>
      <c r="V202" s="27" t="n">
        <f aca="false">SUMIFS(super1[Qtde],super1[Item],tab_alimentos[[#This Row],[Item]],super1[Bairro],mercado11)+SUMIFS(supercb[Qtde],supercb[Item],tab_alimentos[[#This Row],[Item]],supercb[Bairro],mercado11)</f>
        <v>33</v>
      </c>
      <c r="W202" s="27" t="n">
        <f aca="false">SUMIFS(super1[Qtde],super1[Item],tab_alimentos[[#This Row],[Item]],super1[Bairro],mercado12)+SUMIFS(supercb[Qtde],supercb[Item],tab_alimentos[[#This Row],[Item]],supercb[Bairro],mercado12)</f>
        <v>0</v>
      </c>
      <c r="X202" s="27" t="n">
        <f aca="false">SUMIFS(super1[Qtde],super1[Item],tab_alimentos[[#This Row],[Item]],super1[Bairro],mercado13)+SUMIFS(supercb[Qtde],supercb[Item],tab_alimentos[[#This Row],[Item]],supercb[Bairro],mercado13)</f>
        <v>51</v>
      </c>
      <c r="Y202" s="27" t="n">
        <f aca="false">SUMIFS(super1[Qtde],super1[Item],tab_alimentos[[#This Row],[Item]],super1[Bairro],mercado14)+SUMIFS(supercb[Qtde],supercb[Item],tab_alimentos[[#This Row],[Item]],supercb[Bairro],mercado14)</f>
        <v>0</v>
      </c>
      <c r="Z202" s="27" t="n">
        <f aca="false">SUMIFS(super1[Qtde],super1[Item],tab_alimentos[[#This Row],[Item]],super1[Bairro],mercado15)+SUMIFS(supercb[Qtde],supercb[Item],tab_alimentos[[#This Row],[Item]],supercb[Bairro],mercado15)</f>
        <v>0</v>
      </c>
      <c r="AA202" s="27" t="n">
        <f aca="false">SUMIFS(super1[Qtde],super1[Item],tab_alimentos[[#This Row],[Item]],super1[Bairro],mercado16)+SUMIFS(supercb[Qtde],supercb[Item],tab_alimentos[[#This Row],[Item]],supercb[Bairro],mercado16)</f>
        <v>0</v>
      </c>
      <c r="AB202" s="27" t="n">
        <f aca="false">SUMIFS(super1[Qtde],super1[Item],tab_alimentos[[#This Row],[Item]],super1[Bairro],mercado17)+SUMIFS(supercb[Qtde],supercb[Item],tab_alimentos[[#This Row],[Item]],supercb[Bairro],mercado17)</f>
        <v>0</v>
      </c>
      <c r="AC202" s="27" t="n">
        <f aca="false">SUMIFS(super1[Qtde],super1[Item],tab_alimentos[[#This Row],[Item]],super1[Bairro],mercado18)+SUMIFS(supercb[Qtde],supercb[Item],tab_alimentos[[#This Row],[Item]],supercb[Bairro],mercado18)</f>
        <v>0</v>
      </c>
      <c r="AD202" s="27" t="n">
        <f aca="false">SUMIFS(super1[Qtde],super1[Item],tab_alimentos[[#This Row],[Item]],super1[Bairro],extras)+SUMIFS(supercb[Qtde],supercb[Item],tab_alimentos[[#This Row],[Item]],supercb[Bairro],extras)</f>
        <v>0</v>
      </c>
      <c r="AE202" s="27" t="n">
        <f aca="false">SUM(L202:AC202)</f>
        <v>322</v>
      </c>
      <c r="AF202" s="27" t="n">
        <f aca="false">IFERROR(AE202*K202,0)</f>
        <v>955.803333333333</v>
      </c>
      <c r="AG202" s="28" t="n">
        <f aca="false">IFERROR(J202*AE202,0)</f>
        <v>289.8</v>
      </c>
      <c r="AH202" s="37" t="str">
        <f aca="false">higiene[[#This Row],[Item]]</f>
        <v>Shampoo e Condicionador 325ml</v>
      </c>
      <c r="AI202" s="38" t="n">
        <f aca="false">IFERROR(higiene[[#This Row],[Kg equivalente]],0)</f>
        <v>3.9185942819608</v>
      </c>
      <c r="AJ202" s="38" t="n">
        <f aca="false">IFERROR(higiene[[#This Row],[Preço por produto]],0)</f>
        <v>12.98</v>
      </c>
      <c r="AK202" s="27" t="n">
        <f aca="false">SUMIFS(super1[Qtde],super1[Item],tab_higiene[[#This Row],[Item]],super1[Bairro],mercado1)+SUMIFS(supercb[Qtde],supercb[Item],tab_higiene[[#This Row],[Item]],supercb[Bairro],mercado1)</f>
        <v>0</v>
      </c>
      <c r="AL202" s="27" t="n">
        <f aca="false">SUMIFS(super1[Qtde],super1[Item],tab_higiene[[#This Row],[Item]],super1[Bairro],mercado2)+SUMIFS(supercb[Qtde],supercb[Item],tab_higiene[[#This Row],[Item]],supercb[Bairro],mercado2)</f>
        <v>1</v>
      </c>
      <c r="AM202" s="27" t="n">
        <f aca="false">SUMIFS(super1[Qtde],super1[Item],tab_higiene[[#This Row],[Item]],super1[Bairro],mercado3)+SUMIFS(supercb[Qtde],supercb[Item],tab_higiene[[#This Row],[Item]],supercb[Bairro],mercado3)</f>
        <v>0</v>
      </c>
      <c r="AN202" s="27" t="n">
        <f aca="false">SUMIFS(super1[Qtde],super1[Item],tab_higiene[[#This Row],[Item]],super1[Bairro],mercado4)+SUMIFS(supercb[Qtde],supercb[Item],tab_higiene[[#This Row],[Item]],supercb[Bairro],mercado4)</f>
        <v>0</v>
      </c>
      <c r="AO202" s="27" t="n">
        <f aca="false">SUMIFS(super1[Qtde],super1[Item],tab_higiene[[#This Row],[Item]],super1[Bairro],mercado5)+SUMIFS(supercb[Qtde],supercb[Item],tab_higiene[[#This Row],[Item]],supercb[Bairro],mercado5)</f>
        <v>0</v>
      </c>
      <c r="AP202" s="27" t="n">
        <f aca="false">SUMIFS(super1[Qtde],super1[Item],tab_higiene[[#This Row],[Item]],super1[Bairro],mercado6)+SUMIFS(supercb[Qtde],supercb[Item],tab_higiene[[#This Row],[Item]],supercb[Bairro],mercado6)</f>
        <v>0</v>
      </c>
      <c r="AQ202" s="27" t="n">
        <f aca="false">SUMIFS(super1[Qtde],super1[Item],tab_higiene[[#This Row],[Item]],super1[Bairro],mercado7)+SUMIFS(supercb[Qtde],supercb[Item],tab_higiene[[#This Row],[Item]],supercb[Bairro],mercado7)</f>
        <v>0</v>
      </c>
      <c r="AR202" s="27" t="n">
        <f aca="false">SUMIFS(super1[Qtde],super1[Item],tab_higiene[[#This Row],[Item]],super1[Bairro],mercado8)+SUMIFS(supercb[Qtde],supercb[Item],tab_higiene[[#This Row],[Item]],supercb[Bairro],mercado8)</f>
        <v>0</v>
      </c>
      <c r="AS202" s="27" t="n">
        <f aca="false">SUMIFS(super1[Qtde],super1[Item],tab_higiene[[#This Row],[Item]],super1[Bairro],mercado9)+SUMIFS(supercb[Qtde],supercb[Item],tab_higiene[[#This Row],[Item]],supercb[Bairro],mercado9)</f>
        <v>0</v>
      </c>
      <c r="AT202" s="27" t="n">
        <f aca="false">SUMIFS(super1[Qtde],super1[Item],tab_higiene[[#This Row],[Item]],super1[Bairro],mercado10)+SUMIFS(supercb[Qtde],supercb[Item],tab_higiene[[#This Row],[Item]],supercb[Bairro],mercado10)</f>
        <v>0</v>
      </c>
      <c r="AU202" s="27" t="n">
        <f aca="false">SUMIFS(super1[Qtde],super1[Item],tab_higiene[[#This Row],[Item]],super1[Bairro],mercado11)+SUMIFS(supercb[Qtde],supercb[Item],tab_higiene[[#This Row],[Item]],supercb[Bairro],mercado11)</f>
        <v>0</v>
      </c>
      <c r="AV202" s="27" t="n">
        <f aca="false">SUMIFS(super1[Qtde],super1[Item],tab_higiene[[#This Row],[Item]],super1[Bairro],mercado12)+SUMIFS(supercb[Qtde],supercb[Item],tab_higiene[[#This Row],[Item]],supercb[Bairro],mercado12)</f>
        <v>0</v>
      </c>
      <c r="AW202" s="27" t="n">
        <f aca="false">SUMIFS(super1[Qtde],super1[Item],tab_higiene[[#This Row],[Item]],super1[Bairro],mercado13)+SUMIFS(supercb[Qtde],supercb[Item],tab_higiene[[#This Row],[Item]],supercb[Bairro],mercado13)</f>
        <v>0</v>
      </c>
      <c r="AX202" s="27" t="n">
        <f aca="false">SUMIFS(super1[Qtde],super1[Item],tab_higiene[[#This Row],[Item]],super1[Bairro],mercado14)+SUMIFS(supercb[Qtde],supercb[Item],tab_higiene[[#This Row],[Item]],supercb[Bairro],mercado14)</f>
        <v>0</v>
      </c>
      <c r="AY202" s="27" t="n">
        <f aca="false">SUMIFS(super1[Qtde],super1[Item],tab_higiene[[#This Row],[Item]],super1[Bairro],mercado15)+SUMIFS(supercb[Qtde],supercb[Item],tab_higiene[[#This Row],[Item]],supercb[Bairro],mercado15)</f>
        <v>0</v>
      </c>
      <c r="AZ202" s="27" t="n">
        <f aca="false">SUMIFS(super1[Qtde],super1[Item],tab_higiene[[#This Row],[Item]],super1[Bairro],mercado16)+SUMIFS(supercb[Qtde],supercb[Item],tab_higiene[[#This Row],[Item]],supercb[Bairro],mercado16)</f>
        <v>0</v>
      </c>
      <c r="BA202" s="27" t="n">
        <f aca="false">SUMIFS(super1[Qtde],super1[Item],tab_higiene[[#This Row],[Item]],super1[Bairro],mercado17)+SUMIFS(supercb[Qtde],supercb[Item],tab_higiene[[#This Row],[Item]],supercb[Bairro],mercado17)</f>
        <v>0</v>
      </c>
      <c r="BB202" s="27" t="n">
        <f aca="false">SUMIFS(super1[Qtde],super1[Item],tab_higiene[[#This Row],[Item]],super1[Bairro],mercado18)+SUMIFS(supercb[Qtde],supercb[Item],tab_higiene[[#This Row],[Item]],supercb[Bairro],mercado18)</f>
        <v>0</v>
      </c>
      <c r="BC202" s="39" t="n">
        <f aca="false">SUMIFS(super1[Qtde],super1[Item],tab_higiene[[#This Row],[Item]],super1[Bairro],extras)+SUMIFS(supercb[Qtde],supercb[Item],tab_higiene[[#This Row],[Item]],supercb[Bairro],extras)</f>
        <v>0</v>
      </c>
      <c r="BD202" s="38" t="n">
        <f aca="false">SUM(AK202:BB202)</f>
        <v>1</v>
      </c>
      <c r="BE202" s="38" t="n">
        <f aca="false">IFERROR(BD202*AJ202,0)</f>
        <v>12.98</v>
      </c>
      <c r="BF202" s="40" t="n">
        <f aca="false">IFERROR(AI202*BD202,0)</f>
        <v>3.9185942819608</v>
      </c>
    </row>
    <row r="203" customFormat="false" ht="15.75" hidden="false" customHeight="false" outlineLevel="0" collapsed="false">
      <c r="I203" s="26" t="str">
        <f aca="false">alimentos[[#This Row],[Item]]</f>
        <v>Orégano (10g)</v>
      </c>
      <c r="J203" s="27" t="n">
        <f aca="false">IFERROR(alimentos[[#This Row],[kg/embalagem]],0)</f>
        <v>0.01</v>
      </c>
      <c r="K203" s="27" t="n">
        <f aca="false">IFERROR(alimentos[[#This Row],[Preço]],0)</f>
        <v>3.65</v>
      </c>
      <c r="L203" s="27" t="n">
        <f aca="false">SUMIFS(super1[Qtde],super1[Item],tab_alimentos[[#This Row],[Item]],super1[Bairro],mercado1)+SUMIFS(supercb[Qtde],supercb[Item],tab_alimentos[[#This Row],[Item]],supercb[Bairro],mercado1)</f>
        <v>0</v>
      </c>
      <c r="M203" s="27" t="n">
        <f aca="false">SUMIFS(super1[Qtde],super1[Item],tab_alimentos[[#This Row],[Item]],super1[Bairro],mercado2)+SUMIFS(supercb[Qtde],supercb[Item],tab_alimentos[[#This Row],[Item]],supercb[Bairro],mercado2)</f>
        <v>0</v>
      </c>
      <c r="N203" s="27" t="n">
        <f aca="false">SUMIFS(super1[Qtde],super1[Item],tab_alimentos[[#This Row],[Item]],super1[Bairro],mercado3)+SUMIFS(supercb[Qtde],supercb[Item],tab_alimentos[[#This Row],[Item]],supercb[Bairro],mercado3)</f>
        <v>0</v>
      </c>
      <c r="O203" s="27" t="n">
        <f aca="false">SUMIFS(super1[Qtde],super1[Item],tab_alimentos[[#This Row],[Item]],super1[Bairro],mercado4)+SUMIFS(supercb[Qtde],supercb[Item],tab_alimentos[[#This Row],[Item]],supercb[Bairro],mercado4)</f>
        <v>0</v>
      </c>
      <c r="P203" s="27" t="n">
        <f aca="false">SUMIFS(super1[Qtde],super1[Item],tab_alimentos[[#This Row],[Item]],super1[Bairro],mercado5)+SUMIFS(supercb[Qtde],supercb[Item],tab_alimentos[[#This Row],[Item]],supercb[Bairro],mercado5)</f>
        <v>0</v>
      </c>
      <c r="Q203" s="27" t="n">
        <f aca="false">SUMIFS(super1[Qtde],super1[Item],tab_alimentos[[#This Row],[Item]],super1[Bairro],mercado6)+SUMIFS(supercb[Qtde],supercb[Item],tab_alimentos[[#This Row],[Item]],supercb[Bairro],mercado6)</f>
        <v>0</v>
      </c>
      <c r="R203" s="27" t="n">
        <f aca="false">SUMIFS(super1[Qtde],super1[Item],tab_alimentos[[#This Row],[Item]],super1[Bairro],mercado7)+SUMIFS(supercb[Qtde],supercb[Item],tab_alimentos[[#This Row],[Item]],supercb[Bairro],mercado7)</f>
        <v>0</v>
      </c>
      <c r="S203" s="27" t="n">
        <f aca="false">SUMIFS(super1[Qtde],super1[Item],tab_alimentos[[#This Row],[Item]],super1[Bairro],mercado8)+SUMIFS(supercb[Qtde],supercb[Item],tab_alimentos[[#This Row],[Item]],supercb[Bairro],mercado8)</f>
        <v>0</v>
      </c>
      <c r="T203" s="27" t="n">
        <f aca="false">SUMIFS(super1[Qtde],super1[Item],tab_alimentos[[#This Row],[Item]],super1[Bairro],mercado9)+SUMIFS(supercb[Qtde],supercb[Item],tab_alimentos[[#This Row],[Item]],supercb[Bairro],mercado9)</f>
        <v>0</v>
      </c>
      <c r="U203" s="27" t="n">
        <f aca="false">SUMIFS(super1[Qtde],super1[Item],tab_alimentos[[#This Row],[Item]],super1[Bairro],mercado10)+SUMIFS(supercb[Qtde],supercb[Item],tab_alimentos[[#This Row],[Item]],supercb[Bairro],mercado10)</f>
        <v>0</v>
      </c>
      <c r="V203" s="27" t="n">
        <f aca="false">SUMIFS(super1[Qtde],super1[Item],tab_alimentos[[#This Row],[Item]],super1[Bairro],mercado11)+SUMIFS(supercb[Qtde],supercb[Item],tab_alimentos[[#This Row],[Item]],supercb[Bairro],mercado11)</f>
        <v>0</v>
      </c>
      <c r="W203" s="27" t="n">
        <f aca="false">SUMIFS(super1[Qtde],super1[Item],tab_alimentos[[#This Row],[Item]],super1[Bairro],mercado12)+SUMIFS(supercb[Qtde],supercb[Item],tab_alimentos[[#This Row],[Item]],supercb[Bairro],mercado12)</f>
        <v>0</v>
      </c>
      <c r="X203" s="27" t="n">
        <f aca="false">SUMIFS(super1[Qtde],super1[Item],tab_alimentos[[#This Row],[Item]],super1[Bairro],mercado13)+SUMIFS(supercb[Qtde],supercb[Item],tab_alimentos[[#This Row],[Item]],supercb[Bairro],mercado13)</f>
        <v>0</v>
      </c>
      <c r="Y203" s="27" t="n">
        <f aca="false">SUMIFS(super1[Qtde],super1[Item],tab_alimentos[[#This Row],[Item]],super1[Bairro],mercado14)+SUMIFS(supercb[Qtde],supercb[Item],tab_alimentos[[#This Row],[Item]],supercb[Bairro],mercado14)</f>
        <v>0</v>
      </c>
      <c r="Z203" s="27" t="n">
        <f aca="false">SUMIFS(super1[Qtde],super1[Item],tab_alimentos[[#This Row],[Item]],super1[Bairro],mercado15)+SUMIFS(supercb[Qtde],supercb[Item],tab_alimentos[[#This Row],[Item]],supercb[Bairro],mercado15)</f>
        <v>0</v>
      </c>
      <c r="AA203" s="27" t="n">
        <f aca="false">SUMIFS(super1[Qtde],super1[Item],tab_alimentos[[#This Row],[Item]],super1[Bairro],mercado16)+SUMIFS(supercb[Qtde],supercb[Item],tab_alimentos[[#This Row],[Item]],supercb[Bairro],mercado16)</f>
        <v>0</v>
      </c>
      <c r="AB203" s="27" t="n">
        <f aca="false">SUMIFS(super1[Qtde],super1[Item],tab_alimentos[[#This Row],[Item]],super1[Bairro],mercado17)+SUMIFS(supercb[Qtde],supercb[Item],tab_alimentos[[#This Row],[Item]],supercb[Bairro],mercado17)</f>
        <v>0</v>
      </c>
      <c r="AC203" s="27" t="n">
        <f aca="false">SUMIFS(super1[Qtde],super1[Item],tab_alimentos[[#This Row],[Item]],super1[Bairro],mercado18)+SUMIFS(supercb[Qtde],supercb[Item],tab_alimentos[[#This Row],[Item]],supercb[Bairro],mercado18)</f>
        <v>0</v>
      </c>
      <c r="AD203" s="27" t="n">
        <f aca="false">SUMIFS(super1[Qtde],super1[Item],tab_alimentos[[#This Row],[Item]],super1[Bairro],extras)+SUMIFS(supercb[Qtde],supercb[Item],tab_alimentos[[#This Row],[Item]],supercb[Bairro],extras)</f>
        <v>0</v>
      </c>
      <c r="AE203" s="27" t="n">
        <f aca="false">SUM(L203:AC203)</f>
        <v>0</v>
      </c>
      <c r="AF203" s="27" t="n">
        <f aca="false">IFERROR(AE203*K203,0)</f>
        <v>0</v>
      </c>
      <c r="AG203" s="28" t="n">
        <f aca="false">IFERROR(J203*AE203,0)</f>
        <v>0</v>
      </c>
      <c r="AH203" s="37" t="str">
        <f aca="false">higiene[[#This Row],[Item]]</f>
        <v>Shampoo ou condicinador (200mL)</v>
      </c>
      <c r="AI203" s="38" t="n">
        <f aca="false">IFERROR(higiene[[#This Row],[Kg equivalente]],0)</f>
        <v>2.76007305260606</v>
      </c>
      <c r="AJ203" s="38" t="n">
        <f aca="false">IFERROR(higiene[[#This Row],[Preço por produto]],0)</f>
        <v>9.1425</v>
      </c>
      <c r="AK203" s="27" t="n">
        <f aca="false">SUMIFS(super1[Qtde],super1[Item],tab_higiene[[#This Row],[Item]],super1[Bairro],mercado1)+SUMIFS(supercb[Qtde],supercb[Item],tab_higiene[[#This Row],[Item]],supercb[Bairro],mercado1)</f>
        <v>0</v>
      </c>
      <c r="AL203" s="27" t="n">
        <f aca="false">SUMIFS(super1[Qtde],super1[Item],tab_higiene[[#This Row],[Item]],super1[Bairro],mercado2)+SUMIFS(supercb[Qtde],supercb[Item],tab_higiene[[#This Row],[Item]],supercb[Bairro],mercado2)</f>
        <v>0</v>
      </c>
      <c r="AM203" s="27" t="n">
        <f aca="false">SUMIFS(super1[Qtde],super1[Item],tab_higiene[[#This Row],[Item]],super1[Bairro],mercado3)+SUMIFS(supercb[Qtde],supercb[Item],tab_higiene[[#This Row],[Item]],supercb[Bairro],mercado3)</f>
        <v>0</v>
      </c>
      <c r="AN203" s="27" t="n">
        <f aca="false">SUMIFS(super1[Qtde],super1[Item],tab_higiene[[#This Row],[Item]],super1[Bairro],mercado4)+SUMIFS(supercb[Qtde],supercb[Item],tab_higiene[[#This Row],[Item]],supercb[Bairro],mercado4)</f>
        <v>0</v>
      </c>
      <c r="AO203" s="27" t="n">
        <f aca="false">SUMIFS(super1[Qtde],super1[Item],tab_higiene[[#This Row],[Item]],super1[Bairro],mercado5)+SUMIFS(supercb[Qtde],supercb[Item],tab_higiene[[#This Row],[Item]],supercb[Bairro],mercado5)</f>
        <v>0</v>
      </c>
      <c r="AP203" s="27" t="n">
        <f aca="false">SUMIFS(super1[Qtde],super1[Item],tab_higiene[[#This Row],[Item]],super1[Bairro],mercado6)+SUMIFS(supercb[Qtde],supercb[Item],tab_higiene[[#This Row],[Item]],supercb[Bairro],mercado6)</f>
        <v>0</v>
      </c>
      <c r="AQ203" s="27" t="n">
        <f aca="false">SUMIFS(super1[Qtde],super1[Item],tab_higiene[[#This Row],[Item]],super1[Bairro],mercado7)+SUMIFS(supercb[Qtde],supercb[Item],tab_higiene[[#This Row],[Item]],supercb[Bairro],mercado7)</f>
        <v>0</v>
      </c>
      <c r="AR203" s="27" t="n">
        <f aca="false">SUMIFS(super1[Qtde],super1[Item],tab_higiene[[#This Row],[Item]],super1[Bairro],mercado8)+SUMIFS(supercb[Qtde],supercb[Item],tab_higiene[[#This Row],[Item]],supercb[Bairro],mercado8)</f>
        <v>0</v>
      </c>
      <c r="AS203" s="27" t="n">
        <f aca="false">SUMIFS(super1[Qtde],super1[Item],tab_higiene[[#This Row],[Item]],super1[Bairro],mercado9)+SUMIFS(supercb[Qtde],supercb[Item],tab_higiene[[#This Row],[Item]],supercb[Bairro],mercado9)</f>
        <v>0</v>
      </c>
      <c r="AT203" s="27" t="n">
        <f aca="false">SUMIFS(super1[Qtde],super1[Item],tab_higiene[[#This Row],[Item]],super1[Bairro],mercado10)+SUMIFS(supercb[Qtde],supercb[Item],tab_higiene[[#This Row],[Item]],supercb[Bairro],mercado10)</f>
        <v>0</v>
      </c>
      <c r="AU203" s="27" t="n">
        <f aca="false">SUMIFS(super1[Qtde],super1[Item],tab_higiene[[#This Row],[Item]],super1[Bairro],mercado11)+SUMIFS(supercb[Qtde],supercb[Item],tab_higiene[[#This Row],[Item]],supercb[Bairro],mercado11)</f>
        <v>0</v>
      </c>
      <c r="AV203" s="27" t="n">
        <f aca="false">SUMIFS(super1[Qtde],super1[Item],tab_higiene[[#This Row],[Item]],super1[Bairro],mercado12)+SUMIFS(supercb[Qtde],supercb[Item],tab_higiene[[#This Row],[Item]],supercb[Bairro],mercado12)</f>
        <v>0</v>
      </c>
      <c r="AW203" s="27" t="n">
        <f aca="false">SUMIFS(super1[Qtde],super1[Item],tab_higiene[[#This Row],[Item]],super1[Bairro],mercado13)+SUMIFS(supercb[Qtde],supercb[Item],tab_higiene[[#This Row],[Item]],supercb[Bairro],mercado13)</f>
        <v>1</v>
      </c>
      <c r="AX203" s="27" t="n">
        <f aca="false">SUMIFS(super1[Qtde],super1[Item],tab_higiene[[#This Row],[Item]],super1[Bairro],mercado14)+SUMIFS(supercb[Qtde],supercb[Item],tab_higiene[[#This Row],[Item]],supercb[Bairro],mercado14)</f>
        <v>0</v>
      </c>
      <c r="AY203" s="27" t="n">
        <f aca="false">SUMIFS(super1[Qtde],super1[Item],tab_higiene[[#This Row],[Item]],super1[Bairro],mercado15)+SUMIFS(supercb[Qtde],supercb[Item],tab_higiene[[#This Row],[Item]],supercb[Bairro],mercado15)</f>
        <v>0</v>
      </c>
      <c r="AZ203" s="27" t="n">
        <f aca="false">SUMIFS(super1[Qtde],super1[Item],tab_higiene[[#This Row],[Item]],super1[Bairro],mercado16)+SUMIFS(supercb[Qtde],supercb[Item],tab_higiene[[#This Row],[Item]],supercb[Bairro],mercado16)</f>
        <v>0</v>
      </c>
      <c r="BA203" s="27" t="n">
        <f aca="false">SUMIFS(super1[Qtde],super1[Item],tab_higiene[[#This Row],[Item]],super1[Bairro],mercado17)+SUMIFS(supercb[Qtde],supercb[Item],tab_higiene[[#This Row],[Item]],supercb[Bairro],mercado17)</f>
        <v>0</v>
      </c>
      <c r="BB203" s="27" t="n">
        <f aca="false">SUMIFS(super1[Qtde],super1[Item],tab_higiene[[#This Row],[Item]],super1[Bairro],mercado18)+SUMIFS(supercb[Qtde],supercb[Item],tab_higiene[[#This Row],[Item]],supercb[Bairro],mercado18)</f>
        <v>0</v>
      </c>
      <c r="BC203" s="39" t="n">
        <f aca="false">SUMIFS(super1[Qtde],super1[Item],tab_higiene[[#This Row],[Item]],super1[Bairro],extras)+SUMIFS(supercb[Qtde],supercb[Item],tab_higiene[[#This Row],[Item]],supercb[Bairro],extras)</f>
        <v>0</v>
      </c>
      <c r="BD203" s="38" t="n">
        <f aca="false">SUM(AK203:BB203)</f>
        <v>1</v>
      </c>
      <c r="BE203" s="38" t="n">
        <f aca="false">IFERROR(BD203*AJ203,0)</f>
        <v>9.1425</v>
      </c>
      <c r="BF203" s="40" t="n">
        <f aca="false">IFERROR(AI203*BD203,0)</f>
        <v>2.76007305260606</v>
      </c>
    </row>
    <row r="204" customFormat="false" ht="15.75" hidden="false" customHeight="false" outlineLevel="0" collapsed="false">
      <c r="I204" s="26" t="str">
        <f aca="false">alimentos[[#This Row],[Item]]</f>
        <v>P</v>
      </c>
      <c r="J204" s="27" t="n">
        <f aca="false">IFERROR(alimentos[[#This Row],[kg/embalagem]],0)</f>
        <v>0</v>
      </c>
      <c r="K204" s="27" t="n">
        <f aca="false">IFERROR(alimentos[[#This Row],[Preço]],0)</f>
        <v>0</v>
      </c>
      <c r="L204" s="27" t="n">
        <f aca="false">SUMIFS(super1[Qtde],super1[Item],tab_alimentos[[#This Row],[Item]],super1[Bairro],mercado1)+SUMIFS(supercb[Qtde],supercb[Item],tab_alimentos[[#This Row],[Item]],supercb[Bairro],mercado1)</f>
        <v>0</v>
      </c>
      <c r="M204" s="27" t="n">
        <f aca="false">SUMIFS(super1[Qtde],super1[Item],tab_alimentos[[#This Row],[Item]],super1[Bairro],mercado2)+SUMIFS(supercb[Qtde],supercb[Item],tab_alimentos[[#This Row],[Item]],supercb[Bairro],mercado2)</f>
        <v>0</v>
      </c>
      <c r="N204" s="27" t="n">
        <f aca="false">SUMIFS(super1[Qtde],super1[Item],tab_alimentos[[#This Row],[Item]],super1[Bairro],mercado3)+SUMIFS(supercb[Qtde],supercb[Item],tab_alimentos[[#This Row],[Item]],supercb[Bairro],mercado3)</f>
        <v>0</v>
      </c>
      <c r="O204" s="27" t="n">
        <f aca="false">SUMIFS(super1[Qtde],super1[Item],tab_alimentos[[#This Row],[Item]],super1[Bairro],mercado4)+SUMIFS(supercb[Qtde],supercb[Item],tab_alimentos[[#This Row],[Item]],supercb[Bairro],mercado4)</f>
        <v>0</v>
      </c>
      <c r="P204" s="27" t="n">
        <f aca="false">SUMIFS(super1[Qtde],super1[Item],tab_alimentos[[#This Row],[Item]],super1[Bairro],mercado5)+SUMIFS(supercb[Qtde],supercb[Item],tab_alimentos[[#This Row],[Item]],supercb[Bairro],mercado5)</f>
        <v>0</v>
      </c>
      <c r="Q204" s="27" t="n">
        <f aca="false">SUMIFS(super1[Qtde],super1[Item],tab_alimentos[[#This Row],[Item]],super1[Bairro],mercado6)+SUMIFS(supercb[Qtde],supercb[Item],tab_alimentos[[#This Row],[Item]],supercb[Bairro],mercado6)</f>
        <v>0</v>
      </c>
      <c r="R204" s="27" t="n">
        <f aca="false">SUMIFS(super1[Qtde],super1[Item],tab_alimentos[[#This Row],[Item]],super1[Bairro],mercado7)+SUMIFS(supercb[Qtde],supercb[Item],tab_alimentos[[#This Row],[Item]],supercb[Bairro],mercado7)</f>
        <v>0</v>
      </c>
      <c r="S204" s="27" t="n">
        <f aca="false">SUMIFS(super1[Qtde],super1[Item],tab_alimentos[[#This Row],[Item]],super1[Bairro],mercado8)+SUMIFS(supercb[Qtde],supercb[Item],tab_alimentos[[#This Row],[Item]],supercb[Bairro],mercado8)</f>
        <v>0</v>
      </c>
      <c r="T204" s="27" t="n">
        <f aca="false">SUMIFS(super1[Qtde],super1[Item],tab_alimentos[[#This Row],[Item]],super1[Bairro],mercado9)+SUMIFS(supercb[Qtde],supercb[Item],tab_alimentos[[#This Row],[Item]],supercb[Bairro],mercado9)</f>
        <v>0</v>
      </c>
      <c r="U204" s="27" t="n">
        <f aca="false">SUMIFS(super1[Qtde],super1[Item],tab_alimentos[[#This Row],[Item]],super1[Bairro],mercado10)+SUMIFS(supercb[Qtde],supercb[Item],tab_alimentos[[#This Row],[Item]],supercb[Bairro],mercado10)</f>
        <v>0</v>
      </c>
      <c r="V204" s="27" t="n">
        <f aca="false">SUMIFS(super1[Qtde],super1[Item],tab_alimentos[[#This Row],[Item]],super1[Bairro],mercado11)+SUMIFS(supercb[Qtde],supercb[Item],tab_alimentos[[#This Row],[Item]],supercb[Bairro],mercado11)</f>
        <v>0</v>
      </c>
      <c r="W204" s="27" t="n">
        <f aca="false">SUMIFS(super1[Qtde],super1[Item],tab_alimentos[[#This Row],[Item]],super1[Bairro],mercado12)+SUMIFS(supercb[Qtde],supercb[Item],tab_alimentos[[#This Row],[Item]],supercb[Bairro],mercado12)</f>
        <v>0</v>
      </c>
      <c r="X204" s="27" t="n">
        <f aca="false">SUMIFS(super1[Qtde],super1[Item],tab_alimentos[[#This Row],[Item]],super1[Bairro],mercado13)+SUMIFS(supercb[Qtde],supercb[Item],tab_alimentos[[#This Row],[Item]],supercb[Bairro],mercado13)</f>
        <v>0</v>
      </c>
      <c r="Y204" s="27" t="n">
        <f aca="false">SUMIFS(super1[Qtde],super1[Item],tab_alimentos[[#This Row],[Item]],super1[Bairro],mercado14)+SUMIFS(supercb[Qtde],supercb[Item],tab_alimentos[[#This Row],[Item]],supercb[Bairro],mercado14)</f>
        <v>0</v>
      </c>
      <c r="Z204" s="27" t="n">
        <f aca="false">SUMIFS(super1[Qtde],super1[Item],tab_alimentos[[#This Row],[Item]],super1[Bairro],mercado15)+SUMIFS(supercb[Qtde],supercb[Item],tab_alimentos[[#This Row],[Item]],supercb[Bairro],mercado15)</f>
        <v>0</v>
      </c>
      <c r="AA204" s="27" t="n">
        <f aca="false">SUMIFS(super1[Qtde],super1[Item],tab_alimentos[[#This Row],[Item]],super1[Bairro],mercado16)+SUMIFS(supercb[Qtde],supercb[Item],tab_alimentos[[#This Row],[Item]],supercb[Bairro],mercado16)</f>
        <v>0</v>
      </c>
      <c r="AB204" s="27" t="n">
        <f aca="false">SUMIFS(super1[Qtde],super1[Item],tab_alimentos[[#This Row],[Item]],super1[Bairro],mercado17)+SUMIFS(supercb[Qtde],supercb[Item],tab_alimentos[[#This Row],[Item]],supercb[Bairro],mercado17)</f>
        <v>0</v>
      </c>
      <c r="AC204" s="27" t="n">
        <f aca="false">SUMIFS(super1[Qtde],super1[Item],tab_alimentos[[#This Row],[Item]],super1[Bairro],mercado18)+SUMIFS(supercb[Qtde],supercb[Item],tab_alimentos[[#This Row],[Item]],supercb[Bairro],mercado18)</f>
        <v>0</v>
      </c>
      <c r="AD204" s="27" t="n">
        <f aca="false">SUMIFS(super1[Qtde],super1[Item],tab_alimentos[[#This Row],[Item]],super1[Bairro],extras)+SUMIFS(supercb[Qtde],supercb[Item],tab_alimentos[[#This Row],[Item]],supercb[Bairro],extras)</f>
        <v>0</v>
      </c>
      <c r="AE204" s="27" t="n">
        <f aca="false">SUM(L204:AC204)</f>
        <v>0</v>
      </c>
      <c r="AF204" s="27" t="n">
        <f aca="false">IFERROR(AE204*K204,0)</f>
        <v>0</v>
      </c>
      <c r="AG204" s="28" t="n">
        <f aca="false">IFERROR(J204*AE204,0)</f>
        <v>0</v>
      </c>
      <c r="AH204" s="37" t="str">
        <f aca="false">higiene[[#This Row],[Item]]</f>
        <v>Shampoo ou condicinador (400mL)</v>
      </c>
      <c r="AI204" s="38" t="n">
        <f aca="false">IFERROR(higiene[[#This Row],[Kg equivalente]],0)</f>
        <v>3.56613212293235</v>
      </c>
      <c r="AJ204" s="38" t="n">
        <f aca="false">IFERROR(higiene[[#This Row],[Preço por produto]],0)</f>
        <v>11.8125</v>
      </c>
      <c r="AK204" s="27" t="n">
        <f aca="false">SUMIFS(super1[Qtde],super1[Item],tab_higiene[[#This Row],[Item]],super1[Bairro],mercado1)+SUMIFS(supercb[Qtde],supercb[Item],tab_higiene[[#This Row],[Item]],supercb[Bairro],mercado1)</f>
        <v>0</v>
      </c>
      <c r="AL204" s="27" t="n">
        <f aca="false">SUMIFS(super1[Qtde],super1[Item],tab_higiene[[#This Row],[Item]],super1[Bairro],mercado2)+SUMIFS(supercb[Qtde],supercb[Item],tab_higiene[[#This Row],[Item]],supercb[Bairro],mercado2)</f>
        <v>0</v>
      </c>
      <c r="AM204" s="27" t="n">
        <f aca="false">SUMIFS(super1[Qtde],super1[Item],tab_higiene[[#This Row],[Item]],super1[Bairro],mercado3)+SUMIFS(supercb[Qtde],supercb[Item],tab_higiene[[#This Row],[Item]],supercb[Bairro],mercado3)</f>
        <v>0</v>
      </c>
      <c r="AN204" s="27" t="n">
        <f aca="false">SUMIFS(super1[Qtde],super1[Item],tab_higiene[[#This Row],[Item]],super1[Bairro],mercado4)+SUMIFS(supercb[Qtde],supercb[Item],tab_higiene[[#This Row],[Item]],supercb[Bairro],mercado4)</f>
        <v>0</v>
      </c>
      <c r="AO204" s="27" t="n">
        <f aca="false">SUMIFS(super1[Qtde],super1[Item],tab_higiene[[#This Row],[Item]],super1[Bairro],mercado5)+SUMIFS(supercb[Qtde],supercb[Item],tab_higiene[[#This Row],[Item]],supercb[Bairro],mercado5)</f>
        <v>0</v>
      </c>
      <c r="AP204" s="27" t="n">
        <f aca="false">SUMIFS(super1[Qtde],super1[Item],tab_higiene[[#This Row],[Item]],super1[Bairro],mercado6)+SUMIFS(supercb[Qtde],supercb[Item],tab_higiene[[#This Row],[Item]],supercb[Bairro],mercado6)</f>
        <v>0</v>
      </c>
      <c r="AQ204" s="27" t="n">
        <f aca="false">SUMIFS(super1[Qtde],super1[Item],tab_higiene[[#This Row],[Item]],super1[Bairro],mercado7)+SUMIFS(supercb[Qtde],supercb[Item],tab_higiene[[#This Row],[Item]],supercb[Bairro],mercado7)</f>
        <v>0</v>
      </c>
      <c r="AR204" s="27" t="n">
        <f aca="false">SUMIFS(super1[Qtde],super1[Item],tab_higiene[[#This Row],[Item]],super1[Bairro],mercado8)+SUMIFS(supercb[Qtde],supercb[Item],tab_higiene[[#This Row],[Item]],supercb[Bairro],mercado8)</f>
        <v>0</v>
      </c>
      <c r="AS204" s="27" t="n">
        <f aca="false">SUMIFS(super1[Qtde],super1[Item],tab_higiene[[#This Row],[Item]],super1[Bairro],mercado9)+SUMIFS(supercb[Qtde],supercb[Item],tab_higiene[[#This Row],[Item]],supercb[Bairro],mercado9)</f>
        <v>0</v>
      </c>
      <c r="AT204" s="27" t="n">
        <f aca="false">SUMIFS(super1[Qtde],super1[Item],tab_higiene[[#This Row],[Item]],super1[Bairro],mercado10)+SUMIFS(supercb[Qtde],supercb[Item],tab_higiene[[#This Row],[Item]],supercb[Bairro],mercado10)</f>
        <v>0</v>
      </c>
      <c r="AU204" s="27" t="n">
        <f aca="false">SUMIFS(super1[Qtde],super1[Item],tab_higiene[[#This Row],[Item]],super1[Bairro],mercado11)+SUMIFS(supercb[Qtde],supercb[Item],tab_higiene[[#This Row],[Item]],supercb[Bairro],mercado11)</f>
        <v>0</v>
      </c>
      <c r="AV204" s="27" t="n">
        <f aca="false">SUMIFS(super1[Qtde],super1[Item],tab_higiene[[#This Row],[Item]],super1[Bairro],mercado12)+SUMIFS(supercb[Qtde],supercb[Item],tab_higiene[[#This Row],[Item]],supercb[Bairro],mercado12)</f>
        <v>0</v>
      </c>
      <c r="AW204" s="27" t="n">
        <f aca="false">SUMIFS(super1[Qtde],super1[Item],tab_higiene[[#This Row],[Item]],super1[Bairro],mercado13)+SUMIFS(supercb[Qtde],supercb[Item],tab_higiene[[#This Row],[Item]],supercb[Bairro],mercado13)</f>
        <v>0</v>
      </c>
      <c r="AX204" s="27" t="n">
        <f aca="false">SUMIFS(super1[Qtde],super1[Item],tab_higiene[[#This Row],[Item]],super1[Bairro],mercado14)+SUMIFS(supercb[Qtde],supercb[Item],tab_higiene[[#This Row],[Item]],supercb[Bairro],mercado14)</f>
        <v>0</v>
      </c>
      <c r="AY204" s="27" t="n">
        <f aca="false">SUMIFS(super1[Qtde],super1[Item],tab_higiene[[#This Row],[Item]],super1[Bairro],mercado15)+SUMIFS(supercb[Qtde],supercb[Item],tab_higiene[[#This Row],[Item]],supercb[Bairro],mercado15)</f>
        <v>0</v>
      </c>
      <c r="AZ204" s="27" t="n">
        <f aca="false">SUMIFS(super1[Qtde],super1[Item],tab_higiene[[#This Row],[Item]],super1[Bairro],mercado16)+SUMIFS(supercb[Qtde],supercb[Item],tab_higiene[[#This Row],[Item]],supercb[Bairro],mercado16)</f>
        <v>0</v>
      </c>
      <c r="BA204" s="27" t="n">
        <f aca="false">SUMIFS(super1[Qtde],super1[Item],tab_higiene[[#This Row],[Item]],super1[Bairro],mercado17)+SUMIFS(supercb[Qtde],supercb[Item],tab_higiene[[#This Row],[Item]],supercb[Bairro],mercado17)</f>
        <v>0</v>
      </c>
      <c r="BB204" s="27" t="n">
        <f aca="false">SUMIFS(super1[Qtde],super1[Item],tab_higiene[[#This Row],[Item]],super1[Bairro],mercado18)+SUMIFS(supercb[Qtde],supercb[Item],tab_higiene[[#This Row],[Item]],supercb[Bairro],mercado18)</f>
        <v>0</v>
      </c>
      <c r="BC204" s="39" t="n">
        <f aca="false">SUMIFS(super1[Qtde],super1[Item],tab_higiene[[#This Row],[Item]],super1[Bairro],extras)+SUMIFS(supercb[Qtde],supercb[Item],tab_higiene[[#This Row],[Item]],supercb[Bairro],extras)</f>
        <v>0</v>
      </c>
      <c r="BD204" s="38" t="n">
        <f aca="false">SUM(AK204:BB204)</f>
        <v>0</v>
      </c>
      <c r="BE204" s="38" t="n">
        <f aca="false">IFERROR(BD204*AJ204,0)</f>
        <v>0</v>
      </c>
      <c r="BF204" s="40" t="n">
        <f aca="false">IFERROR(AI204*BD204,0)</f>
        <v>0</v>
      </c>
    </row>
    <row r="205" customFormat="false" ht="15.75" hidden="false" customHeight="false" outlineLevel="0" collapsed="false">
      <c r="I205" s="26" t="str">
        <f aca="false">alimentos[[#This Row],[Item]]</f>
        <v>Pacote de bala (200g)</v>
      </c>
      <c r="J205" s="27" t="n">
        <f aca="false">IFERROR(alimentos[[#This Row],[kg/embalagem]],0)</f>
        <v>0.2</v>
      </c>
      <c r="K205" s="27" t="n">
        <f aca="false">IFERROR(alimentos[[#This Row],[Preço]],0)</f>
        <v>4.59</v>
      </c>
      <c r="L205" s="27" t="n">
        <f aca="false">SUMIFS(super1[Qtde],super1[Item],tab_alimentos[[#This Row],[Item]],super1[Bairro],mercado1)+SUMIFS(supercb[Qtde],supercb[Item],tab_alimentos[[#This Row],[Item]],supercb[Bairro],mercado1)</f>
        <v>0</v>
      </c>
      <c r="M205" s="27" t="n">
        <f aca="false">SUMIFS(super1[Qtde],super1[Item],tab_alimentos[[#This Row],[Item]],super1[Bairro],mercado2)+SUMIFS(supercb[Qtde],supercb[Item],tab_alimentos[[#This Row],[Item]],supercb[Bairro],mercado2)</f>
        <v>0</v>
      </c>
      <c r="N205" s="27" t="n">
        <f aca="false">SUMIFS(super1[Qtde],super1[Item],tab_alimentos[[#This Row],[Item]],super1[Bairro],mercado3)+SUMIFS(supercb[Qtde],supercb[Item],tab_alimentos[[#This Row],[Item]],supercb[Bairro],mercado3)</f>
        <v>0</v>
      </c>
      <c r="O205" s="27" t="n">
        <f aca="false">SUMIFS(super1[Qtde],super1[Item],tab_alimentos[[#This Row],[Item]],super1[Bairro],mercado4)+SUMIFS(supercb[Qtde],supercb[Item],tab_alimentos[[#This Row],[Item]],supercb[Bairro],mercado4)</f>
        <v>0</v>
      </c>
      <c r="P205" s="27" t="n">
        <f aca="false">SUMIFS(super1[Qtde],super1[Item],tab_alimentos[[#This Row],[Item]],super1[Bairro],mercado5)+SUMIFS(supercb[Qtde],supercb[Item],tab_alimentos[[#This Row],[Item]],supercb[Bairro],mercado5)</f>
        <v>0</v>
      </c>
      <c r="Q205" s="27" t="n">
        <f aca="false">SUMIFS(super1[Qtde],super1[Item],tab_alimentos[[#This Row],[Item]],super1[Bairro],mercado6)+SUMIFS(supercb[Qtde],supercb[Item],tab_alimentos[[#This Row],[Item]],supercb[Bairro],mercado6)</f>
        <v>0</v>
      </c>
      <c r="R205" s="27" t="n">
        <f aca="false">SUMIFS(super1[Qtde],super1[Item],tab_alimentos[[#This Row],[Item]],super1[Bairro],mercado7)+SUMIFS(supercb[Qtde],supercb[Item],tab_alimentos[[#This Row],[Item]],supercb[Bairro],mercado7)</f>
        <v>0</v>
      </c>
      <c r="S205" s="27" t="n">
        <f aca="false">SUMIFS(super1[Qtde],super1[Item],tab_alimentos[[#This Row],[Item]],super1[Bairro],mercado8)+SUMIFS(supercb[Qtde],supercb[Item],tab_alimentos[[#This Row],[Item]],supercb[Bairro],mercado8)</f>
        <v>0</v>
      </c>
      <c r="T205" s="27" t="n">
        <f aca="false">SUMIFS(super1[Qtde],super1[Item],tab_alimentos[[#This Row],[Item]],super1[Bairro],mercado9)+SUMIFS(supercb[Qtde],supercb[Item],tab_alimentos[[#This Row],[Item]],supercb[Bairro],mercado9)</f>
        <v>0</v>
      </c>
      <c r="U205" s="27" t="n">
        <f aca="false">SUMIFS(super1[Qtde],super1[Item],tab_alimentos[[#This Row],[Item]],super1[Bairro],mercado10)+SUMIFS(supercb[Qtde],supercb[Item],tab_alimentos[[#This Row],[Item]],supercb[Bairro],mercado10)</f>
        <v>0</v>
      </c>
      <c r="V205" s="27" t="n">
        <f aca="false">SUMIFS(super1[Qtde],super1[Item],tab_alimentos[[#This Row],[Item]],super1[Bairro],mercado11)+SUMIFS(supercb[Qtde],supercb[Item],tab_alimentos[[#This Row],[Item]],supercb[Bairro],mercado11)</f>
        <v>0</v>
      </c>
      <c r="W205" s="27" t="n">
        <f aca="false">SUMIFS(super1[Qtde],super1[Item],tab_alimentos[[#This Row],[Item]],super1[Bairro],mercado12)+SUMIFS(supercb[Qtde],supercb[Item],tab_alimentos[[#This Row],[Item]],supercb[Bairro],mercado12)</f>
        <v>0</v>
      </c>
      <c r="X205" s="27" t="n">
        <f aca="false">SUMIFS(super1[Qtde],super1[Item],tab_alimentos[[#This Row],[Item]],super1[Bairro],mercado13)+SUMIFS(supercb[Qtde],supercb[Item],tab_alimentos[[#This Row],[Item]],supercb[Bairro],mercado13)</f>
        <v>0</v>
      </c>
      <c r="Y205" s="27" t="n">
        <f aca="false">SUMIFS(super1[Qtde],super1[Item],tab_alimentos[[#This Row],[Item]],super1[Bairro],mercado14)+SUMIFS(supercb[Qtde],supercb[Item],tab_alimentos[[#This Row],[Item]],supercb[Bairro],mercado14)</f>
        <v>0</v>
      </c>
      <c r="Z205" s="27" t="n">
        <f aca="false">SUMIFS(super1[Qtde],super1[Item],tab_alimentos[[#This Row],[Item]],super1[Bairro],mercado15)+SUMIFS(supercb[Qtde],supercb[Item],tab_alimentos[[#This Row],[Item]],supercb[Bairro],mercado15)</f>
        <v>0</v>
      </c>
      <c r="AA205" s="27" t="n">
        <f aca="false">SUMIFS(super1[Qtde],super1[Item],tab_alimentos[[#This Row],[Item]],super1[Bairro],mercado16)+SUMIFS(supercb[Qtde],supercb[Item],tab_alimentos[[#This Row],[Item]],supercb[Bairro],mercado16)</f>
        <v>0</v>
      </c>
      <c r="AB205" s="27" t="n">
        <f aca="false">SUMIFS(super1[Qtde],super1[Item],tab_alimentos[[#This Row],[Item]],super1[Bairro],mercado17)+SUMIFS(supercb[Qtde],supercb[Item],tab_alimentos[[#This Row],[Item]],supercb[Bairro],mercado17)</f>
        <v>0</v>
      </c>
      <c r="AC205" s="27" t="n">
        <f aca="false">SUMIFS(super1[Qtde],super1[Item],tab_alimentos[[#This Row],[Item]],super1[Bairro],mercado18)+SUMIFS(supercb[Qtde],supercb[Item],tab_alimentos[[#This Row],[Item]],supercb[Bairro],mercado18)</f>
        <v>0</v>
      </c>
      <c r="AD205" s="27" t="n">
        <f aca="false">SUMIFS(super1[Qtde],super1[Item],tab_alimentos[[#This Row],[Item]],super1[Bairro],extras)+SUMIFS(supercb[Qtde],supercb[Item],tab_alimentos[[#This Row],[Item]],supercb[Bairro],extras)</f>
        <v>0</v>
      </c>
      <c r="AE205" s="27" t="n">
        <f aca="false">SUM(L205:AC205)</f>
        <v>0</v>
      </c>
      <c r="AF205" s="27" t="n">
        <f aca="false">IFERROR(AE205*K205,0)</f>
        <v>0</v>
      </c>
      <c r="AG205" s="28" t="n">
        <f aca="false">IFERROR(J205*AE205,0)</f>
        <v>0</v>
      </c>
      <c r="AH205" s="37" t="str">
        <f aca="false">higiene[[#This Row],[Item]]</f>
        <v>Shampoo ou condicionador (200mL)</v>
      </c>
      <c r="AI205" s="38" t="n">
        <f aca="false">IFERROR(higiene[[#This Row],[Kg equivalente]],0)</f>
        <v>2.3547793065712</v>
      </c>
      <c r="AJ205" s="38" t="n">
        <f aca="false">IFERROR(higiene[[#This Row],[Preço por produto]],0)</f>
        <v>7.8</v>
      </c>
      <c r="AK205" s="27" t="n">
        <f aca="false">SUMIFS(super1[Qtde],super1[Item],tab_higiene[[#This Row],[Item]],super1[Bairro],mercado1)+SUMIFS(supercb[Qtde],supercb[Item],tab_higiene[[#This Row],[Item]],supercb[Bairro],mercado1)</f>
        <v>0</v>
      </c>
      <c r="AL205" s="27" t="n">
        <f aca="false">SUMIFS(super1[Qtde],super1[Item],tab_higiene[[#This Row],[Item]],super1[Bairro],mercado2)+SUMIFS(supercb[Qtde],supercb[Item],tab_higiene[[#This Row],[Item]],supercb[Bairro],mercado2)</f>
        <v>0</v>
      </c>
      <c r="AM205" s="27" t="n">
        <f aca="false">SUMIFS(super1[Qtde],super1[Item],tab_higiene[[#This Row],[Item]],super1[Bairro],mercado3)+SUMIFS(supercb[Qtde],supercb[Item],tab_higiene[[#This Row],[Item]],supercb[Bairro],mercado3)</f>
        <v>0</v>
      </c>
      <c r="AN205" s="27" t="n">
        <f aca="false">SUMIFS(super1[Qtde],super1[Item],tab_higiene[[#This Row],[Item]],super1[Bairro],mercado4)+SUMIFS(supercb[Qtde],supercb[Item],tab_higiene[[#This Row],[Item]],supercb[Bairro],mercado4)</f>
        <v>0</v>
      </c>
      <c r="AO205" s="27" t="n">
        <f aca="false">SUMIFS(super1[Qtde],super1[Item],tab_higiene[[#This Row],[Item]],super1[Bairro],mercado5)+SUMIFS(supercb[Qtde],supercb[Item],tab_higiene[[#This Row],[Item]],supercb[Bairro],mercado5)</f>
        <v>0</v>
      </c>
      <c r="AP205" s="27" t="n">
        <f aca="false">SUMIFS(super1[Qtde],super1[Item],tab_higiene[[#This Row],[Item]],super1[Bairro],mercado6)+SUMIFS(supercb[Qtde],supercb[Item],tab_higiene[[#This Row],[Item]],supercb[Bairro],mercado6)</f>
        <v>0</v>
      </c>
      <c r="AQ205" s="27" t="n">
        <f aca="false">SUMIFS(super1[Qtde],super1[Item],tab_higiene[[#This Row],[Item]],super1[Bairro],mercado7)+SUMIFS(supercb[Qtde],supercb[Item],tab_higiene[[#This Row],[Item]],supercb[Bairro],mercado7)</f>
        <v>0</v>
      </c>
      <c r="AR205" s="27" t="n">
        <f aca="false">SUMIFS(super1[Qtde],super1[Item],tab_higiene[[#This Row],[Item]],super1[Bairro],mercado8)+SUMIFS(supercb[Qtde],supercb[Item],tab_higiene[[#This Row],[Item]],supercb[Bairro],mercado8)</f>
        <v>0</v>
      </c>
      <c r="AS205" s="27" t="n">
        <f aca="false">SUMIFS(super1[Qtde],super1[Item],tab_higiene[[#This Row],[Item]],super1[Bairro],mercado9)+SUMIFS(supercb[Qtde],supercb[Item],tab_higiene[[#This Row],[Item]],supercb[Bairro],mercado9)</f>
        <v>0</v>
      </c>
      <c r="AT205" s="27" t="n">
        <f aca="false">SUMIFS(super1[Qtde],super1[Item],tab_higiene[[#This Row],[Item]],super1[Bairro],mercado10)+SUMIFS(supercb[Qtde],supercb[Item],tab_higiene[[#This Row],[Item]],supercb[Bairro],mercado10)</f>
        <v>0</v>
      </c>
      <c r="AU205" s="27" t="n">
        <f aca="false">SUMIFS(super1[Qtde],super1[Item],tab_higiene[[#This Row],[Item]],super1[Bairro],mercado11)+SUMIFS(supercb[Qtde],supercb[Item],tab_higiene[[#This Row],[Item]],supercb[Bairro],mercado11)</f>
        <v>0</v>
      </c>
      <c r="AV205" s="27" t="n">
        <f aca="false">SUMIFS(super1[Qtde],super1[Item],tab_higiene[[#This Row],[Item]],super1[Bairro],mercado12)+SUMIFS(supercb[Qtde],supercb[Item],tab_higiene[[#This Row],[Item]],supercb[Bairro],mercado12)</f>
        <v>0</v>
      </c>
      <c r="AW205" s="27" t="n">
        <f aca="false">SUMIFS(super1[Qtde],super1[Item],tab_higiene[[#This Row],[Item]],super1[Bairro],mercado13)+SUMIFS(supercb[Qtde],supercb[Item],tab_higiene[[#This Row],[Item]],supercb[Bairro],mercado13)</f>
        <v>0</v>
      </c>
      <c r="AX205" s="27" t="n">
        <f aca="false">SUMIFS(super1[Qtde],super1[Item],tab_higiene[[#This Row],[Item]],super1[Bairro],mercado14)+SUMIFS(supercb[Qtde],supercb[Item],tab_higiene[[#This Row],[Item]],supercb[Bairro],mercado14)</f>
        <v>0</v>
      </c>
      <c r="AY205" s="27" t="n">
        <f aca="false">SUMIFS(super1[Qtde],super1[Item],tab_higiene[[#This Row],[Item]],super1[Bairro],mercado15)+SUMIFS(supercb[Qtde],supercb[Item],tab_higiene[[#This Row],[Item]],supercb[Bairro],mercado15)</f>
        <v>0</v>
      </c>
      <c r="AZ205" s="27" t="n">
        <f aca="false">SUMIFS(super1[Qtde],super1[Item],tab_higiene[[#This Row],[Item]],super1[Bairro],mercado16)+SUMIFS(supercb[Qtde],supercb[Item],tab_higiene[[#This Row],[Item]],supercb[Bairro],mercado16)</f>
        <v>0</v>
      </c>
      <c r="BA205" s="27" t="n">
        <f aca="false">SUMIFS(super1[Qtde],super1[Item],tab_higiene[[#This Row],[Item]],super1[Bairro],mercado17)+SUMIFS(supercb[Qtde],supercb[Item],tab_higiene[[#This Row],[Item]],supercb[Bairro],mercado17)</f>
        <v>0</v>
      </c>
      <c r="BB205" s="27" t="n">
        <f aca="false">SUMIFS(super1[Qtde],super1[Item],tab_higiene[[#This Row],[Item]],super1[Bairro],mercado18)+SUMIFS(supercb[Qtde],supercb[Item],tab_higiene[[#This Row],[Item]],supercb[Bairro],mercado18)</f>
        <v>0</v>
      </c>
      <c r="BC205" s="39" t="n">
        <f aca="false">SUMIFS(super1[Qtde],super1[Item],tab_higiene[[#This Row],[Item]],super1[Bairro],extras)+SUMIFS(supercb[Qtde],supercb[Item],tab_higiene[[#This Row],[Item]],supercb[Bairro],extras)</f>
        <v>0</v>
      </c>
      <c r="BD205" s="38" t="n">
        <f aca="false">SUM(AK205:BB205)</f>
        <v>0</v>
      </c>
      <c r="BE205" s="38" t="n">
        <f aca="false">IFERROR(BD205*AJ205,0)</f>
        <v>0</v>
      </c>
      <c r="BF205" s="40" t="n">
        <f aca="false">IFERROR(AI205*BD205,0)</f>
        <v>0</v>
      </c>
    </row>
    <row r="206" customFormat="false" ht="15.75" hidden="false" customHeight="false" outlineLevel="0" collapsed="false">
      <c r="I206" s="26" t="str">
        <f aca="false">alimentos[[#This Row],[Item]]</f>
        <v>Pacote de bala (500g)</v>
      </c>
      <c r="J206" s="27" t="n">
        <f aca="false">IFERROR(alimentos[[#This Row],[kg/embalagem]],0)</f>
        <v>0.5</v>
      </c>
      <c r="K206" s="27" t="n">
        <f aca="false">IFERROR(alimentos[[#This Row],[Preço]],0)</f>
        <v>6.69</v>
      </c>
      <c r="L206" s="27" t="n">
        <f aca="false">SUMIFS(super1[Qtde],super1[Item],tab_alimentos[[#This Row],[Item]],super1[Bairro],mercado1)+SUMIFS(supercb[Qtde],supercb[Item],tab_alimentos[[#This Row],[Item]],supercb[Bairro],mercado1)</f>
        <v>0</v>
      </c>
      <c r="M206" s="27" t="n">
        <f aca="false">SUMIFS(super1[Qtde],super1[Item],tab_alimentos[[#This Row],[Item]],super1[Bairro],mercado2)+SUMIFS(supercb[Qtde],supercb[Item],tab_alimentos[[#This Row],[Item]],supercb[Bairro],mercado2)</f>
        <v>0</v>
      </c>
      <c r="N206" s="27" t="n">
        <f aca="false">SUMIFS(super1[Qtde],super1[Item],tab_alimentos[[#This Row],[Item]],super1[Bairro],mercado3)+SUMIFS(supercb[Qtde],supercb[Item],tab_alimentos[[#This Row],[Item]],supercb[Bairro],mercado3)</f>
        <v>0</v>
      </c>
      <c r="O206" s="27" t="n">
        <f aca="false">SUMIFS(super1[Qtde],super1[Item],tab_alimentos[[#This Row],[Item]],super1[Bairro],mercado4)+SUMIFS(supercb[Qtde],supercb[Item],tab_alimentos[[#This Row],[Item]],supercb[Bairro],mercado4)</f>
        <v>0</v>
      </c>
      <c r="P206" s="27" t="n">
        <f aca="false">SUMIFS(super1[Qtde],super1[Item],tab_alimentos[[#This Row],[Item]],super1[Bairro],mercado5)+SUMIFS(supercb[Qtde],supercb[Item],tab_alimentos[[#This Row],[Item]],supercb[Bairro],mercado5)</f>
        <v>0</v>
      </c>
      <c r="Q206" s="27" t="n">
        <f aca="false">SUMIFS(super1[Qtde],super1[Item],tab_alimentos[[#This Row],[Item]],super1[Bairro],mercado6)+SUMIFS(supercb[Qtde],supercb[Item],tab_alimentos[[#This Row],[Item]],supercb[Bairro],mercado6)</f>
        <v>0</v>
      </c>
      <c r="R206" s="27" t="n">
        <f aca="false">SUMIFS(super1[Qtde],super1[Item],tab_alimentos[[#This Row],[Item]],super1[Bairro],mercado7)+SUMIFS(supercb[Qtde],supercb[Item],tab_alimentos[[#This Row],[Item]],supercb[Bairro],mercado7)</f>
        <v>0</v>
      </c>
      <c r="S206" s="27" t="n">
        <f aca="false">SUMIFS(super1[Qtde],super1[Item],tab_alimentos[[#This Row],[Item]],super1[Bairro],mercado8)+SUMIFS(supercb[Qtde],supercb[Item],tab_alimentos[[#This Row],[Item]],supercb[Bairro],mercado8)</f>
        <v>0</v>
      </c>
      <c r="T206" s="27" t="n">
        <f aca="false">SUMIFS(super1[Qtde],super1[Item],tab_alimentos[[#This Row],[Item]],super1[Bairro],mercado9)+SUMIFS(supercb[Qtde],supercb[Item],tab_alimentos[[#This Row],[Item]],supercb[Bairro],mercado9)</f>
        <v>0</v>
      </c>
      <c r="U206" s="27" t="n">
        <f aca="false">SUMIFS(super1[Qtde],super1[Item],tab_alimentos[[#This Row],[Item]],super1[Bairro],mercado10)+SUMIFS(supercb[Qtde],supercb[Item],tab_alimentos[[#This Row],[Item]],supercb[Bairro],mercado10)</f>
        <v>0</v>
      </c>
      <c r="V206" s="27" t="n">
        <f aca="false">SUMIFS(super1[Qtde],super1[Item],tab_alimentos[[#This Row],[Item]],super1[Bairro],mercado11)+SUMIFS(supercb[Qtde],supercb[Item],tab_alimentos[[#This Row],[Item]],supercb[Bairro],mercado11)</f>
        <v>0</v>
      </c>
      <c r="W206" s="27" t="n">
        <f aca="false">SUMIFS(super1[Qtde],super1[Item],tab_alimentos[[#This Row],[Item]],super1[Bairro],mercado12)+SUMIFS(supercb[Qtde],supercb[Item],tab_alimentos[[#This Row],[Item]],supercb[Bairro],mercado12)</f>
        <v>0</v>
      </c>
      <c r="X206" s="27" t="n">
        <f aca="false">SUMIFS(super1[Qtde],super1[Item],tab_alimentos[[#This Row],[Item]],super1[Bairro],mercado13)+SUMIFS(supercb[Qtde],supercb[Item],tab_alimentos[[#This Row],[Item]],supercb[Bairro],mercado13)</f>
        <v>0</v>
      </c>
      <c r="Y206" s="27" t="n">
        <f aca="false">SUMIFS(super1[Qtde],super1[Item],tab_alimentos[[#This Row],[Item]],super1[Bairro],mercado14)+SUMIFS(supercb[Qtde],supercb[Item],tab_alimentos[[#This Row],[Item]],supercb[Bairro],mercado14)</f>
        <v>0</v>
      </c>
      <c r="Z206" s="27" t="n">
        <f aca="false">SUMIFS(super1[Qtde],super1[Item],tab_alimentos[[#This Row],[Item]],super1[Bairro],mercado15)+SUMIFS(supercb[Qtde],supercb[Item],tab_alimentos[[#This Row],[Item]],supercb[Bairro],mercado15)</f>
        <v>0</v>
      </c>
      <c r="AA206" s="27" t="n">
        <f aca="false">SUMIFS(super1[Qtde],super1[Item],tab_alimentos[[#This Row],[Item]],super1[Bairro],mercado16)+SUMIFS(supercb[Qtde],supercb[Item],tab_alimentos[[#This Row],[Item]],supercb[Bairro],mercado16)</f>
        <v>0</v>
      </c>
      <c r="AB206" s="27" t="n">
        <f aca="false">SUMIFS(super1[Qtde],super1[Item],tab_alimentos[[#This Row],[Item]],super1[Bairro],mercado17)+SUMIFS(supercb[Qtde],supercb[Item],tab_alimentos[[#This Row],[Item]],supercb[Bairro],mercado17)</f>
        <v>0</v>
      </c>
      <c r="AC206" s="27" t="n">
        <f aca="false">SUMIFS(super1[Qtde],super1[Item],tab_alimentos[[#This Row],[Item]],super1[Bairro],mercado18)+SUMIFS(supercb[Qtde],supercb[Item],tab_alimentos[[#This Row],[Item]],supercb[Bairro],mercado18)</f>
        <v>0</v>
      </c>
      <c r="AD206" s="27" t="n">
        <f aca="false">SUMIFS(super1[Qtde],super1[Item],tab_alimentos[[#This Row],[Item]],super1[Bairro],extras)+SUMIFS(supercb[Qtde],supercb[Item],tab_alimentos[[#This Row],[Item]],supercb[Bairro],extras)</f>
        <v>0</v>
      </c>
      <c r="AE206" s="27" t="n">
        <f aca="false">SUM(L206:AC206)</f>
        <v>0</v>
      </c>
      <c r="AF206" s="27" t="n">
        <f aca="false">IFERROR(AE206*K206,0)</f>
        <v>0</v>
      </c>
      <c r="AG206" s="28" t="n">
        <f aca="false">IFERROR(J206*AE206,0)</f>
        <v>0</v>
      </c>
      <c r="AH206" s="37" t="str">
        <f aca="false">higiene[[#This Row],[Item]]</f>
        <v>Shampoo ou condicionador (325ml)</v>
      </c>
      <c r="AI206" s="38" t="n">
        <f aca="false">IFERROR(higiene[[#This Row],[Kg equivalente]],0)</f>
        <v>1.87703081264185</v>
      </c>
      <c r="AJ206" s="38" t="n">
        <f aca="false">IFERROR(higiene[[#This Row],[Preço por produto]],0)</f>
        <v>6.2175</v>
      </c>
      <c r="AK206" s="27" t="n">
        <f aca="false">SUMIFS(super1[Qtde],super1[Item],tab_higiene[[#This Row],[Item]],super1[Bairro],mercado1)+SUMIFS(supercb[Qtde],supercb[Item],tab_higiene[[#This Row],[Item]],supercb[Bairro],mercado1)</f>
        <v>0</v>
      </c>
      <c r="AL206" s="27" t="n">
        <f aca="false">SUMIFS(super1[Qtde],super1[Item],tab_higiene[[#This Row],[Item]],super1[Bairro],mercado2)+SUMIFS(supercb[Qtde],supercb[Item],tab_higiene[[#This Row],[Item]],supercb[Bairro],mercado2)</f>
        <v>0</v>
      </c>
      <c r="AM206" s="27" t="n">
        <f aca="false">SUMIFS(super1[Qtde],super1[Item],tab_higiene[[#This Row],[Item]],super1[Bairro],mercado3)+SUMIFS(supercb[Qtde],supercb[Item],tab_higiene[[#This Row],[Item]],supercb[Bairro],mercado3)</f>
        <v>0</v>
      </c>
      <c r="AN206" s="27" t="n">
        <f aca="false">SUMIFS(super1[Qtde],super1[Item],tab_higiene[[#This Row],[Item]],super1[Bairro],mercado4)+SUMIFS(supercb[Qtde],supercb[Item],tab_higiene[[#This Row],[Item]],supercb[Bairro],mercado4)</f>
        <v>0</v>
      </c>
      <c r="AO206" s="27" t="n">
        <f aca="false">SUMIFS(super1[Qtde],super1[Item],tab_higiene[[#This Row],[Item]],super1[Bairro],mercado5)+SUMIFS(supercb[Qtde],supercb[Item],tab_higiene[[#This Row],[Item]],supercb[Bairro],mercado5)</f>
        <v>0</v>
      </c>
      <c r="AP206" s="27" t="n">
        <f aca="false">SUMIFS(super1[Qtde],super1[Item],tab_higiene[[#This Row],[Item]],super1[Bairro],mercado6)+SUMIFS(supercb[Qtde],supercb[Item],tab_higiene[[#This Row],[Item]],supercb[Bairro],mercado6)</f>
        <v>0</v>
      </c>
      <c r="AQ206" s="27" t="n">
        <f aca="false">SUMIFS(super1[Qtde],super1[Item],tab_higiene[[#This Row],[Item]],super1[Bairro],mercado7)+SUMIFS(supercb[Qtde],supercb[Item],tab_higiene[[#This Row],[Item]],supercb[Bairro],mercado7)</f>
        <v>0</v>
      </c>
      <c r="AR206" s="27" t="n">
        <f aca="false">SUMIFS(super1[Qtde],super1[Item],tab_higiene[[#This Row],[Item]],super1[Bairro],mercado8)+SUMIFS(supercb[Qtde],supercb[Item],tab_higiene[[#This Row],[Item]],supercb[Bairro],mercado8)</f>
        <v>1</v>
      </c>
      <c r="AS206" s="27" t="n">
        <f aca="false">SUMIFS(super1[Qtde],super1[Item],tab_higiene[[#This Row],[Item]],super1[Bairro],mercado9)+SUMIFS(supercb[Qtde],supercb[Item],tab_higiene[[#This Row],[Item]],supercb[Bairro],mercado9)</f>
        <v>0</v>
      </c>
      <c r="AT206" s="27" t="n">
        <f aca="false">SUMIFS(super1[Qtde],super1[Item],tab_higiene[[#This Row],[Item]],super1[Bairro],mercado10)+SUMIFS(supercb[Qtde],supercb[Item],tab_higiene[[#This Row],[Item]],supercb[Bairro],mercado10)</f>
        <v>0</v>
      </c>
      <c r="AU206" s="27" t="n">
        <f aca="false">SUMIFS(super1[Qtde],super1[Item],tab_higiene[[#This Row],[Item]],super1[Bairro],mercado11)+SUMIFS(supercb[Qtde],supercb[Item],tab_higiene[[#This Row],[Item]],supercb[Bairro],mercado11)</f>
        <v>0</v>
      </c>
      <c r="AV206" s="27" t="n">
        <f aca="false">SUMIFS(super1[Qtde],super1[Item],tab_higiene[[#This Row],[Item]],super1[Bairro],mercado12)+SUMIFS(supercb[Qtde],supercb[Item],tab_higiene[[#This Row],[Item]],supercb[Bairro],mercado12)</f>
        <v>0</v>
      </c>
      <c r="AW206" s="27" t="n">
        <f aca="false">SUMIFS(super1[Qtde],super1[Item],tab_higiene[[#This Row],[Item]],super1[Bairro],mercado13)+SUMIFS(supercb[Qtde],supercb[Item],tab_higiene[[#This Row],[Item]],supercb[Bairro],mercado13)</f>
        <v>0</v>
      </c>
      <c r="AX206" s="27" t="n">
        <f aca="false">SUMIFS(super1[Qtde],super1[Item],tab_higiene[[#This Row],[Item]],super1[Bairro],mercado14)+SUMIFS(supercb[Qtde],supercb[Item],tab_higiene[[#This Row],[Item]],supercb[Bairro],mercado14)</f>
        <v>0</v>
      </c>
      <c r="AY206" s="27" t="n">
        <f aca="false">SUMIFS(super1[Qtde],super1[Item],tab_higiene[[#This Row],[Item]],super1[Bairro],mercado15)+SUMIFS(supercb[Qtde],supercb[Item],tab_higiene[[#This Row],[Item]],supercb[Bairro],mercado15)</f>
        <v>0</v>
      </c>
      <c r="AZ206" s="27" t="n">
        <f aca="false">SUMIFS(super1[Qtde],super1[Item],tab_higiene[[#This Row],[Item]],super1[Bairro],mercado16)+SUMIFS(supercb[Qtde],supercb[Item],tab_higiene[[#This Row],[Item]],supercb[Bairro],mercado16)</f>
        <v>0</v>
      </c>
      <c r="BA206" s="27" t="n">
        <f aca="false">SUMIFS(super1[Qtde],super1[Item],tab_higiene[[#This Row],[Item]],super1[Bairro],mercado17)+SUMIFS(supercb[Qtde],supercb[Item],tab_higiene[[#This Row],[Item]],supercb[Bairro],mercado17)</f>
        <v>0</v>
      </c>
      <c r="BB206" s="27" t="n">
        <f aca="false">SUMIFS(super1[Qtde],super1[Item],tab_higiene[[#This Row],[Item]],super1[Bairro],mercado18)+SUMIFS(supercb[Qtde],supercb[Item],tab_higiene[[#This Row],[Item]],supercb[Bairro],mercado18)</f>
        <v>0</v>
      </c>
      <c r="BC206" s="39" t="n">
        <f aca="false">SUMIFS(super1[Qtde],super1[Item],tab_higiene[[#This Row],[Item]],super1[Bairro],extras)+SUMIFS(supercb[Qtde],supercb[Item],tab_higiene[[#This Row],[Item]],supercb[Bairro],extras)</f>
        <v>0</v>
      </c>
      <c r="BD206" s="38" t="n">
        <f aca="false">SUM(AK206:BB206)</f>
        <v>1</v>
      </c>
      <c r="BE206" s="38" t="n">
        <f aca="false">IFERROR(BD206*AJ206,0)</f>
        <v>6.2175</v>
      </c>
      <c r="BF206" s="40" t="n">
        <f aca="false">IFERROR(AI206*BD206,0)</f>
        <v>1.87703081264185</v>
      </c>
    </row>
    <row r="207" customFormat="false" ht="15.75" hidden="false" customHeight="false" outlineLevel="0" collapsed="false">
      <c r="I207" s="26" t="str">
        <f aca="false">alimentos[[#This Row],[Item]]</f>
        <v>Pacote de bala (600g)</v>
      </c>
      <c r="J207" s="27" t="n">
        <f aca="false">IFERROR(alimentos[[#This Row],[kg/embalagem]],0)</f>
        <v>0.6</v>
      </c>
      <c r="K207" s="27" t="n">
        <f aca="false">IFERROR(alimentos[[#This Row],[Preço]],0)</f>
        <v>7.45666666666667</v>
      </c>
      <c r="L207" s="27" t="n">
        <f aca="false">SUMIFS(super1[Qtde],super1[Item],tab_alimentos[[#This Row],[Item]],super1[Bairro],mercado1)+SUMIFS(supercb[Qtde],supercb[Item],tab_alimentos[[#This Row],[Item]],supercb[Bairro],mercado1)</f>
        <v>0</v>
      </c>
      <c r="M207" s="27" t="n">
        <f aca="false">SUMIFS(super1[Qtde],super1[Item],tab_alimentos[[#This Row],[Item]],super1[Bairro],mercado2)+SUMIFS(supercb[Qtde],supercb[Item],tab_alimentos[[#This Row],[Item]],supercb[Bairro],mercado2)</f>
        <v>0</v>
      </c>
      <c r="N207" s="27" t="n">
        <f aca="false">SUMIFS(super1[Qtde],super1[Item],tab_alimentos[[#This Row],[Item]],super1[Bairro],mercado3)+SUMIFS(supercb[Qtde],supercb[Item],tab_alimentos[[#This Row],[Item]],supercb[Bairro],mercado3)</f>
        <v>0</v>
      </c>
      <c r="O207" s="27" t="n">
        <f aca="false">SUMIFS(super1[Qtde],super1[Item],tab_alimentos[[#This Row],[Item]],super1[Bairro],mercado4)+SUMIFS(supercb[Qtde],supercb[Item],tab_alimentos[[#This Row],[Item]],supercb[Bairro],mercado4)</f>
        <v>0</v>
      </c>
      <c r="P207" s="27" t="n">
        <f aca="false">SUMIFS(super1[Qtde],super1[Item],tab_alimentos[[#This Row],[Item]],super1[Bairro],mercado5)+SUMIFS(supercb[Qtde],supercb[Item],tab_alimentos[[#This Row],[Item]],supercb[Bairro],mercado5)</f>
        <v>0</v>
      </c>
      <c r="Q207" s="27" t="n">
        <f aca="false">SUMIFS(super1[Qtde],super1[Item],tab_alimentos[[#This Row],[Item]],super1[Bairro],mercado6)+SUMIFS(supercb[Qtde],supercb[Item],tab_alimentos[[#This Row],[Item]],supercb[Bairro],mercado6)</f>
        <v>0</v>
      </c>
      <c r="R207" s="27" t="n">
        <f aca="false">SUMIFS(super1[Qtde],super1[Item],tab_alimentos[[#This Row],[Item]],super1[Bairro],mercado7)+SUMIFS(supercb[Qtde],supercb[Item],tab_alimentos[[#This Row],[Item]],supercb[Bairro],mercado7)</f>
        <v>0</v>
      </c>
      <c r="S207" s="27" t="n">
        <f aca="false">SUMIFS(super1[Qtde],super1[Item],tab_alimentos[[#This Row],[Item]],super1[Bairro],mercado8)+SUMIFS(supercb[Qtde],supercb[Item],tab_alimentos[[#This Row],[Item]],supercb[Bairro],mercado8)</f>
        <v>0</v>
      </c>
      <c r="T207" s="27" t="n">
        <f aca="false">SUMIFS(super1[Qtde],super1[Item],tab_alimentos[[#This Row],[Item]],super1[Bairro],mercado9)+SUMIFS(supercb[Qtde],supercb[Item],tab_alimentos[[#This Row],[Item]],supercb[Bairro],mercado9)</f>
        <v>0</v>
      </c>
      <c r="U207" s="27" t="n">
        <f aca="false">SUMIFS(super1[Qtde],super1[Item],tab_alimentos[[#This Row],[Item]],super1[Bairro],mercado10)+SUMIFS(supercb[Qtde],supercb[Item],tab_alimentos[[#This Row],[Item]],supercb[Bairro],mercado10)</f>
        <v>0</v>
      </c>
      <c r="V207" s="27" t="n">
        <f aca="false">SUMIFS(super1[Qtde],super1[Item],tab_alimentos[[#This Row],[Item]],super1[Bairro],mercado11)+SUMIFS(supercb[Qtde],supercb[Item],tab_alimentos[[#This Row],[Item]],supercb[Bairro],mercado11)</f>
        <v>0</v>
      </c>
      <c r="W207" s="27" t="n">
        <f aca="false">SUMIFS(super1[Qtde],super1[Item],tab_alimentos[[#This Row],[Item]],super1[Bairro],mercado12)+SUMIFS(supercb[Qtde],supercb[Item],tab_alimentos[[#This Row],[Item]],supercb[Bairro],mercado12)</f>
        <v>0</v>
      </c>
      <c r="X207" s="27" t="n">
        <f aca="false">SUMIFS(super1[Qtde],super1[Item],tab_alimentos[[#This Row],[Item]],super1[Bairro],mercado13)+SUMIFS(supercb[Qtde],supercb[Item],tab_alimentos[[#This Row],[Item]],supercb[Bairro],mercado13)</f>
        <v>0</v>
      </c>
      <c r="Y207" s="27" t="n">
        <f aca="false">SUMIFS(super1[Qtde],super1[Item],tab_alimentos[[#This Row],[Item]],super1[Bairro],mercado14)+SUMIFS(supercb[Qtde],supercb[Item],tab_alimentos[[#This Row],[Item]],supercb[Bairro],mercado14)</f>
        <v>0</v>
      </c>
      <c r="Z207" s="27" t="n">
        <f aca="false">SUMIFS(super1[Qtde],super1[Item],tab_alimentos[[#This Row],[Item]],super1[Bairro],mercado15)+SUMIFS(supercb[Qtde],supercb[Item],tab_alimentos[[#This Row],[Item]],supercb[Bairro],mercado15)</f>
        <v>0</v>
      </c>
      <c r="AA207" s="27" t="n">
        <f aca="false">SUMIFS(super1[Qtde],super1[Item],tab_alimentos[[#This Row],[Item]],super1[Bairro],mercado16)+SUMIFS(supercb[Qtde],supercb[Item],tab_alimentos[[#This Row],[Item]],supercb[Bairro],mercado16)</f>
        <v>0</v>
      </c>
      <c r="AB207" s="27" t="n">
        <f aca="false">SUMIFS(super1[Qtde],super1[Item],tab_alimentos[[#This Row],[Item]],super1[Bairro],mercado17)+SUMIFS(supercb[Qtde],supercb[Item],tab_alimentos[[#This Row],[Item]],supercb[Bairro],mercado17)</f>
        <v>0</v>
      </c>
      <c r="AC207" s="27" t="n">
        <f aca="false">SUMIFS(super1[Qtde],super1[Item],tab_alimentos[[#This Row],[Item]],super1[Bairro],mercado18)+SUMIFS(supercb[Qtde],supercb[Item],tab_alimentos[[#This Row],[Item]],supercb[Bairro],mercado18)</f>
        <v>0</v>
      </c>
      <c r="AD207" s="27" t="n">
        <f aca="false">SUMIFS(super1[Qtde],super1[Item],tab_alimentos[[#This Row],[Item]],super1[Bairro],extras)+SUMIFS(supercb[Qtde],supercb[Item],tab_alimentos[[#This Row],[Item]],supercb[Bairro],extras)</f>
        <v>0</v>
      </c>
      <c r="AE207" s="27" t="n">
        <f aca="false">SUM(L207:AC207)</f>
        <v>0</v>
      </c>
      <c r="AF207" s="27" t="n">
        <f aca="false">IFERROR(AE207*K207,0)</f>
        <v>0</v>
      </c>
      <c r="AG207" s="28" t="n">
        <f aca="false">IFERROR(J207*AE207,0)</f>
        <v>0</v>
      </c>
      <c r="AH207" s="37" t="str">
        <f aca="false">higiene[[#This Row],[Item]]</f>
        <v>Shampoo ou condicionador (350ml)</v>
      </c>
      <c r="AI207" s="38" t="n">
        <f aca="false">IFERROR(higiene[[#This Row],[Kg equivalente]],0)</f>
        <v>1.89967292135889</v>
      </c>
      <c r="AJ207" s="38" t="n">
        <f aca="false">IFERROR(higiene[[#This Row],[Preço por produto]],0)</f>
        <v>6.2925</v>
      </c>
      <c r="AK207" s="27" t="n">
        <f aca="false">SUMIFS(super1[Qtde],super1[Item],tab_higiene[[#This Row],[Item]],super1[Bairro],mercado1)+SUMIFS(supercb[Qtde],supercb[Item],tab_higiene[[#This Row],[Item]],supercb[Bairro],mercado1)</f>
        <v>0</v>
      </c>
      <c r="AL207" s="27" t="n">
        <f aca="false">SUMIFS(super1[Qtde],super1[Item],tab_higiene[[#This Row],[Item]],super1[Bairro],mercado2)+SUMIFS(supercb[Qtde],supercb[Item],tab_higiene[[#This Row],[Item]],supercb[Bairro],mercado2)</f>
        <v>0</v>
      </c>
      <c r="AM207" s="27" t="n">
        <f aca="false">SUMIFS(super1[Qtde],super1[Item],tab_higiene[[#This Row],[Item]],super1[Bairro],mercado3)+SUMIFS(supercb[Qtde],supercb[Item],tab_higiene[[#This Row],[Item]],supercb[Bairro],mercado3)</f>
        <v>0</v>
      </c>
      <c r="AN207" s="27" t="n">
        <f aca="false">SUMIFS(super1[Qtde],super1[Item],tab_higiene[[#This Row],[Item]],super1[Bairro],mercado4)+SUMIFS(supercb[Qtde],supercb[Item],tab_higiene[[#This Row],[Item]],supercb[Bairro],mercado4)</f>
        <v>0</v>
      </c>
      <c r="AO207" s="27" t="n">
        <f aca="false">SUMIFS(super1[Qtde],super1[Item],tab_higiene[[#This Row],[Item]],super1[Bairro],mercado5)+SUMIFS(supercb[Qtde],supercb[Item],tab_higiene[[#This Row],[Item]],supercb[Bairro],mercado5)</f>
        <v>1</v>
      </c>
      <c r="AP207" s="27" t="n">
        <f aca="false">SUMIFS(super1[Qtde],super1[Item],tab_higiene[[#This Row],[Item]],super1[Bairro],mercado6)+SUMIFS(supercb[Qtde],supercb[Item],tab_higiene[[#This Row],[Item]],supercb[Bairro],mercado6)</f>
        <v>0</v>
      </c>
      <c r="AQ207" s="27" t="n">
        <f aca="false">SUMIFS(super1[Qtde],super1[Item],tab_higiene[[#This Row],[Item]],super1[Bairro],mercado7)+SUMIFS(supercb[Qtde],supercb[Item],tab_higiene[[#This Row],[Item]],supercb[Bairro],mercado7)</f>
        <v>0</v>
      </c>
      <c r="AR207" s="27" t="n">
        <f aca="false">SUMIFS(super1[Qtde],super1[Item],tab_higiene[[#This Row],[Item]],super1[Bairro],mercado8)+SUMIFS(supercb[Qtde],supercb[Item],tab_higiene[[#This Row],[Item]],supercb[Bairro],mercado8)</f>
        <v>0</v>
      </c>
      <c r="AS207" s="27" t="n">
        <f aca="false">SUMIFS(super1[Qtde],super1[Item],tab_higiene[[#This Row],[Item]],super1[Bairro],mercado9)+SUMIFS(supercb[Qtde],supercb[Item],tab_higiene[[#This Row],[Item]],supercb[Bairro],mercado9)</f>
        <v>0</v>
      </c>
      <c r="AT207" s="27" t="n">
        <f aca="false">SUMIFS(super1[Qtde],super1[Item],tab_higiene[[#This Row],[Item]],super1[Bairro],mercado10)+SUMIFS(supercb[Qtde],supercb[Item],tab_higiene[[#This Row],[Item]],supercb[Bairro],mercado10)</f>
        <v>1</v>
      </c>
      <c r="AU207" s="27" t="n">
        <f aca="false">SUMIFS(super1[Qtde],super1[Item],tab_higiene[[#This Row],[Item]],super1[Bairro],mercado11)+SUMIFS(supercb[Qtde],supercb[Item],tab_higiene[[#This Row],[Item]],supercb[Bairro],mercado11)</f>
        <v>0</v>
      </c>
      <c r="AV207" s="27" t="n">
        <f aca="false">SUMIFS(super1[Qtde],super1[Item],tab_higiene[[#This Row],[Item]],super1[Bairro],mercado12)+SUMIFS(supercb[Qtde],supercb[Item],tab_higiene[[#This Row],[Item]],supercb[Bairro],mercado12)</f>
        <v>0</v>
      </c>
      <c r="AW207" s="27" t="n">
        <f aca="false">SUMIFS(super1[Qtde],super1[Item],tab_higiene[[#This Row],[Item]],super1[Bairro],mercado13)+SUMIFS(supercb[Qtde],supercb[Item],tab_higiene[[#This Row],[Item]],supercb[Bairro],mercado13)</f>
        <v>0</v>
      </c>
      <c r="AX207" s="27" t="n">
        <f aca="false">SUMIFS(super1[Qtde],super1[Item],tab_higiene[[#This Row],[Item]],super1[Bairro],mercado14)+SUMIFS(supercb[Qtde],supercb[Item],tab_higiene[[#This Row],[Item]],supercb[Bairro],mercado14)</f>
        <v>0</v>
      </c>
      <c r="AY207" s="27" t="n">
        <f aca="false">SUMIFS(super1[Qtde],super1[Item],tab_higiene[[#This Row],[Item]],super1[Bairro],mercado15)+SUMIFS(supercb[Qtde],supercb[Item],tab_higiene[[#This Row],[Item]],supercb[Bairro],mercado15)</f>
        <v>0</v>
      </c>
      <c r="AZ207" s="27" t="n">
        <f aca="false">SUMIFS(super1[Qtde],super1[Item],tab_higiene[[#This Row],[Item]],super1[Bairro],mercado16)+SUMIFS(supercb[Qtde],supercb[Item],tab_higiene[[#This Row],[Item]],supercb[Bairro],mercado16)</f>
        <v>0</v>
      </c>
      <c r="BA207" s="27" t="n">
        <f aca="false">SUMIFS(super1[Qtde],super1[Item],tab_higiene[[#This Row],[Item]],super1[Bairro],mercado17)+SUMIFS(supercb[Qtde],supercb[Item],tab_higiene[[#This Row],[Item]],supercb[Bairro],mercado17)</f>
        <v>0</v>
      </c>
      <c r="BB207" s="27" t="n">
        <f aca="false">SUMIFS(super1[Qtde],super1[Item],tab_higiene[[#This Row],[Item]],super1[Bairro],mercado18)+SUMIFS(supercb[Qtde],supercb[Item],tab_higiene[[#This Row],[Item]],supercb[Bairro],mercado18)</f>
        <v>0</v>
      </c>
      <c r="BC207" s="39" t="n">
        <f aca="false">SUMIFS(super1[Qtde],super1[Item],tab_higiene[[#This Row],[Item]],super1[Bairro],extras)+SUMIFS(supercb[Qtde],supercb[Item],tab_higiene[[#This Row],[Item]],supercb[Bairro],extras)</f>
        <v>0</v>
      </c>
      <c r="BD207" s="38" t="n">
        <f aca="false">SUM(AK207:BB207)</f>
        <v>2</v>
      </c>
      <c r="BE207" s="38" t="n">
        <f aca="false">IFERROR(BD207*AJ207,0)</f>
        <v>12.585</v>
      </c>
      <c r="BF207" s="40" t="n">
        <f aca="false">IFERROR(AI207*BD207,0)</f>
        <v>3.79934584271777</v>
      </c>
    </row>
    <row r="208" customFormat="false" ht="15.75" hidden="false" customHeight="false" outlineLevel="0" collapsed="false">
      <c r="I208" s="26" t="str">
        <f aca="false">alimentos[[#This Row],[Item]]</f>
        <v>Palmito (300g)</v>
      </c>
      <c r="J208" s="27" t="n">
        <f aca="false">IFERROR(alimentos[[#This Row],[kg/embalagem]],0)</f>
        <v>0.3</v>
      </c>
      <c r="K208" s="27" t="n">
        <f aca="false">IFERROR(alimentos[[#This Row],[Preço]],0)</f>
        <v>5.95</v>
      </c>
      <c r="L208" s="27" t="n">
        <f aca="false">SUMIFS(super1[Qtde],super1[Item],tab_alimentos[[#This Row],[Item]],super1[Bairro],mercado1)+SUMIFS(supercb[Qtde],supercb[Item],tab_alimentos[[#This Row],[Item]],supercb[Bairro],mercado1)</f>
        <v>0</v>
      </c>
      <c r="M208" s="27" t="n">
        <f aca="false">SUMIFS(super1[Qtde],super1[Item],tab_alimentos[[#This Row],[Item]],super1[Bairro],mercado2)+SUMIFS(supercb[Qtde],supercb[Item],tab_alimentos[[#This Row],[Item]],supercb[Bairro],mercado2)</f>
        <v>0</v>
      </c>
      <c r="N208" s="27" t="n">
        <f aca="false">SUMIFS(super1[Qtde],super1[Item],tab_alimentos[[#This Row],[Item]],super1[Bairro],mercado3)+SUMIFS(supercb[Qtde],supercb[Item],tab_alimentos[[#This Row],[Item]],supercb[Bairro],mercado3)</f>
        <v>0</v>
      </c>
      <c r="O208" s="27" t="n">
        <f aca="false">SUMIFS(super1[Qtde],super1[Item],tab_alimentos[[#This Row],[Item]],super1[Bairro],mercado4)+SUMIFS(supercb[Qtde],supercb[Item],tab_alimentos[[#This Row],[Item]],supercb[Bairro],mercado4)</f>
        <v>0</v>
      </c>
      <c r="P208" s="27" t="n">
        <f aca="false">SUMIFS(super1[Qtde],super1[Item],tab_alimentos[[#This Row],[Item]],super1[Bairro],mercado5)+SUMIFS(supercb[Qtde],supercb[Item],tab_alimentos[[#This Row],[Item]],supercb[Bairro],mercado5)</f>
        <v>0</v>
      </c>
      <c r="Q208" s="27" t="n">
        <f aca="false">SUMIFS(super1[Qtde],super1[Item],tab_alimentos[[#This Row],[Item]],super1[Bairro],mercado6)+SUMIFS(supercb[Qtde],supercb[Item],tab_alimentos[[#This Row],[Item]],supercb[Bairro],mercado6)</f>
        <v>0</v>
      </c>
      <c r="R208" s="27" t="n">
        <f aca="false">SUMIFS(super1[Qtde],super1[Item],tab_alimentos[[#This Row],[Item]],super1[Bairro],mercado7)+SUMIFS(supercb[Qtde],supercb[Item],tab_alimentos[[#This Row],[Item]],supercb[Bairro],mercado7)</f>
        <v>0</v>
      </c>
      <c r="S208" s="27" t="n">
        <f aca="false">SUMIFS(super1[Qtde],super1[Item],tab_alimentos[[#This Row],[Item]],super1[Bairro],mercado8)+SUMIFS(supercb[Qtde],supercb[Item],tab_alimentos[[#This Row],[Item]],supercb[Bairro],mercado8)</f>
        <v>0</v>
      </c>
      <c r="T208" s="27" t="n">
        <f aca="false">SUMIFS(super1[Qtde],super1[Item],tab_alimentos[[#This Row],[Item]],super1[Bairro],mercado9)+SUMIFS(supercb[Qtde],supercb[Item],tab_alimentos[[#This Row],[Item]],supercb[Bairro],mercado9)</f>
        <v>0</v>
      </c>
      <c r="U208" s="27" t="n">
        <f aca="false">SUMIFS(super1[Qtde],super1[Item],tab_alimentos[[#This Row],[Item]],super1[Bairro],mercado10)+SUMIFS(supercb[Qtde],supercb[Item],tab_alimentos[[#This Row],[Item]],supercb[Bairro],mercado10)</f>
        <v>0</v>
      </c>
      <c r="V208" s="27" t="n">
        <f aca="false">SUMIFS(super1[Qtde],super1[Item],tab_alimentos[[#This Row],[Item]],super1[Bairro],mercado11)+SUMIFS(supercb[Qtde],supercb[Item],tab_alimentos[[#This Row],[Item]],supercb[Bairro],mercado11)</f>
        <v>0</v>
      </c>
      <c r="W208" s="27" t="n">
        <f aca="false">SUMIFS(super1[Qtde],super1[Item],tab_alimentos[[#This Row],[Item]],super1[Bairro],mercado12)+SUMIFS(supercb[Qtde],supercb[Item],tab_alimentos[[#This Row],[Item]],supercb[Bairro],mercado12)</f>
        <v>0</v>
      </c>
      <c r="X208" s="27" t="n">
        <f aca="false">SUMIFS(super1[Qtde],super1[Item],tab_alimentos[[#This Row],[Item]],super1[Bairro],mercado13)+SUMIFS(supercb[Qtde],supercb[Item],tab_alimentos[[#This Row],[Item]],supercb[Bairro],mercado13)</f>
        <v>0</v>
      </c>
      <c r="Y208" s="27" t="n">
        <f aca="false">SUMIFS(super1[Qtde],super1[Item],tab_alimentos[[#This Row],[Item]],super1[Bairro],mercado14)+SUMIFS(supercb[Qtde],supercb[Item],tab_alimentos[[#This Row],[Item]],supercb[Bairro],mercado14)</f>
        <v>0</v>
      </c>
      <c r="Z208" s="27" t="n">
        <f aca="false">SUMIFS(super1[Qtde],super1[Item],tab_alimentos[[#This Row],[Item]],super1[Bairro],mercado15)+SUMIFS(supercb[Qtde],supercb[Item],tab_alimentos[[#This Row],[Item]],supercb[Bairro],mercado15)</f>
        <v>0</v>
      </c>
      <c r="AA208" s="27" t="n">
        <f aca="false">SUMIFS(super1[Qtde],super1[Item],tab_alimentos[[#This Row],[Item]],super1[Bairro],mercado16)+SUMIFS(supercb[Qtde],supercb[Item],tab_alimentos[[#This Row],[Item]],supercb[Bairro],mercado16)</f>
        <v>0</v>
      </c>
      <c r="AB208" s="27" t="n">
        <f aca="false">SUMIFS(super1[Qtde],super1[Item],tab_alimentos[[#This Row],[Item]],super1[Bairro],mercado17)+SUMIFS(supercb[Qtde],supercb[Item],tab_alimentos[[#This Row],[Item]],supercb[Bairro],mercado17)</f>
        <v>0</v>
      </c>
      <c r="AC208" s="27" t="n">
        <f aca="false">SUMIFS(super1[Qtde],super1[Item],tab_alimentos[[#This Row],[Item]],super1[Bairro],mercado18)+SUMIFS(supercb[Qtde],supercb[Item],tab_alimentos[[#This Row],[Item]],supercb[Bairro],mercado18)</f>
        <v>0</v>
      </c>
      <c r="AD208" s="27" t="n">
        <f aca="false">SUMIFS(super1[Qtde],super1[Item],tab_alimentos[[#This Row],[Item]],super1[Bairro],extras)+SUMIFS(supercb[Qtde],supercb[Item],tab_alimentos[[#This Row],[Item]],supercb[Bairro],extras)</f>
        <v>0</v>
      </c>
      <c r="AE208" s="27" t="n">
        <f aca="false">SUM(L208:AC208)</f>
        <v>0</v>
      </c>
      <c r="AF208" s="27" t="n">
        <f aca="false">IFERROR(AE208*K208,0)</f>
        <v>0</v>
      </c>
      <c r="AG208" s="28" t="n">
        <f aca="false">IFERROR(J208*AE208,0)</f>
        <v>0</v>
      </c>
      <c r="AH208" s="37" t="str">
        <f aca="false">higiene[[#This Row],[Item]]</f>
        <v>Shampoo ou condicionador (400mL)</v>
      </c>
      <c r="AI208" s="38" t="n">
        <f aca="false">IFERROR(higiene[[#This Row],[Kg equivalente]],0)</f>
        <v>4.19633748222305</v>
      </c>
      <c r="AJ208" s="38" t="n">
        <f aca="false">IFERROR(higiene[[#This Row],[Preço por produto]],0)</f>
        <v>13.9</v>
      </c>
      <c r="AK208" s="27" t="n">
        <f aca="false">SUMIFS(super1[Qtde],super1[Item],tab_higiene[[#This Row],[Item]],super1[Bairro],mercado1)+SUMIFS(supercb[Qtde],supercb[Item],tab_higiene[[#This Row],[Item]],supercb[Bairro],mercado1)</f>
        <v>0</v>
      </c>
      <c r="AL208" s="27" t="n">
        <f aca="false">SUMIFS(super1[Qtde],super1[Item],tab_higiene[[#This Row],[Item]],super1[Bairro],mercado2)+SUMIFS(supercb[Qtde],supercb[Item],tab_higiene[[#This Row],[Item]],supercb[Bairro],mercado2)</f>
        <v>0</v>
      </c>
      <c r="AM208" s="27" t="n">
        <f aca="false">SUMIFS(super1[Qtde],super1[Item],tab_higiene[[#This Row],[Item]],super1[Bairro],mercado3)+SUMIFS(supercb[Qtde],supercb[Item],tab_higiene[[#This Row],[Item]],supercb[Bairro],mercado3)</f>
        <v>0</v>
      </c>
      <c r="AN208" s="27" t="n">
        <f aca="false">SUMIFS(super1[Qtde],super1[Item],tab_higiene[[#This Row],[Item]],super1[Bairro],mercado4)+SUMIFS(supercb[Qtde],supercb[Item],tab_higiene[[#This Row],[Item]],supercb[Bairro],mercado4)</f>
        <v>0</v>
      </c>
      <c r="AO208" s="27" t="n">
        <f aca="false">SUMIFS(super1[Qtde],super1[Item],tab_higiene[[#This Row],[Item]],super1[Bairro],mercado5)+SUMIFS(supercb[Qtde],supercb[Item],tab_higiene[[#This Row],[Item]],supercb[Bairro],mercado5)</f>
        <v>0</v>
      </c>
      <c r="AP208" s="27" t="n">
        <f aca="false">SUMIFS(super1[Qtde],super1[Item],tab_higiene[[#This Row],[Item]],super1[Bairro],mercado6)+SUMIFS(supercb[Qtde],supercb[Item],tab_higiene[[#This Row],[Item]],supercb[Bairro],mercado6)</f>
        <v>0</v>
      </c>
      <c r="AQ208" s="27" t="n">
        <f aca="false">SUMIFS(super1[Qtde],super1[Item],tab_higiene[[#This Row],[Item]],super1[Bairro],mercado7)+SUMIFS(supercb[Qtde],supercb[Item],tab_higiene[[#This Row],[Item]],supercb[Bairro],mercado7)</f>
        <v>0</v>
      </c>
      <c r="AR208" s="27" t="n">
        <f aca="false">SUMIFS(super1[Qtde],super1[Item],tab_higiene[[#This Row],[Item]],super1[Bairro],mercado8)+SUMIFS(supercb[Qtde],supercb[Item],tab_higiene[[#This Row],[Item]],supercb[Bairro],mercado8)</f>
        <v>0</v>
      </c>
      <c r="AS208" s="27" t="n">
        <f aca="false">SUMIFS(super1[Qtde],super1[Item],tab_higiene[[#This Row],[Item]],super1[Bairro],mercado9)+SUMIFS(supercb[Qtde],supercb[Item],tab_higiene[[#This Row],[Item]],supercb[Bairro],mercado9)</f>
        <v>0</v>
      </c>
      <c r="AT208" s="27" t="n">
        <f aca="false">SUMIFS(super1[Qtde],super1[Item],tab_higiene[[#This Row],[Item]],super1[Bairro],mercado10)+SUMIFS(supercb[Qtde],supercb[Item],tab_higiene[[#This Row],[Item]],supercb[Bairro],mercado10)</f>
        <v>0</v>
      </c>
      <c r="AU208" s="27" t="n">
        <f aca="false">SUMIFS(super1[Qtde],super1[Item],tab_higiene[[#This Row],[Item]],super1[Bairro],mercado11)+SUMIFS(supercb[Qtde],supercb[Item],tab_higiene[[#This Row],[Item]],supercb[Bairro],mercado11)</f>
        <v>0</v>
      </c>
      <c r="AV208" s="27" t="n">
        <f aca="false">SUMIFS(super1[Qtde],super1[Item],tab_higiene[[#This Row],[Item]],super1[Bairro],mercado12)+SUMIFS(supercb[Qtde],supercb[Item],tab_higiene[[#This Row],[Item]],supercb[Bairro],mercado12)</f>
        <v>0</v>
      </c>
      <c r="AW208" s="27" t="n">
        <f aca="false">SUMIFS(super1[Qtde],super1[Item],tab_higiene[[#This Row],[Item]],super1[Bairro],mercado13)+SUMIFS(supercb[Qtde],supercb[Item],tab_higiene[[#This Row],[Item]],supercb[Bairro],mercado13)</f>
        <v>0</v>
      </c>
      <c r="AX208" s="27" t="n">
        <f aca="false">SUMIFS(super1[Qtde],super1[Item],tab_higiene[[#This Row],[Item]],super1[Bairro],mercado14)+SUMIFS(supercb[Qtde],supercb[Item],tab_higiene[[#This Row],[Item]],supercb[Bairro],mercado14)</f>
        <v>0</v>
      </c>
      <c r="AY208" s="27" t="n">
        <f aca="false">SUMIFS(super1[Qtde],super1[Item],tab_higiene[[#This Row],[Item]],super1[Bairro],mercado15)+SUMIFS(supercb[Qtde],supercb[Item],tab_higiene[[#This Row],[Item]],supercb[Bairro],mercado15)</f>
        <v>0</v>
      </c>
      <c r="AZ208" s="27" t="n">
        <f aca="false">SUMIFS(super1[Qtde],super1[Item],tab_higiene[[#This Row],[Item]],super1[Bairro],mercado16)+SUMIFS(supercb[Qtde],supercb[Item],tab_higiene[[#This Row],[Item]],supercb[Bairro],mercado16)</f>
        <v>0</v>
      </c>
      <c r="BA208" s="27" t="n">
        <f aca="false">SUMIFS(super1[Qtde],super1[Item],tab_higiene[[#This Row],[Item]],super1[Bairro],mercado17)+SUMIFS(supercb[Qtde],supercb[Item],tab_higiene[[#This Row],[Item]],supercb[Bairro],mercado17)</f>
        <v>0</v>
      </c>
      <c r="BB208" s="27" t="n">
        <f aca="false">SUMIFS(super1[Qtde],super1[Item],tab_higiene[[#This Row],[Item]],super1[Bairro],mercado18)+SUMIFS(supercb[Qtde],supercb[Item],tab_higiene[[#This Row],[Item]],supercb[Bairro],mercado18)</f>
        <v>0</v>
      </c>
      <c r="BC208" s="39" t="n">
        <f aca="false">SUMIFS(super1[Qtde],super1[Item],tab_higiene[[#This Row],[Item]],super1[Bairro],extras)+SUMIFS(supercb[Qtde],supercb[Item],tab_higiene[[#This Row],[Item]],supercb[Bairro],extras)</f>
        <v>0</v>
      </c>
      <c r="BD208" s="38" t="n">
        <f aca="false">SUM(AK208:BB208)</f>
        <v>0</v>
      </c>
      <c r="BE208" s="38" t="n">
        <f aca="false">IFERROR(BD208*AJ208,0)</f>
        <v>0</v>
      </c>
      <c r="BF208" s="40" t="n">
        <f aca="false">IFERROR(AI208*BD208,0)</f>
        <v>0</v>
      </c>
    </row>
    <row r="209" customFormat="false" ht="15.75" hidden="false" customHeight="false" outlineLevel="0" collapsed="false">
      <c r="I209" s="26" t="str">
        <f aca="false">alimentos[[#This Row],[Item]]</f>
        <v>Palmito (500g)</v>
      </c>
      <c r="J209" s="27" t="n">
        <f aca="false">IFERROR(alimentos[[#This Row],[kg/embalagem]],0)</f>
        <v>0.5</v>
      </c>
      <c r="K209" s="27" t="n">
        <f aca="false">IFERROR(alimentos[[#This Row],[Preço]],0)</f>
        <v>27.58</v>
      </c>
      <c r="L209" s="27" t="n">
        <f aca="false">SUMIFS(super1[Qtde],super1[Item],tab_alimentos[[#This Row],[Item]],super1[Bairro],mercado1)+SUMIFS(supercb[Qtde],supercb[Item],tab_alimentos[[#This Row],[Item]],supercb[Bairro],mercado1)</f>
        <v>0</v>
      </c>
      <c r="M209" s="27" t="n">
        <f aca="false">SUMIFS(super1[Qtde],super1[Item],tab_alimentos[[#This Row],[Item]],super1[Bairro],mercado2)+SUMIFS(supercb[Qtde],supercb[Item],tab_alimentos[[#This Row],[Item]],supercb[Bairro],mercado2)</f>
        <v>0</v>
      </c>
      <c r="N209" s="27" t="n">
        <f aca="false">SUMIFS(super1[Qtde],super1[Item],tab_alimentos[[#This Row],[Item]],super1[Bairro],mercado3)+SUMIFS(supercb[Qtde],supercb[Item],tab_alimentos[[#This Row],[Item]],supercb[Bairro],mercado3)</f>
        <v>0</v>
      </c>
      <c r="O209" s="27" t="n">
        <f aca="false">SUMIFS(super1[Qtde],super1[Item],tab_alimentos[[#This Row],[Item]],super1[Bairro],mercado4)+SUMIFS(supercb[Qtde],supercb[Item],tab_alimentos[[#This Row],[Item]],supercb[Bairro],mercado4)</f>
        <v>0</v>
      </c>
      <c r="P209" s="27" t="n">
        <f aca="false">SUMIFS(super1[Qtde],super1[Item],tab_alimentos[[#This Row],[Item]],super1[Bairro],mercado5)+SUMIFS(supercb[Qtde],supercb[Item],tab_alimentos[[#This Row],[Item]],supercb[Bairro],mercado5)</f>
        <v>0</v>
      </c>
      <c r="Q209" s="27" t="n">
        <f aca="false">SUMIFS(super1[Qtde],super1[Item],tab_alimentos[[#This Row],[Item]],super1[Bairro],mercado6)+SUMIFS(supercb[Qtde],supercb[Item],tab_alimentos[[#This Row],[Item]],supercb[Bairro],mercado6)</f>
        <v>0</v>
      </c>
      <c r="R209" s="27" t="n">
        <f aca="false">SUMIFS(super1[Qtde],super1[Item],tab_alimentos[[#This Row],[Item]],super1[Bairro],mercado7)+SUMIFS(supercb[Qtde],supercb[Item],tab_alimentos[[#This Row],[Item]],supercb[Bairro],mercado7)</f>
        <v>0</v>
      </c>
      <c r="S209" s="27" t="n">
        <f aca="false">SUMIFS(super1[Qtde],super1[Item],tab_alimentos[[#This Row],[Item]],super1[Bairro],mercado8)+SUMIFS(supercb[Qtde],supercb[Item],tab_alimentos[[#This Row],[Item]],supercb[Bairro],mercado8)</f>
        <v>0</v>
      </c>
      <c r="T209" s="27" t="n">
        <f aca="false">SUMIFS(super1[Qtde],super1[Item],tab_alimentos[[#This Row],[Item]],super1[Bairro],mercado9)+SUMIFS(supercb[Qtde],supercb[Item],tab_alimentos[[#This Row],[Item]],supercb[Bairro],mercado9)</f>
        <v>0</v>
      </c>
      <c r="U209" s="27" t="n">
        <f aca="false">SUMIFS(super1[Qtde],super1[Item],tab_alimentos[[#This Row],[Item]],super1[Bairro],mercado10)+SUMIFS(supercb[Qtde],supercb[Item],tab_alimentos[[#This Row],[Item]],supercb[Bairro],mercado10)</f>
        <v>0</v>
      </c>
      <c r="V209" s="27" t="n">
        <f aca="false">SUMIFS(super1[Qtde],super1[Item],tab_alimentos[[#This Row],[Item]],super1[Bairro],mercado11)+SUMIFS(supercb[Qtde],supercb[Item],tab_alimentos[[#This Row],[Item]],supercb[Bairro],mercado11)</f>
        <v>0</v>
      </c>
      <c r="W209" s="27" t="n">
        <f aca="false">SUMIFS(super1[Qtde],super1[Item],tab_alimentos[[#This Row],[Item]],super1[Bairro],mercado12)+SUMIFS(supercb[Qtde],supercb[Item],tab_alimentos[[#This Row],[Item]],supercb[Bairro],mercado12)</f>
        <v>0</v>
      </c>
      <c r="X209" s="27" t="n">
        <f aca="false">SUMIFS(super1[Qtde],super1[Item],tab_alimentos[[#This Row],[Item]],super1[Bairro],mercado13)+SUMIFS(supercb[Qtde],supercb[Item],tab_alimentos[[#This Row],[Item]],supercb[Bairro],mercado13)</f>
        <v>0</v>
      </c>
      <c r="Y209" s="27" t="n">
        <f aca="false">SUMIFS(super1[Qtde],super1[Item],tab_alimentos[[#This Row],[Item]],super1[Bairro],mercado14)+SUMIFS(supercb[Qtde],supercb[Item],tab_alimentos[[#This Row],[Item]],supercb[Bairro],mercado14)</f>
        <v>0</v>
      </c>
      <c r="Z209" s="27" t="n">
        <f aca="false">SUMIFS(super1[Qtde],super1[Item],tab_alimentos[[#This Row],[Item]],super1[Bairro],mercado15)+SUMIFS(supercb[Qtde],supercb[Item],tab_alimentos[[#This Row],[Item]],supercb[Bairro],mercado15)</f>
        <v>0</v>
      </c>
      <c r="AA209" s="27" t="n">
        <f aca="false">SUMIFS(super1[Qtde],super1[Item],tab_alimentos[[#This Row],[Item]],super1[Bairro],mercado16)+SUMIFS(supercb[Qtde],supercb[Item],tab_alimentos[[#This Row],[Item]],supercb[Bairro],mercado16)</f>
        <v>0</v>
      </c>
      <c r="AB209" s="27" t="n">
        <f aca="false">SUMIFS(super1[Qtde],super1[Item],tab_alimentos[[#This Row],[Item]],super1[Bairro],mercado17)+SUMIFS(supercb[Qtde],supercb[Item],tab_alimentos[[#This Row],[Item]],supercb[Bairro],mercado17)</f>
        <v>0</v>
      </c>
      <c r="AC209" s="27" t="n">
        <f aca="false">SUMIFS(super1[Qtde],super1[Item],tab_alimentos[[#This Row],[Item]],super1[Bairro],mercado18)+SUMIFS(supercb[Qtde],supercb[Item],tab_alimentos[[#This Row],[Item]],supercb[Bairro],mercado18)</f>
        <v>0</v>
      </c>
      <c r="AD209" s="27" t="n">
        <f aca="false">SUMIFS(super1[Qtde],super1[Item],tab_alimentos[[#This Row],[Item]],super1[Bairro],extras)+SUMIFS(supercb[Qtde],supercb[Item],tab_alimentos[[#This Row],[Item]],supercb[Bairro],extras)</f>
        <v>0</v>
      </c>
      <c r="AE209" s="27" t="n">
        <f aca="false">SUM(L209:AC209)</f>
        <v>0</v>
      </c>
      <c r="AF209" s="27" t="n">
        <f aca="false">IFERROR(AE209*K209,0)</f>
        <v>0</v>
      </c>
      <c r="AG209" s="28" t="n">
        <f aca="false">IFERROR(J209*AE209,0)</f>
        <v>0</v>
      </c>
      <c r="AH209" s="37" t="str">
        <f aca="false">higiene[[#This Row],[Item]]</f>
        <v>T</v>
      </c>
      <c r="AI209" s="38" t="n">
        <f aca="false">IFERROR(higiene[[#This Row],[Kg equivalente]],0)</f>
        <v>0</v>
      </c>
      <c r="AJ209" s="38" t="n">
        <f aca="false">IFERROR(higiene[[#This Row],[Preço por produto]],0)</f>
        <v>0</v>
      </c>
      <c r="AK209" s="27" t="n">
        <f aca="false">SUMIFS(super1[Qtde],super1[Item],tab_higiene[[#This Row],[Item]],super1[Bairro],mercado1)+SUMIFS(supercb[Qtde],supercb[Item],tab_higiene[[#This Row],[Item]],supercb[Bairro],mercado1)</f>
        <v>0</v>
      </c>
      <c r="AL209" s="27" t="n">
        <f aca="false">SUMIFS(super1[Qtde],super1[Item],tab_higiene[[#This Row],[Item]],super1[Bairro],mercado2)+SUMIFS(supercb[Qtde],supercb[Item],tab_higiene[[#This Row],[Item]],supercb[Bairro],mercado2)</f>
        <v>0</v>
      </c>
      <c r="AM209" s="27" t="n">
        <f aca="false">SUMIFS(super1[Qtde],super1[Item],tab_higiene[[#This Row],[Item]],super1[Bairro],mercado3)+SUMIFS(supercb[Qtde],supercb[Item],tab_higiene[[#This Row],[Item]],supercb[Bairro],mercado3)</f>
        <v>0</v>
      </c>
      <c r="AN209" s="27" t="n">
        <f aca="false">SUMIFS(super1[Qtde],super1[Item],tab_higiene[[#This Row],[Item]],super1[Bairro],mercado4)+SUMIFS(supercb[Qtde],supercb[Item],tab_higiene[[#This Row],[Item]],supercb[Bairro],mercado4)</f>
        <v>0</v>
      </c>
      <c r="AO209" s="27" t="n">
        <f aca="false">SUMIFS(super1[Qtde],super1[Item],tab_higiene[[#This Row],[Item]],super1[Bairro],mercado5)+SUMIFS(supercb[Qtde],supercb[Item],tab_higiene[[#This Row],[Item]],supercb[Bairro],mercado5)</f>
        <v>0</v>
      </c>
      <c r="AP209" s="27" t="n">
        <f aca="false">SUMIFS(super1[Qtde],super1[Item],tab_higiene[[#This Row],[Item]],super1[Bairro],mercado6)+SUMIFS(supercb[Qtde],supercb[Item],tab_higiene[[#This Row],[Item]],supercb[Bairro],mercado6)</f>
        <v>0</v>
      </c>
      <c r="AQ209" s="27" t="n">
        <f aca="false">SUMIFS(super1[Qtde],super1[Item],tab_higiene[[#This Row],[Item]],super1[Bairro],mercado7)+SUMIFS(supercb[Qtde],supercb[Item],tab_higiene[[#This Row],[Item]],supercb[Bairro],mercado7)</f>
        <v>0</v>
      </c>
      <c r="AR209" s="27" t="n">
        <f aca="false">SUMIFS(super1[Qtde],super1[Item],tab_higiene[[#This Row],[Item]],super1[Bairro],mercado8)+SUMIFS(supercb[Qtde],supercb[Item],tab_higiene[[#This Row],[Item]],supercb[Bairro],mercado8)</f>
        <v>0</v>
      </c>
      <c r="AS209" s="27" t="n">
        <f aca="false">SUMIFS(super1[Qtde],super1[Item],tab_higiene[[#This Row],[Item]],super1[Bairro],mercado9)+SUMIFS(supercb[Qtde],supercb[Item],tab_higiene[[#This Row],[Item]],supercb[Bairro],mercado9)</f>
        <v>0</v>
      </c>
      <c r="AT209" s="27" t="n">
        <f aca="false">SUMIFS(super1[Qtde],super1[Item],tab_higiene[[#This Row],[Item]],super1[Bairro],mercado10)+SUMIFS(supercb[Qtde],supercb[Item],tab_higiene[[#This Row],[Item]],supercb[Bairro],mercado10)</f>
        <v>0</v>
      </c>
      <c r="AU209" s="27" t="n">
        <f aca="false">SUMIFS(super1[Qtde],super1[Item],tab_higiene[[#This Row],[Item]],super1[Bairro],mercado11)+SUMIFS(supercb[Qtde],supercb[Item],tab_higiene[[#This Row],[Item]],supercb[Bairro],mercado11)</f>
        <v>0</v>
      </c>
      <c r="AV209" s="27" t="n">
        <f aca="false">SUMIFS(super1[Qtde],super1[Item],tab_higiene[[#This Row],[Item]],super1[Bairro],mercado12)+SUMIFS(supercb[Qtde],supercb[Item],tab_higiene[[#This Row],[Item]],supercb[Bairro],mercado12)</f>
        <v>0</v>
      </c>
      <c r="AW209" s="27" t="n">
        <f aca="false">SUMIFS(super1[Qtde],super1[Item],tab_higiene[[#This Row],[Item]],super1[Bairro],mercado13)+SUMIFS(supercb[Qtde],supercb[Item],tab_higiene[[#This Row],[Item]],supercb[Bairro],mercado13)</f>
        <v>0</v>
      </c>
      <c r="AX209" s="27" t="n">
        <f aca="false">SUMIFS(super1[Qtde],super1[Item],tab_higiene[[#This Row],[Item]],super1[Bairro],mercado14)+SUMIFS(supercb[Qtde],supercb[Item],tab_higiene[[#This Row],[Item]],supercb[Bairro],mercado14)</f>
        <v>0</v>
      </c>
      <c r="AY209" s="27" t="n">
        <f aca="false">SUMIFS(super1[Qtde],super1[Item],tab_higiene[[#This Row],[Item]],super1[Bairro],mercado15)+SUMIFS(supercb[Qtde],supercb[Item],tab_higiene[[#This Row],[Item]],supercb[Bairro],mercado15)</f>
        <v>0</v>
      </c>
      <c r="AZ209" s="27" t="n">
        <f aca="false">SUMIFS(super1[Qtde],super1[Item],tab_higiene[[#This Row],[Item]],super1[Bairro],mercado16)+SUMIFS(supercb[Qtde],supercb[Item],tab_higiene[[#This Row],[Item]],supercb[Bairro],mercado16)</f>
        <v>0</v>
      </c>
      <c r="BA209" s="27" t="n">
        <f aca="false">SUMIFS(super1[Qtde],super1[Item],tab_higiene[[#This Row],[Item]],super1[Bairro],mercado17)+SUMIFS(supercb[Qtde],supercb[Item],tab_higiene[[#This Row],[Item]],supercb[Bairro],mercado17)</f>
        <v>0</v>
      </c>
      <c r="BB209" s="27" t="n">
        <f aca="false">SUMIFS(super1[Qtde],super1[Item],tab_higiene[[#This Row],[Item]],super1[Bairro],mercado18)+SUMIFS(supercb[Qtde],supercb[Item],tab_higiene[[#This Row],[Item]],supercb[Bairro],mercado18)</f>
        <v>0</v>
      </c>
      <c r="BC209" s="39" t="n">
        <f aca="false">SUMIFS(super1[Qtde],super1[Item],tab_higiene[[#This Row],[Item]],super1[Bairro],extras)+SUMIFS(supercb[Qtde],supercb[Item],tab_higiene[[#This Row],[Item]],supercb[Bairro],extras)</f>
        <v>0</v>
      </c>
      <c r="BD209" s="38" t="n">
        <f aca="false">SUM(AK209:BB209)</f>
        <v>0</v>
      </c>
      <c r="BE209" s="38" t="n">
        <f aca="false">IFERROR(BD209*AJ209,0)</f>
        <v>0</v>
      </c>
      <c r="BF209" s="40" t="n">
        <f aca="false">IFERROR(AI209*BD209,0)</f>
        <v>0</v>
      </c>
    </row>
    <row r="210" customFormat="false" ht="15.75" hidden="false" customHeight="false" outlineLevel="0" collapsed="false">
      <c r="I210" s="26" t="str">
        <f aca="false">alimentos[[#This Row],[Item]]</f>
        <v>Palmito (530g)</v>
      </c>
      <c r="J210" s="27" t="n">
        <f aca="false">IFERROR(alimentos[[#This Row],[kg/embalagem]],0)</f>
        <v>0.53</v>
      </c>
      <c r="K210" s="27" t="n">
        <f aca="false">IFERROR(alimentos[[#This Row],[Preço]],0)</f>
        <v>18.15</v>
      </c>
      <c r="L210" s="27" t="n">
        <f aca="false">SUMIFS(super1[Qtde],super1[Item],tab_alimentos[[#This Row],[Item]],super1[Bairro],mercado1)+SUMIFS(supercb[Qtde],supercb[Item],tab_alimentos[[#This Row],[Item]],supercb[Bairro],mercado1)</f>
        <v>0</v>
      </c>
      <c r="M210" s="27" t="n">
        <f aca="false">SUMIFS(super1[Qtde],super1[Item],tab_alimentos[[#This Row],[Item]],super1[Bairro],mercado2)+SUMIFS(supercb[Qtde],supercb[Item],tab_alimentos[[#This Row],[Item]],supercb[Bairro],mercado2)</f>
        <v>0</v>
      </c>
      <c r="N210" s="27" t="n">
        <f aca="false">SUMIFS(super1[Qtde],super1[Item],tab_alimentos[[#This Row],[Item]],super1[Bairro],mercado3)+SUMIFS(supercb[Qtde],supercb[Item],tab_alimentos[[#This Row],[Item]],supercb[Bairro],mercado3)</f>
        <v>0</v>
      </c>
      <c r="O210" s="27" t="n">
        <f aca="false">SUMIFS(super1[Qtde],super1[Item],tab_alimentos[[#This Row],[Item]],super1[Bairro],mercado4)+SUMIFS(supercb[Qtde],supercb[Item],tab_alimentos[[#This Row],[Item]],supercb[Bairro],mercado4)</f>
        <v>0</v>
      </c>
      <c r="P210" s="27" t="n">
        <f aca="false">SUMIFS(super1[Qtde],super1[Item],tab_alimentos[[#This Row],[Item]],super1[Bairro],mercado5)+SUMIFS(supercb[Qtde],supercb[Item],tab_alimentos[[#This Row],[Item]],supercb[Bairro],mercado5)</f>
        <v>0</v>
      </c>
      <c r="Q210" s="27" t="n">
        <f aca="false">SUMIFS(super1[Qtde],super1[Item],tab_alimentos[[#This Row],[Item]],super1[Bairro],mercado6)+SUMIFS(supercb[Qtde],supercb[Item],tab_alimentos[[#This Row],[Item]],supercb[Bairro],mercado6)</f>
        <v>0</v>
      </c>
      <c r="R210" s="27" t="n">
        <f aca="false">SUMIFS(super1[Qtde],super1[Item],tab_alimentos[[#This Row],[Item]],super1[Bairro],mercado7)+SUMIFS(supercb[Qtde],supercb[Item],tab_alimentos[[#This Row],[Item]],supercb[Bairro],mercado7)</f>
        <v>0</v>
      </c>
      <c r="S210" s="27" t="n">
        <f aca="false">SUMIFS(super1[Qtde],super1[Item],tab_alimentos[[#This Row],[Item]],super1[Bairro],mercado8)+SUMIFS(supercb[Qtde],supercb[Item],tab_alimentos[[#This Row],[Item]],supercb[Bairro],mercado8)</f>
        <v>0</v>
      </c>
      <c r="T210" s="27" t="n">
        <f aca="false">SUMIFS(super1[Qtde],super1[Item],tab_alimentos[[#This Row],[Item]],super1[Bairro],mercado9)+SUMIFS(supercb[Qtde],supercb[Item],tab_alimentos[[#This Row],[Item]],supercb[Bairro],mercado9)</f>
        <v>0</v>
      </c>
      <c r="U210" s="27" t="n">
        <f aca="false">SUMIFS(super1[Qtde],super1[Item],tab_alimentos[[#This Row],[Item]],super1[Bairro],mercado10)+SUMIFS(supercb[Qtde],supercb[Item],tab_alimentos[[#This Row],[Item]],supercb[Bairro],mercado10)</f>
        <v>0</v>
      </c>
      <c r="V210" s="27" t="n">
        <f aca="false">SUMIFS(super1[Qtde],super1[Item],tab_alimentos[[#This Row],[Item]],super1[Bairro],mercado11)+SUMIFS(supercb[Qtde],supercb[Item],tab_alimentos[[#This Row],[Item]],supercb[Bairro],mercado11)</f>
        <v>0</v>
      </c>
      <c r="W210" s="27" t="n">
        <f aca="false">SUMIFS(super1[Qtde],super1[Item],tab_alimentos[[#This Row],[Item]],super1[Bairro],mercado12)+SUMIFS(supercb[Qtde],supercb[Item],tab_alimentos[[#This Row],[Item]],supercb[Bairro],mercado12)</f>
        <v>0</v>
      </c>
      <c r="X210" s="27" t="n">
        <f aca="false">SUMIFS(super1[Qtde],super1[Item],tab_alimentos[[#This Row],[Item]],super1[Bairro],mercado13)+SUMIFS(supercb[Qtde],supercb[Item],tab_alimentos[[#This Row],[Item]],supercb[Bairro],mercado13)</f>
        <v>0</v>
      </c>
      <c r="Y210" s="27" t="n">
        <f aca="false">SUMIFS(super1[Qtde],super1[Item],tab_alimentos[[#This Row],[Item]],super1[Bairro],mercado14)+SUMIFS(supercb[Qtde],supercb[Item],tab_alimentos[[#This Row],[Item]],supercb[Bairro],mercado14)</f>
        <v>0</v>
      </c>
      <c r="Z210" s="27" t="n">
        <f aca="false">SUMIFS(super1[Qtde],super1[Item],tab_alimentos[[#This Row],[Item]],super1[Bairro],mercado15)+SUMIFS(supercb[Qtde],supercb[Item],tab_alimentos[[#This Row],[Item]],supercb[Bairro],mercado15)</f>
        <v>0</v>
      </c>
      <c r="AA210" s="27" t="n">
        <f aca="false">SUMIFS(super1[Qtde],super1[Item],tab_alimentos[[#This Row],[Item]],super1[Bairro],mercado16)+SUMIFS(supercb[Qtde],supercb[Item],tab_alimentos[[#This Row],[Item]],supercb[Bairro],mercado16)</f>
        <v>0</v>
      </c>
      <c r="AB210" s="27" t="n">
        <f aca="false">SUMIFS(super1[Qtde],super1[Item],tab_alimentos[[#This Row],[Item]],super1[Bairro],mercado17)+SUMIFS(supercb[Qtde],supercb[Item],tab_alimentos[[#This Row],[Item]],supercb[Bairro],mercado17)</f>
        <v>0</v>
      </c>
      <c r="AC210" s="27" t="n">
        <f aca="false">SUMIFS(super1[Qtde],super1[Item],tab_alimentos[[#This Row],[Item]],super1[Bairro],mercado18)+SUMIFS(supercb[Qtde],supercb[Item],tab_alimentos[[#This Row],[Item]],supercb[Bairro],mercado18)</f>
        <v>0</v>
      </c>
      <c r="AD210" s="27" t="n">
        <f aca="false">SUMIFS(super1[Qtde],super1[Item],tab_alimentos[[#This Row],[Item]],super1[Bairro],extras)+SUMIFS(supercb[Qtde],supercb[Item],tab_alimentos[[#This Row],[Item]],supercb[Bairro],extras)</f>
        <v>0</v>
      </c>
      <c r="AE210" s="27" t="n">
        <f aca="false">SUM(L210:AC210)</f>
        <v>0</v>
      </c>
      <c r="AF210" s="27" t="n">
        <f aca="false">IFERROR(AE210*K210,0)</f>
        <v>0</v>
      </c>
      <c r="AG210" s="28" t="n">
        <f aca="false">IFERROR(J210*AE210,0)</f>
        <v>0</v>
      </c>
      <c r="AH210" s="37" t="str">
        <f aca="false">higiene[[#This Row],[Item]]</f>
        <v>Talco (100g)</v>
      </c>
      <c r="AI210" s="38" t="n">
        <f aca="false">IFERROR(higiene[[#This Row],[Kg equivalente]],0)</f>
        <v>2.50119827627467</v>
      </c>
      <c r="AJ210" s="38" t="n">
        <f aca="false">IFERROR(higiene[[#This Row],[Preço por produto]],0)</f>
        <v>8.285</v>
      </c>
      <c r="AK210" s="27" t="n">
        <f aca="false">SUMIFS(super1[Qtde],super1[Item],tab_higiene[[#This Row],[Item]],super1[Bairro],mercado1)+SUMIFS(supercb[Qtde],supercb[Item],tab_higiene[[#This Row],[Item]],supercb[Bairro],mercado1)</f>
        <v>0</v>
      </c>
      <c r="AL210" s="27" t="n">
        <f aca="false">SUMIFS(super1[Qtde],super1[Item],tab_higiene[[#This Row],[Item]],super1[Bairro],mercado2)+SUMIFS(supercb[Qtde],supercb[Item],tab_higiene[[#This Row],[Item]],supercb[Bairro],mercado2)</f>
        <v>0</v>
      </c>
      <c r="AM210" s="27" t="n">
        <f aca="false">SUMIFS(super1[Qtde],super1[Item],tab_higiene[[#This Row],[Item]],super1[Bairro],mercado3)+SUMIFS(supercb[Qtde],supercb[Item],tab_higiene[[#This Row],[Item]],supercb[Bairro],mercado3)</f>
        <v>0</v>
      </c>
      <c r="AN210" s="27" t="n">
        <f aca="false">SUMIFS(super1[Qtde],super1[Item],tab_higiene[[#This Row],[Item]],super1[Bairro],mercado4)+SUMIFS(supercb[Qtde],supercb[Item],tab_higiene[[#This Row],[Item]],supercb[Bairro],mercado4)</f>
        <v>0</v>
      </c>
      <c r="AO210" s="27" t="n">
        <f aca="false">SUMIFS(super1[Qtde],super1[Item],tab_higiene[[#This Row],[Item]],super1[Bairro],mercado5)+SUMIFS(supercb[Qtde],supercb[Item],tab_higiene[[#This Row],[Item]],supercb[Bairro],mercado5)</f>
        <v>0</v>
      </c>
      <c r="AP210" s="27" t="n">
        <f aca="false">SUMIFS(super1[Qtde],super1[Item],tab_higiene[[#This Row],[Item]],super1[Bairro],mercado6)+SUMIFS(supercb[Qtde],supercb[Item],tab_higiene[[#This Row],[Item]],supercb[Bairro],mercado6)</f>
        <v>0</v>
      </c>
      <c r="AQ210" s="27" t="n">
        <f aca="false">SUMIFS(super1[Qtde],super1[Item],tab_higiene[[#This Row],[Item]],super1[Bairro],mercado7)+SUMIFS(supercb[Qtde],supercb[Item],tab_higiene[[#This Row],[Item]],supercb[Bairro],mercado7)</f>
        <v>0</v>
      </c>
      <c r="AR210" s="27" t="n">
        <f aca="false">SUMIFS(super1[Qtde],super1[Item],tab_higiene[[#This Row],[Item]],super1[Bairro],mercado8)+SUMIFS(supercb[Qtde],supercb[Item],tab_higiene[[#This Row],[Item]],supercb[Bairro],mercado8)</f>
        <v>0</v>
      </c>
      <c r="AS210" s="27" t="n">
        <f aca="false">SUMIFS(super1[Qtde],super1[Item],tab_higiene[[#This Row],[Item]],super1[Bairro],mercado9)+SUMIFS(supercb[Qtde],supercb[Item],tab_higiene[[#This Row],[Item]],supercb[Bairro],mercado9)</f>
        <v>0</v>
      </c>
      <c r="AT210" s="27" t="n">
        <f aca="false">SUMIFS(super1[Qtde],super1[Item],tab_higiene[[#This Row],[Item]],super1[Bairro],mercado10)+SUMIFS(supercb[Qtde],supercb[Item],tab_higiene[[#This Row],[Item]],supercb[Bairro],mercado10)</f>
        <v>0</v>
      </c>
      <c r="AU210" s="27" t="n">
        <f aca="false">SUMIFS(super1[Qtde],super1[Item],tab_higiene[[#This Row],[Item]],super1[Bairro],mercado11)+SUMIFS(supercb[Qtde],supercb[Item],tab_higiene[[#This Row],[Item]],supercb[Bairro],mercado11)</f>
        <v>0</v>
      </c>
      <c r="AV210" s="27" t="n">
        <f aca="false">SUMIFS(super1[Qtde],super1[Item],tab_higiene[[#This Row],[Item]],super1[Bairro],mercado12)+SUMIFS(supercb[Qtde],supercb[Item],tab_higiene[[#This Row],[Item]],supercb[Bairro],mercado12)</f>
        <v>0</v>
      </c>
      <c r="AW210" s="27" t="n">
        <f aca="false">SUMIFS(super1[Qtde],super1[Item],tab_higiene[[#This Row],[Item]],super1[Bairro],mercado13)+SUMIFS(supercb[Qtde],supercb[Item],tab_higiene[[#This Row],[Item]],supercb[Bairro],mercado13)</f>
        <v>0</v>
      </c>
      <c r="AX210" s="27" t="n">
        <f aca="false">SUMIFS(super1[Qtde],super1[Item],tab_higiene[[#This Row],[Item]],super1[Bairro],mercado14)+SUMIFS(supercb[Qtde],supercb[Item],tab_higiene[[#This Row],[Item]],supercb[Bairro],mercado14)</f>
        <v>0</v>
      </c>
      <c r="AY210" s="27" t="n">
        <f aca="false">SUMIFS(super1[Qtde],super1[Item],tab_higiene[[#This Row],[Item]],super1[Bairro],mercado15)+SUMIFS(supercb[Qtde],supercb[Item],tab_higiene[[#This Row],[Item]],supercb[Bairro],mercado15)</f>
        <v>0</v>
      </c>
      <c r="AZ210" s="27" t="n">
        <f aca="false">SUMIFS(super1[Qtde],super1[Item],tab_higiene[[#This Row],[Item]],super1[Bairro],mercado16)+SUMIFS(supercb[Qtde],supercb[Item],tab_higiene[[#This Row],[Item]],supercb[Bairro],mercado16)</f>
        <v>0</v>
      </c>
      <c r="BA210" s="27" t="n">
        <f aca="false">SUMIFS(super1[Qtde],super1[Item],tab_higiene[[#This Row],[Item]],super1[Bairro],mercado17)+SUMIFS(supercb[Qtde],supercb[Item],tab_higiene[[#This Row],[Item]],supercb[Bairro],mercado17)</f>
        <v>0</v>
      </c>
      <c r="BB210" s="27" t="n">
        <f aca="false">SUMIFS(super1[Qtde],super1[Item],tab_higiene[[#This Row],[Item]],super1[Bairro],mercado18)+SUMIFS(supercb[Qtde],supercb[Item],tab_higiene[[#This Row],[Item]],supercb[Bairro],mercado18)</f>
        <v>0</v>
      </c>
      <c r="BC210" s="39" t="n">
        <f aca="false">SUMIFS(super1[Qtde],super1[Item],tab_higiene[[#This Row],[Item]],super1[Bairro],extras)+SUMIFS(supercb[Qtde],supercb[Item],tab_higiene[[#This Row],[Item]],supercb[Bairro],extras)</f>
        <v>0</v>
      </c>
      <c r="BD210" s="38" t="n">
        <f aca="false">SUM(AK210:BB210)</f>
        <v>0</v>
      </c>
      <c r="BE210" s="38" t="n">
        <f aca="false">IFERROR(BD210*AJ210,0)</f>
        <v>0</v>
      </c>
      <c r="BF210" s="40" t="n">
        <f aca="false">IFERROR(AI210*BD210,0)</f>
        <v>0</v>
      </c>
    </row>
    <row r="211" customFormat="false" ht="15.75" hidden="false" customHeight="false" outlineLevel="0" collapsed="false">
      <c r="I211" s="26" t="str">
        <f aca="false">alimentos[[#This Row],[Item]]</f>
        <v>Panetone</v>
      </c>
      <c r="J211" s="27" t="n">
        <f aca="false">IFERROR(alimentos[[#This Row],[kg/embalagem]],0)</f>
        <v>0.5</v>
      </c>
      <c r="K211" s="27" t="n">
        <f aca="false">IFERROR(alimentos[[#This Row],[Preço]],0)</f>
        <v>7.99</v>
      </c>
      <c r="L211" s="27" t="n">
        <f aca="false">SUMIFS(super1[Qtde],super1[Item],tab_alimentos[[#This Row],[Item]],super1[Bairro],mercado1)+SUMIFS(supercb[Qtde],supercb[Item],tab_alimentos[[#This Row],[Item]],supercb[Bairro],mercado1)</f>
        <v>0</v>
      </c>
      <c r="M211" s="27" t="n">
        <f aca="false">SUMIFS(super1[Qtde],super1[Item],tab_alimentos[[#This Row],[Item]],super1[Bairro],mercado2)+SUMIFS(supercb[Qtde],supercb[Item],tab_alimentos[[#This Row],[Item]],supercb[Bairro],mercado2)</f>
        <v>0</v>
      </c>
      <c r="N211" s="27" t="n">
        <f aca="false">SUMIFS(super1[Qtde],super1[Item],tab_alimentos[[#This Row],[Item]],super1[Bairro],mercado3)+SUMIFS(supercb[Qtde],supercb[Item],tab_alimentos[[#This Row],[Item]],supercb[Bairro],mercado3)</f>
        <v>0</v>
      </c>
      <c r="O211" s="27" t="n">
        <f aca="false">SUMIFS(super1[Qtde],super1[Item],tab_alimentos[[#This Row],[Item]],super1[Bairro],mercado4)+SUMIFS(supercb[Qtde],supercb[Item],tab_alimentos[[#This Row],[Item]],supercb[Bairro],mercado4)</f>
        <v>0</v>
      </c>
      <c r="P211" s="27" t="n">
        <f aca="false">SUMIFS(super1[Qtde],super1[Item],tab_alimentos[[#This Row],[Item]],super1[Bairro],mercado5)+SUMIFS(supercb[Qtde],supercb[Item],tab_alimentos[[#This Row],[Item]],supercb[Bairro],mercado5)</f>
        <v>0</v>
      </c>
      <c r="Q211" s="27" t="n">
        <f aca="false">SUMIFS(super1[Qtde],super1[Item],tab_alimentos[[#This Row],[Item]],super1[Bairro],mercado6)+SUMIFS(supercb[Qtde],supercb[Item],tab_alimentos[[#This Row],[Item]],supercb[Bairro],mercado6)</f>
        <v>0</v>
      </c>
      <c r="R211" s="27" t="n">
        <f aca="false">SUMIFS(super1[Qtde],super1[Item],tab_alimentos[[#This Row],[Item]],super1[Bairro],mercado7)+SUMIFS(supercb[Qtde],supercb[Item],tab_alimentos[[#This Row],[Item]],supercb[Bairro],mercado7)</f>
        <v>0</v>
      </c>
      <c r="S211" s="27" t="n">
        <f aca="false">SUMIFS(super1[Qtde],super1[Item],tab_alimentos[[#This Row],[Item]],super1[Bairro],mercado8)+SUMIFS(supercb[Qtde],supercb[Item],tab_alimentos[[#This Row],[Item]],supercb[Bairro],mercado8)</f>
        <v>0</v>
      </c>
      <c r="T211" s="27" t="n">
        <f aca="false">SUMIFS(super1[Qtde],super1[Item],tab_alimentos[[#This Row],[Item]],super1[Bairro],mercado9)+SUMIFS(supercb[Qtde],supercb[Item],tab_alimentos[[#This Row],[Item]],supercb[Bairro],mercado9)</f>
        <v>0</v>
      </c>
      <c r="U211" s="27" t="n">
        <f aca="false">SUMIFS(super1[Qtde],super1[Item],tab_alimentos[[#This Row],[Item]],super1[Bairro],mercado10)+SUMIFS(supercb[Qtde],supercb[Item],tab_alimentos[[#This Row],[Item]],supercb[Bairro],mercado10)</f>
        <v>0</v>
      </c>
      <c r="V211" s="27" t="n">
        <f aca="false">SUMIFS(super1[Qtde],super1[Item],tab_alimentos[[#This Row],[Item]],super1[Bairro],mercado11)+SUMIFS(supercb[Qtde],supercb[Item],tab_alimentos[[#This Row],[Item]],supercb[Bairro],mercado11)</f>
        <v>0</v>
      </c>
      <c r="W211" s="27" t="n">
        <f aca="false">SUMIFS(super1[Qtde],super1[Item],tab_alimentos[[#This Row],[Item]],super1[Bairro],mercado12)+SUMIFS(supercb[Qtde],supercb[Item],tab_alimentos[[#This Row],[Item]],supercb[Bairro],mercado12)</f>
        <v>0</v>
      </c>
      <c r="X211" s="27" t="n">
        <f aca="false">SUMIFS(super1[Qtde],super1[Item],tab_alimentos[[#This Row],[Item]],super1[Bairro],mercado13)+SUMIFS(supercb[Qtde],supercb[Item],tab_alimentos[[#This Row],[Item]],supercb[Bairro],mercado13)</f>
        <v>0</v>
      </c>
      <c r="Y211" s="27" t="n">
        <f aca="false">SUMIFS(super1[Qtde],super1[Item],tab_alimentos[[#This Row],[Item]],super1[Bairro],mercado14)+SUMIFS(supercb[Qtde],supercb[Item],tab_alimentos[[#This Row],[Item]],supercb[Bairro],mercado14)</f>
        <v>0</v>
      </c>
      <c r="Z211" s="27" t="n">
        <f aca="false">SUMIFS(super1[Qtde],super1[Item],tab_alimentos[[#This Row],[Item]],super1[Bairro],mercado15)+SUMIFS(supercb[Qtde],supercb[Item],tab_alimentos[[#This Row],[Item]],supercb[Bairro],mercado15)</f>
        <v>0</v>
      </c>
      <c r="AA211" s="27" t="n">
        <f aca="false">SUMIFS(super1[Qtde],super1[Item],tab_alimentos[[#This Row],[Item]],super1[Bairro],mercado16)+SUMIFS(supercb[Qtde],supercb[Item],tab_alimentos[[#This Row],[Item]],supercb[Bairro],mercado16)</f>
        <v>0</v>
      </c>
      <c r="AB211" s="27" t="n">
        <f aca="false">SUMIFS(super1[Qtde],super1[Item],tab_alimentos[[#This Row],[Item]],super1[Bairro],mercado17)+SUMIFS(supercb[Qtde],supercb[Item],tab_alimentos[[#This Row],[Item]],supercb[Bairro],mercado17)</f>
        <v>0</v>
      </c>
      <c r="AC211" s="27" t="n">
        <f aca="false">SUMIFS(super1[Qtde],super1[Item],tab_alimentos[[#This Row],[Item]],super1[Bairro],mercado18)+SUMIFS(supercb[Qtde],supercb[Item],tab_alimentos[[#This Row],[Item]],supercb[Bairro],mercado18)</f>
        <v>0</v>
      </c>
      <c r="AD211" s="27" t="n">
        <f aca="false">SUMIFS(super1[Qtde],super1[Item],tab_alimentos[[#This Row],[Item]],super1[Bairro],extras)+SUMIFS(supercb[Qtde],supercb[Item],tab_alimentos[[#This Row],[Item]],supercb[Bairro],extras)</f>
        <v>0</v>
      </c>
      <c r="AE211" s="27" t="n">
        <f aca="false">SUM(L211:AC211)</f>
        <v>0</v>
      </c>
      <c r="AF211" s="27" t="n">
        <f aca="false">IFERROR(AE211*K211,0)</f>
        <v>0</v>
      </c>
      <c r="AG211" s="28" t="n">
        <f aca="false">IFERROR(J211*AE211,0)</f>
        <v>0</v>
      </c>
      <c r="AH211" s="37" t="str">
        <f aca="false">higiene[[#This Row],[Item]]</f>
        <v>Talco (200g)</v>
      </c>
      <c r="AI211" s="38" t="n">
        <f aca="false">IFERROR(higiene[[#This Row],[Kg equivalente]],0)</f>
        <v>4.90277127419441</v>
      </c>
      <c r="AJ211" s="38" t="n">
        <f aca="false">IFERROR(higiene[[#This Row],[Preço por produto]],0)</f>
        <v>16.24</v>
      </c>
      <c r="AK211" s="27" t="n">
        <f aca="false">SUMIFS(super1[Qtde],super1[Item],tab_higiene[[#This Row],[Item]],super1[Bairro],mercado1)+SUMIFS(supercb[Qtde],supercb[Item],tab_higiene[[#This Row],[Item]],supercb[Bairro],mercado1)</f>
        <v>0</v>
      </c>
      <c r="AL211" s="27" t="n">
        <f aca="false">SUMIFS(super1[Qtde],super1[Item],tab_higiene[[#This Row],[Item]],super1[Bairro],mercado2)+SUMIFS(supercb[Qtde],supercb[Item],tab_higiene[[#This Row],[Item]],supercb[Bairro],mercado2)</f>
        <v>0</v>
      </c>
      <c r="AM211" s="27" t="n">
        <f aca="false">SUMIFS(super1[Qtde],super1[Item],tab_higiene[[#This Row],[Item]],super1[Bairro],mercado3)+SUMIFS(supercb[Qtde],supercb[Item],tab_higiene[[#This Row],[Item]],supercb[Bairro],mercado3)</f>
        <v>0</v>
      </c>
      <c r="AN211" s="27" t="n">
        <f aca="false">SUMIFS(super1[Qtde],super1[Item],tab_higiene[[#This Row],[Item]],super1[Bairro],mercado4)+SUMIFS(supercb[Qtde],supercb[Item],tab_higiene[[#This Row],[Item]],supercb[Bairro],mercado4)</f>
        <v>0</v>
      </c>
      <c r="AO211" s="27" t="n">
        <f aca="false">SUMIFS(super1[Qtde],super1[Item],tab_higiene[[#This Row],[Item]],super1[Bairro],mercado5)+SUMIFS(supercb[Qtde],supercb[Item],tab_higiene[[#This Row],[Item]],supercb[Bairro],mercado5)</f>
        <v>0</v>
      </c>
      <c r="AP211" s="27" t="n">
        <f aca="false">SUMIFS(super1[Qtde],super1[Item],tab_higiene[[#This Row],[Item]],super1[Bairro],mercado6)+SUMIFS(supercb[Qtde],supercb[Item],tab_higiene[[#This Row],[Item]],supercb[Bairro],mercado6)</f>
        <v>0</v>
      </c>
      <c r="AQ211" s="27" t="n">
        <f aca="false">SUMIFS(super1[Qtde],super1[Item],tab_higiene[[#This Row],[Item]],super1[Bairro],mercado7)+SUMIFS(supercb[Qtde],supercb[Item],tab_higiene[[#This Row],[Item]],supercb[Bairro],mercado7)</f>
        <v>0</v>
      </c>
      <c r="AR211" s="27" t="n">
        <f aca="false">SUMIFS(super1[Qtde],super1[Item],tab_higiene[[#This Row],[Item]],super1[Bairro],mercado8)+SUMIFS(supercb[Qtde],supercb[Item],tab_higiene[[#This Row],[Item]],supercb[Bairro],mercado8)</f>
        <v>0</v>
      </c>
      <c r="AS211" s="27" t="n">
        <f aca="false">SUMIFS(super1[Qtde],super1[Item],tab_higiene[[#This Row],[Item]],super1[Bairro],mercado9)+SUMIFS(supercb[Qtde],supercb[Item],tab_higiene[[#This Row],[Item]],supercb[Bairro],mercado9)</f>
        <v>0</v>
      </c>
      <c r="AT211" s="27" t="n">
        <f aca="false">SUMIFS(super1[Qtde],super1[Item],tab_higiene[[#This Row],[Item]],super1[Bairro],mercado10)+SUMIFS(supercb[Qtde],supercb[Item],tab_higiene[[#This Row],[Item]],supercb[Bairro],mercado10)</f>
        <v>0</v>
      </c>
      <c r="AU211" s="27" t="n">
        <f aca="false">SUMIFS(super1[Qtde],super1[Item],tab_higiene[[#This Row],[Item]],super1[Bairro],mercado11)+SUMIFS(supercb[Qtde],supercb[Item],tab_higiene[[#This Row],[Item]],supercb[Bairro],mercado11)</f>
        <v>0</v>
      </c>
      <c r="AV211" s="27" t="n">
        <f aca="false">SUMIFS(super1[Qtde],super1[Item],tab_higiene[[#This Row],[Item]],super1[Bairro],mercado12)+SUMIFS(supercb[Qtde],supercb[Item],tab_higiene[[#This Row],[Item]],supercb[Bairro],mercado12)</f>
        <v>0</v>
      </c>
      <c r="AW211" s="27" t="n">
        <f aca="false">SUMIFS(super1[Qtde],super1[Item],tab_higiene[[#This Row],[Item]],super1[Bairro],mercado13)+SUMIFS(supercb[Qtde],supercb[Item],tab_higiene[[#This Row],[Item]],supercb[Bairro],mercado13)</f>
        <v>0</v>
      </c>
      <c r="AX211" s="27" t="n">
        <f aca="false">SUMIFS(super1[Qtde],super1[Item],tab_higiene[[#This Row],[Item]],super1[Bairro],mercado14)+SUMIFS(supercb[Qtde],supercb[Item],tab_higiene[[#This Row],[Item]],supercb[Bairro],mercado14)</f>
        <v>0</v>
      </c>
      <c r="AY211" s="27" t="n">
        <f aca="false">SUMIFS(super1[Qtde],super1[Item],tab_higiene[[#This Row],[Item]],super1[Bairro],mercado15)+SUMIFS(supercb[Qtde],supercb[Item],tab_higiene[[#This Row],[Item]],supercb[Bairro],mercado15)</f>
        <v>0</v>
      </c>
      <c r="AZ211" s="27" t="n">
        <f aca="false">SUMIFS(super1[Qtde],super1[Item],tab_higiene[[#This Row],[Item]],super1[Bairro],mercado16)+SUMIFS(supercb[Qtde],supercb[Item],tab_higiene[[#This Row],[Item]],supercb[Bairro],mercado16)</f>
        <v>0</v>
      </c>
      <c r="BA211" s="27" t="n">
        <f aca="false">SUMIFS(super1[Qtde],super1[Item],tab_higiene[[#This Row],[Item]],super1[Bairro],mercado17)+SUMIFS(supercb[Qtde],supercb[Item],tab_higiene[[#This Row],[Item]],supercb[Bairro],mercado17)</f>
        <v>0</v>
      </c>
      <c r="BB211" s="27" t="n">
        <f aca="false">SUMIFS(super1[Qtde],super1[Item],tab_higiene[[#This Row],[Item]],super1[Bairro],mercado18)+SUMIFS(supercb[Qtde],supercb[Item],tab_higiene[[#This Row],[Item]],supercb[Bairro],mercado18)</f>
        <v>0</v>
      </c>
      <c r="BC211" s="39" t="n">
        <f aca="false">SUMIFS(super1[Qtde],super1[Item],tab_higiene[[#This Row],[Item]],super1[Bairro],extras)+SUMIFS(supercb[Qtde],supercb[Item],tab_higiene[[#This Row],[Item]],supercb[Bairro],extras)</f>
        <v>0</v>
      </c>
      <c r="BD211" s="38" t="n">
        <f aca="false">SUM(AK211:BB211)</f>
        <v>0</v>
      </c>
      <c r="BE211" s="38" t="n">
        <f aca="false">IFERROR(BD211*AJ211,0)</f>
        <v>0</v>
      </c>
      <c r="BF211" s="40" t="n">
        <f aca="false">IFERROR(AI211*BD211,0)</f>
        <v>0</v>
      </c>
    </row>
    <row r="212" customFormat="false" ht="15.75" hidden="false" customHeight="false" outlineLevel="0" collapsed="false">
      <c r="I212" s="26" t="str">
        <f aca="false">alimentos[[#This Row],[Item]]</f>
        <v>Panetone (80g)</v>
      </c>
      <c r="J212" s="27" t="n">
        <f aca="false">IFERROR(alimentos[[#This Row],[kg/embalagem]],0)</f>
        <v>0.08</v>
      </c>
      <c r="K212" s="27" t="n">
        <f aca="false">IFERROR(alimentos[[#This Row],[Preço]],0)</f>
        <v>2.53</v>
      </c>
      <c r="L212" s="27" t="n">
        <f aca="false">SUMIFS(super1[Qtde],super1[Item],tab_alimentos[[#This Row],[Item]],super1[Bairro],mercado1)+SUMIFS(supercb[Qtde],supercb[Item],tab_alimentos[[#This Row],[Item]],supercb[Bairro],mercado1)</f>
        <v>0</v>
      </c>
      <c r="M212" s="27" t="n">
        <f aca="false">SUMIFS(super1[Qtde],super1[Item],tab_alimentos[[#This Row],[Item]],super1[Bairro],mercado2)+SUMIFS(supercb[Qtde],supercb[Item],tab_alimentos[[#This Row],[Item]],supercb[Bairro],mercado2)</f>
        <v>0</v>
      </c>
      <c r="N212" s="27" t="n">
        <f aca="false">SUMIFS(super1[Qtde],super1[Item],tab_alimentos[[#This Row],[Item]],super1[Bairro],mercado3)+SUMIFS(supercb[Qtde],supercb[Item],tab_alimentos[[#This Row],[Item]],supercb[Bairro],mercado3)</f>
        <v>0</v>
      </c>
      <c r="O212" s="27" t="n">
        <f aca="false">SUMIFS(super1[Qtde],super1[Item],tab_alimentos[[#This Row],[Item]],super1[Bairro],mercado4)+SUMIFS(supercb[Qtde],supercb[Item],tab_alimentos[[#This Row],[Item]],supercb[Bairro],mercado4)</f>
        <v>0</v>
      </c>
      <c r="P212" s="27" t="n">
        <f aca="false">SUMIFS(super1[Qtde],super1[Item],tab_alimentos[[#This Row],[Item]],super1[Bairro],mercado5)+SUMIFS(supercb[Qtde],supercb[Item],tab_alimentos[[#This Row],[Item]],supercb[Bairro],mercado5)</f>
        <v>0</v>
      </c>
      <c r="Q212" s="27" t="n">
        <f aca="false">SUMIFS(super1[Qtde],super1[Item],tab_alimentos[[#This Row],[Item]],super1[Bairro],mercado6)+SUMIFS(supercb[Qtde],supercb[Item],tab_alimentos[[#This Row],[Item]],supercb[Bairro],mercado6)</f>
        <v>0</v>
      </c>
      <c r="R212" s="27" t="n">
        <f aca="false">SUMIFS(super1[Qtde],super1[Item],tab_alimentos[[#This Row],[Item]],super1[Bairro],mercado7)+SUMIFS(supercb[Qtde],supercb[Item],tab_alimentos[[#This Row],[Item]],supercb[Bairro],mercado7)</f>
        <v>0</v>
      </c>
      <c r="S212" s="27" t="n">
        <f aca="false">SUMIFS(super1[Qtde],super1[Item],tab_alimentos[[#This Row],[Item]],super1[Bairro],mercado8)+SUMIFS(supercb[Qtde],supercb[Item],tab_alimentos[[#This Row],[Item]],supercb[Bairro],mercado8)</f>
        <v>0</v>
      </c>
      <c r="T212" s="27" t="n">
        <f aca="false">SUMIFS(super1[Qtde],super1[Item],tab_alimentos[[#This Row],[Item]],super1[Bairro],mercado9)+SUMIFS(supercb[Qtde],supercb[Item],tab_alimentos[[#This Row],[Item]],supercb[Bairro],mercado9)</f>
        <v>0</v>
      </c>
      <c r="U212" s="27" t="n">
        <f aca="false">SUMIFS(super1[Qtde],super1[Item],tab_alimentos[[#This Row],[Item]],super1[Bairro],mercado10)+SUMIFS(supercb[Qtde],supercb[Item],tab_alimentos[[#This Row],[Item]],supercb[Bairro],mercado10)</f>
        <v>0</v>
      </c>
      <c r="V212" s="27" t="n">
        <f aca="false">SUMIFS(super1[Qtde],super1[Item],tab_alimentos[[#This Row],[Item]],super1[Bairro],mercado11)+SUMIFS(supercb[Qtde],supercb[Item],tab_alimentos[[#This Row],[Item]],supercb[Bairro],mercado11)</f>
        <v>0</v>
      </c>
      <c r="W212" s="27" t="n">
        <f aca="false">SUMIFS(super1[Qtde],super1[Item],tab_alimentos[[#This Row],[Item]],super1[Bairro],mercado12)+SUMIFS(supercb[Qtde],supercb[Item],tab_alimentos[[#This Row],[Item]],supercb[Bairro],mercado12)</f>
        <v>0</v>
      </c>
      <c r="X212" s="27" t="n">
        <f aca="false">SUMIFS(super1[Qtde],super1[Item],tab_alimentos[[#This Row],[Item]],super1[Bairro],mercado13)+SUMIFS(supercb[Qtde],supercb[Item],tab_alimentos[[#This Row],[Item]],supercb[Bairro],mercado13)</f>
        <v>0</v>
      </c>
      <c r="Y212" s="27" t="n">
        <f aca="false">SUMIFS(super1[Qtde],super1[Item],tab_alimentos[[#This Row],[Item]],super1[Bairro],mercado14)+SUMIFS(supercb[Qtde],supercb[Item],tab_alimentos[[#This Row],[Item]],supercb[Bairro],mercado14)</f>
        <v>0</v>
      </c>
      <c r="Z212" s="27" t="n">
        <f aca="false">SUMIFS(super1[Qtde],super1[Item],tab_alimentos[[#This Row],[Item]],super1[Bairro],mercado15)+SUMIFS(supercb[Qtde],supercb[Item],tab_alimentos[[#This Row],[Item]],supercb[Bairro],mercado15)</f>
        <v>0</v>
      </c>
      <c r="AA212" s="27" t="n">
        <f aca="false">SUMIFS(super1[Qtde],super1[Item],tab_alimentos[[#This Row],[Item]],super1[Bairro],mercado16)+SUMIFS(supercb[Qtde],supercb[Item],tab_alimentos[[#This Row],[Item]],supercb[Bairro],mercado16)</f>
        <v>0</v>
      </c>
      <c r="AB212" s="27" t="n">
        <f aca="false">SUMIFS(super1[Qtde],super1[Item],tab_alimentos[[#This Row],[Item]],super1[Bairro],mercado17)+SUMIFS(supercb[Qtde],supercb[Item],tab_alimentos[[#This Row],[Item]],supercb[Bairro],mercado17)</f>
        <v>0</v>
      </c>
      <c r="AC212" s="27" t="n">
        <f aca="false">SUMIFS(super1[Qtde],super1[Item],tab_alimentos[[#This Row],[Item]],super1[Bairro],mercado18)+SUMIFS(supercb[Qtde],supercb[Item],tab_alimentos[[#This Row],[Item]],supercb[Bairro],mercado18)</f>
        <v>0</v>
      </c>
      <c r="AD212" s="27" t="n">
        <f aca="false">SUMIFS(super1[Qtde],super1[Item],tab_alimentos[[#This Row],[Item]],super1[Bairro],extras)+SUMIFS(supercb[Qtde],supercb[Item],tab_alimentos[[#This Row],[Item]],supercb[Bairro],extras)</f>
        <v>0</v>
      </c>
      <c r="AE212" s="27" t="n">
        <f aca="false">SUM(L212:AC212)</f>
        <v>0</v>
      </c>
      <c r="AF212" s="27" t="n">
        <f aca="false">IFERROR(AE212*K212,0)</f>
        <v>0</v>
      </c>
      <c r="AG212" s="28" t="n">
        <f aca="false">IFERROR(J212*AE212,0)</f>
        <v>0</v>
      </c>
      <c r="AH212" s="37" t="str">
        <f aca="false">higiene[[#This Row],[Item]]</f>
        <v>Tira manchas (450g)</v>
      </c>
      <c r="AI212" s="38" t="n">
        <f aca="false">IFERROR(higiene[[#This Row],[Kg equivalente]],0)</f>
        <v>4.40464488241973</v>
      </c>
      <c r="AJ212" s="38" t="n">
        <f aca="false">IFERROR(higiene[[#This Row],[Preço por produto]],0)</f>
        <v>14.59</v>
      </c>
      <c r="AK212" s="27" t="n">
        <f aca="false">SUMIFS(super1[Qtde],super1[Item],tab_higiene[[#This Row],[Item]],super1[Bairro],mercado1)+SUMIFS(supercb[Qtde],supercb[Item],tab_higiene[[#This Row],[Item]],supercb[Bairro],mercado1)</f>
        <v>0</v>
      </c>
      <c r="AL212" s="27" t="n">
        <f aca="false">SUMIFS(super1[Qtde],super1[Item],tab_higiene[[#This Row],[Item]],super1[Bairro],mercado2)+SUMIFS(supercb[Qtde],supercb[Item],tab_higiene[[#This Row],[Item]],supercb[Bairro],mercado2)</f>
        <v>0</v>
      </c>
      <c r="AM212" s="27" t="n">
        <f aca="false">SUMIFS(super1[Qtde],super1[Item],tab_higiene[[#This Row],[Item]],super1[Bairro],mercado3)+SUMIFS(supercb[Qtde],supercb[Item],tab_higiene[[#This Row],[Item]],supercb[Bairro],mercado3)</f>
        <v>0</v>
      </c>
      <c r="AN212" s="27" t="n">
        <f aca="false">SUMIFS(super1[Qtde],super1[Item],tab_higiene[[#This Row],[Item]],super1[Bairro],mercado4)+SUMIFS(supercb[Qtde],supercb[Item],tab_higiene[[#This Row],[Item]],supercb[Bairro],mercado4)</f>
        <v>0</v>
      </c>
      <c r="AO212" s="27" t="n">
        <f aca="false">SUMIFS(super1[Qtde],super1[Item],tab_higiene[[#This Row],[Item]],super1[Bairro],mercado5)+SUMIFS(supercb[Qtde],supercb[Item],tab_higiene[[#This Row],[Item]],supercb[Bairro],mercado5)</f>
        <v>0</v>
      </c>
      <c r="AP212" s="27" t="n">
        <f aca="false">SUMIFS(super1[Qtde],super1[Item],tab_higiene[[#This Row],[Item]],super1[Bairro],mercado6)+SUMIFS(supercb[Qtde],supercb[Item],tab_higiene[[#This Row],[Item]],supercb[Bairro],mercado6)</f>
        <v>0</v>
      </c>
      <c r="AQ212" s="27" t="n">
        <f aca="false">SUMIFS(super1[Qtde],super1[Item],tab_higiene[[#This Row],[Item]],super1[Bairro],mercado7)+SUMIFS(supercb[Qtde],supercb[Item],tab_higiene[[#This Row],[Item]],supercb[Bairro],mercado7)</f>
        <v>0</v>
      </c>
      <c r="AR212" s="27" t="n">
        <f aca="false">SUMIFS(super1[Qtde],super1[Item],tab_higiene[[#This Row],[Item]],super1[Bairro],mercado8)+SUMIFS(supercb[Qtde],supercb[Item],tab_higiene[[#This Row],[Item]],supercb[Bairro],mercado8)</f>
        <v>0</v>
      </c>
      <c r="AS212" s="27" t="n">
        <f aca="false">SUMIFS(super1[Qtde],super1[Item],tab_higiene[[#This Row],[Item]],super1[Bairro],mercado9)+SUMIFS(supercb[Qtde],supercb[Item],tab_higiene[[#This Row],[Item]],supercb[Bairro],mercado9)</f>
        <v>0</v>
      </c>
      <c r="AT212" s="27" t="n">
        <f aca="false">SUMIFS(super1[Qtde],super1[Item],tab_higiene[[#This Row],[Item]],super1[Bairro],mercado10)+SUMIFS(supercb[Qtde],supercb[Item],tab_higiene[[#This Row],[Item]],supercb[Bairro],mercado10)</f>
        <v>0</v>
      </c>
      <c r="AU212" s="27" t="n">
        <f aca="false">SUMIFS(super1[Qtde],super1[Item],tab_higiene[[#This Row],[Item]],super1[Bairro],mercado11)+SUMIFS(supercb[Qtde],supercb[Item],tab_higiene[[#This Row],[Item]],supercb[Bairro],mercado11)</f>
        <v>0</v>
      </c>
      <c r="AV212" s="27" t="n">
        <f aca="false">SUMIFS(super1[Qtde],super1[Item],tab_higiene[[#This Row],[Item]],super1[Bairro],mercado12)+SUMIFS(supercb[Qtde],supercb[Item],tab_higiene[[#This Row],[Item]],supercb[Bairro],mercado12)</f>
        <v>0</v>
      </c>
      <c r="AW212" s="27" t="n">
        <f aca="false">SUMIFS(super1[Qtde],super1[Item],tab_higiene[[#This Row],[Item]],super1[Bairro],mercado13)+SUMIFS(supercb[Qtde],supercb[Item],tab_higiene[[#This Row],[Item]],supercb[Bairro],mercado13)</f>
        <v>0</v>
      </c>
      <c r="AX212" s="27" t="n">
        <f aca="false">SUMIFS(super1[Qtde],super1[Item],tab_higiene[[#This Row],[Item]],super1[Bairro],mercado14)+SUMIFS(supercb[Qtde],supercb[Item],tab_higiene[[#This Row],[Item]],supercb[Bairro],mercado14)</f>
        <v>0</v>
      </c>
      <c r="AY212" s="27" t="n">
        <f aca="false">SUMIFS(super1[Qtde],super1[Item],tab_higiene[[#This Row],[Item]],super1[Bairro],mercado15)+SUMIFS(supercb[Qtde],supercb[Item],tab_higiene[[#This Row],[Item]],supercb[Bairro],mercado15)</f>
        <v>0</v>
      </c>
      <c r="AZ212" s="27" t="n">
        <f aca="false">SUMIFS(super1[Qtde],super1[Item],tab_higiene[[#This Row],[Item]],super1[Bairro],mercado16)+SUMIFS(supercb[Qtde],supercb[Item],tab_higiene[[#This Row],[Item]],supercb[Bairro],mercado16)</f>
        <v>0</v>
      </c>
      <c r="BA212" s="27" t="n">
        <f aca="false">SUMIFS(super1[Qtde],super1[Item],tab_higiene[[#This Row],[Item]],super1[Bairro],mercado17)+SUMIFS(supercb[Qtde],supercb[Item],tab_higiene[[#This Row],[Item]],supercb[Bairro],mercado17)</f>
        <v>0</v>
      </c>
      <c r="BB212" s="27" t="n">
        <f aca="false">SUMIFS(super1[Qtde],super1[Item],tab_higiene[[#This Row],[Item]],super1[Bairro],mercado18)+SUMIFS(supercb[Qtde],supercb[Item],tab_higiene[[#This Row],[Item]],supercb[Bairro],mercado18)</f>
        <v>0</v>
      </c>
      <c r="BC212" s="39" t="n">
        <f aca="false">SUMIFS(super1[Qtde],super1[Item],tab_higiene[[#This Row],[Item]],super1[Bairro],extras)+SUMIFS(supercb[Qtde],supercb[Item],tab_higiene[[#This Row],[Item]],supercb[Bairro],extras)</f>
        <v>0</v>
      </c>
      <c r="BD212" s="38" t="n">
        <f aca="false">SUM(AK212:BB212)</f>
        <v>0</v>
      </c>
      <c r="BE212" s="38" t="n">
        <f aca="false">IFERROR(BD212*AJ212,0)</f>
        <v>0</v>
      </c>
      <c r="BF212" s="40" t="n">
        <f aca="false">IFERROR(AI212*BD212,0)</f>
        <v>0</v>
      </c>
    </row>
    <row r="213" customFormat="false" ht="15.75" hidden="false" customHeight="false" outlineLevel="0" collapsed="false">
      <c r="I213" s="26" t="str">
        <f aca="false">alimentos[[#This Row],[Item]]</f>
        <v>Pão de Forma (500g)</v>
      </c>
      <c r="J213" s="27" t="n">
        <f aca="false">IFERROR(alimentos[[#This Row],[kg/embalagem]],0)</f>
        <v>0.5</v>
      </c>
      <c r="K213" s="27" t="n">
        <f aca="false">IFERROR(alimentos[[#This Row],[Preço]],0)</f>
        <v>5.29</v>
      </c>
      <c r="L213" s="27" t="n">
        <f aca="false">SUMIFS(super1[Qtde],super1[Item],tab_alimentos[[#This Row],[Item]],super1[Bairro],mercado1)+SUMIFS(supercb[Qtde],supercb[Item],tab_alimentos[[#This Row],[Item]],supercb[Bairro],mercado1)</f>
        <v>0</v>
      </c>
      <c r="M213" s="27" t="n">
        <f aca="false">SUMIFS(super1[Qtde],super1[Item],tab_alimentos[[#This Row],[Item]],super1[Bairro],mercado2)+SUMIFS(supercb[Qtde],supercb[Item],tab_alimentos[[#This Row],[Item]],supercb[Bairro],mercado2)</f>
        <v>0</v>
      </c>
      <c r="N213" s="27" t="n">
        <f aca="false">SUMIFS(super1[Qtde],super1[Item],tab_alimentos[[#This Row],[Item]],super1[Bairro],mercado3)+SUMIFS(supercb[Qtde],supercb[Item],tab_alimentos[[#This Row],[Item]],supercb[Bairro],mercado3)</f>
        <v>0</v>
      </c>
      <c r="O213" s="27" t="n">
        <f aca="false">SUMIFS(super1[Qtde],super1[Item],tab_alimentos[[#This Row],[Item]],super1[Bairro],mercado4)+SUMIFS(supercb[Qtde],supercb[Item],tab_alimentos[[#This Row],[Item]],supercb[Bairro],mercado4)</f>
        <v>0</v>
      </c>
      <c r="P213" s="27" t="n">
        <f aca="false">SUMIFS(super1[Qtde],super1[Item],tab_alimentos[[#This Row],[Item]],super1[Bairro],mercado5)+SUMIFS(supercb[Qtde],supercb[Item],tab_alimentos[[#This Row],[Item]],supercb[Bairro],mercado5)</f>
        <v>0</v>
      </c>
      <c r="Q213" s="27" t="n">
        <f aca="false">SUMIFS(super1[Qtde],super1[Item],tab_alimentos[[#This Row],[Item]],super1[Bairro],mercado6)+SUMIFS(supercb[Qtde],supercb[Item],tab_alimentos[[#This Row],[Item]],supercb[Bairro],mercado6)</f>
        <v>0</v>
      </c>
      <c r="R213" s="27" t="n">
        <f aca="false">SUMIFS(super1[Qtde],super1[Item],tab_alimentos[[#This Row],[Item]],super1[Bairro],mercado7)+SUMIFS(supercb[Qtde],supercb[Item],tab_alimentos[[#This Row],[Item]],supercb[Bairro],mercado7)</f>
        <v>0</v>
      </c>
      <c r="S213" s="27" t="n">
        <f aca="false">SUMIFS(super1[Qtde],super1[Item],tab_alimentos[[#This Row],[Item]],super1[Bairro],mercado8)+SUMIFS(supercb[Qtde],supercb[Item],tab_alimentos[[#This Row],[Item]],supercb[Bairro],mercado8)</f>
        <v>0</v>
      </c>
      <c r="T213" s="27" t="n">
        <f aca="false">SUMIFS(super1[Qtde],super1[Item],tab_alimentos[[#This Row],[Item]],super1[Bairro],mercado9)+SUMIFS(supercb[Qtde],supercb[Item],tab_alimentos[[#This Row],[Item]],supercb[Bairro],mercado9)</f>
        <v>0</v>
      </c>
      <c r="U213" s="27" t="n">
        <f aca="false">SUMIFS(super1[Qtde],super1[Item],tab_alimentos[[#This Row],[Item]],super1[Bairro],mercado10)+SUMIFS(supercb[Qtde],supercb[Item],tab_alimentos[[#This Row],[Item]],supercb[Bairro],mercado10)</f>
        <v>2</v>
      </c>
      <c r="V213" s="27" t="n">
        <f aca="false">SUMIFS(super1[Qtde],super1[Item],tab_alimentos[[#This Row],[Item]],super1[Bairro],mercado11)+SUMIFS(supercb[Qtde],supercb[Item],tab_alimentos[[#This Row],[Item]],supercb[Bairro],mercado11)</f>
        <v>1</v>
      </c>
      <c r="W213" s="27" t="n">
        <f aca="false">SUMIFS(super1[Qtde],super1[Item],tab_alimentos[[#This Row],[Item]],super1[Bairro],mercado12)+SUMIFS(supercb[Qtde],supercb[Item],tab_alimentos[[#This Row],[Item]],supercb[Bairro],mercado12)</f>
        <v>0</v>
      </c>
      <c r="X213" s="27" t="n">
        <f aca="false">SUMIFS(super1[Qtde],super1[Item],tab_alimentos[[#This Row],[Item]],super1[Bairro],mercado13)+SUMIFS(supercb[Qtde],supercb[Item],tab_alimentos[[#This Row],[Item]],supercb[Bairro],mercado13)</f>
        <v>0</v>
      </c>
      <c r="Y213" s="27" t="n">
        <f aca="false">SUMIFS(super1[Qtde],super1[Item],tab_alimentos[[#This Row],[Item]],super1[Bairro],mercado14)+SUMIFS(supercb[Qtde],supercb[Item],tab_alimentos[[#This Row],[Item]],supercb[Bairro],mercado14)</f>
        <v>0</v>
      </c>
      <c r="Z213" s="27" t="n">
        <f aca="false">SUMIFS(super1[Qtde],super1[Item],tab_alimentos[[#This Row],[Item]],super1[Bairro],mercado15)+SUMIFS(supercb[Qtde],supercb[Item],tab_alimentos[[#This Row],[Item]],supercb[Bairro],mercado15)</f>
        <v>0</v>
      </c>
      <c r="AA213" s="27" t="n">
        <f aca="false">SUMIFS(super1[Qtde],super1[Item],tab_alimentos[[#This Row],[Item]],super1[Bairro],mercado16)+SUMIFS(supercb[Qtde],supercb[Item],tab_alimentos[[#This Row],[Item]],supercb[Bairro],mercado16)</f>
        <v>0</v>
      </c>
      <c r="AB213" s="27" t="n">
        <f aca="false">SUMIFS(super1[Qtde],super1[Item],tab_alimentos[[#This Row],[Item]],super1[Bairro],mercado17)+SUMIFS(supercb[Qtde],supercb[Item],tab_alimentos[[#This Row],[Item]],supercb[Bairro],mercado17)</f>
        <v>0</v>
      </c>
      <c r="AC213" s="27" t="n">
        <f aca="false">SUMIFS(super1[Qtde],super1[Item],tab_alimentos[[#This Row],[Item]],super1[Bairro],mercado18)+SUMIFS(supercb[Qtde],supercb[Item],tab_alimentos[[#This Row],[Item]],supercb[Bairro],mercado18)</f>
        <v>0</v>
      </c>
      <c r="AD213" s="27" t="n">
        <f aca="false">SUMIFS(super1[Qtde],super1[Item],tab_alimentos[[#This Row],[Item]],super1[Bairro],extras)+SUMIFS(supercb[Qtde],supercb[Item],tab_alimentos[[#This Row],[Item]],supercb[Bairro],extras)</f>
        <v>0</v>
      </c>
      <c r="AE213" s="27" t="n">
        <f aca="false">SUM(L213:AC213)</f>
        <v>3</v>
      </c>
      <c r="AF213" s="27" t="n">
        <f aca="false">IFERROR(AE213*K213,0)</f>
        <v>15.87</v>
      </c>
      <c r="AG213" s="28" t="n">
        <f aca="false">IFERROR(J213*AE213,0)</f>
        <v>1.5</v>
      </c>
      <c r="AH213" s="37" t="str">
        <f aca="false">higiene[[#This Row],[Item]]</f>
        <v>Tira manchas (450mL)</v>
      </c>
      <c r="AI213" s="38" t="n">
        <f aca="false">IFERROR(higiene[[#This Row],[Kg equivalente]],0)</f>
        <v>1.61966551022494</v>
      </c>
      <c r="AJ213" s="38" t="n">
        <f aca="false">IFERROR(higiene[[#This Row],[Preço por produto]],0)</f>
        <v>5.365</v>
      </c>
      <c r="AK213" s="27" t="n">
        <f aca="false">SUMIFS(super1[Qtde],super1[Item],tab_higiene[[#This Row],[Item]],super1[Bairro],mercado1)+SUMIFS(supercb[Qtde],supercb[Item],tab_higiene[[#This Row],[Item]],supercb[Bairro],mercado1)</f>
        <v>0</v>
      </c>
      <c r="AL213" s="27" t="n">
        <f aca="false">SUMIFS(super1[Qtde],super1[Item],tab_higiene[[#This Row],[Item]],super1[Bairro],mercado2)+SUMIFS(supercb[Qtde],supercb[Item],tab_higiene[[#This Row],[Item]],supercb[Bairro],mercado2)</f>
        <v>0</v>
      </c>
      <c r="AM213" s="27" t="n">
        <f aca="false">SUMIFS(super1[Qtde],super1[Item],tab_higiene[[#This Row],[Item]],super1[Bairro],mercado3)+SUMIFS(supercb[Qtde],supercb[Item],tab_higiene[[#This Row],[Item]],supercb[Bairro],mercado3)</f>
        <v>0</v>
      </c>
      <c r="AN213" s="27" t="n">
        <f aca="false">SUMIFS(super1[Qtde],super1[Item],tab_higiene[[#This Row],[Item]],super1[Bairro],mercado4)+SUMIFS(supercb[Qtde],supercb[Item],tab_higiene[[#This Row],[Item]],supercb[Bairro],mercado4)</f>
        <v>0</v>
      </c>
      <c r="AO213" s="27" t="n">
        <f aca="false">SUMIFS(super1[Qtde],super1[Item],tab_higiene[[#This Row],[Item]],super1[Bairro],mercado5)+SUMIFS(supercb[Qtde],supercb[Item],tab_higiene[[#This Row],[Item]],supercb[Bairro],mercado5)</f>
        <v>0</v>
      </c>
      <c r="AP213" s="27" t="n">
        <f aca="false">SUMIFS(super1[Qtde],super1[Item],tab_higiene[[#This Row],[Item]],super1[Bairro],mercado6)+SUMIFS(supercb[Qtde],supercb[Item],tab_higiene[[#This Row],[Item]],supercb[Bairro],mercado6)</f>
        <v>0</v>
      </c>
      <c r="AQ213" s="27" t="n">
        <f aca="false">SUMIFS(super1[Qtde],super1[Item],tab_higiene[[#This Row],[Item]],super1[Bairro],mercado7)+SUMIFS(supercb[Qtde],supercb[Item],tab_higiene[[#This Row],[Item]],supercb[Bairro],mercado7)</f>
        <v>0</v>
      </c>
      <c r="AR213" s="27" t="n">
        <f aca="false">SUMIFS(super1[Qtde],super1[Item],tab_higiene[[#This Row],[Item]],super1[Bairro],mercado8)+SUMIFS(supercb[Qtde],supercb[Item],tab_higiene[[#This Row],[Item]],supercb[Bairro],mercado8)</f>
        <v>0</v>
      </c>
      <c r="AS213" s="27" t="n">
        <f aca="false">SUMIFS(super1[Qtde],super1[Item],tab_higiene[[#This Row],[Item]],super1[Bairro],mercado9)+SUMIFS(supercb[Qtde],supercb[Item],tab_higiene[[#This Row],[Item]],supercb[Bairro],mercado9)</f>
        <v>0</v>
      </c>
      <c r="AT213" s="27" t="n">
        <f aca="false">SUMIFS(super1[Qtde],super1[Item],tab_higiene[[#This Row],[Item]],super1[Bairro],mercado10)+SUMIFS(supercb[Qtde],supercb[Item],tab_higiene[[#This Row],[Item]],supercb[Bairro],mercado10)</f>
        <v>0</v>
      </c>
      <c r="AU213" s="27" t="n">
        <f aca="false">SUMIFS(super1[Qtde],super1[Item],tab_higiene[[#This Row],[Item]],super1[Bairro],mercado11)+SUMIFS(supercb[Qtde],supercb[Item],tab_higiene[[#This Row],[Item]],supercb[Bairro],mercado11)</f>
        <v>0</v>
      </c>
      <c r="AV213" s="27" t="n">
        <f aca="false">SUMIFS(super1[Qtde],super1[Item],tab_higiene[[#This Row],[Item]],super1[Bairro],mercado12)+SUMIFS(supercb[Qtde],supercb[Item],tab_higiene[[#This Row],[Item]],supercb[Bairro],mercado12)</f>
        <v>0</v>
      </c>
      <c r="AW213" s="27" t="n">
        <f aca="false">SUMIFS(super1[Qtde],super1[Item],tab_higiene[[#This Row],[Item]],super1[Bairro],mercado13)+SUMIFS(supercb[Qtde],supercb[Item],tab_higiene[[#This Row],[Item]],supercb[Bairro],mercado13)</f>
        <v>0</v>
      </c>
      <c r="AX213" s="27" t="n">
        <f aca="false">SUMIFS(super1[Qtde],super1[Item],tab_higiene[[#This Row],[Item]],super1[Bairro],mercado14)+SUMIFS(supercb[Qtde],supercb[Item],tab_higiene[[#This Row],[Item]],supercb[Bairro],mercado14)</f>
        <v>0</v>
      </c>
      <c r="AY213" s="27" t="n">
        <f aca="false">SUMIFS(super1[Qtde],super1[Item],tab_higiene[[#This Row],[Item]],super1[Bairro],mercado15)+SUMIFS(supercb[Qtde],supercb[Item],tab_higiene[[#This Row],[Item]],supercb[Bairro],mercado15)</f>
        <v>0</v>
      </c>
      <c r="AZ213" s="27" t="n">
        <f aca="false">SUMIFS(super1[Qtde],super1[Item],tab_higiene[[#This Row],[Item]],super1[Bairro],mercado16)+SUMIFS(supercb[Qtde],supercb[Item],tab_higiene[[#This Row],[Item]],supercb[Bairro],mercado16)</f>
        <v>0</v>
      </c>
      <c r="BA213" s="27" t="n">
        <f aca="false">SUMIFS(super1[Qtde],super1[Item],tab_higiene[[#This Row],[Item]],super1[Bairro],mercado17)+SUMIFS(supercb[Qtde],supercb[Item],tab_higiene[[#This Row],[Item]],supercb[Bairro],mercado17)</f>
        <v>0</v>
      </c>
      <c r="BB213" s="27" t="n">
        <f aca="false">SUMIFS(super1[Qtde],super1[Item],tab_higiene[[#This Row],[Item]],super1[Bairro],mercado18)+SUMIFS(supercb[Qtde],supercb[Item],tab_higiene[[#This Row],[Item]],supercb[Bairro],mercado18)</f>
        <v>0</v>
      </c>
      <c r="BC213" s="39" t="n">
        <f aca="false">SUMIFS(super1[Qtde],super1[Item],tab_higiene[[#This Row],[Item]],super1[Bairro],extras)+SUMIFS(supercb[Qtde],supercb[Item],tab_higiene[[#This Row],[Item]],supercb[Bairro],extras)</f>
        <v>0</v>
      </c>
      <c r="BD213" s="38" t="n">
        <f aca="false">SUM(AK213:BB213)</f>
        <v>0</v>
      </c>
      <c r="BE213" s="38" t="n">
        <f aca="false">IFERROR(BD213*AJ213,0)</f>
        <v>0</v>
      </c>
      <c r="BF213" s="40" t="n">
        <f aca="false">IFERROR(AI213*BD213,0)</f>
        <v>0</v>
      </c>
    </row>
    <row r="214" customFormat="false" ht="15.75" hidden="false" customHeight="false" outlineLevel="0" collapsed="false">
      <c r="I214" s="26" t="str">
        <f aca="false">alimentos[[#This Row],[Item]]</f>
        <v>Pão de Mel (200g)</v>
      </c>
      <c r="J214" s="27" t="n">
        <f aca="false">IFERROR(alimentos[[#This Row],[kg/embalagem]],0)</f>
        <v>0.2</v>
      </c>
      <c r="K214" s="27" t="n">
        <f aca="false">IFERROR(alimentos[[#This Row],[Preço]],0)</f>
        <v>8.29</v>
      </c>
      <c r="L214" s="27" t="n">
        <f aca="false">SUMIFS(super1[Qtde],super1[Item],tab_alimentos[[#This Row],[Item]],super1[Bairro],mercado1)+SUMIFS(supercb[Qtde],supercb[Item],tab_alimentos[[#This Row],[Item]],supercb[Bairro],mercado1)</f>
        <v>0</v>
      </c>
      <c r="M214" s="27" t="n">
        <f aca="false">SUMIFS(super1[Qtde],super1[Item],tab_alimentos[[#This Row],[Item]],super1[Bairro],mercado2)+SUMIFS(supercb[Qtde],supercb[Item],tab_alimentos[[#This Row],[Item]],supercb[Bairro],mercado2)</f>
        <v>0</v>
      </c>
      <c r="N214" s="27" t="n">
        <f aca="false">SUMIFS(super1[Qtde],super1[Item],tab_alimentos[[#This Row],[Item]],super1[Bairro],mercado3)+SUMIFS(supercb[Qtde],supercb[Item],tab_alimentos[[#This Row],[Item]],supercb[Bairro],mercado3)</f>
        <v>0</v>
      </c>
      <c r="O214" s="27" t="n">
        <f aca="false">SUMIFS(super1[Qtde],super1[Item],tab_alimentos[[#This Row],[Item]],super1[Bairro],mercado4)+SUMIFS(supercb[Qtde],supercb[Item],tab_alimentos[[#This Row],[Item]],supercb[Bairro],mercado4)</f>
        <v>0</v>
      </c>
      <c r="P214" s="27" t="n">
        <f aca="false">SUMIFS(super1[Qtde],super1[Item],tab_alimentos[[#This Row],[Item]],super1[Bairro],mercado5)+SUMIFS(supercb[Qtde],supercb[Item],tab_alimentos[[#This Row],[Item]],supercb[Bairro],mercado5)</f>
        <v>0</v>
      </c>
      <c r="Q214" s="27" t="n">
        <f aca="false">SUMIFS(super1[Qtde],super1[Item],tab_alimentos[[#This Row],[Item]],super1[Bairro],mercado6)+SUMIFS(supercb[Qtde],supercb[Item],tab_alimentos[[#This Row],[Item]],supercb[Bairro],mercado6)</f>
        <v>0</v>
      </c>
      <c r="R214" s="27" t="n">
        <f aca="false">SUMIFS(super1[Qtde],super1[Item],tab_alimentos[[#This Row],[Item]],super1[Bairro],mercado7)+SUMIFS(supercb[Qtde],supercb[Item],tab_alimentos[[#This Row],[Item]],supercb[Bairro],mercado7)</f>
        <v>0</v>
      </c>
      <c r="S214" s="27" t="n">
        <f aca="false">SUMIFS(super1[Qtde],super1[Item],tab_alimentos[[#This Row],[Item]],super1[Bairro],mercado8)+SUMIFS(supercb[Qtde],supercb[Item],tab_alimentos[[#This Row],[Item]],supercb[Bairro],mercado8)</f>
        <v>0</v>
      </c>
      <c r="T214" s="27" t="n">
        <f aca="false">SUMIFS(super1[Qtde],super1[Item],tab_alimentos[[#This Row],[Item]],super1[Bairro],mercado9)+SUMIFS(supercb[Qtde],supercb[Item],tab_alimentos[[#This Row],[Item]],supercb[Bairro],mercado9)</f>
        <v>0</v>
      </c>
      <c r="U214" s="27" t="n">
        <f aca="false">SUMIFS(super1[Qtde],super1[Item],tab_alimentos[[#This Row],[Item]],super1[Bairro],mercado10)+SUMIFS(supercb[Qtde],supercb[Item],tab_alimentos[[#This Row],[Item]],supercb[Bairro],mercado10)</f>
        <v>0</v>
      </c>
      <c r="V214" s="27" t="n">
        <f aca="false">SUMIFS(super1[Qtde],super1[Item],tab_alimentos[[#This Row],[Item]],super1[Bairro],mercado11)+SUMIFS(supercb[Qtde],supercb[Item],tab_alimentos[[#This Row],[Item]],supercb[Bairro],mercado11)</f>
        <v>0</v>
      </c>
      <c r="W214" s="27" t="n">
        <f aca="false">SUMIFS(super1[Qtde],super1[Item],tab_alimentos[[#This Row],[Item]],super1[Bairro],mercado12)+SUMIFS(supercb[Qtde],supercb[Item],tab_alimentos[[#This Row],[Item]],supercb[Bairro],mercado12)</f>
        <v>0</v>
      </c>
      <c r="X214" s="27" t="n">
        <f aca="false">SUMIFS(super1[Qtde],super1[Item],tab_alimentos[[#This Row],[Item]],super1[Bairro],mercado13)+SUMIFS(supercb[Qtde],supercb[Item],tab_alimentos[[#This Row],[Item]],supercb[Bairro],mercado13)</f>
        <v>0</v>
      </c>
      <c r="Y214" s="27" t="n">
        <f aca="false">SUMIFS(super1[Qtde],super1[Item],tab_alimentos[[#This Row],[Item]],super1[Bairro],mercado14)+SUMIFS(supercb[Qtde],supercb[Item],tab_alimentos[[#This Row],[Item]],supercb[Bairro],mercado14)</f>
        <v>0</v>
      </c>
      <c r="Z214" s="27" t="n">
        <f aca="false">SUMIFS(super1[Qtde],super1[Item],tab_alimentos[[#This Row],[Item]],super1[Bairro],mercado15)+SUMIFS(supercb[Qtde],supercb[Item],tab_alimentos[[#This Row],[Item]],supercb[Bairro],mercado15)</f>
        <v>0</v>
      </c>
      <c r="AA214" s="27" t="n">
        <f aca="false">SUMIFS(super1[Qtde],super1[Item],tab_alimentos[[#This Row],[Item]],super1[Bairro],mercado16)+SUMIFS(supercb[Qtde],supercb[Item],tab_alimentos[[#This Row],[Item]],supercb[Bairro],mercado16)</f>
        <v>0</v>
      </c>
      <c r="AB214" s="27" t="n">
        <f aca="false">SUMIFS(super1[Qtde],super1[Item],tab_alimentos[[#This Row],[Item]],super1[Bairro],mercado17)+SUMIFS(supercb[Qtde],supercb[Item],tab_alimentos[[#This Row],[Item]],supercb[Bairro],mercado17)</f>
        <v>0</v>
      </c>
      <c r="AC214" s="27" t="n">
        <f aca="false">SUMIFS(super1[Qtde],super1[Item],tab_alimentos[[#This Row],[Item]],super1[Bairro],mercado18)+SUMIFS(supercb[Qtde],supercb[Item],tab_alimentos[[#This Row],[Item]],supercb[Bairro],mercado18)</f>
        <v>0</v>
      </c>
      <c r="AD214" s="27" t="n">
        <f aca="false">SUMIFS(super1[Qtde],super1[Item],tab_alimentos[[#This Row],[Item]],super1[Bairro],extras)+SUMIFS(supercb[Qtde],supercb[Item],tab_alimentos[[#This Row],[Item]],supercb[Bairro],extras)</f>
        <v>0</v>
      </c>
      <c r="AE214" s="27" t="n">
        <f aca="false">SUM(L214:AC214)</f>
        <v>0</v>
      </c>
      <c r="AF214" s="27" t="n">
        <f aca="false">IFERROR(AE214*K214,0)</f>
        <v>0</v>
      </c>
      <c r="AG214" s="28" t="n">
        <f aca="false">IFERROR(J214*AE214,0)</f>
        <v>0</v>
      </c>
      <c r="AH214" s="37" t="str">
        <f aca="false">higiene[[#This Row],[Item]]</f>
        <v>U</v>
      </c>
      <c r="AI214" s="38" t="n">
        <f aca="false">IFERROR(higiene[[#This Row],[Kg equivalente]],0)</f>
        <v>0</v>
      </c>
      <c r="AJ214" s="38" t="n">
        <f aca="false">IFERROR(higiene[[#This Row],[Preço por produto]],0)</f>
        <v>0</v>
      </c>
      <c r="AK214" s="27" t="n">
        <f aca="false">SUMIFS(super1[Qtde],super1[Item],tab_higiene[[#This Row],[Item]],super1[Bairro],mercado1)+SUMIFS(supercb[Qtde],supercb[Item],tab_higiene[[#This Row],[Item]],supercb[Bairro],mercado1)</f>
        <v>0</v>
      </c>
      <c r="AL214" s="27" t="n">
        <f aca="false">SUMIFS(super1[Qtde],super1[Item],tab_higiene[[#This Row],[Item]],super1[Bairro],mercado2)+SUMIFS(supercb[Qtde],supercb[Item],tab_higiene[[#This Row],[Item]],supercb[Bairro],mercado2)</f>
        <v>0</v>
      </c>
      <c r="AM214" s="27" t="n">
        <f aca="false">SUMIFS(super1[Qtde],super1[Item],tab_higiene[[#This Row],[Item]],super1[Bairro],mercado3)+SUMIFS(supercb[Qtde],supercb[Item],tab_higiene[[#This Row],[Item]],supercb[Bairro],mercado3)</f>
        <v>0</v>
      </c>
      <c r="AN214" s="27" t="n">
        <f aca="false">SUMIFS(super1[Qtde],super1[Item],tab_higiene[[#This Row],[Item]],super1[Bairro],mercado4)+SUMIFS(supercb[Qtde],supercb[Item],tab_higiene[[#This Row],[Item]],supercb[Bairro],mercado4)</f>
        <v>0</v>
      </c>
      <c r="AO214" s="27" t="n">
        <f aca="false">SUMIFS(super1[Qtde],super1[Item],tab_higiene[[#This Row],[Item]],super1[Bairro],mercado5)+SUMIFS(supercb[Qtde],supercb[Item],tab_higiene[[#This Row],[Item]],supercb[Bairro],mercado5)</f>
        <v>0</v>
      </c>
      <c r="AP214" s="27" t="n">
        <f aca="false">SUMIFS(super1[Qtde],super1[Item],tab_higiene[[#This Row],[Item]],super1[Bairro],mercado6)+SUMIFS(supercb[Qtde],supercb[Item],tab_higiene[[#This Row],[Item]],supercb[Bairro],mercado6)</f>
        <v>0</v>
      </c>
      <c r="AQ214" s="27" t="n">
        <f aca="false">SUMIFS(super1[Qtde],super1[Item],tab_higiene[[#This Row],[Item]],super1[Bairro],mercado7)+SUMIFS(supercb[Qtde],supercb[Item],tab_higiene[[#This Row],[Item]],supercb[Bairro],mercado7)</f>
        <v>0</v>
      </c>
      <c r="AR214" s="27" t="n">
        <f aca="false">SUMIFS(super1[Qtde],super1[Item],tab_higiene[[#This Row],[Item]],super1[Bairro],mercado8)+SUMIFS(supercb[Qtde],supercb[Item],tab_higiene[[#This Row],[Item]],supercb[Bairro],mercado8)</f>
        <v>0</v>
      </c>
      <c r="AS214" s="27" t="n">
        <f aca="false">SUMIFS(super1[Qtde],super1[Item],tab_higiene[[#This Row],[Item]],super1[Bairro],mercado9)+SUMIFS(supercb[Qtde],supercb[Item],tab_higiene[[#This Row],[Item]],supercb[Bairro],mercado9)</f>
        <v>0</v>
      </c>
      <c r="AT214" s="27" t="n">
        <f aca="false">SUMIFS(super1[Qtde],super1[Item],tab_higiene[[#This Row],[Item]],super1[Bairro],mercado10)+SUMIFS(supercb[Qtde],supercb[Item],tab_higiene[[#This Row],[Item]],supercb[Bairro],mercado10)</f>
        <v>0</v>
      </c>
      <c r="AU214" s="27" t="n">
        <f aca="false">SUMIFS(super1[Qtde],super1[Item],tab_higiene[[#This Row],[Item]],super1[Bairro],mercado11)+SUMIFS(supercb[Qtde],supercb[Item],tab_higiene[[#This Row],[Item]],supercb[Bairro],mercado11)</f>
        <v>0</v>
      </c>
      <c r="AV214" s="27" t="n">
        <f aca="false">SUMIFS(super1[Qtde],super1[Item],tab_higiene[[#This Row],[Item]],super1[Bairro],mercado12)+SUMIFS(supercb[Qtde],supercb[Item],tab_higiene[[#This Row],[Item]],supercb[Bairro],mercado12)</f>
        <v>0</v>
      </c>
      <c r="AW214" s="27" t="n">
        <f aca="false">SUMIFS(super1[Qtde],super1[Item],tab_higiene[[#This Row],[Item]],super1[Bairro],mercado13)+SUMIFS(supercb[Qtde],supercb[Item],tab_higiene[[#This Row],[Item]],supercb[Bairro],mercado13)</f>
        <v>0</v>
      </c>
      <c r="AX214" s="27" t="n">
        <f aca="false">SUMIFS(super1[Qtde],super1[Item],tab_higiene[[#This Row],[Item]],super1[Bairro],mercado14)+SUMIFS(supercb[Qtde],supercb[Item],tab_higiene[[#This Row],[Item]],supercb[Bairro],mercado14)</f>
        <v>0</v>
      </c>
      <c r="AY214" s="27" t="n">
        <f aca="false">SUMIFS(super1[Qtde],super1[Item],tab_higiene[[#This Row],[Item]],super1[Bairro],mercado15)+SUMIFS(supercb[Qtde],supercb[Item],tab_higiene[[#This Row],[Item]],supercb[Bairro],mercado15)</f>
        <v>0</v>
      </c>
      <c r="AZ214" s="27" t="n">
        <f aca="false">SUMIFS(super1[Qtde],super1[Item],tab_higiene[[#This Row],[Item]],super1[Bairro],mercado16)+SUMIFS(supercb[Qtde],supercb[Item],tab_higiene[[#This Row],[Item]],supercb[Bairro],mercado16)</f>
        <v>0</v>
      </c>
      <c r="BA214" s="27" t="n">
        <f aca="false">SUMIFS(super1[Qtde],super1[Item],tab_higiene[[#This Row],[Item]],super1[Bairro],mercado17)+SUMIFS(supercb[Qtde],supercb[Item],tab_higiene[[#This Row],[Item]],supercb[Bairro],mercado17)</f>
        <v>0</v>
      </c>
      <c r="BB214" s="27" t="n">
        <f aca="false">SUMIFS(super1[Qtde],super1[Item],tab_higiene[[#This Row],[Item]],super1[Bairro],mercado18)+SUMIFS(supercb[Qtde],supercb[Item],tab_higiene[[#This Row],[Item]],supercb[Bairro],mercado18)</f>
        <v>0</v>
      </c>
      <c r="BC214" s="39" t="n">
        <f aca="false">SUMIFS(super1[Qtde],super1[Item],tab_higiene[[#This Row],[Item]],super1[Bairro],extras)+SUMIFS(supercb[Qtde],supercb[Item],tab_higiene[[#This Row],[Item]],supercb[Bairro],extras)</f>
        <v>0</v>
      </c>
      <c r="BD214" s="38" t="n">
        <f aca="false">SUM(AK214:BB214)</f>
        <v>0</v>
      </c>
      <c r="BE214" s="38" t="n">
        <f aca="false">IFERROR(BD214*AJ214,0)</f>
        <v>0</v>
      </c>
      <c r="BF214" s="40" t="n">
        <f aca="false">IFERROR(AI214*BD214,0)</f>
        <v>0</v>
      </c>
    </row>
    <row r="215" customFormat="false" ht="15.75" hidden="false" customHeight="false" outlineLevel="0" collapsed="false">
      <c r="I215" s="26" t="str">
        <f aca="false">alimentos[[#This Row],[Item]]</f>
        <v>Pão de Mel (240g)</v>
      </c>
      <c r="J215" s="27" t="n">
        <f aca="false">IFERROR(alimentos[[#This Row],[kg/embalagem]],0)</f>
        <v>0.24</v>
      </c>
      <c r="K215" s="27" t="n">
        <f aca="false">IFERROR(alimentos[[#This Row],[Preço]],0)</f>
        <v>7.99</v>
      </c>
      <c r="L215" s="27" t="n">
        <f aca="false">SUMIFS(super1[Qtde],super1[Item],tab_alimentos[[#This Row],[Item]],super1[Bairro],mercado1)+SUMIFS(supercb[Qtde],supercb[Item],tab_alimentos[[#This Row],[Item]],supercb[Bairro],mercado1)</f>
        <v>0</v>
      </c>
      <c r="M215" s="27" t="n">
        <f aca="false">SUMIFS(super1[Qtde],super1[Item],tab_alimentos[[#This Row],[Item]],super1[Bairro],mercado2)+SUMIFS(supercb[Qtde],supercb[Item],tab_alimentos[[#This Row],[Item]],supercb[Bairro],mercado2)</f>
        <v>0</v>
      </c>
      <c r="N215" s="27" t="n">
        <f aca="false">SUMIFS(super1[Qtde],super1[Item],tab_alimentos[[#This Row],[Item]],super1[Bairro],mercado3)+SUMIFS(supercb[Qtde],supercb[Item],tab_alimentos[[#This Row],[Item]],supercb[Bairro],mercado3)</f>
        <v>0</v>
      </c>
      <c r="O215" s="27" t="n">
        <f aca="false">SUMIFS(super1[Qtde],super1[Item],tab_alimentos[[#This Row],[Item]],super1[Bairro],mercado4)+SUMIFS(supercb[Qtde],supercb[Item],tab_alimentos[[#This Row],[Item]],supercb[Bairro],mercado4)</f>
        <v>0</v>
      </c>
      <c r="P215" s="27" t="n">
        <f aca="false">SUMIFS(super1[Qtde],super1[Item],tab_alimentos[[#This Row],[Item]],super1[Bairro],mercado5)+SUMIFS(supercb[Qtde],supercb[Item],tab_alimentos[[#This Row],[Item]],supercb[Bairro],mercado5)</f>
        <v>0</v>
      </c>
      <c r="Q215" s="27" t="n">
        <f aca="false">SUMIFS(super1[Qtde],super1[Item],tab_alimentos[[#This Row],[Item]],super1[Bairro],mercado6)+SUMIFS(supercb[Qtde],supercb[Item],tab_alimentos[[#This Row],[Item]],supercb[Bairro],mercado6)</f>
        <v>0</v>
      </c>
      <c r="R215" s="27" t="n">
        <f aca="false">SUMIFS(super1[Qtde],super1[Item],tab_alimentos[[#This Row],[Item]],super1[Bairro],mercado7)+SUMIFS(supercb[Qtde],supercb[Item],tab_alimentos[[#This Row],[Item]],supercb[Bairro],mercado7)</f>
        <v>0</v>
      </c>
      <c r="S215" s="27" t="n">
        <f aca="false">SUMIFS(super1[Qtde],super1[Item],tab_alimentos[[#This Row],[Item]],super1[Bairro],mercado8)+SUMIFS(supercb[Qtde],supercb[Item],tab_alimentos[[#This Row],[Item]],supercb[Bairro],mercado8)</f>
        <v>0</v>
      </c>
      <c r="T215" s="27" t="n">
        <f aca="false">SUMIFS(super1[Qtde],super1[Item],tab_alimentos[[#This Row],[Item]],super1[Bairro],mercado9)+SUMIFS(supercb[Qtde],supercb[Item],tab_alimentos[[#This Row],[Item]],supercb[Bairro],mercado9)</f>
        <v>0</v>
      </c>
      <c r="U215" s="27" t="n">
        <f aca="false">SUMIFS(super1[Qtde],super1[Item],tab_alimentos[[#This Row],[Item]],super1[Bairro],mercado10)+SUMIFS(supercb[Qtde],supercb[Item],tab_alimentos[[#This Row],[Item]],supercb[Bairro],mercado10)</f>
        <v>0</v>
      </c>
      <c r="V215" s="27" t="n">
        <f aca="false">SUMIFS(super1[Qtde],super1[Item],tab_alimentos[[#This Row],[Item]],super1[Bairro],mercado11)+SUMIFS(supercb[Qtde],supercb[Item],tab_alimentos[[#This Row],[Item]],supercb[Bairro],mercado11)</f>
        <v>0</v>
      </c>
      <c r="W215" s="27" t="n">
        <f aca="false">SUMIFS(super1[Qtde],super1[Item],tab_alimentos[[#This Row],[Item]],super1[Bairro],mercado12)+SUMIFS(supercb[Qtde],supercb[Item],tab_alimentos[[#This Row],[Item]],supercb[Bairro],mercado12)</f>
        <v>0</v>
      </c>
      <c r="X215" s="27" t="n">
        <f aca="false">SUMIFS(super1[Qtde],super1[Item],tab_alimentos[[#This Row],[Item]],super1[Bairro],mercado13)+SUMIFS(supercb[Qtde],supercb[Item],tab_alimentos[[#This Row],[Item]],supercb[Bairro],mercado13)</f>
        <v>0</v>
      </c>
      <c r="Y215" s="27" t="n">
        <f aca="false">SUMIFS(super1[Qtde],super1[Item],tab_alimentos[[#This Row],[Item]],super1[Bairro],mercado14)+SUMIFS(supercb[Qtde],supercb[Item],tab_alimentos[[#This Row],[Item]],supercb[Bairro],mercado14)</f>
        <v>0</v>
      </c>
      <c r="Z215" s="27" t="n">
        <f aca="false">SUMIFS(super1[Qtde],super1[Item],tab_alimentos[[#This Row],[Item]],super1[Bairro],mercado15)+SUMIFS(supercb[Qtde],supercb[Item],tab_alimentos[[#This Row],[Item]],supercb[Bairro],mercado15)</f>
        <v>0</v>
      </c>
      <c r="AA215" s="27" t="n">
        <f aca="false">SUMIFS(super1[Qtde],super1[Item],tab_alimentos[[#This Row],[Item]],super1[Bairro],mercado16)+SUMIFS(supercb[Qtde],supercb[Item],tab_alimentos[[#This Row],[Item]],supercb[Bairro],mercado16)</f>
        <v>0</v>
      </c>
      <c r="AB215" s="27" t="n">
        <f aca="false">SUMIFS(super1[Qtde],super1[Item],tab_alimentos[[#This Row],[Item]],super1[Bairro],mercado17)+SUMIFS(supercb[Qtde],supercb[Item],tab_alimentos[[#This Row],[Item]],supercb[Bairro],mercado17)</f>
        <v>0</v>
      </c>
      <c r="AC215" s="27" t="n">
        <f aca="false">SUMIFS(super1[Qtde],super1[Item],tab_alimentos[[#This Row],[Item]],super1[Bairro],mercado18)+SUMIFS(supercb[Qtde],supercb[Item],tab_alimentos[[#This Row],[Item]],supercb[Bairro],mercado18)</f>
        <v>0</v>
      </c>
      <c r="AD215" s="27" t="n">
        <f aca="false">SUMIFS(super1[Qtde],super1[Item],tab_alimentos[[#This Row],[Item]],super1[Bairro],extras)+SUMIFS(supercb[Qtde],supercb[Item],tab_alimentos[[#This Row],[Item]],supercb[Bairro],extras)</f>
        <v>0</v>
      </c>
      <c r="AE215" s="27" t="n">
        <f aca="false">SUM(L215:AC215)</f>
        <v>0</v>
      </c>
      <c r="AF215" s="27" t="n">
        <f aca="false">IFERROR(AE215*K215,0)</f>
        <v>0</v>
      </c>
      <c r="AG215" s="28" t="n">
        <f aca="false">IFERROR(J215*AE215,0)</f>
        <v>0</v>
      </c>
      <c r="AH215" s="37" t="str">
        <f aca="false">higiene[[#This Row],[Item]]</f>
        <v>V</v>
      </c>
      <c r="AI215" s="38" t="n">
        <f aca="false">IFERROR(higiene[[#This Row],[Kg equivalente]],0)</f>
        <v>0</v>
      </c>
      <c r="AJ215" s="38" t="n">
        <f aca="false">IFERROR(higiene[[#This Row],[Preço por produto]],0)</f>
        <v>0</v>
      </c>
      <c r="AK215" s="27" t="n">
        <f aca="false">SUMIFS(super1[Qtde],super1[Item],tab_higiene[[#This Row],[Item]],super1[Bairro],mercado1)+SUMIFS(supercb[Qtde],supercb[Item],tab_higiene[[#This Row],[Item]],supercb[Bairro],mercado1)</f>
        <v>0</v>
      </c>
      <c r="AL215" s="27" t="n">
        <f aca="false">SUMIFS(super1[Qtde],super1[Item],tab_higiene[[#This Row],[Item]],super1[Bairro],mercado2)+SUMIFS(supercb[Qtde],supercb[Item],tab_higiene[[#This Row],[Item]],supercb[Bairro],mercado2)</f>
        <v>0</v>
      </c>
      <c r="AM215" s="27" t="n">
        <f aca="false">SUMIFS(super1[Qtde],super1[Item],tab_higiene[[#This Row],[Item]],super1[Bairro],mercado3)+SUMIFS(supercb[Qtde],supercb[Item],tab_higiene[[#This Row],[Item]],supercb[Bairro],mercado3)</f>
        <v>0</v>
      </c>
      <c r="AN215" s="27" t="n">
        <f aca="false">SUMIFS(super1[Qtde],super1[Item],tab_higiene[[#This Row],[Item]],super1[Bairro],mercado4)+SUMIFS(supercb[Qtde],supercb[Item],tab_higiene[[#This Row],[Item]],supercb[Bairro],mercado4)</f>
        <v>0</v>
      </c>
      <c r="AO215" s="27" t="n">
        <f aca="false">SUMIFS(super1[Qtde],super1[Item],tab_higiene[[#This Row],[Item]],super1[Bairro],mercado5)+SUMIFS(supercb[Qtde],supercb[Item],tab_higiene[[#This Row],[Item]],supercb[Bairro],mercado5)</f>
        <v>0</v>
      </c>
      <c r="AP215" s="27" t="n">
        <f aca="false">SUMIFS(super1[Qtde],super1[Item],tab_higiene[[#This Row],[Item]],super1[Bairro],mercado6)+SUMIFS(supercb[Qtde],supercb[Item],tab_higiene[[#This Row],[Item]],supercb[Bairro],mercado6)</f>
        <v>0</v>
      </c>
      <c r="AQ215" s="27" t="n">
        <f aca="false">SUMIFS(super1[Qtde],super1[Item],tab_higiene[[#This Row],[Item]],super1[Bairro],mercado7)+SUMIFS(supercb[Qtde],supercb[Item],tab_higiene[[#This Row],[Item]],supercb[Bairro],mercado7)</f>
        <v>0</v>
      </c>
      <c r="AR215" s="27" t="n">
        <f aca="false">SUMIFS(super1[Qtde],super1[Item],tab_higiene[[#This Row],[Item]],super1[Bairro],mercado8)+SUMIFS(supercb[Qtde],supercb[Item],tab_higiene[[#This Row],[Item]],supercb[Bairro],mercado8)</f>
        <v>0</v>
      </c>
      <c r="AS215" s="27" t="n">
        <f aca="false">SUMIFS(super1[Qtde],super1[Item],tab_higiene[[#This Row],[Item]],super1[Bairro],mercado9)+SUMIFS(supercb[Qtde],supercb[Item],tab_higiene[[#This Row],[Item]],supercb[Bairro],mercado9)</f>
        <v>0</v>
      </c>
      <c r="AT215" s="27" t="n">
        <f aca="false">SUMIFS(super1[Qtde],super1[Item],tab_higiene[[#This Row],[Item]],super1[Bairro],mercado10)+SUMIFS(supercb[Qtde],supercb[Item],tab_higiene[[#This Row],[Item]],supercb[Bairro],mercado10)</f>
        <v>0</v>
      </c>
      <c r="AU215" s="27" t="n">
        <f aca="false">SUMIFS(super1[Qtde],super1[Item],tab_higiene[[#This Row],[Item]],super1[Bairro],mercado11)+SUMIFS(supercb[Qtde],supercb[Item],tab_higiene[[#This Row],[Item]],supercb[Bairro],mercado11)</f>
        <v>0</v>
      </c>
      <c r="AV215" s="27" t="n">
        <f aca="false">SUMIFS(super1[Qtde],super1[Item],tab_higiene[[#This Row],[Item]],super1[Bairro],mercado12)+SUMIFS(supercb[Qtde],supercb[Item],tab_higiene[[#This Row],[Item]],supercb[Bairro],mercado12)</f>
        <v>0</v>
      </c>
      <c r="AW215" s="27" t="n">
        <f aca="false">SUMIFS(super1[Qtde],super1[Item],tab_higiene[[#This Row],[Item]],super1[Bairro],mercado13)+SUMIFS(supercb[Qtde],supercb[Item],tab_higiene[[#This Row],[Item]],supercb[Bairro],mercado13)</f>
        <v>0</v>
      </c>
      <c r="AX215" s="27" t="n">
        <f aca="false">SUMIFS(super1[Qtde],super1[Item],tab_higiene[[#This Row],[Item]],super1[Bairro],mercado14)+SUMIFS(supercb[Qtde],supercb[Item],tab_higiene[[#This Row],[Item]],supercb[Bairro],mercado14)</f>
        <v>0</v>
      </c>
      <c r="AY215" s="27" t="n">
        <f aca="false">SUMIFS(super1[Qtde],super1[Item],tab_higiene[[#This Row],[Item]],super1[Bairro],mercado15)+SUMIFS(supercb[Qtde],supercb[Item],tab_higiene[[#This Row],[Item]],supercb[Bairro],mercado15)</f>
        <v>0</v>
      </c>
      <c r="AZ215" s="27" t="n">
        <f aca="false">SUMIFS(super1[Qtde],super1[Item],tab_higiene[[#This Row],[Item]],super1[Bairro],mercado16)+SUMIFS(supercb[Qtde],supercb[Item],tab_higiene[[#This Row],[Item]],supercb[Bairro],mercado16)</f>
        <v>0</v>
      </c>
      <c r="BA215" s="27" t="n">
        <f aca="false">SUMIFS(super1[Qtde],super1[Item],tab_higiene[[#This Row],[Item]],super1[Bairro],mercado17)+SUMIFS(supercb[Qtde],supercb[Item],tab_higiene[[#This Row],[Item]],supercb[Bairro],mercado17)</f>
        <v>0</v>
      </c>
      <c r="BB215" s="27" t="n">
        <f aca="false">SUMIFS(super1[Qtde],super1[Item],tab_higiene[[#This Row],[Item]],super1[Bairro],mercado18)+SUMIFS(supercb[Qtde],supercb[Item],tab_higiene[[#This Row],[Item]],supercb[Bairro],mercado18)</f>
        <v>0</v>
      </c>
      <c r="BC215" s="39" t="n">
        <f aca="false">SUMIFS(super1[Qtde],super1[Item],tab_higiene[[#This Row],[Item]],super1[Bairro],extras)+SUMIFS(supercb[Qtde],supercb[Item],tab_higiene[[#This Row],[Item]],supercb[Bairro],extras)</f>
        <v>0</v>
      </c>
      <c r="BD215" s="38" t="n">
        <f aca="false">SUM(AK215:BB215)</f>
        <v>0</v>
      </c>
      <c r="BE215" s="38" t="n">
        <f aca="false">IFERROR(BD215*AJ215,0)</f>
        <v>0</v>
      </c>
      <c r="BF215" s="40" t="n">
        <f aca="false">IFERROR(AI215*BD215,0)</f>
        <v>0</v>
      </c>
    </row>
    <row r="216" customFormat="false" ht="15.75" hidden="false" customHeight="false" outlineLevel="0" collapsed="false">
      <c r="I216" s="26" t="str">
        <f aca="false">alimentos[[#This Row],[Item]]</f>
        <v>Pão de Mel (300g)</v>
      </c>
      <c r="J216" s="27" t="n">
        <f aca="false">IFERROR(alimentos[[#This Row],[kg/embalagem]],0)</f>
        <v>0.3</v>
      </c>
      <c r="K216" s="27" t="n">
        <f aca="false">IFERROR(alimentos[[#This Row],[Preço]],0)</f>
        <v>7.56</v>
      </c>
      <c r="L216" s="27" t="n">
        <f aca="false">SUMIFS(super1[Qtde],super1[Item],tab_alimentos[[#This Row],[Item]],super1[Bairro],mercado1)+SUMIFS(supercb[Qtde],supercb[Item],tab_alimentos[[#This Row],[Item]],supercb[Bairro],mercado1)</f>
        <v>0</v>
      </c>
      <c r="M216" s="27" t="n">
        <f aca="false">SUMIFS(super1[Qtde],super1[Item],tab_alimentos[[#This Row],[Item]],super1[Bairro],mercado2)+SUMIFS(supercb[Qtde],supercb[Item],tab_alimentos[[#This Row],[Item]],supercb[Bairro],mercado2)</f>
        <v>0</v>
      </c>
      <c r="N216" s="27" t="n">
        <f aca="false">SUMIFS(super1[Qtde],super1[Item],tab_alimentos[[#This Row],[Item]],super1[Bairro],mercado3)+SUMIFS(supercb[Qtde],supercb[Item],tab_alimentos[[#This Row],[Item]],supercb[Bairro],mercado3)</f>
        <v>0</v>
      </c>
      <c r="O216" s="27" t="n">
        <f aca="false">SUMIFS(super1[Qtde],super1[Item],tab_alimentos[[#This Row],[Item]],super1[Bairro],mercado4)+SUMIFS(supercb[Qtde],supercb[Item],tab_alimentos[[#This Row],[Item]],supercb[Bairro],mercado4)</f>
        <v>0</v>
      </c>
      <c r="P216" s="27" t="n">
        <f aca="false">SUMIFS(super1[Qtde],super1[Item],tab_alimentos[[#This Row],[Item]],super1[Bairro],mercado5)+SUMIFS(supercb[Qtde],supercb[Item],tab_alimentos[[#This Row],[Item]],supercb[Bairro],mercado5)</f>
        <v>0</v>
      </c>
      <c r="Q216" s="27" t="n">
        <f aca="false">SUMIFS(super1[Qtde],super1[Item],tab_alimentos[[#This Row],[Item]],super1[Bairro],mercado6)+SUMIFS(supercb[Qtde],supercb[Item],tab_alimentos[[#This Row],[Item]],supercb[Bairro],mercado6)</f>
        <v>0</v>
      </c>
      <c r="R216" s="27" t="n">
        <f aca="false">SUMIFS(super1[Qtde],super1[Item],tab_alimentos[[#This Row],[Item]],super1[Bairro],mercado7)+SUMIFS(supercb[Qtde],supercb[Item],tab_alimentos[[#This Row],[Item]],supercb[Bairro],mercado7)</f>
        <v>1</v>
      </c>
      <c r="S216" s="27" t="n">
        <f aca="false">SUMIFS(super1[Qtde],super1[Item],tab_alimentos[[#This Row],[Item]],super1[Bairro],mercado8)+SUMIFS(supercb[Qtde],supercb[Item],tab_alimentos[[#This Row],[Item]],supercb[Bairro],mercado8)</f>
        <v>0</v>
      </c>
      <c r="T216" s="27" t="n">
        <f aca="false">SUMIFS(super1[Qtde],super1[Item],tab_alimentos[[#This Row],[Item]],super1[Bairro],mercado9)+SUMIFS(supercb[Qtde],supercb[Item],tab_alimentos[[#This Row],[Item]],supercb[Bairro],mercado9)</f>
        <v>0</v>
      </c>
      <c r="U216" s="27" t="n">
        <f aca="false">SUMIFS(super1[Qtde],super1[Item],tab_alimentos[[#This Row],[Item]],super1[Bairro],mercado10)+SUMIFS(supercb[Qtde],supercb[Item],tab_alimentos[[#This Row],[Item]],supercb[Bairro],mercado10)</f>
        <v>0</v>
      </c>
      <c r="V216" s="27" t="n">
        <f aca="false">SUMIFS(super1[Qtde],super1[Item],tab_alimentos[[#This Row],[Item]],super1[Bairro],mercado11)+SUMIFS(supercb[Qtde],supercb[Item],tab_alimentos[[#This Row],[Item]],supercb[Bairro],mercado11)</f>
        <v>0</v>
      </c>
      <c r="W216" s="27" t="n">
        <f aca="false">SUMIFS(super1[Qtde],super1[Item],tab_alimentos[[#This Row],[Item]],super1[Bairro],mercado12)+SUMIFS(supercb[Qtde],supercb[Item],tab_alimentos[[#This Row],[Item]],supercb[Bairro],mercado12)</f>
        <v>0</v>
      </c>
      <c r="X216" s="27" t="n">
        <f aca="false">SUMIFS(super1[Qtde],super1[Item],tab_alimentos[[#This Row],[Item]],super1[Bairro],mercado13)+SUMIFS(supercb[Qtde],supercb[Item],tab_alimentos[[#This Row],[Item]],supercb[Bairro],mercado13)</f>
        <v>0</v>
      </c>
      <c r="Y216" s="27" t="n">
        <f aca="false">SUMIFS(super1[Qtde],super1[Item],tab_alimentos[[#This Row],[Item]],super1[Bairro],mercado14)+SUMIFS(supercb[Qtde],supercb[Item],tab_alimentos[[#This Row],[Item]],supercb[Bairro],mercado14)</f>
        <v>0</v>
      </c>
      <c r="Z216" s="27" t="n">
        <f aca="false">SUMIFS(super1[Qtde],super1[Item],tab_alimentos[[#This Row],[Item]],super1[Bairro],mercado15)+SUMIFS(supercb[Qtde],supercb[Item],tab_alimentos[[#This Row],[Item]],supercb[Bairro],mercado15)</f>
        <v>0</v>
      </c>
      <c r="AA216" s="27" t="n">
        <f aca="false">SUMIFS(super1[Qtde],super1[Item],tab_alimentos[[#This Row],[Item]],super1[Bairro],mercado16)+SUMIFS(supercb[Qtde],supercb[Item],tab_alimentos[[#This Row],[Item]],supercb[Bairro],mercado16)</f>
        <v>0</v>
      </c>
      <c r="AB216" s="27" t="n">
        <f aca="false">SUMIFS(super1[Qtde],super1[Item],tab_alimentos[[#This Row],[Item]],super1[Bairro],mercado17)+SUMIFS(supercb[Qtde],supercb[Item],tab_alimentos[[#This Row],[Item]],supercb[Bairro],mercado17)</f>
        <v>0</v>
      </c>
      <c r="AC216" s="27" t="n">
        <f aca="false">SUMIFS(super1[Qtde],super1[Item],tab_alimentos[[#This Row],[Item]],super1[Bairro],mercado18)+SUMIFS(supercb[Qtde],supercb[Item],tab_alimentos[[#This Row],[Item]],supercb[Bairro],mercado18)</f>
        <v>0</v>
      </c>
      <c r="AD216" s="27" t="n">
        <f aca="false">SUMIFS(super1[Qtde],super1[Item],tab_alimentos[[#This Row],[Item]],super1[Bairro],extras)+SUMIFS(supercb[Qtde],supercb[Item],tab_alimentos[[#This Row],[Item]],supercb[Bairro],extras)</f>
        <v>0</v>
      </c>
      <c r="AE216" s="27" t="n">
        <f aca="false">SUM(L216:AC216)</f>
        <v>1</v>
      </c>
      <c r="AF216" s="27" t="n">
        <f aca="false">IFERROR(AE216*K216,0)</f>
        <v>7.56</v>
      </c>
      <c r="AG216" s="28" t="n">
        <f aca="false">IFERROR(J216*AE216,0)</f>
        <v>0.3</v>
      </c>
      <c r="AH216" s="37" t="str">
        <f aca="false">higiene[[#This Row],[Item]]</f>
        <v>W</v>
      </c>
      <c r="AI216" s="38" t="n">
        <f aca="false">IFERROR(higiene[[#This Row],[Kg equivalente]],0)</f>
        <v>0</v>
      </c>
      <c r="AJ216" s="38" t="n">
        <f aca="false">IFERROR(higiene[[#This Row],[Preço por produto]],0)</f>
        <v>0</v>
      </c>
      <c r="AK216" s="27" t="n">
        <f aca="false">SUMIFS(super1[Qtde],super1[Item],tab_higiene[[#This Row],[Item]],super1[Bairro],mercado1)+SUMIFS(supercb[Qtde],supercb[Item],tab_higiene[[#This Row],[Item]],supercb[Bairro],mercado1)</f>
        <v>0</v>
      </c>
      <c r="AL216" s="27" t="n">
        <f aca="false">SUMIFS(super1[Qtde],super1[Item],tab_higiene[[#This Row],[Item]],super1[Bairro],mercado2)+SUMIFS(supercb[Qtde],supercb[Item],tab_higiene[[#This Row],[Item]],supercb[Bairro],mercado2)</f>
        <v>0</v>
      </c>
      <c r="AM216" s="27" t="n">
        <f aca="false">SUMIFS(super1[Qtde],super1[Item],tab_higiene[[#This Row],[Item]],super1[Bairro],mercado3)+SUMIFS(supercb[Qtde],supercb[Item],tab_higiene[[#This Row],[Item]],supercb[Bairro],mercado3)</f>
        <v>0</v>
      </c>
      <c r="AN216" s="27" t="n">
        <f aca="false">SUMIFS(super1[Qtde],super1[Item],tab_higiene[[#This Row],[Item]],super1[Bairro],mercado4)+SUMIFS(supercb[Qtde],supercb[Item],tab_higiene[[#This Row],[Item]],supercb[Bairro],mercado4)</f>
        <v>0</v>
      </c>
      <c r="AO216" s="27" t="n">
        <f aca="false">SUMIFS(super1[Qtde],super1[Item],tab_higiene[[#This Row],[Item]],super1[Bairro],mercado5)+SUMIFS(supercb[Qtde],supercb[Item],tab_higiene[[#This Row],[Item]],supercb[Bairro],mercado5)</f>
        <v>0</v>
      </c>
      <c r="AP216" s="27" t="n">
        <f aca="false">SUMIFS(super1[Qtde],super1[Item],tab_higiene[[#This Row],[Item]],super1[Bairro],mercado6)+SUMIFS(supercb[Qtde],supercb[Item],tab_higiene[[#This Row],[Item]],supercb[Bairro],mercado6)</f>
        <v>0</v>
      </c>
      <c r="AQ216" s="27" t="n">
        <f aca="false">SUMIFS(super1[Qtde],super1[Item],tab_higiene[[#This Row],[Item]],super1[Bairro],mercado7)+SUMIFS(supercb[Qtde],supercb[Item],tab_higiene[[#This Row],[Item]],supercb[Bairro],mercado7)</f>
        <v>0</v>
      </c>
      <c r="AR216" s="27" t="n">
        <f aca="false">SUMIFS(super1[Qtde],super1[Item],tab_higiene[[#This Row],[Item]],super1[Bairro],mercado8)+SUMIFS(supercb[Qtde],supercb[Item],tab_higiene[[#This Row],[Item]],supercb[Bairro],mercado8)</f>
        <v>0</v>
      </c>
      <c r="AS216" s="27" t="n">
        <f aca="false">SUMIFS(super1[Qtde],super1[Item],tab_higiene[[#This Row],[Item]],super1[Bairro],mercado9)+SUMIFS(supercb[Qtde],supercb[Item],tab_higiene[[#This Row],[Item]],supercb[Bairro],mercado9)</f>
        <v>0</v>
      </c>
      <c r="AT216" s="27" t="n">
        <f aca="false">SUMIFS(super1[Qtde],super1[Item],tab_higiene[[#This Row],[Item]],super1[Bairro],mercado10)+SUMIFS(supercb[Qtde],supercb[Item],tab_higiene[[#This Row],[Item]],supercb[Bairro],mercado10)</f>
        <v>0</v>
      </c>
      <c r="AU216" s="27" t="n">
        <f aca="false">SUMIFS(super1[Qtde],super1[Item],tab_higiene[[#This Row],[Item]],super1[Bairro],mercado11)+SUMIFS(supercb[Qtde],supercb[Item],tab_higiene[[#This Row],[Item]],supercb[Bairro],mercado11)</f>
        <v>0</v>
      </c>
      <c r="AV216" s="27" t="n">
        <f aca="false">SUMIFS(super1[Qtde],super1[Item],tab_higiene[[#This Row],[Item]],super1[Bairro],mercado12)+SUMIFS(supercb[Qtde],supercb[Item],tab_higiene[[#This Row],[Item]],supercb[Bairro],mercado12)</f>
        <v>0</v>
      </c>
      <c r="AW216" s="27" t="n">
        <f aca="false">SUMIFS(super1[Qtde],super1[Item],tab_higiene[[#This Row],[Item]],super1[Bairro],mercado13)+SUMIFS(supercb[Qtde],supercb[Item],tab_higiene[[#This Row],[Item]],supercb[Bairro],mercado13)</f>
        <v>0</v>
      </c>
      <c r="AX216" s="27" t="n">
        <f aca="false">SUMIFS(super1[Qtde],super1[Item],tab_higiene[[#This Row],[Item]],super1[Bairro],mercado14)+SUMIFS(supercb[Qtde],supercb[Item],tab_higiene[[#This Row],[Item]],supercb[Bairro],mercado14)</f>
        <v>0</v>
      </c>
      <c r="AY216" s="27" t="n">
        <f aca="false">SUMIFS(super1[Qtde],super1[Item],tab_higiene[[#This Row],[Item]],super1[Bairro],mercado15)+SUMIFS(supercb[Qtde],supercb[Item],tab_higiene[[#This Row],[Item]],supercb[Bairro],mercado15)</f>
        <v>0</v>
      </c>
      <c r="AZ216" s="27" t="n">
        <f aca="false">SUMIFS(super1[Qtde],super1[Item],tab_higiene[[#This Row],[Item]],super1[Bairro],mercado16)+SUMIFS(supercb[Qtde],supercb[Item],tab_higiene[[#This Row],[Item]],supercb[Bairro],mercado16)</f>
        <v>0</v>
      </c>
      <c r="BA216" s="27" t="n">
        <f aca="false">SUMIFS(super1[Qtde],super1[Item],tab_higiene[[#This Row],[Item]],super1[Bairro],mercado17)+SUMIFS(supercb[Qtde],supercb[Item],tab_higiene[[#This Row],[Item]],supercb[Bairro],mercado17)</f>
        <v>0</v>
      </c>
      <c r="BB216" s="27" t="n">
        <f aca="false">SUMIFS(super1[Qtde],super1[Item],tab_higiene[[#This Row],[Item]],super1[Bairro],mercado18)+SUMIFS(supercb[Qtde],supercb[Item],tab_higiene[[#This Row],[Item]],supercb[Bairro],mercado18)</f>
        <v>0</v>
      </c>
      <c r="BC216" s="39" t="n">
        <f aca="false">SUMIFS(super1[Qtde],super1[Item],tab_higiene[[#This Row],[Item]],super1[Bairro],extras)+SUMIFS(supercb[Qtde],supercb[Item],tab_higiene[[#This Row],[Item]],supercb[Bairro],extras)</f>
        <v>0</v>
      </c>
      <c r="BD216" s="38" t="n">
        <f aca="false">SUM(AK216:BB216)</f>
        <v>0</v>
      </c>
      <c r="BE216" s="38" t="n">
        <f aca="false">IFERROR(BD216*AJ216,0)</f>
        <v>0</v>
      </c>
      <c r="BF216" s="40" t="n">
        <f aca="false">IFERROR(AI216*BD216,0)</f>
        <v>0</v>
      </c>
    </row>
    <row r="217" customFormat="false" ht="15.75" hidden="false" customHeight="false" outlineLevel="0" collapsed="false">
      <c r="I217" s="26" t="str">
        <f aca="false">alimentos[[#This Row],[Item]]</f>
        <v>Pão de Mel (500g)</v>
      </c>
      <c r="J217" s="27" t="n">
        <f aca="false">IFERROR(alimentos[[#This Row],[kg/embalagem]],0)</f>
        <v>0.5</v>
      </c>
      <c r="K217" s="27" t="n">
        <f aca="false">IFERROR(alimentos[[#This Row],[Preço]],0)</f>
        <v>5.49</v>
      </c>
      <c r="L217" s="27" t="n">
        <f aca="false">SUMIFS(super1[Qtde],super1[Item],tab_alimentos[[#This Row],[Item]],super1[Bairro],mercado1)+SUMIFS(supercb[Qtde],supercb[Item],tab_alimentos[[#This Row],[Item]],supercb[Bairro],mercado1)</f>
        <v>0</v>
      </c>
      <c r="M217" s="27" t="n">
        <f aca="false">SUMIFS(super1[Qtde],super1[Item],tab_alimentos[[#This Row],[Item]],super1[Bairro],mercado2)+SUMIFS(supercb[Qtde],supercb[Item],tab_alimentos[[#This Row],[Item]],supercb[Bairro],mercado2)</f>
        <v>0</v>
      </c>
      <c r="N217" s="27" t="n">
        <f aca="false">SUMIFS(super1[Qtde],super1[Item],tab_alimentos[[#This Row],[Item]],super1[Bairro],mercado3)+SUMIFS(supercb[Qtde],supercb[Item],tab_alimentos[[#This Row],[Item]],supercb[Bairro],mercado3)</f>
        <v>0</v>
      </c>
      <c r="O217" s="27" t="n">
        <f aca="false">SUMIFS(super1[Qtde],super1[Item],tab_alimentos[[#This Row],[Item]],super1[Bairro],mercado4)+SUMIFS(supercb[Qtde],supercb[Item],tab_alimentos[[#This Row],[Item]],supercb[Bairro],mercado4)</f>
        <v>0</v>
      </c>
      <c r="P217" s="27" t="n">
        <f aca="false">SUMIFS(super1[Qtde],super1[Item],tab_alimentos[[#This Row],[Item]],super1[Bairro],mercado5)+SUMIFS(supercb[Qtde],supercb[Item],tab_alimentos[[#This Row],[Item]],supercb[Bairro],mercado5)</f>
        <v>0</v>
      </c>
      <c r="Q217" s="27" t="n">
        <f aca="false">SUMIFS(super1[Qtde],super1[Item],tab_alimentos[[#This Row],[Item]],super1[Bairro],mercado6)+SUMIFS(supercb[Qtde],supercb[Item],tab_alimentos[[#This Row],[Item]],supercb[Bairro],mercado6)</f>
        <v>0</v>
      </c>
      <c r="R217" s="27" t="n">
        <f aca="false">SUMIFS(super1[Qtde],super1[Item],tab_alimentos[[#This Row],[Item]],super1[Bairro],mercado7)+SUMIFS(supercb[Qtde],supercb[Item],tab_alimentos[[#This Row],[Item]],supercb[Bairro],mercado7)</f>
        <v>0</v>
      </c>
      <c r="S217" s="27" t="n">
        <f aca="false">SUMIFS(super1[Qtde],super1[Item],tab_alimentos[[#This Row],[Item]],super1[Bairro],mercado8)+SUMIFS(supercb[Qtde],supercb[Item],tab_alimentos[[#This Row],[Item]],supercb[Bairro],mercado8)</f>
        <v>0</v>
      </c>
      <c r="T217" s="27" t="n">
        <f aca="false">SUMIFS(super1[Qtde],super1[Item],tab_alimentos[[#This Row],[Item]],super1[Bairro],mercado9)+SUMIFS(supercb[Qtde],supercb[Item],tab_alimentos[[#This Row],[Item]],supercb[Bairro],mercado9)</f>
        <v>0</v>
      </c>
      <c r="U217" s="27" t="n">
        <f aca="false">SUMIFS(super1[Qtde],super1[Item],tab_alimentos[[#This Row],[Item]],super1[Bairro],mercado10)+SUMIFS(supercb[Qtde],supercb[Item],tab_alimentos[[#This Row],[Item]],supercb[Bairro],mercado10)</f>
        <v>0</v>
      </c>
      <c r="V217" s="27" t="n">
        <f aca="false">SUMIFS(super1[Qtde],super1[Item],tab_alimentos[[#This Row],[Item]],super1[Bairro],mercado11)+SUMIFS(supercb[Qtde],supercb[Item],tab_alimentos[[#This Row],[Item]],supercb[Bairro],mercado11)</f>
        <v>0</v>
      </c>
      <c r="W217" s="27" t="n">
        <f aca="false">SUMIFS(super1[Qtde],super1[Item],tab_alimentos[[#This Row],[Item]],super1[Bairro],mercado12)+SUMIFS(supercb[Qtde],supercb[Item],tab_alimentos[[#This Row],[Item]],supercb[Bairro],mercado12)</f>
        <v>0</v>
      </c>
      <c r="X217" s="27" t="n">
        <f aca="false">SUMIFS(super1[Qtde],super1[Item],tab_alimentos[[#This Row],[Item]],super1[Bairro],mercado13)+SUMIFS(supercb[Qtde],supercb[Item],tab_alimentos[[#This Row],[Item]],supercb[Bairro],mercado13)</f>
        <v>0</v>
      </c>
      <c r="Y217" s="27" t="n">
        <f aca="false">SUMIFS(super1[Qtde],super1[Item],tab_alimentos[[#This Row],[Item]],super1[Bairro],mercado14)+SUMIFS(supercb[Qtde],supercb[Item],tab_alimentos[[#This Row],[Item]],supercb[Bairro],mercado14)</f>
        <v>0</v>
      </c>
      <c r="Z217" s="27" t="n">
        <f aca="false">SUMIFS(super1[Qtde],super1[Item],tab_alimentos[[#This Row],[Item]],super1[Bairro],mercado15)+SUMIFS(supercb[Qtde],supercb[Item],tab_alimentos[[#This Row],[Item]],supercb[Bairro],mercado15)</f>
        <v>0</v>
      </c>
      <c r="AA217" s="27" t="n">
        <f aca="false">SUMIFS(super1[Qtde],super1[Item],tab_alimentos[[#This Row],[Item]],super1[Bairro],mercado16)+SUMIFS(supercb[Qtde],supercb[Item],tab_alimentos[[#This Row],[Item]],supercb[Bairro],mercado16)</f>
        <v>0</v>
      </c>
      <c r="AB217" s="27" t="n">
        <f aca="false">SUMIFS(super1[Qtde],super1[Item],tab_alimentos[[#This Row],[Item]],super1[Bairro],mercado17)+SUMIFS(supercb[Qtde],supercb[Item],tab_alimentos[[#This Row],[Item]],supercb[Bairro],mercado17)</f>
        <v>0</v>
      </c>
      <c r="AC217" s="27" t="n">
        <f aca="false">SUMIFS(super1[Qtde],super1[Item],tab_alimentos[[#This Row],[Item]],super1[Bairro],mercado18)+SUMIFS(supercb[Qtde],supercb[Item],tab_alimentos[[#This Row],[Item]],supercb[Bairro],mercado18)</f>
        <v>0</v>
      </c>
      <c r="AD217" s="27" t="n">
        <f aca="false">SUMIFS(super1[Qtde],super1[Item],tab_alimentos[[#This Row],[Item]],super1[Bairro],extras)+SUMIFS(supercb[Qtde],supercb[Item],tab_alimentos[[#This Row],[Item]],supercb[Bairro],extras)</f>
        <v>0</v>
      </c>
      <c r="AE217" s="27" t="n">
        <f aca="false">SUM(L217:AC217)</f>
        <v>0</v>
      </c>
      <c r="AF217" s="27" t="n">
        <f aca="false">IFERROR(AE217*K217,0)</f>
        <v>0</v>
      </c>
      <c r="AG217" s="28" t="n">
        <f aca="false">IFERROR(J217*AE217,0)</f>
        <v>0</v>
      </c>
      <c r="AH217" s="37" t="str">
        <f aca="false">higiene[[#This Row],[Item]]</f>
        <v>X</v>
      </c>
      <c r="AI217" s="38" t="n">
        <f aca="false">IFERROR(higiene[[#This Row],[Kg equivalente]],0)</f>
        <v>0</v>
      </c>
      <c r="AJ217" s="38" t="n">
        <f aca="false">IFERROR(higiene[[#This Row],[Preço por produto]],0)</f>
        <v>0</v>
      </c>
      <c r="AK217" s="27" t="n">
        <f aca="false">SUMIFS(super1[Qtde],super1[Item],tab_higiene[[#This Row],[Item]],super1[Bairro],mercado1)+SUMIFS(supercb[Qtde],supercb[Item],tab_higiene[[#This Row],[Item]],supercb[Bairro],mercado1)</f>
        <v>0</v>
      </c>
      <c r="AL217" s="27" t="n">
        <f aca="false">SUMIFS(super1[Qtde],super1[Item],tab_higiene[[#This Row],[Item]],super1[Bairro],mercado2)+SUMIFS(supercb[Qtde],supercb[Item],tab_higiene[[#This Row],[Item]],supercb[Bairro],mercado2)</f>
        <v>0</v>
      </c>
      <c r="AM217" s="27" t="n">
        <f aca="false">SUMIFS(super1[Qtde],super1[Item],tab_higiene[[#This Row],[Item]],super1[Bairro],mercado3)+SUMIFS(supercb[Qtde],supercb[Item],tab_higiene[[#This Row],[Item]],supercb[Bairro],mercado3)</f>
        <v>0</v>
      </c>
      <c r="AN217" s="27" t="n">
        <f aca="false">SUMIFS(super1[Qtde],super1[Item],tab_higiene[[#This Row],[Item]],super1[Bairro],mercado4)+SUMIFS(supercb[Qtde],supercb[Item],tab_higiene[[#This Row],[Item]],supercb[Bairro],mercado4)</f>
        <v>0</v>
      </c>
      <c r="AO217" s="27" t="n">
        <f aca="false">SUMIFS(super1[Qtde],super1[Item],tab_higiene[[#This Row],[Item]],super1[Bairro],mercado5)+SUMIFS(supercb[Qtde],supercb[Item],tab_higiene[[#This Row],[Item]],supercb[Bairro],mercado5)</f>
        <v>0</v>
      </c>
      <c r="AP217" s="27" t="n">
        <f aca="false">SUMIFS(super1[Qtde],super1[Item],tab_higiene[[#This Row],[Item]],super1[Bairro],mercado6)+SUMIFS(supercb[Qtde],supercb[Item],tab_higiene[[#This Row],[Item]],supercb[Bairro],mercado6)</f>
        <v>0</v>
      </c>
      <c r="AQ217" s="27" t="n">
        <f aca="false">SUMIFS(super1[Qtde],super1[Item],tab_higiene[[#This Row],[Item]],super1[Bairro],mercado7)+SUMIFS(supercb[Qtde],supercb[Item],tab_higiene[[#This Row],[Item]],supercb[Bairro],mercado7)</f>
        <v>0</v>
      </c>
      <c r="AR217" s="27" t="n">
        <f aca="false">SUMIFS(super1[Qtde],super1[Item],tab_higiene[[#This Row],[Item]],super1[Bairro],mercado8)+SUMIFS(supercb[Qtde],supercb[Item],tab_higiene[[#This Row],[Item]],supercb[Bairro],mercado8)</f>
        <v>0</v>
      </c>
      <c r="AS217" s="27" t="n">
        <f aca="false">SUMIFS(super1[Qtde],super1[Item],tab_higiene[[#This Row],[Item]],super1[Bairro],mercado9)+SUMIFS(supercb[Qtde],supercb[Item],tab_higiene[[#This Row],[Item]],supercb[Bairro],mercado9)</f>
        <v>0</v>
      </c>
      <c r="AT217" s="27" t="n">
        <f aca="false">SUMIFS(super1[Qtde],super1[Item],tab_higiene[[#This Row],[Item]],super1[Bairro],mercado10)+SUMIFS(supercb[Qtde],supercb[Item],tab_higiene[[#This Row],[Item]],supercb[Bairro],mercado10)</f>
        <v>0</v>
      </c>
      <c r="AU217" s="27" t="n">
        <f aca="false">SUMIFS(super1[Qtde],super1[Item],tab_higiene[[#This Row],[Item]],super1[Bairro],mercado11)+SUMIFS(supercb[Qtde],supercb[Item],tab_higiene[[#This Row],[Item]],supercb[Bairro],mercado11)</f>
        <v>0</v>
      </c>
      <c r="AV217" s="27" t="n">
        <f aca="false">SUMIFS(super1[Qtde],super1[Item],tab_higiene[[#This Row],[Item]],super1[Bairro],mercado12)+SUMIFS(supercb[Qtde],supercb[Item],tab_higiene[[#This Row],[Item]],supercb[Bairro],mercado12)</f>
        <v>0</v>
      </c>
      <c r="AW217" s="27" t="n">
        <f aca="false">SUMIFS(super1[Qtde],super1[Item],tab_higiene[[#This Row],[Item]],super1[Bairro],mercado13)+SUMIFS(supercb[Qtde],supercb[Item],tab_higiene[[#This Row],[Item]],supercb[Bairro],mercado13)</f>
        <v>0</v>
      </c>
      <c r="AX217" s="27" t="n">
        <f aca="false">SUMIFS(super1[Qtde],super1[Item],tab_higiene[[#This Row],[Item]],super1[Bairro],mercado14)+SUMIFS(supercb[Qtde],supercb[Item],tab_higiene[[#This Row],[Item]],supercb[Bairro],mercado14)</f>
        <v>0</v>
      </c>
      <c r="AY217" s="27" t="n">
        <f aca="false">SUMIFS(super1[Qtde],super1[Item],tab_higiene[[#This Row],[Item]],super1[Bairro],mercado15)+SUMIFS(supercb[Qtde],supercb[Item],tab_higiene[[#This Row],[Item]],supercb[Bairro],mercado15)</f>
        <v>0</v>
      </c>
      <c r="AZ217" s="27" t="n">
        <f aca="false">SUMIFS(super1[Qtde],super1[Item],tab_higiene[[#This Row],[Item]],super1[Bairro],mercado16)+SUMIFS(supercb[Qtde],supercb[Item],tab_higiene[[#This Row],[Item]],supercb[Bairro],mercado16)</f>
        <v>0</v>
      </c>
      <c r="BA217" s="27" t="n">
        <f aca="false">SUMIFS(super1[Qtde],super1[Item],tab_higiene[[#This Row],[Item]],super1[Bairro],mercado17)+SUMIFS(supercb[Qtde],supercb[Item],tab_higiene[[#This Row],[Item]],supercb[Bairro],mercado17)</f>
        <v>0</v>
      </c>
      <c r="BB217" s="27" t="n">
        <f aca="false">SUMIFS(super1[Qtde],super1[Item],tab_higiene[[#This Row],[Item]],super1[Bairro],mercado18)+SUMIFS(supercb[Qtde],supercb[Item],tab_higiene[[#This Row],[Item]],supercb[Bairro],mercado18)</f>
        <v>0</v>
      </c>
      <c r="BC217" s="39" t="n">
        <f aca="false">SUMIFS(super1[Qtde],super1[Item],tab_higiene[[#This Row],[Item]],super1[Bairro],extras)+SUMIFS(supercb[Qtde],supercb[Item],tab_higiene[[#This Row],[Item]],supercb[Bairro],extras)</f>
        <v>0</v>
      </c>
      <c r="BD217" s="38" t="n">
        <f aca="false">SUM(AK217:BB217)</f>
        <v>0</v>
      </c>
      <c r="BE217" s="38" t="n">
        <f aca="false">IFERROR(BD217*AJ217,0)</f>
        <v>0</v>
      </c>
      <c r="BF217" s="40" t="n">
        <f aca="false">IFERROR(AI217*BD217,0)</f>
        <v>0</v>
      </c>
    </row>
    <row r="218" customFormat="false" ht="15.75" hidden="false" customHeight="false" outlineLevel="0" collapsed="false">
      <c r="I218" s="26" t="str">
        <f aca="false">alimentos[[#This Row],[Item]]</f>
        <v>Pate de peru (100g)</v>
      </c>
      <c r="J218" s="27" t="n">
        <f aca="false">IFERROR(alimentos[[#This Row],[kg/embalagem]],0)</f>
        <v>0.1</v>
      </c>
      <c r="K218" s="27" t="n">
        <f aca="false">IFERROR(alimentos[[#This Row],[Preço]],0)</f>
        <v>3.45</v>
      </c>
      <c r="L218" s="27" t="n">
        <f aca="false">SUMIFS(super1[Qtde],super1[Item],tab_alimentos[[#This Row],[Item]],super1[Bairro],mercado1)+SUMIFS(supercb[Qtde],supercb[Item],tab_alimentos[[#This Row],[Item]],supercb[Bairro],mercado1)</f>
        <v>0</v>
      </c>
      <c r="M218" s="27" t="n">
        <f aca="false">SUMIFS(super1[Qtde],super1[Item],tab_alimentos[[#This Row],[Item]],super1[Bairro],mercado2)+SUMIFS(supercb[Qtde],supercb[Item],tab_alimentos[[#This Row],[Item]],supercb[Bairro],mercado2)</f>
        <v>0</v>
      </c>
      <c r="N218" s="27" t="n">
        <f aca="false">SUMIFS(super1[Qtde],super1[Item],tab_alimentos[[#This Row],[Item]],super1[Bairro],mercado3)+SUMIFS(supercb[Qtde],supercb[Item],tab_alimentos[[#This Row],[Item]],supercb[Bairro],mercado3)</f>
        <v>0</v>
      </c>
      <c r="O218" s="27" t="n">
        <f aca="false">SUMIFS(super1[Qtde],super1[Item],tab_alimentos[[#This Row],[Item]],super1[Bairro],mercado4)+SUMIFS(supercb[Qtde],supercb[Item],tab_alimentos[[#This Row],[Item]],supercb[Bairro],mercado4)</f>
        <v>0</v>
      </c>
      <c r="P218" s="27" t="n">
        <f aca="false">SUMIFS(super1[Qtde],super1[Item],tab_alimentos[[#This Row],[Item]],super1[Bairro],mercado5)+SUMIFS(supercb[Qtde],supercb[Item],tab_alimentos[[#This Row],[Item]],supercb[Bairro],mercado5)</f>
        <v>0</v>
      </c>
      <c r="Q218" s="27" t="n">
        <f aca="false">SUMIFS(super1[Qtde],super1[Item],tab_alimentos[[#This Row],[Item]],super1[Bairro],mercado6)+SUMIFS(supercb[Qtde],supercb[Item],tab_alimentos[[#This Row],[Item]],supercb[Bairro],mercado6)</f>
        <v>0</v>
      </c>
      <c r="R218" s="27" t="n">
        <f aca="false">SUMIFS(super1[Qtde],super1[Item],tab_alimentos[[#This Row],[Item]],super1[Bairro],mercado7)+SUMIFS(supercb[Qtde],supercb[Item],tab_alimentos[[#This Row],[Item]],supercb[Bairro],mercado7)</f>
        <v>0</v>
      </c>
      <c r="S218" s="27" t="n">
        <f aca="false">SUMIFS(super1[Qtde],super1[Item],tab_alimentos[[#This Row],[Item]],super1[Bairro],mercado8)+SUMIFS(supercb[Qtde],supercb[Item],tab_alimentos[[#This Row],[Item]],supercb[Bairro],mercado8)</f>
        <v>0</v>
      </c>
      <c r="T218" s="27" t="n">
        <f aca="false">SUMIFS(super1[Qtde],super1[Item],tab_alimentos[[#This Row],[Item]],super1[Bairro],mercado9)+SUMIFS(supercb[Qtde],supercb[Item],tab_alimentos[[#This Row],[Item]],supercb[Bairro],mercado9)</f>
        <v>0</v>
      </c>
      <c r="U218" s="27" t="n">
        <f aca="false">SUMIFS(super1[Qtde],super1[Item],tab_alimentos[[#This Row],[Item]],super1[Bairro],mercado10)+SUMIFS(supercb[Qtde],supercb[Item],tab_alimentos[[#This Row],[Item]],supercb[Bairro],mercado10)</f>
        <v>0</v>
      </c>
      <c r="V218" s="27" t="n">
        <f aca="false">SUMIFS(super1[Qtde],super1[Item],tab_alimentos[[#This Row],[Item]],super1[Bairro],mercado11)+SUMIFS(supercb[Qtde],supercb[Item],tab_alimentos[[#This Row],[Item]],supercb[Bairro],mercado11)</f>
        <v>0</v>
      </c>
      <c r="W218" s="27" t="n">
        <f aca="false">SUMIFS(super1[Qtde],super1[Item],tab_alimentos[[#This Row],[Item]],super1[Bairro],mercado12)+SUMIFS(supercb[Qtde],supercb[Item],tab_alimentos[[#This Row],[Item]],supercb[Bairro],mercado12)</f>
        <v>0</v>
      </c>
      <c r="X218" s="27" t="n">
        <f aca="false">SUMIFS(super1[Qtde],super1[Item],tab_alimentos[[#This Row],[Item]],super1[Bairro],mercado13)+SUMIFS(supercb[Qtde],supercb[Item],tab_alimentos[[#This Row],[Item]],supercb[Bairro],mercado13)</f>
        <v>0</v>
      </c>
      <c r="Y218" s="27" t="n">
        <f aca="false">SUMIFS(super1[Qtde],super1[Item],tab_alimentos[[#This Row],[Item]],super1[Bairro],mercado14)+SUMIFS(supercb[Qtde],supercb[Item],tab_alimentos[[#This Row],[Item]],supercb[Bairro],mercado14)</f>
        <v>0</v>
      </c>
      <c r="Z218" s="27" t="n">
        <f aca="false">SUMIFS(super1[Qtde],super1[Item],tab_alimentos[[#This Row],[Item]],super1[Bairro],mercado15)+SUMIFS(supercb[Qtde],supercb[Item],tab_alimentos[[#This Row],[Item]],supercb[Bairro],mercado15)</f>
        <v>0</v>
      </c>
      <c r="AA218" s="27" t="n">
        <f aca="false">SUMIFS(super1[Qtde],super1[Item],tab_alimentos[[#This Row],[Item]],super1[Bairro],mercado16)+SUMIFS(supercb[Qtde],supercb[Item],tab_alimentos[[#This Row],[Item]],supercb[Bairro],mercado16)</f>
        <v>0</v>
      </c>
      <c r="AB218" s="27" t="n">
        <f aca="false">SUMIFS(super1[Qtde],super1[Item],tab_alimentos[[#This Row],[Item]],super1[Bairro],mercado17)+SUMIFS(supercb[Qtde],supercb[Item],tab_alimentos[[#This Row],[Item]],supercb[Bairro],mercado17)</f>
        <v>0</v>
      </c>
      <c r="AC218" s="27" t="n">
        <f aca="false">SUMIFS(super1[Qtde],super1[Item],tab_alimentos[[#This Row],[Item]],super1[Bairro],mercado18)+SUMIFS(supercb[Qtde],supercb[Item],tab_alimentos[[#This Row],[Item]],supercb[Bairro],mercado18)</f>
        <v>0</v>
      </c>
      <c r="AD218" s="27" t="n">
        <f aca="false">SUMIFS(super1[Qtde],super1[Item],tab_alimentos[[#This Row],[Item]],super1[Bairro],extras)+SUMIFS(supercb[Qtde],supercb[Item],tab_alimentos[[#This Row],[Item]],supercb[Bairro],extras)</f>
        <v>0</v>
      </c>
      <c r="AE218" s="27" t="n">
        <f aca="false">SUM(L218:AC218)</f>
        <v>0</v>
      </c>
      <c r="AF218" s="27" t="n">
        <f aca="false">IFERROR(AE218*K218,0)</f>
        <v>0</v>
      </c>
      <c r="AG218" s="28" t="n">
        <f aca="false">IFERROR(J218*AE218,0)</f>
        <v>0</v>
      </c>
      <c r="AH218" s="37" t="str">
        <f aca="false">higiene[[#This Row],[Item]]</f>
        <v>Y</v>
      </c>
      <c r="AI218" s="38" t="n">
        <f aca="false">IFERROR(higiene[[#This Row],[Kg equivalente]],0)</f>
        <v>0</v>
      </c>
      <c r="AJ218" s="38" t="n">
        <f aca="false">IFERROR(higiene[[#This Row],[Preço por produto]],0)</f>
        <v>0</v>
      </c>
      <c r="AK218" s="27" t="n">
        <f aca="false">SUMIFS(super1[Qtde],super1[Item],tab_higiene[[#This Row],[Item]],super1[Bairro],mercado1)+SUMIFS(supercb[Qtde],supercb[Item],tab_higiene[[#This Row],[Item]],supercb[Bairro],mercado1)</f>
        <v>0</v>
      </c>
      <c r="AL218" s="27" t="n">
        <f aca="false">SUMIFS(super1[Qtde],super1[Item],tab_higiene[[#This Row],[Item]],super1[Bairro],mercado2)+SUMIFS(supercb[Qtde],supercb[Item],tab_higiene[[#This Row],[Item]],supercb[Bairro],mercado2)</f>
        <v>0</v>
      </c>
      <c r="AM218" s="27" t="n">
        <f aca="false">SUMIFS(super1[Qtde],super1[Item],tab_higiene[[#This Row],[Item]],super1[Bairro],mercado3)+SUMIFS(supercb[Qtde],supercb[Item],tab_higiene[[#This Row],[Item]],supercb[Bairro],mercado3)</f>
        <v>0</v>
      </c>
      <c r="AN218" s="27" t="n">
        <f aca="false">SUMIFS(super1[Qtde],super1[Item],tab_higiene[[#This Row],[Item]],super1[Bairro],mercado4)+SUMIFS(supercb[Qtde],supercb[Item],tab_higiene[[#This Row],[Item]],supercb[Bairro],mercado4)</f>
        <v>0</v>
      </c>
      <c r="AO218" s="27" t="n">
        <f aca="false">SUMIFS(super1[Qtde],super1[Item],tab_higiene[[#This Row],[Item]],super1[Bairro],mercado5)+SUMIFS(supercb[Qtde],supercb[Item],tab_higiene[[#This Row],[Item]],supercb[Bairro],mercado5)</f>
        <v>0</v>
      </c>
      <c r="AP218" s="27" t="n">
        <f aca="false">SUMIFS(super1[Qtde],super1[Item],tab_higiene[[#This Row],[Item]],super1[Bairro],mercado6)+SUMIFS(supercb[Qtde],supercb[Item],tab_higiene[[#This Row],[Item]],supercb[Bairro],mercado6)</f>
        <v>0</v>
      </c>
      <c r="AQ218" s="27" t="n">
        <f aca="false">SUMIFS(super1[Qtde],super1[Item],tab_higiene[[#This Row],[Item]],super1[Bairro],mercado7)+SUMIFS(supercb[Qtde],supercb[Item],tab_higiene[[#This Row],[Item]],supercb[Bairro],mercado7)</f>
        <v>0</v>
      </c>
      <c r="AR218" s="27" t="n">
        <f aca="false">SUMIFS(super1[Qtde],super1[Item],tab_higiene[[#This Row],[Item]],super1[Bairro],mercado8)+SUMIFS(supercb[Qtde],supercb[Item],tab_higiene[[#This Row],[Item]],supercb[Bairro],mercado8)</f>
        <v>0</v>
      </c>
      <c r="AS218" s="27" t="n">
        <f aca="false">SUMIFS(super1[Qtde],super1[Item],tab_higiene[[#This Row],[Item]],super1[Bairro],mercado9)+SUMIFS(supercb[Qtde],supercb[Item],tab_higiene[[#This Row],[Item]],supercb[Bairro],mercado9)</f>
        <v>0</v>
      </c>
      <c r="AT218" s="27" t="n">
        <f aca="false">SUMIFS(super1[Qtde],super1[Item],tab_higiene[[#This Row],[Item]],super1[Bairro],mercado10)+SUMIFS(supercb[Qtde],supercb[Item],tab_higiene[[#This Row],[Item]],supercb[Bairro],mercado10)</f>
        <v>0</v>
      </c>
      <c r="AU218" s="27" t="n">
        <f aca="false">SUMIFS(super1[Qtde],super1[Item],tab_higiene[[#This Row],[Item]],super1[Bairro],mercado11)+SUMIFS(supercb[Qtde],supercb[Item],tab_higiene[[#This Row],[Item]],supercb[Bairro],mercado11)</f>
        <v>0</v>
      </c>
      <c r="AV218" s="27" t="n">
        <f aca="false">SUMIFS(super1[Qtde],super1[Item],tab_higiene[[#This Row],[Item]],super1[Bairro],mercado12)+SUMIFS(supercb[Qtde],supercb[Item],tab_higiene[[#This Row],[Item]],supercb[Bairro],mercado12)</f>
        <v>0</v>
      </c>
      <c r="AW218" s="27" t="n">
        <f aca="false">SUMIFS(super1[Qtde],super1[Item],tab_higiene[[#This Row],[Item]],super1[Bairro],mercado13)+SUMIFS(supercb[Qtde],supercb[Item],tab_higiene[[#This Row],[Item]],supercb[Bairro],mercado13)</f>
        <v>0</v>
      </c>
      <c r="AX218" s="27" t="n">
        <f aca="false">SUMIFS(super1[Qtde],super1[Item],tab_higiene[[#This Row],[Item]],super1[Bairro],mercado14)+SUMIFS(supercb[Qtde],supercb[Item],tab_higiene[[#This Row],[Item]],supercb[Bairro],mercado14)</f>
        <v>0</v>
      </c>
      <c r="AY218" s="27" t="n">
        <f aca="false">SUMIFS(super1[Qtde],super1[Item],tab_higiene[[#This Row],[Item]],super1[Bairro],mercado15)+SUMIFS(supercb[Qtde],supercb[Item],tab_higiene[[#This Row],[Item]],supercb[Bairro],mercado15)</f>
        <v>0</v>
      </c>
      <c r="AZ218" s="27" t="n">
        <f aca="false">SUMIFS(super1[Qtde],super1[Item],tab_higiene[[#This Row],[Item]],super1[Bairro],mercado16)+SUMIFS(supercb[Qtde],supercb[Item],tab_higiene[[#This Row],[Item]],supercb[Bairro],mercado16)</f>
        <v>0</v>
      </c>
      <c r="BA218" s="27" t="n">
        <f aca="false">SUMIFS(super1[Qtde],super1[Item],tab_higiene[[#This Row],[Item]],super1[Bairro],mercado17)+SUMIFS(supercb[Qtde],supercb[Item],tab_higiene[[#This Row],[Item]],supercb[Bairro],mercado17)</f>
        <v>0</v>
      </c>
      <c r="BB218" s="27" t="n">
        <f aca="false">SUMIFS(super1[Qtde],super1[Item],tab_higiene[[#This Row],[Item]],super1[Bairro],mercado18)+SUMIFS(supercb[Qtde],supercb[Item],tab_higiene[[#This Row],[Item]],supercb[Bairro],mercado18)</f>
        <v>0</v>
      </c>
      <c r="BC218" s="39" t="n">
        <f aca="false">SUMIFS(super1[Qtde],super1[Item],tab_higiene[[#This Row],[Item]],super1[Bairro],extras)+SUMIFS(supercb[Qtde],supercb[Item],tab_higiene[[#This Row],[Item]],supercb[Bairro],extras)</f>
        <v>0</v>
      </c>
      <c r="BD218" s="38" t="n">
        <f aca="false">SUM(AK218:BB218)</f>
        <v>0</v>
      </c>
      <c r="BE218" s="38" t="n">
        <f aca="false">IFERROR(BD218*AJ218,0)</f>
        <v>0</v>
      </c>
      <c r="BF218" s="40" t="n">
        <f aca="false">IFERROR(AI218*BD218,0)</f>
        <v>0</v>
      </c>
    </row>
    <row r="219" customFormat="false" ht="15.75" hidden="false" customHeight="false" outlineLevel="0" collapsed="false">
      <c r="I219" s="26" t="str">
        <f aca="false">alimentos[[#This Row],[Item]]</f>
        <v>Patê de sardinha (150g)</v>
      </c>
      <c r="J219" s="27" t="n">
        <f aca="false">IFERROR(alimentos[[#This Row],[kg/embalagem]],0)</f>
        <v>0.15</v>
      </c>
      <c r="K219" s="27" t="n">
        <f aca="false">IFERROR(alimentos[[#This Row],[Preço]],0)</f>
        <v>6.52</v>
      </c>
      <c r="L219" s="27" t="n">
        <f aca="false">SUMIFS(super1[Qtde],super1[Item],tab_alimentos[[#This Row],[Item]],super1[Bairro],mercado1)+SUMIFS(supercb[Qtde],supercb[Item],tab_alimentos[[#This Row],[Item]],supercb[Bairro],mercado1)</f>
        <v>0</v>
      </c>
      <c r="M219" s="27" t="n">
        <f aca="false">SUMIFS(super1[Qtde],super1[Item],tab_alimentos[[#This Row],[Item]],super1[Bairro],mercado2)+SUMIFS(supercb[Qtde],supercb[Item],tab_alimentos[[#This Row],[Item]],supercb[Bairro],mercado2)</f>
        <v>0</v>
      </c>
      <c r="N219" s="27" t="n">
        <f aca="false">SUMIFS(super1[Qtde],super1[Item],tab_alimentos[[#This Row],[Item]],super1[Bairro],mercado3)+SUMIFS(supercb[Qtde],supercb[Item],tab_alimentos[[#This Row],[Item]],supercb[Bairro],mercado3)</f>
        <v>0</v>
      </c>
      <c r="O219" s="27" t="n">
        <f aca="false">SUMIFS(super1[Qtde],super1[Item],tab_alimentos[[#This Row],[Item]],super1[Bairro],mercado4)+SUMIFS(supercb[Qtde],supercb[Item],tab_alimentos[[#This Row],[Item]],supercb[Bairro],mercado4)</f>
        <v>0</v>
      </c>
      <c r="P219" s="27" t="n">
        <f aca="false">SUMIFS(super1[Qtde],super1[Item],tab_alimentos[[#This Row],[Item]],super1[Bairro],mercado5)+SUMIFS(supercb[Qtde],supercb[Item],tab_alimentos[[#This Row],[Item]],supercb[Bairro],mercado5)</f>
        <v>0</v>
      </c>
      <c r="Q219" s="27" t="n">
        <f aca="false">SUMIFS(super1[Qtde],super1[Item],tab_alimentos[[#This Row],[Item]],super1[Bairro],mercado6)+SUMIFS(supercb[Qtde],supercb[Item],tab_alimentos[[#This Row],[Item]],supercb[Bairro],mercado6)</f>
        <v>0</v>
      </c>
      <c r="R219" s="27" t="n">
        <f aca="false">SUMIFS(super1[Qtde],super1[Item],tab_alimentos[[#This Row],[Item]],super1[Bairro],mercado7)+SUMIFS(supercb[Qtde],supercb[Item],tab_alimentos[[#This Row],[Item]],supercb[Bairro],mercado7)</f>
        <v>0</v>
      </c>
      <c r="S219" s="27" t="n">
        <f aca="false">SUMIFS(super1[Qtde],super1[Item],tab_alimentos[[#This Row],[Item]],super1[Bairro],mercado8)+SUMIFS(supercb[Qtde],supercb[Item],tab_alimentos[[#This Row],[Item]],supercb[Bairro],mercado8)</f>
        <v>0</v>
      </c>
      <c r="T219" s="27" t="n">
        <f aca="false">SUMIFS(super1[Qtde],super1[Item],tab_alimentos[[#This Row],[Item]],super1[Bairro],mercado9)+SUMIFS(supercb[Qtde],supercb[Item],tab_alimentos[[#This Row],[Item]],supercb[Bairro],mercado9)</f>
        <v>0</v>
      </c>
      <c r="U219" s="27" t="n">
        <f aca="false">SUMIFS(super1[Qtde],super1[Item],tab_alimentos[[#This Row],[Item]],super1[Bairro],mercado10)+SUMIFS(supercb[Qtde],supercb[Item],tab_alimentos[[#This Row],[Item]],supercb[Bairro],mercado10)</f>
        <v>0</v>
      </c>
      <c r="V219" s="27" t="n">
        <f aca="false">SUMIFS(super1[Qtde],super1[Item],tab_alimentos[[#This Row],[Item]],super1[Bairro],mercado11)+SUMIFS(supercb[Qtde],supercb[Item],tab_alimentos[[#This Row],[Item]],supercb[Bairro],mercado11)</f>
        <v>0</v>
      </c>
      <c r="W219" s="27" t="n">
        <f aca="false">SUMIFS(super1[Qtde],super1[Item],tab_alimentos[[#This Row],[Item]],super1[Bairro],mercado12)+SUMIFS(supercb[Qtde],supercb[Item],tab_alimentos[[#This Row],[Item]],supercb[Bairro],mercado12)</f>
        <v>0</v>
      </c>
      <c r="X219" s="27" t="n">
        <f aca="false">SUMIFS(super1[Qtde],super1[Item],tab_alimentos[[#This Row],[Item]],super1[Bairro],mercado13)+SUMIFS(supercb[Qtde],supercb[Item],tab_alimentos[[#This Row],[Item]],supercb[Bairro],mercado13)</f>
        <v>0</v>
      </c>
      <c r="Y219" s="27" t="n">
        <f aca="false">SUMIFS(super1[Qtde],super1[Item],tab_alimentos[[#This Row],[Item]],super1[Bairro],mercado14)+SUMIFS(supercb[Qtde],supercb[Item],tab_alimentos[[#This Row],[Item]],supercb[Bairro],mercado14)</f>
        <v>0</v>
      </c>
      <c r="Z219" s="27" t="n">
        <f aca="false">SUMIFS(super1[Qtde],super1[Item],tab_alimentos[[#This Row],[Item]],super1[Bairro],mercado15)+SUMIFS(supercb[Qtde],supercb[Item],tab_alimentos[[#This Row],[Item]],supercb[Bairro],mercado15)</f>
        <v>0</v>
      </c>
      <c r="AA219" s="27" t="n">
        <f aca="false">SUMIFS(super1[Qtde],super1[Item],tab_alimentos[[#This Row],[Item]],super1[Bairro],mercado16)+SUMIFS(supercb[Qtde],supercb[Item],tab_alimentos[[#This Row],[Item]],supercb[Bairro],mercado16)</f>
        <v>0</v>
      </c>
      <c r="AB219" s="27" t="n">
        <f aca="false">SUMIFS(super1[Qtde],super1[Item],tab_alimentos[[#This Row],[Item]],super1[Bairro],mercado17)+SUMIFS(supercb[Qtde],supercb[Item],tab_alimentos[[#This Row],[Item]],supercb[Bairro],mercado17)</f>
        <v>0</v>
      </c>
      <c r="AC219" s="27" t="n">
        <f aca="false">SUMIFS(super1[Qtde],super1[Item],tab_alimentos[[#This Row],[Item]],super1[Bairro],mercado18)+SUMIFS(supercb[Qtde],supercb[Item],tab_alimentos[[#This Row],[Item]],supercb[Bairro],mercado18)</f>
        <v>0</v>
      </c>
      <c r="AD219" s="27" t="n">
        <f aca="false">SUMIFS(super1[Qtde],super1[Item],tab_alimentos[[#This Row],[Item]],super1[Bairro],extras)+SUMIFS(supercb[Qtde],supercb[Item],tab_alimentos[[#This Row],[Item]],supercb[Bairro],extras)</f>
        <v>0</v>
      </c>
      <c r="AE219" s="27" t="n">
        <f aca="false">SUM(L219:AC219)</f>
        <v>0</v>
      </c>
      <c r="AF219" s="27" t="n">
        <f aca="false">IFERROR(AE219*K219,0)</f>
        <v>0</v>
      </c>
      <c r="AG219" s="28" t="n">
        <f aca="false">IFERROR(J219*AE219,0)</f>
        <v>0</v>
      </c>
      <c r="AH219" s="37" t="str">
        <f aca="false">higiene[[#This Row],[Item]]</f>
        <v>Z</v>
      </c>
      <c r="AI219" s="38" t="n">
        <f aca="false">IFERROR(higiene[[#This Row],[Kg equivalente]],0)</f>
        <v>0</v>
      </c>
      <c r="AJ219" s="38" t="n">
        <f aca="false">IFERROR(higiene[[#This Row],[Preço por produto]],0)</f>
        <v>0</v>
      </c>
      <c r="AK219" s="27" t="n">
        <f aca="false">SUMIFS(super1[Qtde],super1[Item],tab_higiene[[#This Row],[Item]],super1[Bairro],mercado1)+SUMIFS(supercb[Qtde],supercb[Item],tab_higiene[[#This Row],[Item]],supercb[Bairro],mercado1)</f>
        <v>0</v>
      </c>
      <c r="AL219" s="27" t="n">
        <f aca="false">SUMIFS(super1[Qtde],super1[Item],tab_higiene[[#This Row],[Item]],super1[Bairro],mercado2)+SUMIFS(supercb[Qtde],supercb[Item],tab_higiene[[#This Row],[Item]],supercb[Bairro],mercado2)</f>
        <v>0</v>
      </c>
      <c r="AM219" s="27" t="n">
        <f aca="false">SUMIFS(super1[Qtde],super1[Item],tab_higiene[[#This Row],[Item]],super1[Bairro],mercado3)+SUMIFS(supercb[Qtde],supercb[Item],tab_higiene[[#This Row],[Item]],supercb[Bairro],mercado3)</f>
        <v>0</v>
      </c>
      <c r="AN219" s="27" t="n">
        <f aca="false">SUMIFS(super1[Qtde],super1[Item],tab_higiene[[#This Row],[Item]],super1[Bairro],mercado4)+SUMIFS(supercb[Qtde],supercb[Item],tab_higiene[[#This Row],[Item]],supercb[Bairro],mercado4)</f>
        <v>0</v>
      </c>
      <c r="AO219" s="27" t="n">
        <f aca="false">SUMIFS(super1[Qtde],super1[Item],tab_higiene[[#This Row],[Item]],super1[Bairro],mercado5)+SUMIFS(supercb[Qtde],supercb[Item],tab_higiene[[#This Row],[Item]],supercb[Bairro],mercado5)</f>
        <v>0</v>
      </c>
      <c r="AP219" s="27" t="n">
        <f aca="false">SUMIFS(super1[Qtde],super1[Item],tab_higiene[[#This Row],[Item]],super1[Bairro],mercado6)+SUMIFS(supercb[Qtde],supercb[Item],tab_higiene[[#This Row],[Item]],supercb[Bairro],mercado6)</f>
        <v>0</v>
      </c>
      <c r="AQ219" s="27" t="n">
        <f aca="false">SUMIFS(super1[Qtde],super1[Item],tab_higiene[[#This Row],[Item]],super1[Bairro],mercado7)+SUMIFS(supercb[Qtde],supercb[Item],tab_higiene[[#This Row],[Item]],supercb[Bairro],mercado7)</f>
        <v>0</v>
      </c>
      <c r="AR219" s="27" t="n">
        <f aca="false">SUMIFS(super1[Qtde],super1[Item],tab_higiene[[#This Row],[Item]],super1[Bairro],mercado8)+SUMIFS(supercb[Qtde],supercb[Item],tab_higiene[[#This Row],[Item]],supercb[Bairro],mercado8)</f>
        <v>0</v>
      </c>
      <c r="AS219" s="27" t="n">
        <f aca="false">SUMIFS(super1[Qtde],super1[Item],tab_higiene[[#This Row],[Item]],super1[Bairro],mercado9)+SUMIFS(supercb[Qtde],supercb[Item],tab_higiene[[#This Row],[Item]],supercb[Bairro],mercado9)</f>
        <v>0</v>
      </c>
      <c r="AT219" s="27" t="n">
        <f aca="false">SUMIFS(super1[Qtde],super1[Item],tab_higiene[[#This Row],[Item]],super1[Bairro],mercado10)+SUMIFS(supercb[Qtde],supercb[Item],tab_higiene[[#This Row],[Item]],supercb[Bairro],mercado10)</f>
        <v>0</v>
      </c>
      <c r="AU219" s="27" t="n">
        <f aca="false">SUMIFS(super1[Qtde],super1[Item],tab_higiene[[#This Row],[Item]],super1[Bairro],mercado11)+SUMIFS(supercb[Qtde],supercb[Item],tab_higiene[[#This Row],[Item]],supercb[Bairro],mercado11)</f>
        <v>0</v>
      </c>
      <c r="AV219" s="27" t="n">
        <f aca="false">SUMIFS(super1[Qtde],super1[Item],tab_higiene[[#This Row],[Item]],super1[Bairro],mercado12)+SUMIFS(supercb[Qtde],supercb[Item],tab_higiene[[#This Row],[Item]],supercb[Bairro],mercado12)</f>
        <v>0</v>
      </c>
      <c r="AW219" s="27" t="n">
        <f aca="false">SUMIFS(super1[Qtde],super1[Item],tab_higiene[[#This Row],[Item]],super1[Bairro],mercado13)+SUMIFS(supercb[Qtde],supercb[Item],tab_higiene[[#This Row],[Item]],supercb[Bairro],mercado13)</f>
        <v>0</v>
      </c>
      <c r="AX219" s="27" t="n">
        <f aca="false">SUMIFS(super1[Qtde],super1[Item],tab_higiene[[#This Row],[Item]],super1[Bairro],mercado14)+SUMIFS(supercb[Qtde],supercb[Item],tab_higiene[[#This Row],[Item]],supercb[Bairro],mercado14)</f>
        <v>0</v>
      </c>
      <c r="AY219" s="27" t="n">
        <f aca="false">SUMIFS(super1[Qtde],super1[Item],tab_higiene[[#This Row],[Item]],super1[Bairro],mercado15)+SUMIFS(supercb[Qtde],supercb[Item],tab_higiene[[#This Row],[Item]],supercb[Bairro],mercado15)</f>
        <v>0</v>
      </c>
      <c r="AZ219" s="27" t="n">
        <f aca="false">SUMIFS(super1[Qtde],super1[Item],tab_higiene[[#This Row],[Item]],super1[Bairro],mercado16)+SUMIFS(supercb[Qtde],supercb[Item],tab_higiene[[#This Row],[Item]],supercb[Bairro],mercado16)</f>
        <v>0</v>
      </c>
      <c r="BA219" s="27" t="n">
        <f aca="false">SUMIFS(super1[Qtde],super1[Item],tab_higiene[[#This Row],[Item]],super1[Bairro],mercado17)+SUMIFS(supercb[Qtde],supercb[Item],tab_higiene[[#This Row],[Item]],supercb[Bairro],mercado17)</f>
        <v>0</v>
      </c>
      <c r="BB219" s="27" t="n">
        <f aca="false">SUMIFS(super1[Qtde],super1[Item],tab_higiene[[#This Row],[Item]],super1[Bairro],mercado18)+SUMIFS(supercb[Qtde],supercb[Item],tab_higiene[[#This Row],[Item]],supercb[Bairro],mercado18)</f>
        <v>0</v>
      </c>
      <c r="BC219" s="39" t="n">
        <f aca="false">SUMIFS(super1[Qtde],super1[Item],tab_higiene[[#This Row],[Item]],super1[Bairro],extras)+SUMIFS(supercb[Qtde],supercb[Item],tab_higiene[[#This Row],[Item]],supercb[Bairro],extras)</f>
        <v>0</v>
      </c>
      <c r="BD219" s="38" t="n">
        <f aca="false">SUM(AK219:BB219)</f>
        <v>0</v>
      </c>
      <c r="BE219" s="38" t="n">
        <f aca="false">IFERROR(BD219*AJ219,0)</f>
        <v>0</v>
      </c>
      <c r="BF219" s="40" t="n">
        <f aca="false">IFERROR(AI219*BD219,0)</f>
        <v>0</v>
      </c>
    </row>
    <row r="220" customFormat="false" ht="15.75" hidden="false" customHeight="false" outlineLevel="0" collapsed="false">
      <c r="I220" s="26" t="str">
        <f aca="false">alimentos[[#This Row],[Item]]</f>
        <v>Patê de sardinha (170g)</v>
      </c>
      <c r="J220" s="27" t="n">
        <f aca="false">IFERROR(alimentos[[#This Row],[kg/embalagem]],0)</f>
        <v>0.17</v>
      </c>
      <c r="K220" s="27" t="n">
        <f aca="false">IFERROR(alimentos[[#This Row],[Preço]],0)</f>
        <v>5.99</v>
      </c>
      <c r="L220" s="27" t="n">
        <f aca="false">SUMIFS(super1[Qtde],super1[Item],tab_alimentos[[#This Row],[Item]],super1[Bairro],mercado1)+SUMIFS(supercb[Qtde],supercb[Item],tab_alimentos[[#This Row],[Item]],supercb[Bairro],mercado1)</f>
        <v>0</v>
      </c>
      <c r="M220" s="27" t="n">
        <f aca="false">SUMIFS(super1[Qtde],super1[Item],tab_alimentos[[#This Row],[Item]],super1[Bairro],mercado2)+SUMIFS(supercb[Qtde],supercb[Item],tab_alimentos[[#This Row],[Item]],supercb[Bairro],mercado2)</f>
        <v>0</v>
      </c>
      <c r="N220" s="27" t="n">
        <f aca="false">SUMIFS(super1[Qtde],super1[Item],tab_alimentos[[#This Row],[Item]],super1[Bairro],mercado3)+SUMIFS(supercb[Qtde],supercb[Item],tab_alimentos[[#This Row],[Item]],supercb[Bairro],mercado3)</f>
        <v>0</v>
      </c>
      <c r="O220" s="27" t="n">
        <f aca="false">SUMIFS(super1[Qtde],super1[Item],tab_alimentos[[#This Row],[Item]],super1[Bairro],mercado4)+SUMIFS(supercb[Qtde],supercb[Item],tab_alimentos[[#This Row],[Item]],supercb[Bairro],mercado4)</f>
        <v>0</v>
      </c>
      <c r="P220" s="27" t="n">
        <f aca="false">SUMIFS(super1[Qtde],super1[Item],tab_alimentos[[#This Row],[Item]],super1[Bairro],mercado5)+SUMIFS(supercb[Qtde],supercb[Item],tab_alimentos[[#This Row],[Item]],supercb[Bairro],mercado5)</f>
        <v>0</v>
      </c>
      <c r="Q220" s="27" t="n">
        <f aca="false">SUMIFS(super1[Qtde],super1[Item],tab_alimentos[[#This Row],[Item]],super1[Bairro],mercado6)+SUMIFS(supercb[Qtde],supercb[Item],tab_alimentos[[#This Row],[Item]],supercb[Bairro],mercado6)</f>
        <v>0</v>
      </c>
      <c r="R220" s="27" t="n">
        <f aca="false">SUMIFS(super1[Qtde],super1[Item],tab_alimentos[[#This Row],[Item]],super1[Bairro],mercado7)+SUMIFS(supercb[Qtde],supercb[Item],tab_alimentos[[#This Row],[Item]],supercb[Bairro],mercado7)</f>
        <v>0</v>
      </c>
      <c r="S220" s="27" t="n">
        <f aca="false">SUMIFS(super1[Qtde],super1[Item],tab_alimentos[[#This Row],[Item]],super1[Bairro],mercado8)+SUMIFS(supercb[Qtde],supercb[Item],tab_alimentos[[#This Row],[Item]],supercb[Bairro],mercado8)</f>
        <v>0</v>
      </c>
      <c r="T220" s="27" t="n">
        <f aca="false">SUMIFS(super1[Qtde],super1[Item],tab_alimentos[[#This Row],[Item]],super1[Bairro],mercado9)+SUMIFS(supercb[Qtde],supercb[Item],tab_alimentos[[#This Row],[Item]],supercb[Bairro],mercado9)</f>
        <v>0</v>
      </c>
      <c r="U220" s="27" t="n">
        <f aca="false">SUMIFS(super1[Qtde],super1[Item],tab_alimentos[[#This Row],[Item]],super1[Bairro],mercado10)+SUMIFS(supercb[Qtde],supercb[Item],tab_alimentos[[#This Row],[Item]],supercb[Bairro],mercado10)</f>
        <v>0</v>
      </c>
      <c r="V220" s="27" t="n">
        <f aca="false">SUMIFS(super1[Qtde],super1[Item],tab_alimentos[[#This Row],[Item]],super1[Bairro],mercado11)+SUMIFS(supercb[Qtde],supercb[Item],tab_alimentos[[#This Row],[Item]],supercb[Bairro],mercado11)</f>
        <v>0</v>
      </c>
      <c r="W220" s="27" t="n">
        <f aca="false">SUMIFS(super1[Qtde],super1[Item],tab_alimentos[[#This Row],[Item]],super1[Bairro],mercado12)+SUMIFS(supercb[Qtde],supercb[Item],tab_alimentos[[#This Row],[Item]],supercb[Bairro],mercado12)</f>
        <v>0</v>
      </c>
      <c r="X220" s="27" t="n">
        <f aca="false">SUMIFS(super1[Qtde],super1[Item],tab_alimentos[[#This Row],[Item]],super1[Bairro],mercado13)+SUMIFS(supercb[Qtde],supercb[Item],tab_alimentos[[#This Row],[Item]],supercb[Bairro],mercado13)</f>
        <v>0</v>
      </c>
      <c r="Y220" s="27" t="n">
        <f aca="false">SUMIFS(super1[Qtde],super1[Item],tab_alimentos[[#This Row],[Item]],super1[Bairro],mercado14)+SUMIFS(supercb[Qtde],supercb[Item],tab_alimentos[[#This Row],[Item]],supercb[Bairro],mercado14)</f>
        <v>0</v>
      </c>
      <c r="Z220" s="27" t="n">
        <f aca="false">SUMIFS(super1[Qtde],super1[Item],tab_alimentos[[#This Row],[Item]],super1[Bairro],mercado15)+SUMIFS(supercb[Qtde],supercb[Item],tab_alimentos[[#This Row],[Item]],supercb[Bairro],mercado15)</f>
        <v>0</v>
      </c>
      <c r="AA220" s="27" t="n">
        <f aca="false">SUMIFS(super1[Qtde],super1[Item],tab_alimentos[[#This Row],[Item]],super1[Bairro],mercado16)+SUMIFS(supercb[Qtde],supercb[Item],tab_alimentos[[#This Row],[Item]],supercb[Bairro],mercado16)</f>
        <v>0</v>
      </c>
      <c r="AB220" s="27" t="n">
        <f aca="false">SUMIFS(super1[Qtde],super1[Item],tab_alimentos[[#This Row],[Item]],super1[Bairro],mercado17)+SUMIFS(supercb[Qtde],supercb[Item],tab_alimentos[[#This Row],[Item]],supercb[Bairro],mercado17)</f>
        <v>0</v>
      </c>
      <c r="AC220" s="27" t="n">
        <f aca="false">SUMIFS(super1[Qtde],super1[Item],tab_alimentos[[#This Row],[Item]],super1[Bairro],mercado18)+SUMIFS(supercb[Qtde],supercb[Item],tab_alimentos[[#This Row],[Item]],supercb[Bairro],mercado18)</f>
        <v>0</v>
      </c>
      <c r="AD220" s="27" t="n">
        <f aca="false">SUMIFS(super1[Qtde],super1[Item],tab_alimentos[[#This Row],[Item]],super1[Bairro],extras)+SUMIFS(supercb[Qtde],supercb[Item],tab_alimentos[[#This Row],[Item]],supercb[Bairro],extras)</f>
        <v>0</v>
      </c>
      <c r="AE220" s="27" t="n">
        <f aca="false">SUM(L220:AC220)</f>
        <v>0</v>
      </c>
      <c r="AF220" s="27" t="n">
        <f aca="false">IFERROR(AE220*K220,0)</f>
        <v>0</v>
      </c>
      <c r="AG220" s="28" t="n">
        <f aca="false">IFERROR(J220*AE220,0)</f>
        <v>0</v>
      </c>
      <c r="AH220" s="37" t="e">
        <f aca="false">higiene[[#This Row],[Item]]</f>
        <v>#VALUE!</v>
      </c>
      <c r="AI220" s="38" t="n">
        <f aca="false">IFERROR(higiene[[#This Row],[Kg equivalente]],0)</f>
        <v>0</v>
      </c>
      <c r="AJ220" s="38" t="n">
        <f aca="false">IFERROR(higiene[[#This Row],[Preço por produto]],0)</f>
        <v>0</v>
      </c>
      <c r="AK220" s="27" t="n">
        <f aca="false">SUMIFS(super1[Qtde],super1[Item],tab_higiene[[#This Row],[Item]],super1[Bairro],mercado1)+SUMIFS(supercb[Qtde],supercb[Item],tab_higiene[[#This Row],[Item]],supercb[Bairro],mercado1)</f>
        <v>0</v>
      </c>
      <c r="AL220" s="27" t="n">
        <f aca="false">SUMIFS(super1[Qtde],super1[Item],tab_higiene[[#This Row],[Item]],super1[Bairro],mercado2)+SUMIFS(supercb[Qtde],supercb[Item],tab_higiene[[#This Row],[Item]],supercb[Bairro],mercado2)</f>
        <v>0</v>
      </c>
      <c r="AM220" s="27" t="n">
        <f aca="false">SUMIFS(super1[Qtde],super1[Item],tab_higiene[[#This Row],[Item]],super1[Bairro],mercado3)+SUMIFS(supercb[Qtde],supercb[Item],tab_higiene[[#This Row],[Item]],supercb[Bairro],mercado3)</f>
        <v>0</v>
      </c>
      <c r="AN220" s="27" t="n">
        <f aca="false">SUMIFS(super1[Qtde],super1[Item],tab_higiene[[#This Row],[Item]],super1[Bairro],mercado4)+SUMIFS(supercb[Qtde],supercb[Item],tab_higiene[[#This Row],[Item]],supercb[Bairro],mercado4)</f>
        <v>0</v>
      </c>
      <c r="AO220" s="27" t="n">
        <f aca="false">SUMIFS(super1[Qtde],super1[Item],tab_higiene[[#This Row],[Item]],super1[Bairro],mercado5)+SUMIFS(supercb[Qtde],supercb[Item],tab_higiene[[#This Row],[Item]],supercb[Bairro],mercado5)</f>
        <v>0</v>
      </c>
      <c r="AP220" s="27" t="n">
        <f aca="false">SUMIFS(super1[Qtde],super1[Item],tab_higiene[[#This Row],[Item]],super1[Bairro],mercado6)+SUMIFS(supercb[Qtde],supercb[Item],tab_higiene[[#This Row],[Item]],supercb[Bairro],mercado6)</f>
        <v>0</v>
      </c>
      <c r="AQ220" s="27" t="n">
        <f aca="false">SUMIFS(super1[Qtde],super1[Item],tab_higiene[[#This Row],[Item]],super1[Bairro],mercado7)+SUMIFS(supercb[Qtde],supercb[Item],tab_higiene[[#This Row],[Item]],supercb[Bairro],mercado7)</f>
        <v>0</v>
      </c>
      <c r="AR220" s="27" t="n">
        <f aca="false">SUMIFS(super1[Qtde],super1[Item],tab_higiene[[#This Row],[Item]],super1[Bairro],mercado8)+SUMIFS(supercb[Qtde],supercb[Item],tab_higiene[[#This Row],[Item]],supercb[Bairro],mercado8)</f>
        <v>0</v>
      </c>
      <c r="AS220" s="27" t="n">
        <f aca="false">SUMIFS(super1[Qtde],super1[Item],tab_higiene[[#This Row],[Item]],super1[Bairro],mercado9)+SUMIFS(supercb[Qtde],supercb[Item],tab_higiene[[#This Row],[Item]],supercb[Bairro],mercado9)</f>
        <v>0</v>
      </c>
      <c r="AT220" s="27" t="n">
        <f aca="false">SUMIFS(super1[Qtde],super1[Item],tab_higiene[[#This Row],[Item]],super1[Bairro],mercado10)+SUMIFS(supercb[Qtde],supercb[Item],tab_higiene[[#This Row],[Item]],supercb[Bairro],mercado10)</f>
        <v>0</v>
      </c>
      <c r="AU220" s="27" t="n">
        <f aca="false">SUMIFS(super1[Qtde],super1[Item],tab_higiene[[#This Row],[Item]],super1[Bairro],mercado11)+SUMIFS(supercb[Qtde],supercb[Item],tab_higiene[[#This Row],[Item]],supercb[Bairro],mercado11)</f>
        <v>0</v>
      </c>
      <c r="AV220" s="27" t="n">
        <f aca="false">SUMIFS(super1[Qtde],super1[Item],tab_higiene[[#This Row],[Item]],super1[Bairro],mercado12)+SUMIFS(supercb[Qtde],supercb[Item],tab_higiene[[#This Row],[Item]],supercb[Bairro],mercado12)</f>
        <v>0</v>
      </c>
      <c r="AW220" s="27" t="n">
        <f aca="false">SUMIFS(super1[Qtde],super1[Item],tab_higiene[[#This Row],[Item]],super1[Bairro],mercado13)+SUMIFS(supercb[Qtde],supercb[Item],tab_higiene[[#This Row],[Item]],supercb[Bairro],mercado13)</f>
        <v>0</v>
      </c>
      <c r="AX220" s="27" t="n">
        <f aca="false">SUMIFS(super1[Qtde],super1[Item],tab_higiene[[#This Row],[Item]],super1[Bairro],mercado14)+SUMIFS(supercb[Qtde],supercb[Item],tab_higiene[[#This Row],[Item]],supercb[Bairro],mercado14)</f>
        <v>0</v>
      </c>
      <c r="AY220" s="27" t="n">
        <f aca="false">SUMIFS(super1[Qtde],super1[Item],tab_higiene[[#This Row],[Item]],super1[Bairro],mercado15)+SUMIFS(supercb[Qtde],supercb[Item],tab_higiene[[#This Row],[Item]],supercb[Bairro],mercado15)</f>
        <v>0</v>
      </c>
      <c r="AZ220" s="27" t="n">
        <f aca="false">SUMIFS(super1[Qtde],super1[Item],tab_higiene[[#This Row],[Item]],super1[Bairro],mercado16)+SUMIFS(supercb[Qtde],supercb[Item],tab_higiene[[#This Row],[Item]],supercb[Bairro],mercado16)</f>
        <v>0</v>
      </c>
      <c r="BA220" s="27" t="n">
        <f aca="false">SUMIFS(super1[Qtde],super1[Item],tab_higiene[[#This Row],[Item]],super1[Bairro],mercado17)+SUMIFS(supercb[Qtde],supercb[Item],tab_higiene[[#This Row],[Item]],supercb[Bairro],mercado17)</f>
        <v>0</v>
      </c>
      <c r="BB220" s="27" t="n">
        <f aca="false">SUMIFS(super1[Qtde],super1[Item],tab_higiene[[#This Row],[Item]],super1[Bairro],mercado18)+SUMIFS(supercb[Qtde],supercb[Item],tab_higiene[[#This Row],[Item]],supercb[Bairro],mercado18)</f>
        <v>0</v>
      </c>
      <c r="BC220" s="39" t="n">
        <f aca="false">SUMIFS(super1[Qtde],super1[Item],tab_higiene[[#This Row],[Item]],super1[Bairro],extras)+SUMIFS(supercb[Qtde],supercb[Item],tab_higiene[[#This Row],[Item]],supercb[Bairro],extras)</f>
        <v>0</v>
      </c>
      <c r="BD220" s="38" t="n">
        <f aca="false">SUM(AK220:BB220)</f>
        <v>0</v>
      </c>
      <c r="BE220" s="38" t="n">
        <f aca="false">IFERROR(BD220*AJ220,0)</f>
        <v>0</v>
      </c>
      <c r="BF220" s="40" t="n">
        <f aca="false">IFERROR(AI220*BD220,0)</f>
        <v>0</v>
      </c>
    </row>
    <row r="221" customFormat="false" ht="15.75" hidden="false" customHeight="false" outlineLevel="0" collapsed="false">
      <c r="I221" s="26" t="str">
        <f aca="false">alimentos[[#This Row],[Item]]</f>
        <v>Pêssego em calda</v>
      </c>
      <c r="J221" s="27" t="n">
        <f aca="false">IFERROR(alimentos[[#This Row],[kg/embalagem]],0)</f>
        <v>0.5</v>
      </c>
      <c r="K221" s="27" t="n">
        <f aca="false">IFERROR(alimentos[[#This Row],[Preço]],0)</f>
        <v>7.735</v>
      </c>
      <c r="L221" s="27" t="n">
        <f aca="false">SUMIFS(super1[Qtde],super1[Item],tab_alimentos[[#This Row],[Item]],super1[Bairro],mercado1)+SUMIFS(supercb[Qtde],supercb[Item],tab_alimentos[[#This Row],[Item]],supercb[Bairro],mercado1)</f>
        <v>0</v>
      </c>
      <c r="M221" s="27" t="n">
        <f aca="false">SUMIFS(super1[Qtde],super1[Item],tab_alimentos[[#This Row],[Item]],super1[Bairro],mercado2)+SUMIFS(supercb[Qtde],supercb[Item],tab_alimentos[[#This Row],[Item]],supercb[Bairro],mercado2)</f>
        <v>0</v>
      </c>
      <c r="N221" s="27" t="n">
        <f aca="false">SUMIFS(super1[Qtde],super1[Item],tab_alimentos[[#This Row],[Item]],super1[Bairro],mercado3)+SUMIFS(supercb[Qtde],supercb[Item],tab_alimentos[[#This Row],[Item]],supercb[Bairro],mercado3)</f>
        <v>0</v>
      </c>
      <c r="O221" s="27" t="n">
        <f aca="false">SUMIFS(super1[Qtde],super1[Item],tab_alimentos[[#This Row],[Item]],super1[Bairro],mercado4)+SUMIFS(supercb[Qtde],supercb[Item],tab_alimentos[[#This Row],[Item]],supercb[Bairro],mercado4)</f>
        <v>0</v>
      </c>
      <c r="P221" s="27" t="n">
        <f aca="false">SUMIFS(super1[Qtde],super1[Item],tab_alimentos[[#This Row],[Item]],super1[Bairro],mercado5)+SUMIFS(supercb[Qtde],supercb[Item],tab_alimentos[[#This Row],[Item]],supercb[Bairro],mercado5)</f>
        <v>0</v>
      </c>
      <c r="Q221" s="27" t="n">
        <f aca="false">SUMIFS(super1[Qtde],super1[Item],tab_alimentos[[#This Row],[Item]],super1[Bairro],mercado6)+SUMIFS(supercb[Qtde],supercb[Item],tab_alimentos[[#This Row],[Item]],supercb[Bairro],mercado6)</f>
        <v>0</v>
      </c>
      <c r="R221" s="27" t="n">
        <f aca="false">SUMIFS(super1[Qtde],super1[Item],tab_alimentos[[#This Row],[Item]],super1[Bairro],mercado7)+SUMIFS(supercb[Qtde],supercb[Item],tab_alimentos[[#This Row],[Item]],supercb[Bairro],mercado7)</f>
        <v>0</v>
      </c>
      <c r="S221" s="27" t="n">
        <f aca="false">SUMIFS(super1[Qtde],super1[Item],tab_alimentos[[#This Row],[Item]],super1[Bairro],mercado8)+SUMIFS(supercb[Qtde],supercb[Item],tab_alimentos[[#This Row],[Item]],supercb[Bairro],mercado8)</f>
        <v>0</v>
      </c>
      <c r="T221" s="27" t="n">
        <f aca="false">SUMIFS(super1[Qtde],super1[Item],tab_alimentos[[#This Row],[Item]],super1[Bairro],mercado9)+SUMIFS(supercb[Qtde],supercb[Item],tab_alimentos[[#This Row],[Item]],supercb[Bairro],mercado9)</f>
        <v>0</v>
      </c>
      <c r="U221" s="27" t="n">
        <f aca="false">SUMIFS(super1[Qtde],super1[Item],tab_alimentos[[#This Row],[Item]],super1[Bairro],mercado10)+SUMIFS(supercb[Qtde],supercb[Item],tab_alimentos[[#This Row],[Item]],supercb[Bairro],mercado10)</f>
        <v>0</v>
      </c>
      <c r="V221" s="27" t="n">
        <f aca="false">SUMIFS(super1[Qtde],super1[Item],tab_alimentos[[#This Row],[Item]],super1[Bairro],mercado11)+SUMIFS(supercb[Qtde],supercb[Item],tab_alimentos[[#This Row],[Item]],supercb[Bairro],mercado11)</f>
        <v>1</v>
      </c>
      <c r="W221" s="27" t="n">
        <f aca="false">SUMIFS(super1[Qtde],super1[Item],tab_alimentos[[#This Row],[Item]],super1[Bairro],mercado12)+SUMIFS(supercb[Qtde],supercb[Item],tab_alimentos[[#This Row],[Item]],supercb[Bairro],mercado12)</f>
        <v>0</v>
      </c>
      <c r="X221" s="27" t="n">
        <f aca="false">SUMIFS(super1[Qtde],super1[Item],tab_alimentos[[#This Row],[Item]],super1[Bairro],mercado13)+SUMIFS(supercb[Qtde],supercb[Item],tab_alimentos[[#This Row],[Item]],supercb[Bairro],mercado13)</f>
        <v>0</v>
      </c>
      <c r="Y221" s="27" t="n">
        <f aca="false">SUMIFS(super1[Qtde],super1[Item],tab_alimentos[[#This Row],[Item]],super1[Bairro],mercado14)+SUMIFS(supercb[Qtde],supercb[Item],tab_alimentos[[#This Row],[Item]],supercb[Bairro],mercado14)</f>
        <v>0</v>
      </c>
      <c r="Z221" s="27" t="n">
        <f aca="false">SUMIFS(super1[Qtde],super1[Item],tab_alimentos[[#This Row],[Item]],super1[Bairro],mercado15)+SUMIFS(supercb[Qtde],supercb[Item],tab_alimentos[[#This Row],[Item]],supercb[Bairro],mercado15)</f>
        <v>0</v>
      </c>
      <c r="AA221" s="27" t="n">
        <f aca="false">SUMIFS(super1[Qtde],super1[Item],tab_alimentos[[#This Row],[Item]],super1[Bairro],mercado16)+SUMIFS(supercb[Qtde],supercb[Item],tab_alimentos[[#This Row],[Item]],supercb[Bairro],mercado16)</f>
        <v>0</v>
      </c>
      <c r="AB221" s="27" t="n">
        <f aca="false">SUMIFS(super1[Qtde],super1[Item],tab_alimentos[[#This Row],[Item]],super1[Bairro],mercado17)+SUMIFS(supercb[Qtde],supercb[Item],tab_alimentos[[#This Row],[Item]],supercb[Bairro],mercado17)</f>
        <v>0</v>
      </c>
      <c r="AC221" s="27" t="n">
        <f aca="false">SUMIFS(super1[Qtde],super1[Item],tab_alimentos[[#This Row],[Item]],super1[Bairro],mercado18)+SUMIFS(supercb[Qtde],supercb[Item],tab_alimentos[[#This Row],[Item]],supercb[Bairro],mercado18)</f>
        <v>0</v>
      </c>
      <c r="AD221" s="27" t="n">
        <f aca="false">SUMIFS(super1[Qtde],super1[Item],tab_alimentos[[#This Row],[Item]],super1[Bairro],extras)+SUMIFS(supercb[Qtde],supercb[Item],tab_alimentos[[#This Row],[Item]],supercb[Bairro],extras)</f>
        <v>0</v>
      </c>
      <c r="AE221" s="27" t="n">
        <f aca="false">SUM(L221:AC221)</f>
        <v>1</v>
      </c>
      <c r="AF221" s="27" t="n">
        <f aca="false">IFERROR(AE221*K221,0)</f>
        <v>7.735</v>
      </c>
      <c r="AG221" s="28" t="n">
        <f aca="false">IFERROR(J221*AE221,0)</f>
        <v>0.5</v>
      </c>
      <c r="AH221" s="37" t="e">
        <f aca="false">higiene[[#This Row],[Item]]</f>
        <v>#VALUE!</v>
      </c>
      <c r="AI221" s="38" t="n">
        <f aca="false">IFERROR(higiene[[#This Row],[Kg equivalente]],0)</f>
        <v>0</v>
      </c>
      <c r="AJ221" s="38" t="n">
        <f aca="false">IFERROR(higiene[[#This Row],[Preço por produto]],0)</f>
        <v>0</v>
      </c>
      <c r="AK221" s="27" t="n">
        <f aca="false">SUMIFS(super1[Qtde],super1[Item],tab_higiene[[#This Row],[Item]],super1[Bairro],mercado1)+SUMIFS(supercb[Qtde],supercb[Item],tab_higiene[[#This Row],[Item]],supercb[Bairro],mercado1)</f>
        <v>0</v>
      </c>
      <c r="AL221" s="27" t="n">
        <f aca="false">SUMIFS(super1[Qtde],super1[Item],tab_higiene[[#This Row],[Item]],super1[Bairro],mercado2)+SUMIFS(supercb[Qtde],supercb[Item],tab_higiene[[#This Row],[Item]],supercb[Bairro],mercado2)</f>
        <v>0</v>
      </c>
      <c r="AM221" s="27" t="n">
        <f aca="false">SUMIFS(super1[Qtde],super1[Item],tab_higiene[[#This Row],[Item]],super1[Bairro],mercado3)+SUMIFS(supercb[Qtde],supercb[Item],tab_higiene[[#This Row],[Item]],supercb[Bairro],mercado3)</f>
        <v>0</v>
      </c>
      <c r="AN221" s="27" t="n">
        <f aca="false">SUMIFS(super1[Qtde],super1[Item],tab_higiene[[#This Row],[Item]],super1[Bairro],mercado4)+SUMIFS(supercb[Qtde],supercb[Item],tab_higiene[[#This Row],[Item]],supercb[Bairro],mercado4)</f>
        <v>0</v>
      </c>
      <c r="AO221" s="27" t="n">
        <f aca="false">SUMIFS(super1[Qtde],super1[Item],tab_higiene[[#This Row],[Item]],super1[Bairro],mercado5)+SUMIFS(supercb[Qtde],supercb[Item],tab_higiene[[#This Row],[Item]],supercb[Bairro],mercado5)</f>
        <v>0</v>
      </c>
      <c r="AP221" s="27" t="n">
        <f aca="false">SUMIFS(super1[Qtde],super1[Item],tab_higiene[[#This Row],[Item]],super1[Bairro],mercado6)+SUMIFS(supercb[Qtde],supercb[Item],tab_higiene[[#This Row],[Item]],supercb[Bairro],mercado6)</f>
        <v>0</v>
      </c>
      <c r="AQ221" s="27" t="n">
        <f aca="false">SUMIFS(super1[Qtde],super1[Item],tab_higiene[[#This Row],[Item]],super1[Bairro],mercado7)+SUMIFS(supercb[Qtde],supercb[Item],tab_higiene[[#This Row],[Item]],supercb[Bairro],mercado7)</f>
        <v>0</v>
      </c>
      <c r="AR221" s="27" t="n">
        <f aca="false">SUMIFS(super1[Qtde],super1[Item],tab_higiene[[#This Row],[Item]],super1[Bairro],mercado8)+SUMIFS(supercb[Qtde],supercb[Item],tab_higiene[[#This Row],[Item]],supercb[Bairro],mercado8)</f>
        <v>0</v>
      </c>
      <c r="AS221" s="27" t="n">
        <f aca="false">SUMIFS(super1[Qtde],super1[Item],tab_higiene[[#This Row],[Item]],super1[Bairro],mercado9)+SUMIFS(supercb[Qtde],supercb[Item],tab_higiene[[#This Row],[Item]],supercb[Bairro],mercado9)</f>
        <v>0</v>
      </c>
      <c r="AT221" s="27" t="n">
        <f aca="false">SUMIFS(super1[Qtde],super1[Item],tab_higiene[[#This Row],[Item]],super1[Bairro],mercado10)+SUMIFS(supercb[Qtde],supercb[Item],tab_higiene[[#This Row],[Item]],supercb[Bairro],mercado10)</f>
        <v>0</v>
      </c>
      <c r="AU221" s="27" t="n">
        <f aca="false">SUMIFS(super1[Qtde],super1[Item],tab_higiene[[#This Row],[Item]],super1[Bairro],mercado11)+SUMIFS(supercb[Qtde],supercb[Item],tab_higiene[[#This Row],[Item]],supercb[Bairro],mercado11)</f>
        <v>0</v>
      </c>
      <c r="AV221" s="27" t="n">
        <f aca="false">SUMIFS(super1[Qtde],super1[Item],tab_higiene[[#This Row],[Item]],super1[Bairro],mercado12)+SUMIFS(supercb[Qtde],supercb[Item],tab_higiene[[#This Row],[Item]],supercb[Bairro],mercado12)</f>
        <v>0</v>
      </c>
      <c r="AW221" s="27" t="n">
        <f aca="false">SUMIFS(super1[Qtde],super1[Item],tab_higiene[[#This Row],[Item]],super1[Bairro],mercado13)+SUMIFS(supercb[Qtde],supercb[Item],tab_higiene[[#This Row],[Item]],supercb[Bairro],mercado13)</f>
        <v>0</v>
      </c>
      <c r="AX221" s="27" t="n">
        <f aca="false">SUMIFS(super1[Qtde],super1[Item],tab_higiene[[#This Row],[Item]],super1[Bairro],mercado14)+SUMIFS(supercb[Qtde],supercb[Item],tab_higiene[[#This Row],[Item]],supercb[Bairro],mercado14)</f>
        <v>0</v>
      </c>
      <c r="AY221" s="27" t="n">
        <f aca="false">SUMIFS(super1[Qtde],super1[Item],tab_higiene[[#This Row],[Item]],super1[Bairro],mercado15)+SUMIFS(supercb[Qtde],supercb[Item],tab_higiene[[#This Row],[Item]],supercb[Bairro],mercado15)</f>
        <v>0</v>
      </c>
      <c r="AZ221" s="27" t="n">
        <f aca="false">SUMIFS(super1[Qtde],super1[Item],tab_higiene[[#This Row],[Item]],super1[Bairro],mercado16)+SUMIFS(supercb[Qtde],supercb[Item],tab_higiene[[#This Row],[Item]],supercb[Bairro],mercado16)</f>
        <v>0</v>
      </c>
      <c r="BA221" s="27" t="n">
        <f aca="false">SUMIFS(super1[Qtde],super1[Item],tab_higiene[[#This Row],[Item]],super1[Bairro],mercado17)+SUMIFS(supercb[Qtde],supercb[Item],tab_higiene[[#This Row],[Item]],supercb[Bairro],mercado17)</f>
        <v>0</v>
      </c>
      <c r="BB221" s="27" t="n">
        <f aca="false">SUMIFS(super1[Qtde],super1[Item],tab_higiene[[#This Row],[Item]],super1[Bairro],mercado18)+SUMIFS(supercb[Qtde],supercb[Item],tab_higiene[[#This Row],[Item]],supercb[Bairro],mercado18)</f>
        <v>0</v>
      </c>
      <c r="BC221" s="39" t="n">
        <f aca="false">SUMIFS(super1[Qtde],super1[Item],tab_higiene[[#This Row],[Item]],super1[Bairro],extras)+SUMIFS(supercb[Qtde],supercb[Item],tab_higiene[[#This Row],[Item]],supercb[Bairro],extras)</f>
        <v>0</v>
      </c>
      <c r="BD221" s="38" t="n">
        <f aca="false">SUM(AK221:BB221)</f>
        <v>0</v>
      </c>
      <c r="BE221" s="38" t="n">
        <f aca="false">IFERROR(BD221*AJ221,0)</f>
        <v>0</v>
      </c>
      <c r="BF221" s="40" t="n">
        <f aca="false">IFERROR(AI221*BD221,0)</f>
        <v>0</v>
      </c>
    </row>
    <row r="222" customFormat="false" ht="15.75" hidden="false" customHeight="false" outlineLevel="0" collapsed="false">
      <c r="I222" s="26" t="str">
        <f aca="false">alimentos[[#This Row],[Item]]</f>
        <v>Pipoca doce (100g)</v>
      </c>
      <c r="J222" s="27" t="n">
        <f aca="false">IFERROR(alimentos[[#This Row],[kg/embalagem]],0)</f>
        <v>0.1</v>
      </c>
      <c r="K222" s="27" t="n">
        <f aca="false">IFERROR(alimentos[[#This Row],[Preço]],0)</f>
        <v>5.39</v>
      </c>
      <c r="L222" s="27" t="n">
        <f aca="false">SUMIFS(super1[Qtde],super1[Item],tab_alimentos[[#This Row],[Item]],super1[Bairro],mercado1)+SUMIFS(supercb[Qtde],supercb[Item],tab_alimentos[[#This Row],[Item]],supercb[Bairro],mercado1)</f>
        <v>0</v>
      </c>
      <c r="M222" s="27" t="n">
        <f aca="false">SUMIFS(super1[Qtde],super1[Item],tab_alimentos[[#This Row],[Item]],super1[Bairro],mercado2)+SUMIFS(supercb[Qtde],supercb[Item],tab_alimentos[[#This Row],[Item]],supercb[Bairro],mercado2)</f>
        <v>0</v>
      </c>
      <c r="N222" s="27" t="n">
        <f aca="false">SUMIFS(super1[Qtde],super1[Item],tab_alimentos[[#This Row],[Item]],super1[Bairro],mercado3)+SUMIFS(supercb[Qtde],supercb[Item],tab_alimentos[[#This Row],[Item]],supercb[Bairro],mercado3)</f>
        <v>0</v>
      </c>
      <c r="O222" s="27" t="n">
        <f aca="false">SUMIFS(super1[Qtde],super1[Item],tab_alimentos[[#This Row],[Item]],super1[Bairro],mercado4)+SUMIFS(supercb[Qtde],supercb[Item],tab_alimentos[[#This Row],[Item]],supercb[Bairro],mercado4)</f>
        <v>0</v>
      </c>
      <c r="P222" s="27" t="n">
        <f aca="false">SUMIFS(super1[Qtde],super1[Item],tab_alimentos[[#This Row],[Item]],super1[Bairro],mercado5)+SUMIFS(supercb[Qtde],supercb[Item],tab_alimentos[[#This Row],[Item]],supercb[Bairro],mercado5)</f>
        <v>0</v>
      </c>
      <c r="Q222" s="27" t="n">
        <f aca="false">SUMIFS(super1[Qtde],super1[Item],tab_alimentos[[#This Row],[Item]],super1[Bairro],mercado6)+SUMIFS(supercb[Qtde],supercb[Item],tab_alimentos[[#This Row],[Item]],supercb[Bairro],mercado6)</f>
        <v>0</v>
      </c>
      <c r="R222" s="27" t="n">
        <f aca="false">SUMIFS(super1[Qtde],super1[Item],tab_alimentos[[#This Row],[Item]],super1[Bairro],mercado7)+SUMIFS(supercb[Qtde],supercb[Item],tab_alimentos[[#This Row],[Item]],supercb[Bairro],mercado7)</f>
        <v>1</v>
      </c>
      <c r="S222" s="27" t="n">
        <f aca="false">SUMIFS(super1[Qtde],super1[Item],tab_alimentos[[#This Row],[Item]],super1[Bairro],mercado8)+SUMIFS(supercb[Qtde],supercb[Item],tab_alimentos[[#This Row],[Item]],supercb[Bairro],mercado8)</f>
        <v>0</v>
      </c>
      <c r="T222" s="27" t="n">
        <f aca="false">SUMIFS(super1[Qtde],super1[Item],tab_alimentos[[#This Row],[Item]],super1[Bairro],mercado9)+SUMIFS(supercb[Qtde],supercb[Item],tab_alimentos[[#This Row],[Item]],supercb[Bairro],mercado9)</f>
        <v>0</v>
      </c>
      <c r="U222" s="27" t="n">
        <f aca="false">SUMIFS(super1[Qtde],super1[Item],tab_alimentos[[#This Row],[Item]],super1[Bairro],mercado10)+SUMIFS(supercb[Qtde],supercb[Item],tab_alimentos[[#This Row],[Item]],supercb[Bairro],mercado10)</f>
        <v>0</v>
      </c>
      <c r="V222" s="27" t="n">
        <f aca="false">SUMIFS(super1[Qtde],super1[Item],tab_alimentos[[#This Row],[Item]],super1[Bairro],mercado11)+SUMIFS(supercb[Qtde],supercb[Item],tab_alimentos[[#This Row],[Item]],supercb[Bairro],mercado11)</f>
        <v>0</v>
      </c>
      <c r="W222" s="27" t="n">
        <f aca="false">SUMIFS(super1[Qtde],super1[Item],tab_alimentos[[#This Row],[Item]],super1[Bairro],mercado12)+SUMIFS(supercb[Qtde],supercb[Item],tab_alimentos[[#This Row],[Item]],supercb[Bairro],mercado12)</f>
        <v>0</v>
      </c>
      <c r="X222" s="27" t="n">
        <f aca="false">SUMIFS(super1[Qtde],super1[Item],tab_alimentos[[#This Row],[Item]],super1[Bairro],mercado13)+SUMIFS(supercb[Qtde],supercb[Item],tab_alimentos[[#This Row],[Item]],supercb[Bairro],mercado13)</f>
        <v>0</v>
      </c>
      <c r="Y222" s="27" t="n">
        <f aca="false">SUMIFS(super1[Qtde],super1[Item],tab_alimentos[[#This Row],[Item]],super1[Bairro],mercado14)+SUMIFS(supercb[Qtde],supercb[Item],tab_alimentos[[#This Row],[Item]],supercb[Bairro],mercado14)</f>
        <v>0</v>
      </c>
      <c r="Z222" s="27" t="n">
        <f aca="false">SUMIFS(super1[Qtde],super1[Item],tab_alimentos[[#This Row],[Item]],super1[Bairro],mercado15)+SUMIFS(supercb[Qtde],supercb[Item],tab_alimentos[[#This Row],[Item]],supercb[Bairro],mercado15)</f>
        <v>0</v>
      </c>
      <c r="AA222" s="27" t="n">
        <f aca="false">SUMIFS(super1[Qtde],super1[Item],tab_alimentos[[#This Row],[Item]],super1[Bairro],mercado16)+SUMIFS(supercb[Qtde],supercb[Item],tab_alimentos[[#This Row],[Item]],supercb[Bairro],mercado16)</f>
        <v>0</v>
      </c>
      <c r="AB222" s="27" t="n">
        <f aca="false">SUMIFS(super1[Qtde],super1[Item],tab_alimentos[[#This Row],[Item]],super1[Bairro],mercado17)+SUMIFS(supercb[Qtde],supercb[Item],tab_alimentos[[#This Row],[Item]],supercb[Bairro],mercado17)</f>
        <v>0</v>
      </c>
      <c r="AC222" s="27" t="n">
        <f aca="false">SUMIFS(super1[Qtde],super1[Item],tab_alimentos[[#This Row],[Item]],super1[Bairro],mercado18)+SUMIFS(supercb[Qtde],supercb[Item],tab_alimentos[[#This Row],[Item]],supercb[Bairro],mercado18)</f>
        <v>0</v>
      </c>
      <c r="AD222" s="27" t="n">
        <f aca="false">SUMIFS(super1[Qtde],super1[Item],tab_alimentos[[#This Row],[Item]],super1[Bairro],extras)+SUMIFS(supercb[Qtde],supercb[Item],tab_alimentos[[#This Row],[Item]],supercb[Bairro],extras)</f>
        <v>0</v>
      </c>
      <c r="AE222" s="27" t="n">
        <f aca="false">SUM(L222:AC222)</f>
        <v>1</v>
      </c>
      <c r="AF222" s="27" t="n">
        <f aca="false">IFERROR(AE222*K222,0)</f>
        <v>5.39</v>
      </c>
      <c r="AG222" s="28" t="n">
        <f aca="false">IFERROR(J222*AE222,0)</f>
        <v>0.1</v>
      </c>
      <c r="AH222" s="37" t="e">
        <f aca="false">higiene[[#This Row],[Item]]</f>
        <v>#VALUE!</v>
      </c>
      <c r="AI222" s="38" t="n">
        <f aca="false">IFERROR(higiene[[#This Row],[Kg equivalente]],0)</f>
        <v>0</v>
      </c>
      <c r="AJ222" s="38" t="n">
        <f aca="false">IFERROR(higiene[[#This Row],[Preço por produto]],0)</f>
        <v>0</v>
      </c>
      <c r="AK222" s="27" t="n">
        <f aca="false">SUMIFS(super1[Qtde],super1[Item],tab_higiene[[#This Row],[Item]],super1[Bairro],mercado1)+SUMIFS(supercb[Qtde],supercb[Item],tab_higiene[[#This Row],[Item]],supercb[Bairro],mercado1)</f>
        <v>0</v>
      </c>
      <c r="AL222" s="27" t="n">
        <f aca="false">SUMIFS(super1[Qtde],super1[Item],tab_higiene[[#This Row],[Item]],super1[Bairro],mercado2)+SUMIFS(supercb[Qtde],supercb[Item],tab_higiene[[#This Row],[Item]],supercb[Bairro],mercado2)</f>
        <v>0</v>
      </c>
      <c r="AM222" s="27" t="n">
        <f aca="false">SUMIFS(super1[Qtde],super1[Item],tab_higiene[[#This Row],[Item]],super1[Bairro],mercado3)+SUMIFS(supercb[Qtde],supercb[Item],tab_higiene[[#This Row],[Item]],supercb[Bairro],mercado3)</f>
        <v>0</v>
      </c>
      <c r="AN222" s="27" t="n">
        <f aca="false">SUMIFS(super1[Qtde],super1[Item],tab_higiene[[#This Row],[Item]],super1[Bairro],mercado4)+SUMIFS(supercb[Qtde],supercb[Item],tab_higiene[[#This Row],[Item]],supercb[Bairro],mercado4)</f>
        <v>0</v>
      </c>
      <c r="AO222" s="27" t="n">
        <f aca="false">SUMIFS(super1[Qtde],super1[Item],tab_higiene[[#This Row],[Item]],super1[Bairro],mercado5)+SUMIFS(supercb[Qtde],supercb[Item],tab_higiene[[#This Row],[Item]],supercb[Bairro],mercado5)</f>
        <v>0</v>
      </c>
      <c r="AP222" s="27" t="n">
        <f aca="false">SUMIFS(super1[Qtde],super1[Item],tab_higiene[[#This Row],[Item]],super1[Bairro],mercado6)+SUMIFS(supercb[Qtde],supercb[Item],tab_higiene[[#This Row],[Item]],supercb[Bairro],mercado6)</f>
        <v>0</v>
      </c>
      <c r="AQ222" s="27" t="n">
        <f aca="false">SUMIFS(super1[Qtde],super1[Item],tab_higiene[[#This Row],[Item]],super1[Bairro],mercado7)+SUMIFS(supercb[Qtde],supercb[Item],tab_higiene[[#This Row],[Item]],supercb[Bairro],mercado7)</f>
        <v>0</v>
      </c>
      <c r="AR222" s="27" t="n">
        <f aca="false">SUMIFS(super1[Qtde],super1[Item],tab_higiene[[#This Row],[Item]],super1[Bairro],mercado8)+SUMIFS(supercb[Qtde],supercb[Item],tab_higiene[[#This Row],[Item]],supercb[Bairro],mercado8)</f>
        <v>0</v>
      </c>
      <c r="AS222" s="27" t="n">
        <f aca="false">SUMIFS(super1[Qtde],super1[Item],tab_higiene[[#This Row],[Item]],super1[Bairro],mercado9)+SUMIFS(supercb[Qtde],supercb[Item],tab_higiene[[#This Row],[Item]],supercb[Bairro],mercado9)</f>
        <v>0</v>
      </c>
      <c r="AT222" s="27" t="n">
        <f aca="false">SUMIFS(super1[Qtde],super1[Item],tab_higiene[[#This Row],[Item]],super1[Bairro],mercado10)+SUMIFS(supercb[Qtde],supercb[Item],tab_higiene[[#This Row],[Item]],supercb[Bairro],mercado10)</f>
        <v>0</v>
      </c>
      <c r="AU222" s="27" t="n">
        <f aca="false">SUMIFS(super1[Qtde],super1[Item],tab_higiene[[#This Row],[Item]],super1[Bairro],mercado11)+SUMIFS(supercb[Qtde],supercb[Item],tab_higiene[[#This Row],[Item]],supercb[Bairro],mercado11)</f>
        <v>0</v>
      </c>
      <c r="AV222" s="27" t="n">
        <f aca="false">SUMIFS(super1[Qtde],super1[Item],tab_higiene[[#This Row],[Item]],super1[Bairro],mercado12)+SUMIFS(supercb[Qtde],supercb[Item],tab_higiene[[#This Row],[Item]],supercb[Bairro],mercado12)</f>
        <v>0</v>
      </c>
      <c r="AW222" s="27" t="n">
        <f aca="false">SUMIFS(super1[Qtde],super1[Item],tab_higiene[[#This Row],[Item]],super1[Bairro],mercado13)+SUMIFS(supercb[Qtde],supercb[Item],tab_higiene[[#This Row],[Item]],supercb[Bairro],mercado13)</f>
        <v>0</v>
      </c>
      <c r="AX222" s="27" t="n">
        <f aca="false">SUMIFS(super1[Qtde],super1[Item],tab_higiene[[#This Row],[Item]],super1[Bairro],mercado14)+SUMIFS(supercb[Qtde],supercb[Item],tab_higiene[[#This Row],[Item]],supercb[Bairro],mercado14)</f>
        <v>0</v>
      </c>
      <c r="AY222" s="27" t="n">
        <f aca="false">SUMIFS(super1[Qtde],super1[Item],tab_higiene[[#This Row],[Item]],super1[Bairro],mercado15)+SUMIFS(supercb[Qtde],supercb[Item],tab_higiene[[#This Row],[Item]],supercb[Bairro],mercado15)</f>
        <v>0</v>
      </c>
      <c r="AZ222" s="27" t="n">
        <f aca="false">SUMIFS(super1[Qtde],super1[Item],tab_higiene[[#This Row],[Item]],super1[Bairro],mercado16)+SUMIFS(supercb[Qtde],supercb[Item],tab_higiene[[#This Row],[Item]],supercb[Bairro],mercado16)</f>
        <v>0</v>
      </c>
      <c r="BA222" s="27" t="n">
        <f aca="false">SUMIFS(super1[Qtde],super1[Item],tab_higiene[[#This Row],[Item]],super1[Bairro],mercado17)+SUMIFS(supercb[Qtde],supercb[Item],tab_higiene[[#This Row],[Item]],supercb[Bairro],mercado17)</f>
        <v>0</v>
      </c>
      <c r="BB222" s="27" t="n">
        <f aca="false">SUMIFS(super1[Qtde],super1[Item],tab_higiene[[#This Row],[Item]],super1[Bairro],mercado18)+SUMIFS(supercb[Qtde],supercb[Item],tab_higiene[[#This Row],[Item]],supercb[Bairro],mercado18)</f>
        <v>0</v>
      </c>
      <c r="BC222" s="39" t="n">
        <f aca="false">SUMIFS(super1[Qtde],super1[Item],tab_higiene[[#This Row],[Item]],super1[Bairro],extras)+SUMIFS(supercb[Qtde],supercb[Item],tab_higiene[[#This Row],[Item]],supercb[Bairro],extras)</f>
        <v>0</v>
      </c>
      <c r="BD222" s="38" t="n">
        <f aca="false">SUM(AK222:BB222)</f>
        <v>0</v>
      </c>
      <c r="BE222" s="38" t="n">
        <f aca="false">IFERROR(BD222*AJ222,0)</f>
        <v>0</v>
      </c>
      <c r="BF222" s="40" t="n">
        <f aca="false">IFERROR(AI222*BD222,0)</f>
        <v>0</v>
      </c>
    </row>
    <row r="223" customFormat="false" ht="15.75" hidden="false" customHeight="false" outlineLevel="0" collapsed="false">
      <c r="I223" s="26" t="str">
        <f aca="false">alimentos[[#This Row],[Item]]</f>
        <v>Polenta (1kg)</v>
      </c>
      <c r="J223" s="27" t="n">
        <f aca="false">IFERROR(alimentos[[#This Row],[kg/embalagem]],0)</f>
        <v>1</v>
      </c>
      <c r="K223" s="27" t="n">
        <f aca="false">IFERROR(alimentos[[#This Row],[Preço]],0)</f>
        <v>7.29</v>
      </c>
      <c r="L223" s="27" t="n">
        <f aca="false">SUMIFS(super1[Qtde],super1[Item],tab_alimentos[[#This Row],[Item]],super1[Bairro],mercado1)+SUMIFS(supercb[Qtde],supercb[Item],tab_alimentos[[#This Row],[Item]],supercb[Bairro],mercado1)</f>
        <v>0</v>
      </c>
      <c r="M223" s="27" t="n">
        <f aca="false">SUMIFS(super1[Qtde],super1[Item],tab_alimentos[[#This Row],[Item]],super1[Bairro],mercado2)+SUMIFS(supercb[Qtde],supercb[Item],tab_alimentos[[#This Row],[Item]],supercb[Bairro],mercado2)</f>
        <v>0</v>
      </c>
      <c r="N223" s="27" t="n">
        <f aca="false">SUMIFS(super1[Qtde],super1[Item],tab_alimentos[[#This Row],[Item]],super1[Bairro],mercado3)+SUMIFS(supercb[Qtde],supercb[Item],tab_alimentos[[#This Row],[Item]],supercb[Bairro],mercado3)</f>
        <v>0</v>
      </c>
      <c r="O223" s="27" t="n">
        <f aca="false">SUMIFS(super1[Qtde],super1[Item],tab_alimentos[[#This Row],[Item]],super1[Bairro],mercado4)+SUMIFS(supercb[Qtde],supercb[Item],tab_alimentos[[#This Row],[Item]],supercb[Bairro],mercado4)</f>
        <v>0</v>
      </c>
      <c r="P223" s="27" t="n">
        <f aca="false">SUMIFS(super1[Qtde],super1[Item],tab_alimentos[[#This Row],[Item]],super1[Bairro],mercado5)+SUMIFS(supercb[Qtde],supercb[Item],tab_alimentos[[#This Row],[Item]],supercb[Bairro],mercado5)</f>
        <v>0</v>
      </c>
      <c r="Q223" s="27" t="n">
        <f aca="false">SUMIFS(super1[Qtde],super1[Item],tab_alimentos[[#This Row],[Item]],super1[Bairro],mercado6)+SUMIFS(supercb[Qtde],supercb[Item],tab_alimentos[[#This Row],[Item]],supercb[Bairro],mercado6)</f>
        <v>0</v>
      </c>
      <c r="R223" s="27" t="n">
        <f aca="false">SUMIFS(super1[Qtde],super1[Item],tab_alimentos[[#This Row],[Item]],super1[Bairro],mercado7)+SUMIFS(supercb[Qtde],supercb[Item],tab_alimentos[[#This Row],[Item]],supercb[Bairro],mercado7)</f>
        <v>0</v>
      </c>
      <c r="S223" s="27" t="n">
        <f aca="false">SUMIFS(super1[Qtde],super1[Item],tab_alimentos[[#This Row],[Item]],super1[Bairro],mercado8)+SUMIFS(supercb[Qtde],supercb[Item],tab_alimentos[[#This Row],[Item]],supercb[Bairro],mercado8)</f>
        <v>0</v>
      </c>
      <c r="T223" s="27" t="n">
        <f aca="false">SUMIFS(super1[Qtde],super1[Item],tab_alimentos[[#This Row],[Item]],super1[Bairro],mercado9)+SUMIFS(supercb[Qtde],supercb[Item],tab_alimentos[[#This Row],[Item]],supercb[Bairro],mercado9)</f>
        <v>0</v>
      </c>
      <c r="U223" s="27" t="n">
        <f aca="false">SUMIFS(super1[Qtde],super1[Item],tab_alimentos[[#This Row],[Item]],super1[Bairro],mercado10)+SUMIFS(supercb[Qtde],supercb[Item],tab_alimentos[[#This Row],[Item]],supercb[Bairro],mercado10)</f>
        <v>0</v>
      </c>
      <c r="V223" s="27" t="n">
        <f aca="false">SUMIFS(super1[Qtde],super1[Item],tab_alimentos[[#This Row],[Item]],super1[Bairro],mercado11)+SUMIFS(supercb[Qtde],supercb[Item],tab_alimentos[[#This Row],[Item]],supercb[Bairro],mercado11)</f>
        <v>0</v>
      </c>
      <c r="W223" s="27" t="n">
        <f aca="false">SUMIFS(super1[Qtde],super1[Item],tab_alimentos[[#This Row],[Item]],super1[Bairro],mercado12)+SUMIFS(supercb[Qtde],supercb[Item],tab_alimentos[[#This Row],[Item]],supercb[Bairro],mercado12)</f>
        <v>0</v>
      </c>
      <c r="X223" s="27" t="n">
        <f aca="false">SUMIFS(super1[Qtde],super1[Item],tab_alimentos[[#This Row],[Item]],super1[Bairro],mercado13)+SUMIFS(supercb[Qtde],supercb[Item],tab_alimentos[[#This Row],[Item]],supercb[Bairro],mercado13)</f>
        <v>0</v>
      </c>
      <c r="Y223" s="27" t="n">
        <f aca="false">SUMIFS(super1[Qtde],super1[Item],tab_alimentos[[#This Row],[Item]],super1[Bairro],mercado14)+SUMIFS(supercb[Qtde],supercb[Item],tab_alimentos[[#This Row],[Item]],supercb[Bairro],mercado14)</f>
        <v>0</v>
      </c>
      <c r="Z223" s="27" t="n">
        <f aca="false">SUMIFS(super1[Qtde],super1[Item],tab_alimentos[[#This Row],[Item]],super1[Bairro],mercado15)+SUMIFS(supercb[Qtde],supercb[Item],tab_alimentos[[#This Row],[Item]],supercb[Bairro],mercado15)</f>
        <v>0</v>
      </c>
      <c r="AA223" s="27" t="n">
        <f aca="false">SUMIFS(super1[Qtde],super1[Item],tab_alimentos[[#This Row],[Item]],super1[Bairro],mercado16)+SUMIFS(supercb[Qtde],supercb[Item],tab_alimentos[[#This Row],[Item]],supercb[Bairro],mercado16)</f>
        <v>0</v>
      </c>
      <c r="AB223" s="27" t="n">
        <f aca="false">SUMIFS(super1[Qtde],super1[Item],tab_alimentos[[#This Row],[Item]],super1[Bairro],mercado17)+SUMIFS(supercb[Qtde],supercb[Item],tab_alimentos[[#This Row],[Item]],supercb[Bairro],mercado17)</f>
        <v>0</v>
      </c>
      <c r="AC223" s="27" t="n">
        <f aca="false">SUMIFS(super1[Qtde],super1[Item],tab_alimentos[[#This Row],[Item]],super1[Bairro],mercado18)+SUMIFS(supercb[Qtde],supercb[Item],tab_alimentos[[#This Row],[Item]],supercb[Bairro],mercado18)</f>
        <v>0</v>
      </c>
      <c r="AD223" s="27" t="n">
        <f aca="false">SUMIFS(super1[Qtde],super1[Item],tab_alimentos[[#This Row],[Item]],super1[Bairro],extras)+SUMIFS(supercb[Qtde],supercb[Item],tab_alimentos[[#This Row],[Item]],supercb[Bairro],extras)</f>
        <v>0</v>
      </c>
      <c r="AE223" s="27" t="n">
        <f aca="false">SUM(L223:AC223)</f>
        <v>0</v>
      </c>
      <c r="AF223" s="27" t="n">
        <f aca="false">IFERROR(AE223*K223,0)</f>
        <v>0</v>
      </c>
      <c r="AG223" s="28" t="n">
        <f aca="false">IFERROR(J223*AE223,0)</f>
        <v>0</v>
      </c>
      <c r="AH223" s="37" t="e">
        <f aca="false">higiene[[#This Row],[Item]]</f>
        <v>#VALUE!</v>
      </c>
      <c r="AI223" s="38" t="n">
        <f aca="false">IFERROR(higiene[[#This Row],[Kg equivalente]],0)</f>
        <v>0</v>
      </c>
      <c r="AJ223" s="38" t="n">
        <f aca="false">IFERROR(higiene[[#This Row],[Preço por produto]],0)</f>
        <v>0</v>
      </c>
      <c r="AK223" s="27" t="n">
        <f aca="false">SUMIFS(super1[Qtde],super1[Item],tab_higiene[[#This Row],[Item]],super1[Bairro],mercado1)+SUMIFS(supercb[Qtde],supercb[Item],tab_higiene[[#This Row],[Item]],supercb[Bairro],mercado1)</f>
        <v>0</v>
      </c>
      <c r="AL223" s="27" t="n">
        <f aca="false">SUMIFS(super1[Qtde],super1[Item],tab_higiene[[#This Row],[Item]],super1[Bairro],mercado2)+SUMIFS(supercb[Qtde],supercb[Item],tab_higiene[[#This Row],[Item]],supercb[Bairro],mercado2)</f>
        <v>0</v>
      </c>
      <c r="AM223" s="27" t="n">
        <f aca="false">SUMIFS(super1[Qtde],super1[Item],tab_higiene[[#This Row],[Item]],super1[Bairro],mercado3)+SUMIFS(supercb[Qtde],supercb[Item],tab_higiene[[#This Row],[Item]],supercb[Bairro],mercado3)</f>
        <v>0</v>
      </c>
      <c r="AN223" s="27" t="n">
        <f aca="false">SUMIFS(super1[Qtde],super1[Item],tab_higiene[[#This Row],[Item]],super1[Bairro],mercado4)+SUMIFS(supercb[Qtde],supercb[Item],tab_higiene[[#This Row],[Item]],supercb[Bairro],mercado4)</f>
        <v>0</v>
      </c>
      <c r="AO223" s="27" t="n">
        <f aca="false">SUMIFS(super1[Qtde],super1[Item],tab_higiene[[#This Row],[Item]],super1[Bairro],mercado5)+SUMIFS(supercb[Qtde],supercb[Item],tab_higiene[[#This Row],[Item]],supercb[Bairro],mercado5)</f>
        <v>0</v>
      </c>
      <c r="AP223" s="27" t="n">
        <f aca="false">SUMIFS(super1[Qtde],super1[Item],tab_higiene[[#This Row],[Item]],super1[Bairro],mercado6)+SUMIFS(supercb[Qtde],supercb[Item],tab_higiene[[#This Row],[Item]],supercb[Bairro],mercado6)</f>
        <v>0</v>
      </c>
      <c r="AQ223" s="27" t="n">
        <f aca="false">SUMIFS(super1[Qtde],super1[Item],tab_higiene[[#This Row],[Item]],super1[Bairro],mercado7)+SUMIFS(supercb[Qtde],supercb[Item],tab_higiene[[#This Row],[Item]],supercb[Bairro],mercado7)</f>
        <v>0</v>
      </c>
      <c r="AR223" s="27" t="n">
        <f aca="false">SUMIFS(super1[Qtde],super1[Item],tab_higiene[[#This Row],[Item]],super1[Bairro],mercado8)+SUMIFS(supercb[Qtde],supercb[Item],tab_higiene[[#This Row],[Item]],supercb[Bairro],mercado8)</f>
        <v>0</v>
      </c>
      <c r="AS223" s="27" t="n">
        <f aca="false">SUMIFS(super1[Qtde],super1[Item],tab_higiene[[#This Row],[Item]],super1[Bairro],mercado9)+SUMIFS(supercb[Qtde],supercb[Item],tab_higiene[[#This Row],[Item]],supercb[Bairro],mercado9)</f>
        <v>0</v>
      </c>
      <c r="AT223" s="27" t="n">
        <f aca="false">SUMIFS(super1[Qtde],super1[Item],tab_higiene[[#This Row],[Item]],super1[Bairro],mercado10)+SUMIFS(supercb[Qtde],supercb[Item],tab_higiene[[#This Row],[Item]],supercb[Bairro],mercado10)</f>
        <v>0</v>
      </c>
      <c r="AU223" s="27" t="n">
        <f aca="false">SUMIFS(super1[Qtde],super1[Item],tab_higiene[[#This Row],[Item]],super1[Bairro],mercado11)+SUMIFS(supercb[Qtde],supercb[Item],tab_higiene[[#This Row],[Item]],supercb[Bairro],mercado11)</f>
        <v>0</v>
      </c>
      <c r="AV223" s="27" t="n">
        <f aca="false">SUMIFS(super1[Qtde],super1[Item],tab_higiene[[#This Row],[Item]],super1[Bairro],mercado12)+SUMIFS(supercb[Qtde],supercb[Item],tab_higiene[[#This Row],[Item]],supercb[Bairro],mercado12)</f>
        <v>0</v>
      </c>
      <c r="AW223" s="27" t="n">
        <f aca="false">SUMIFS(super1[Qtde],super1[Item],tab_higiene[[#This Row],[Item]],super1[Bairro],mercado13)+SUMIFS(supercb[Qtde],supercb[Item],tab_higiene[[#This Row],[Item]],supercb[Bairro],mercado13)</f>
        <v>0</v>
      </c>
      <c r="AX223" s="27" t="n">
        <f aca="false">SUMIFS(super1[Qtde],super1[Item],tab_higiene[[#This Row],[Item]],super1[Bairro],mercado14)+SUMIFS(supercb[Qtde],supercb[Item],tab_higiene[[#This Row],[Item]],supercb[Bairro],mercado14)</f>
        <v>0</v>
      </c>
      <c r="AY223" s="27" t="n">
        <f aca="false">SUMIFS(super1[Qtde],super1[Item],tab_higiene[[#This Row],[Item]],super1[Bairro],mercado15)+SUMIFS(supercb[Qtde],supercb[Item],tab_higiene[[#This Row],[Item]],supercb[Bairro],mercado15)</f>
        <v>0</v>
      </c>
      <c r="AZ223" s="27" t="n">
        <f aca="false">SUMIFS(super1[Qtde],super1[Item],tab_higiene[[#This Row],[Item]],super1[Bairro],mercado16)+SUMIFS(supercb[Qtde],supercb[Item],tab_higiene[[#This Row],[Item]],supercb[Bairro],mercado16)</f>
        <v>0</v>
      </c>
      <c r="BA223" s="27" t="n">
        <f aca="false">SUMIFS(super1[Qtde],super1[Item],tab_higiene[[#This Row],[Item]],super1[Bairro],mercado17)+SUMIFS(supercb[Qtde],supercb[Item],tab_higiene[[#This Row],[Item]],supercb[Bairro],mercado17)</f>
        <v>0</v>
      </c>
      <c r="BB223" s="27" t="n">
        <f aca="false">SUMIFS(super1[Qtde],super1[Item],tab_higiene[[#This Row],[Item]],super1[Bairro],mercado18)+SUMIFS(supercb[Qtde],supercb[Item],tab_higiene[[#This Row],[Item]],supercb[Bairro],mercado18)</f>
        <v>0</v>
      </c>
      <c r="BC223" s="39" t="n">
        <f aca="false">SUMIFS(super1[Qtde],super1[Item],tab_higiene[[#This Row],[Item]],super1[Bairro],extras)+SUMIFS(supercb[Qtde],supercb[Item],tab_higiene[[#This Row],[Item]],supercb[Bairro],extras)</f>
        <v>0</v>
      </c>
      <c r="BD223" s="38" t="n">
        <f aca="false">SUM(AK223:BB223)</f>
        <v>0</v>
      </c>
      <c r="BE223" s="38" t="n">
        <f aca="false">IFERROR(BD223*AJ223,0)</f>
        <v>0</v>
      </c>
      <c r="BF223" s="40" t="n">
        <f aca="false">IFERROR(AI223*BD223,0)</f>
        <v>0</v>
      </c>
    </row>
    <row r="224" customFormat="false" ht="15.75" hidden="false" customHeight="false" outlineLevel="0" collapsed="false">
      <c r="I224" s="26" t="str">
        <f aca="false">alimentos[[#This Row],[Item]]</f>
        <v>Polenta (500g)</v>
      </c>
      <c r="J224" s="27" t="n">
        <f aca="false">IFERROR(alimentos[[#This Row],[kg/embalagem]],0)</f>
        <v>0.5</v>
      </c>
      <c r="K224" s="27" t="n">
        <f aca="false">IFERROR(alimentos[[#This Row],[Preço]],0)</f>
        <v>3.22</v>
      </c>
      <c r="L224" s="27" t="n">
        <f aca="false">SUMIFS(super1[Qtde],super1[Item],tab_alimentos[[#This Row],[Item]],super1[Bairro],mercado1)+SUMIFS(supercb[Qtde],supercb[Item],tab_alimentos[[#This Row],[Item]],supercb[Bairro],mercado1)</f>
        <v>0</v>
      </c>
      <c r="M224" s="27" t="n">
        <f aca="false">SUMIFS(super1[Qtde],super1[Item],tab_alimentos[[#This Row],[Item]],super1[Bairro],mercado2)+SUMIFS(supercb[Qtde],supercb[Item],tab_alimentos[[#This Row],[Item]],supercb[Bairro],mercado2)</f>
        <v>0</v>
      </c>
      <c r="N224" s="27" t="n">
        <f aca="false">SUMIFS(super1[Qtde],super1[Item],tab_alimentos[[#This Row],[Item]],super1[Bairro],mercado3)+SUMIFS(supercb[Qtde],supercb[Item],tab_alimentos[[#This Row],[Item]],supercb[Bairro],mercado3)</f>
        <v>0</v>
      </c>
      <c r="O224" s="27" t="n">
        <f aca="false">SUMIFS(super1[Qtde],super1[Item],tab_alimentos[[#This Row],[Item]],super1[Bairro],mercado4)+SUMIFS(supercb[Qtde],supercb[Item],tab_alimentos[[#This Row],[Item]],supercb[Bairro],mercado4)</f>
        <v>0</v>
      </c>
      <c r="P224" s="27" t="n">
        <f aca="false">SUMIFS(super1[Qtde],super1[Item],tab_alimentos[[#This Row],[Item]],super1[Bairro],mercado5)+SUMIFS(supercb[Qtde],supercb[Item],tab_alimentos[[#This Row],[Item]],supercb[Bairro],mercado5)</f>
        <v>0</v>
      </c>
      <c r="Q224" s="27" t="n">
        <f aca="false">SUMIFS(super1[Qtde],super1[Item],tab_alimentos[[#This Row],[Item]],super1[Bairro],mercado6)+SUMIFS(supercb[Qtde],supercb[Item],tab_alimentos[[#This Row],[Item]],supercb[Bairro],mercado6)</f>
        <v>0</v>
      </c>
      <c r="R224" s="27" t="n">
        <f aca="false">SUMIFS(super1[Qtde],super1[Item],tab_alimentos[[#This Row],[Item]],super1[Bairro],mercado7)+SUMIFS(supercb[Qtde],supercb[Item],tab_alimentos[[#This Row],[Item]],supercb[Bairro],mercado7)</f>
        <v>0</v>
      </c>
      <c r="S224" s="27" t="n">
        <f aca="false">SUMIFS(super1[Qtde],super1[Item],tab_alimentos[[#This Row],[Item]],super1[Bairro],mercado8)+SUMIFS(supercb[Qtde],supercb[Item],tab_alimentos[[#This Row],[Item]],supercb[Bairro],mercado8)</f>
        <v>0</v>
      </c>
      <c r="T224" s="27" t="n">
        <f aca="false">SUMIFS(super1[Qtde],super1[Item],tab_alimentos[[#This Row],[Item]],super1[Bairro],mercado9)+SUMIFS(supercb[Qtde],supercb[Item],tab_alimentos[[#This Row],[Item]],supercb[Bairro],mercado9)</f>
        <v>1</v>
      </c>
      <c r="U224" s="27" t="n">
        <f aca="false">SUMIFS(super1[Qtde],super1[Item],tab_alimentos[[#This Row],[Item]],super1[Bairro],mercado10)+SUMIFS(supercb[Qtde],supercb[Item],tab_alimentos[[#This Row],[Item]],supercb[Bairro],mercado10)</f>
        <v>0</v>
      </c>
      <c r="V224" s="27" t="n">
        <f aca="false">SUMIFS(super1[Qtde],super1[Item],tab_alimentos[[#This Row],[Item]],super1[Bairro],mercado11)+SUMIFS(supercb[Qtde],supercb[Item],tab_alimentos[[#This Row],[Item]],supercb[Bairro],mercado11)</f>
        <v>0</v>
      </c>
      <c r="W224" s="27" t="n">
        <f aca="false">SUMIFS(super1[Qtde],super1[Item],tab_alimentos[[#This Row],[Item]],super1[Bairro],mercado12)+SUMIFS(supercb[Qtde],supercb[Item],tab_alimentos[[#This Row],[Item]],supercb[Bairro],mercado12)</f>
        <v>0</v>
      </c>
      <c r="X224" s="27" t="n">
        <f aca="false">SUMIFS(super1[Qtde],super1[Item],tab_alimentos[[#This Row],[Item]],super1[Bairro],mercado13)+SUMIFS(supercb[Qtde],supercb[Item],tab_alimentos[[#This Row],[Item]],supercb[Bairro],mercado13)</f>
        <v>0</v>
      </c>
      <c r="Y224" s="27" t="n">
        <f aca="false">SUMIFS(super1[Qtde],super1[Item],tab_alimentos[[#This Row],[Item]],super1[Bairro],mercado14)+SUMIFS(supercb[Qtde],supercb[Item],tab_alimentos[[#This Row],[Item]],supercb[Bairro],mercado14)</f>
        <v>0</v>
      </c>
      <c r="Z224" s="27" t="n">
        <f aca="false">SUMIFS(super1[Qtde],super1[Item],tab_alimentos[[#This Row],[Item]],super1[Bairro],mercado15)+SUMIFS(supercb[Qtde],supercb[Item],tab_alimentos[[#This Row],[Item]],supercb[Bairro],mercado15)</f>
        <v>0</v>
      </c>
      <c r="AA224" s="27" t="n">
        <f aca="false">SUMIFS(super1[Qtde],super1[Item],tab_alimentos[[#This Row],[Item]],super1[Bairro],mercado16)+SUMIFS(supercb[Qtde],supercb[Item],tab_alimentos[[#This Row],[Item]],supercb[Bairro],mercado16)</f>
        <v>0</v>
      </c>
      <c r="AB224" s="27" t="n">
        <f aca="false">SUMIFS(super1[Qtde],super1[Item],tab_alimentos[[#This Row],[Item]],super1[Bairro],mercado17)+SUMIFS(supercb[Qtde],supercb[Item],tab_alimentos[[#This Row],[Item]],supercb[Bairro],mercado17)</f>
        <v>0</v>
      </c>
      <c r="AC224" s="27" t="n">
        <f aca="false">SUMIFS(super1[Qtde],super1[Item],tab_alimentos[[#This Row],[Item]],super1[Bairro],mercado18)+SUMIFS(supercb[Qtde],supercb[Item],tab_alimentos[[#This Row],[Item]],supercb[Bairro],mercado18)</f>
        <v>0</v>
      </c>
      <c r="AD224" s="27" t="n">
        <f aca="false">SUMIFS(super1[Qtde],super1[Item],tab_alimentos[[#This Row],[Item]],super1[Bairro],extras)+SUMIFS(supercb[Qtde],supercb[Item],tab_alimentos[[#This Row],[Item]],supercb[Bairro],extras)</f>
        <v>0</v>
      </c>
      <c r="AE224" s="27" t="n">
        <f aca="false">SUM(L224:AC224)</f>
        <v>1</v>
      </c>
      <c r="AF224" s="27" t="n">
        <f aca="false">IFERROR(AE224*K224,0)</f>
        <v>3.22</v>
      </c>
      <c r="AG224" s="28" t="n">
        <f aca="false">IFERROR(J224*AE224,0)</f>
        <v>0.5</v>
      </c>
      <c r="AH224" s="37" t="e">
        <f aca="false">higiene[[#This Row],[Item]]</f>
        <v>#VALUE!</v>
      </c>
      <c r="AI224" s="38" t="n">
        <f aca="false">IFERROR(higiene[[#This Row],[Kg equivalente]],0)</f>
        <v>0</v>
      </c>
      <c r="AJ224" s="38" t="n">
        <f aca="false">IFERROR(higiene[[#This Row],[Preço por produto]],0)</f>
        <v>0</v>
      </c>
      <c r="AK224" s="27" t="n">
        <f aca="false">SUMIFS(super1[Qtde],super1[Item],tab_higiene[[#This Row],[Item]],super1[Bairro],mercado1)+SUMIFS(supercb[Qtde],supercb[Item],tab_higiene[[#This Row],[Item]],supercb[Bairro],mercado1)</f>
        <v>0</v>
      </c>
      <c r="AL224" s="27" t="n">
        <f aca="false">SUMIFS(super1[Qtde],super1[Item],tab_higiene[[#This Row],[Item]],super1[Bairro],mercado2)+SUMIFS(supercb[Qtde],supercb[Item],tab_higiene[[#This Row],[Item]],supercb[Bairro],mercado2)</f>
        <v>0</v>
      </c>
      <c r="AM224" s="27" t="n">
        <f aca="false">SUMIFS(super1[Qtde],super1[Item],tab_higiene[[#This Row],[Item]],super1[Bairro],mercado3)+SUMIFS(supercb[Qtde],supercb[Item],tab_higiene[[#This Row],[Item]],supercb[Bairro],mercado3)</f>
        <v>0</v>
      </c>
      <c r="AN224" s="27" t="n">
        <f aca="false">SUMIFS(super1[Qtde],super1[Item],tab_higiene[[#This Row],[Item]],super1[Bairro],mercado4)+SUMIFS(supercb[Qtde],supercb[Item],tab_higiene[[#This Row],[Item]],supercb[Bairro],mercado4)</f>
        <v>0</v>
      </c>
      <c r="AO224" s="27" t="n">
        <f aca="false">SUMIFS(super1[Qtde],super1[Item],tab_higiene[[#This Row],[Item]],super1[Bairro],mercado5)+SUMIFS(supercb[Qtde],supercb[Item],tab_higiene[[#This Row],[Item]],supercb[Bairro],mercado5)</f>
        <v>0</v>
      </c>
      <c r="AP224" s="27" t="n">
        <f aca="false">SUMIFS(super1[Qtde],super1[Item],tab_higiene[[#This Row],[Item]],super1[Bairro],mercado6)+SUMIFS(supercb[Qtde],supercb[Item],tab_higiene[[#This Row],[Item]],supercb[Bairro],mercado6)</f>
        <v>0</v>
      </c>
      <c r="AQ224" s="27" t="n">
        <f aca="false">SUMIFS(super1[Qtde],super1[Item],tab_higiene[[#This Row],[Item]],super1[Bairro],mercado7)+SUMIFS(supercb[Qtde],supercb[Item],tab_higiene[[#This Row],[Item]],supercb[Bairro],mercado7)</f>
        <v>0</v>
      </c>
      <c r="AR224" s="27" t="n">
        <f aca="false">SUMIFS(super1[Qtde],super1[Item],tab_higiene[[#This Row],[Item]],super1[Bairro],mercado8)+SUMIFS(supercb[Qtde],supercb[Item],tab_higiene[[#This Row],[Item]],supercb[Bairro],mercado8)</f>
        <v>0</v>
      </c>
      <c r="AS224" s="27" t="n">
        <f aca="false">SUMIFS(super1[Qtde],super1[Item],tab_higiene[[#This Row],[Item]],super1[Bairro],mercado9)+SUMIFS(supercb[Qtde],supercb[Item],tab_higiene[[#This Row],[Item]],supercb[Bairro],mercado9)</f>
        <v>0</v>
      </c>
      <c r="AT224" s="27" t="n">
        <f aca="false">SUMIFS(super1[Qtde],super1[Item],tab_higiene[[#This Row],[Item]],super1[Bairro],mercado10)+SUMIFS(supercb[Qtde],supercb[Item],tab_higiene[[#This Row],[Item]],supercb[Bairro],mercado10)</f>
        <v>0</v>
      </c>
      <c r="AU224" s="27" t="n">
        <f aca="false">SUMIFS(super1[Qtde],super1[Item],tab_higiene[[#This Row],[Item]],super1[Bairro],mercado11)+SUMIFS(supercb[Qtde],supercb[Item],tab_higiene[[#This Row],[Item]],supercb[Bairro],mercado11)</f>
        <v>0</v>
      </c>
      <c r="AV224" s="27" t="n">
        <f aca="false">SUMIFS(super1[Qtde],super1[Item],tab_higiene[[#This Row],[Item]],super1[Bairro],mercado12)+SUMIFS(supercb[Qtde],supercb[Item],tab_higiene[[#This Row],[Item]],supercb[Bairro],mercado12)</f>
        <v>0</v>
      </c>
      <c r="AW224" s="27" t="n">
        <f aca="false">SUMIFS(super1[Qtde],super1[Item],tab_higiene[[#This Row],[Item]],super1[Bairro],mercado13)+SUMIFS(supercb[Qtde],supercb[Item],tab_higiene[[#This Row],[Item]],supercb[Bairro],mercado13)</f>
        <v>0</v>
      </c>
      <c r="AX224" s="27" t="n">
        <f aca="false">SUMIFS(super1[Qtde],super1[Item],tab_higiene[[#This Row],[Item]],super1[Bairro],mercado14)+SUMIFS(supercb[Qtde],supercb[Item],tab_higiene[[#This Row],[Item]],supercb[Bairro],mercado14)</f>
        <v>0</v>
      </c>
      <c r="AY224" s="27" t="n">
        <f aca="false">SUMIFS(super1[Qtde],super1[Item],tab_higiene[[#This Row],[Item]],super1[Bairro],mercado15)+SUMIFS(supercb[Qtde],supercb[Item],tab_higiene[[#This Row],[Item]],supercb[Bairro],mercado15)</f>
        <v>0</v>
      </c>
      <c r="AZ224" s="27" t="n">
        <f aca="false">SUMIFS(super1[Qtde],super1[Item],tab_higiene[[#This Row],[Item]],super1[Bairro],mercado16)+SUMIFS(supercb[Qtde],supercb[Item],tab_higiene[[#This Row],[Item]],supercb[Bairro],mercado16)</f>
        <v>0</v>
      </c>
      <c r="BA224" s="27" t="n">
        <f aca="false">SUMIFS(super1[Qtde],super1[Item],tab_higiene[[#This Row],[Item]],super1[Bairro],mercado17)+SUMIFS(supercb[Qtde],supercb[Item],tab_higiene[[#This Row],[Item]],supercb[Bairro],mercado17)</f>
        <v>0</v>
      </c>
      <c r="BB224" s="27" t="n">
        <f aca="false">SUMIFS(super1[Qtde],super1[Item],tab_higiene[[#This Row],[Item]],super1[Bairro],mercado18)+SUMIFS(supercb[Qtde],supercb[Item],tab_higiene[[#This Row],[Item]],supercb[Bairro],mercado18)</f>
        <v>0</v>
      </c>
      <c r="BC224" s="39" t="n">
        <f aca="false">SUMIFS(super1[Qtde],super1[Item],tab_higiene[[#This Row],[Item]],super1[Bairro],extras)+SUMIFS(supercb[Qtde],supercb[Item],tab_higiene[[#This Row],[Item]],supercb[Bairro],extras)</f>
        <v>0</v>
      </c>
      <c r="BD224" s="38" t="n">
        <f aca="false">SUM(AK224:BB224)</f>
        <v>0</v>
      </c>
      <c r="BE224" s="38" t="n">
        <f aca="false">IFERROR(BD224*AJ224,0)</f>
        <v>0</v>
      </c>
      <c r="BF224" s="40" t="n">
        <f aca="false">IFERROR(AI224*BD224,0)</f>
        <v>0</v>
      </c>
    </row>
    <row r="225" customFormat="false" ht="15.75" hidden="false" customHeight="false" outlineLevel="0" collapsed="false">
      <c r="I225" s="26" t="str">
        <f aca="false">alimentos[[#This Row],[Item]]</f>
        <v>Polvilho (1kg)</v>
      </c>
      <c r="J225" s="27" t="n">
        <f aca="false">IFERROR(alimentos[[#This Row],[kg/embalagem]],0)</f>
        <v>1</v>
      </c>
      <c r="K225" s="27" t="n">
        <f aca="false">IFERROR(alimentos[[#This Row],[Preço]],0)</f>
        <v>16.19</v>
      </c>
      <c r="L225" s="27" t="n">
        <f aca="false">SUMIFS(super1[Qtde],super1[Item],tab_alimentos[[#This Row],[Item]],super1[Bairro],mercado1)+SUMIFS(supercb[Qtde],supercb[Item],tab_alimentos[[#This Row],[Item]],supercb[Bairro],mercado1)</f>
        <v>0</v>
      </c>
      <c r="M225" s="27" t="n">
        <f aca="false">SUMIFS(super1[Qtde],super1[Item],tab_alimentos[[#This Row],[Item]],super1[Bairro],mercado2)+SUMIFS(supercb[Qtde],supercb[Item],tab_alimentos[[#This Row],[Item]],supercb[Bairro],mercado2)</f>
        <v>0</v>
      </c>
      <c r="N225" s="27" t="n">
        <f aca="false">SUMIFS(super1[Qtde],super1[Item],tab_alimentos[[#This Row],[Item]],super1[Bairro],mercado3)+SUMIFS(supercb[Qtde],supercb[Item],tab_alimentos[[#This Row],[Item]],supercb[Bairro],mercado3)</f>
        <v>0</v>
      </c>
      <c r="O225" s="27" t="n">
        <f aca="false">SUMIFS(super1[Qtde],super1[Item],tab_alimentos[[#This Row],[Item]],super1[Bairro],mercado4)+SUMIFS(supercb[Qtde],supercb[Item],tab_alimentos[[#This Row],[Item]],supercb[Bairro],mercado4)</f>
        <v>0</v>
      </c>
      <c r="P225" s="27" t="n">
        <f aca="false">SUMIFS(super1[Qtde],super1[Item],tab_alimentos[[#This Row],[Item]],super1[Bairro],mercado5)+SUMIFS(supercb[Qtde],supercb[Item],tab_alimentos[[#This Row],[Item]],supercb[Bairro],mercado5)</f>
        <v>0</v>
      </c>
      <c r="Q225" s="27" t="n">
        <f aca="false">SUMIFS(super1[Qtde],super1[Item],tab_alimentos[[#This Row],[Item]],super1[Bairro],mercado6)+SUMIFS(supercb[Qtde],supercb[Item],tab_alimentos[[#This Row],[Item]],supercb[Bairro],mercado6)</f>
        <v>0</v>
      </c>
      <c r="R225" s="27" t="n">
        <f aca="false">SUMIFS(super1[Qtde],super1[Item],tab_alimentos[[#This Row],[Item]],super1[Bairro],mercado7)+SUMIFS(supercb[Qtde],supercb[Item],tab_alimentos[[#This Row],[Item]],supercb[Bairro],mercado7)</f>
        <v>0</v>
      </c>
      <c r="S225" s="27" t="n">
        <f aca="false">SUMIFS(super1[Qtde],super1[Item],tab_alimentos[[#This Row],[Item]],super1[Bairro],mercado8)+SUMIFS(supercb[Qtde],supercb[Item],tab_alimentos[[#This Row],[Item]],supercb[Bairro],mercado8)</f>
        <v>0</v>
      </c>
      <c r="T225" s="27" t="n">
        <f aca="false">SUMIFS(super1[Qtde],super1[Item],tab_alimentos[[#This Row],[Item]],super1[Bairro],mercado9)+SUMIFS(supercb[Qtde],supercb[Item],tab_alimentos[[#This Row],[Item]],supercb[Bairro],mercado9)</f>
        <v>0</v>
      </c>
      <c r="U225" s="27" t="n">
        <f aca="false">SUMIFS(super1[Qtde],super1[Item],tab_alimentos[[#This Row],[Item]],super1[Bairro],mercado10)+SUMIFS(supercb[Qtde],supercb[Item],tab_alimentos[[#This Row],[Item]],supercb[Bairro],mercado10)</f>
        <v>0</v>
      </c>
      <c r="V225" s="27" t="n">
        <f aca="false">SUMIFS(super1[Qtde],super1[Item],tab_alimentos[[#This Row],[Item]],super1[Bairro],mercado11)+SUMIFS(supercb[Qtde],supercb[Item],tab_alimentos[[#This Row],[Item]],supercb[Bairro],mercado11)</f>
        <v>0</v>
      </c>
      <c r="W225" s="27" t="n">
        <f aca="false">SUMIFS(super1[Qtde],super1[Item],tab_alimentos[[#This Row],[Item]],super1[Bairro],mercado12)+SUMIFS(supercb[Qtde],supercb[Item],tab_alimentos[[#This Row],[Item]],supercb[Bairro],mercado12)</f>
        <v>0</v>
      </c>
      <c r="X225" s="27" t="n">
        <f aca="false">SUMIFS(super1[Qtde],super1[Item],tab_alimentos[[#This Row],[Item]],super1[Bairro],mercado13)+SUMIFS(supercb[Qtde],supercb[Item],tab_alimentos[[#This Row],[Item]],supercb[Bairro],mercado13)</f>
        <v>0</v>
      </c>
      <c r="Y225" s="27" t="n">
        <f aca="false">SUMIFS(super1[Qtde],super1[Item],tab_alimentos[[#This Row],[Item]],super1[Bairro],mercado14)+SUMIFS(supercb[Qtde],supercb[Item],tab_alimentos[[#This Row],[Item]],supercb[Bairro],mercado14)</f>
        <v>0</v>
      </c>
      <c r="Z225" s="27" t="n">
        <f aca="false">SUMIFS(super1[Qtde],super1[Item],tab_alimentos[[#This Row],[Item]],super1[Bairro],mercado15)+SUMIFS(supercb[Qtde],supercb[Item],tab_alimentos[[#This Row],[Item]],supercb[Bairro],mercado15)</f>
        <v>0</v>
      </c>
      <c r="AA225" s="27" t="n">
        <f aca="false">SUMIFS(super1[Qtde],super1[Item],tab_alimentos[[#This Row],[Item]],super1[Bairro],mercado16)+SUMIFS(supercb[Qtde],supercb[Item],tab_alimentos[[#This Row],[Item]],supercb[Bairro],mercado16)</f>
        <v>0</v>
      </c>
      <c r="AB225" s="27" t="n">
        <f aca="false">SUMIFS(super1[Qtde],super1[Item],tab_alimentos[[#This Row],[Item]],super1[Bairro],mercado17)+SUMIFS(supercb[Qtde],supercb[Item],tab_alimentos[[#This Row],[Item]],supercb[Bairro],mercado17)</f>
        <v>0</v>
      </c>
      <c r="AC225" s="27" t="n">
        <f aca="false">SUMIFS(super1[Qtde],super1[Item],tab_alimentos[[#This Row],[Item]],super1[Bairro],mercado18)+SUMIFS(supercb[Qtde],supercb[Item],tab_alimentos[[#This Row],[Item]],supercb[Bairro],mercado18)</f>
        <v>0</v>
      </c>
      <c r="AD225" s="27" t="n">
        <f aca="false">SUMIFS(super1[Qtde],super1[Item],tab_alimentos[[#This Row],[Item]],super1[Bairro],extras)+SUMIFS(supercb[Qtde],supercb[Item],tab_alimentos[[#This Row],[Item]],supercb[Bairro],extras)</f>
        <v>0</v>
      </c>
      <c r="AE225" s="27" t="n">
        <f aca="false">SUM(L225:AC225)</f>
        <v>0</v>
      </c>
      <c r="AF225" s="27" t="n">
        <f aca="false">IFERROR(AE225*K225,0)</f>
        <v>0</v>
      </c>
      <c r="AG225" s="28" t="n">
        <f aca="false">IFERROR(J225*AE225,0)</f>
        <v>0</v>
      </c>
      <c r="AH225" s="37" t="e">
        <f aca="false">higiene[[#This Row],[Item]]</f>
        <v>#VALUE!</v>
      </c>
      <c r="AI225" s="38" t="n">
        <f aca="false">IFERROR(higiene[[#This Row],[Kg equivalente]],0)</f>
        <v>0</v>
      </c>
      <c r="AJ225" s="38" t="n">
        <f aca="false">IFERROR(higiene[[#This Row],[Preço por produto]],0)</f>
        <v>0</v>
      </c>
      <c r="AK225" s="27" t="n">
        <f aca="false">SUMIFS(super1[Qtde],super1[Item],tab_higiene[[#This Row],[Item]],super1[Bairro],mercado1)+SUMIFS(supercb[Qtde],supercb[Item],tab_higiene[[#This Row],[Item]],supercb[Bairro],mercado1)</f>
        <v>0</v>
      </c>
      <c r="AL225" s="27" t="n">
        <f aca="false">SUMIFS(super1[Qtde],super1[Item],tab_higiene[[#This Row],[Item]],super1[Bairro],mercado2)+SUMIFS(supercb[Qtde],supercb[Item],tab_higiene[[#This Row],[Item]],supercb[Bairro],mercado2)</f>
        <v>0</v>
      </c>
      <c r="AM225" s="27" t="n">
        <f aca="false">SUMIFS(super1[Qtde],super1[Item],tab_higiene[[#This Row],[Item]],super1[Bairro],mercado3)+SUMIFS(supercb[Qtde],supercb[Item],tab_higiene[[#This Row],[Item]],supercb[Bairro],mercado3)</f>
        <v>0</v>
      </c>
      <c r="AN225" s="27" t="n">
        <f aca="false">SUMIFS(super1[Qtde],super1[Item],tab_higiene[[#This Row],[Item]],super1[Bairro],mercado4)+SUMIFS(supercb[Qtde],supercb[Item],tab_higiene[[#This Row],[Item]],supercb[Bairro],mercado4)</f>
        <v>0</v>
      </c>
      <c r="AO225" s="27" t="n">
        <f aca="false">SUMIFS(super1[Qtde],super1[Item],tab_higiene[[#This Row],[Item]],super1[Bairro],mercado5)+SUMIFS(supercb[Qtde],supercb[Item],tab_higiene[[#This Row],[Item]],supercb[Bairro],mercado5)</f>
        <v>0</v>
      </c>
      <c r="AP225" s="27" t="n">
        <f aca="false">SUMIFS(super1[Qtde],super1[Item],tab_higiene[[#This Row],[Item]],super1[Bairro],mercado6)+SUMIFS(supercb[Qtde],supercb[Item],tab_higiene[[#This Row],[Item]],supercb[Bairro],mercado6)</f>
        <v>0</v>
      </c>
      <c r="AQ225" s="27" t="n">
        <f aca="false">SUMIFS(super1[Qtde],super1[Item],tab_higiene[[#This Row],[Item]],super1[Bairro],mercado7)+SUMIFS(supercb[Qtde],supercb[Item],tab_higiene[[#This Row],[Item]],supercb[Bairro],mercado7)</f>
        <v>0</v>
      </c>
      <c r="AR225" s="27" t="n">
        <f aca="false">SUMIFS(super1[Qtde],super1[Item],tab_higiene[[#This Row],[Item]],super1[Bairro],mercado8)+SUMIFS(supercb[Qtde],supercb[Item],tab_higiene[[#This Row],[Item]],supercb[Bairro],mercado8)</f>
        <v>0</v>
      </c>
      <c r="AS225" s="27" t="n">
        <f aca="false">SUMIFS(super1[Qtde],super1[Item],tab_higiene[[#This Row],[Item]],super1[Bairro],mercado9)+SUMIFS(supercb[Qtde],supercb[Item],tab_higiene[[#This Row],[Item]],supercb[Bairro],mercado9)</f>
        <v>0</v>
      </c>
      <c r="AT225" s="27" t="n">
        <f aca="false">SUMIFS(super1[Qtde],super1[Item],tab_higiene[[#This Row],[Item]],super1[Bairro],mercado10)+SUMIFS(supercb[Qtde],supercb[Item],tab_higiene[[#This Row],[Item]],supercb[Bairro],mercado10)</f>
        <v>0</v>
      </c>
      <c r="AU225" s="27" t="n">
        <f aca="false">SUMIFS(super1[Qtde],super1[Item],tab_higiene[[#This Row],[Item]],super1[Bairro],mercado11)+SUMIFS(supercb[Qtde],supercb[Item],tab_higiene[[#This Row],[Item]],supercb[Bairro],mercado11)</f>
        <v>0</v>
      </c>
      <c r="AV225" s="27" t="n">
        <f aca="false">SUMIFS(super1[Qtde],super1[Item],tab_higiene[[#This Row],[Item]],super1[Bairro],mercado12)+SUMIFS(supercb[Qtde],supercb[Item],tab_higiene[[#This Row],[Item]],supercb[Bairro],mercado12)</f>
        <v>0</v>
      </c>
      <c r="AW225" s="27" t="n">
        <f aca="false">SUMIFS(super1[Qtde],super1[Item],tab_higiene[[#This Row],[Item]],super1[Bairro],mercado13)+SUMIFS(supercb[Qtde],supercb[Item],tab_higiene[[#This Row],[Item]],supercb[Bairro],mercado13)</f>
        <v>0</v>
      </c>
      <c r="AX225" s="27" t="n">
        <f aca="false">SUMIFS(super1[Qtde],super1[Item],tab_higiene[[#This Row],[Item]],super1[Bairro],mercado14)+SUMIFS(supercb[Qtde],supercb[Item],tab_higiene[[#This Row],[Item]],supercb[Bairro],mercado14)</f>
        <v>0</v>
      </c>
      <c r="AY225" s="27" t="n">
        <f aca="false">SUMIFS(super1[Qtde],super1[Item],tab_higiene[[#This Row],[Item]],super1[Bairro],mercado15)+SUMIFS(supercb[Qtde],supercb[Item],tab_higiene[[#This Row],[Item]],supercb[Bairro],mercado15)</f>
        <v>0</v>
      </c>
      <c r="AZ225" s="27" t="n">
        <f aca="false">SUMIFS(super1[Qtde],super1[Item],tab_higiene[[#This Row],[Item]],super1[Bairro],mercado16)+SUMIFS(supercb[Qtde],supercb[Item],tab_higiene[[#This Row],[Item]],supercb[Bairro],mercado16)</f>
        <v>0</v>
      </c>
      <c r="BA225" s="27" t="n">
        <f aca="false">SUMIFS(super1[Qtde],super1[Item],tab_higiene[[#This Row],[Item]],super1[Bairro],mercado17)+SUMIFS(supercb[Qtde],supercb[Item],tab_higiene[[#This Row],[Item]],supercb[Bairro],mercado17)</f>
        <v>0</v>
      </c>
      <c r="BB225" s="27" t="n">
        <f aca="false">SUMIFS(super1[Qtde],super1[Item],tab_higiene[[#This Row],[Item]],super1[Bairro],mercado18)+SUMIFS(supercb[Qtde],supercb[Item],tab_higiene[[#This Row],[Item]],supercb[Bairro],mercado18)</f>
        <v>0</v>
      </c>
      <c r="BC225" s="39" t="n">
        <f aca="false">SUMIFS(super1[Qtde],super1[Item],tab_higiene[[#This Row],[Item]],super1[Bairro],extras)+SUMIFS(supercb[Qtde],supercb[Item],tab_higiene[[#This Row],[Item]],supercb[Bairro],extras)</f>
        <v>0</v>
      </c>
      <c r="BD225" s="38" t="n">
        <f aca="false">SUM(AK225:BB225)</f>
        <v>0</v>
      </c>
      <c r="BE225" s="38" t="n">
        <f aca="false">IFERROR(BD225*AJ225,0)</f>
        <v>0</v>
      </c>
      <c r="BF225" s="40" t="n">
        <f aca="false">IFERROR(AI225*BD225,0)</f>
        <v>0</v>
      </c>
    </row>
    <row r="226" customFormat="false" ht="15.75" hidden="false" customHeight="false" outlineLevel="0" collapsed="false">
      <c r="I226" s="26" t="str">
        <f aca="false">alimentos[[#This Row],[Item]]</f>
        <v>Q</v>
      </c>
      <c r="J226" s="27" t="n">
        <f aca="false">IFERROR(alimentos[[#This Row],[kg/embalagem]],0)</f>
        <v>0</v>
      </c>
      <c r="K226" s="27" t="n">
        <f aca="false">IFERROR(alimentos[[#This Row],[Preço]],0)</f>
        <v>0</v>
      </c>
      <c r="L226" s="27" t="n">
        <f aca="false">SUMIFS(super1[Qtde],super1[Item],tab_alimentos[[#This Row],[Item]],super1[Bairro],mercado1)+SUMIFS(supercb[Qtde],supercb[Item],tab_alimentos[[#This Row],[Item]],supercb[Bairro],mercado1)</f>
        <v>0</v>
      </c>
      <c r="M226" s="27" t="n">
        <f aca="false">SUMIFS(super1[Qtde],super1[Item],tab_alimentos[[#This Row],[Item]],super1[Bairro],mercado2)+SUMIFS(supercb[Qtde],supercb[Item],tab_alimentos[[#This Row],[Item]],supercb[Bairro],mercado2)</f>
        <v>0</v>
      </c>
      <c r="N226" s="27" t="n">
        <f aca="false">SUMIFS(super1[Qtde],super1[Item],tab_alimentos[[#This Row],[Item]],super1[Bairro],mercado3)+SUMIFS(supercb[Qtde],supercb[Item],tab_alimentos[[#This Row],[Item]],supercb[Bairro],mercado3)</f>
        <v>0</v>
      </c>
      <c r="O226" s="27" t="n">
        <f aca="false">SUMIFS(super1[Qtde],super1[Item],tab_alimentos[[#This Row],[Item]],super1[Bairro],mercado4)+SUMIFS(supercb[Qtde],supercb[Item],tab_alimentos[[#This Row],[Item]],supercb[Bairro],mercado4)</f>
        <v>0</v>
      </c>
      <c r="P226" s="27" t="n">
        <f aca="false">SUMIFS(super1[Qtde],super1[Item],tab_alimentos[[#This Row],[Item]],super1[Bairro],mercado5)+SUMIFS(supercb[Qtde],supercb[Item],tab_alimentos[[#This Row],[Item]],supercb[Bairro],mercado5)</f>
        <v>0</v>
      </c>
      <c r="Q226" s="27" t="n">
        <f aca="false">SUMIFS(super1[Qtde],super1[Item],tab_alimentos[[#This Row],[Item]],super1[Bairro],mercado6)+SUMIFS(supercb[Qtde],supercb[Item],tab_alimentos[[#This Row],[Item]],supercb[Bairro],mercado6)</f>
        <v>0</v>
      </c>
      <c r="R226" s="27" t="n">
        <f aca="false">SUMIFS(super1[Qtde],super1[Item],tab_alimentos[[#This Row],[Item]],super1[Bairro],mercado7)+SUMIFS(supercb[Qtde],supercb[Item],tab_alimentos[[#This Row],[Item]],supercb[Bairro],mercado7)</f>
        <v>0</v>
      </c>
      <c r="S226" s="27" t="n">
        <f aca="false">SUMIFS(super1[Qtde],super1[Item],tab_alimentos[[#This Row],[Item]],super1[Bairro],mercado8)+SUMIFS(supercb[Qtde],supercb[Item],tab_alimentos[[#This Row],[Item]],supercb[Bairro],mercado8)</f>
        <v>0</v>
      </c>
      <c r="T226" s="27" t="n">
        <f aca="false">SUMIFS(super1[Qtde],super1[Item],tab_alimentos[[#This Row],[Item]],super1[Bairro],mercado9)+SUMIFS(supercb[Qtde],supercb[Item],tab_alimentos[[#This Row],[Item]],supercb[Bairro],mercado9)</f>
        <v>0</v>
      </c>
      <c r="U226" s="27" t="n">
        <f aca="false">SUMIFS(super1[Qtde],super1[Item],tab_alimentos[[#This Row],[Item]],super1[Bairro],mercado10)+SUMIFS(supercb[Qtde],supercb[Item],tab_alimentos[[#This Row],[Item]],supercb[Bairro],mercado10)</f>
        <v>0</v>
      </c>
      <c r="V226" s="27" t="n">
        <f aca="false">SUMIFS(super1[Qtde],super1[Item],tab_alimentos[[#This Row],[Item]],super1[Bairro],mercado11)+SUMIFS(supercb[Qtde],supercb[Item],tab_alimentos[[#This Row],[Item]],supercb[Bairro],mercado11)</f>
        <v>0</v>
      </c>
      <c r="W226" s="27" t="n">
        <f aca="false">SUMIFS(super1[Qtde],super1[Item],tab_alimentos[[#This Row],[Item]],super1[Bairro],mercado12)+SUMIFS(supercb[Qtde],supercb[Item],tab_alimentos[[#This Row],[Item]],supercb[Bairro],mercado12)</f>
        <v>0</v>
      </c>
      <c r="X226" s="27" t="n">
        <f aca="false">SUMIFS(super1[Qtde],super1[Item],tab_alimentos[[#This Row],[Item]],super1[Bairro],mercado13)+SUMIFS(supercb[Qtde],supercb[Item],tab_alimentos[[#This Row],[Item]],supercb[Bairro],mercado13)</f>
        <v>0</v>
      </c>
      <c r="Y226" s="27" t="n">
        <f aca="false">SUMIFS(super1[Qtde],super1[Item],tab_alimentos[[#This Row],[Item]],super1[Bairro],mercado14)+SUMIFS(supercb[Qtde],supercb[Item],tab_alimentos[[#This Row],[Item]],supercb[Bairro],mercado14)</f>
        <v>0</v>
      </c>
      <c r="Z226" s="27" t="n">
        <f aca="false">SUMIFS(super1[Qtde],super1[Item],tab_alimentos[[#This Row],[Item]],super1[Bairro],mercado15)+SUMIFS(supercb[Qtde],supercb[Item],tab_alimentos[[#This Row],[Item]],supercb[Bairro],mercado15)</f>
        <v>0</v>
      </c>
      <c r="AA226" s="27" t="n">
        <f aca="false">SUMIFS(super1[Qtde],super1[Item],tab_alimentos[[#This Row],[Item]],super1[Bairro],mercado16)+SUMIFS(supercb[Qtde],supercb[Item],tab_alimentos[[#This Row],[Item]],supercb[Bairro],mercado16)</f>
        <v>0</v>
      </c>
      <c r="AB226" s="27" t="n">
        <f aca="false">SUMIFS(super1[Qtde],super1[Item],tab_alimentos[[#This Row],[Item]],super1[Bairro],mercado17)+SUMIFS(supercb[Qtde],supercb[Item],tab_alimentos[[#This Row],[Item]],supercb[Bairro],mercado17)</f>
        <v>0</v>
      </c>
      <c r="AC226" s="27" t="n">
        <f aca="false">SUMIFS(super1[Qtde],super1[Item],tab_alimentos[[#This Row],[Item]],super1[Bairro],mercado18)+SUMIFS(supercb[Qtde],supercb[Item],tab_alimentos[[#This Row],[Item]],supercb[Bairro],mercado18)</f>
        <v>0</v>
      </c>
      <c r="AD226" s="27" t="n">
        <f aca="false">SUMIFS(super1[Qtde],super1[Item],tab_alimentos[[#This Row],[Item]],super1[Bairro],extras)+SUMIFS(supercb[Qtde],supercb[Item],tab_alimentos[[#This Row],[Item]],supercb[Bairro],extras)</f>
        <v>0</v>
      </c>
      <c r="AE226" s="27" t="n">
        <f aca="false">SUM(L226:AC226)</f>
        <v>0</v>
      </c>
      <c r="AF226" s="27" t="n">
        <f aca="false">IFERROR(AE226*K226,0)</f>
        <v>0</v>
      </c>
      <c r="AG226" s="28" t="n">
        <f aca="false">IFERROR(J226*AE226,0)</f>
        <v>0</v>
      </c>
      <c r="AH226" s="37" t="e">
        <f aca="false">higiene[[#This Row],[Item]]</f>
        <v>#VALUE!</v>
      </c>
      <c r="AI226" s="38" t="n">
        <f aca="false">IFERROR(higiene[[#This Row],[Kg equivalente]],0)</f>
        <v>0</v>
      </c>
      <c r="AJ226" s="38" t="n">
        <f aca="false">IFERROR(higiene[[#This Row],[Preço por produto]],0)</f>
        <v>0</v>
      </c>
      <c r="AK226" s="27" t="n">
        <f aca="false">SUMIFS(super1[Qtde],super1[Item],tab_higiene[[#This Row],[Item]],super1[Bairro],mercado1)+SUMIFS(supercb[Qtde],supercb[Item],tab_higiene[[#This Row],[Item]],supercb[Bairro],mercado1)</f>
        <v>0</v>
      </c>
      <c r="AL226" s="27" t="n">
        <f aca="false">SUMIFS(super1[Qtde],super1[Item],tab_higiene[[#This Row],[Item]],super1[Bairro],mercado2)+SUMIFS(supercb[Qtde],supercb[Item],tab_higiene[[#This Row],[Item]],supercb[Bairro],mercado2)</f>
        <v>0</v>
      </c>
      <c r="AM226" s="27" t="n">
        <f aca="false">SUMIFS(super1[Qtde],super1[Item],tab_higiene[[#This Row],[Item]],super1[Bairro],mercado3)+SUMIFS(supercb[Qtde],supercb[Item],tab_higiene[[#This Row],[Item]],supercb[Bairro],mercado3)</f>
        <v>0</v>
      </c>
      <c r="AN226" s="27" t="n">
        <f aca="false">SUMIFS(super1[Qtde],super1[Item],tab_higiene[[#This Row],[Item]],super1[Bairro],mercado4)+SUMIFS(supercb[Qtde],supercb[Item],tab_higiene[[#This Row],[Item]],supercb[Bairro],mercado4)</f>
        <v>0</v>
      </c>
      <c r="AO226" s="27" t="n">
        <f aca="false">SUMIFS(super1[Qtde],super1[Item],tab_higiene[[#This Row],[Item]],super1[Bairro],mercado5)+SUMIFS(supercb[Qtde],supercb[Item],tab_higiene[[#This Row],[Item]],supercb[Bairro],mercado5)</f>
        <v>0</v>
      </c>
      <c r="AP226" s="27" t="n">
        <f aca="false">SUMIFS(super1[Qtde],super1[Item],tab_higiene[[#This Row],[Item]],super1[Bairro],mercado6)+SUMIFS(supercb[Qtde],supercb[Item],tab_higiene[[#This Row],[Item]],supercb[Bairro],mercado6)</f>
        <v>0</v>
      </c>
      <c r="AQ226" s="27" t="n">
        <f aca="false">SUMIFS(super1[Qtde],super1[Item],tab_higiene[[#This Row],[Item]],super1[Bairro],mercado7)+SUMIFS(supercb[Qtde],supercb[Item],tab_higiene[[#This Row],[Item]],supercb[Bairro],mercado7)</f>
        <v>0</v>
      </c>
      <c r="AR226" s="27" t="n">
        <f aca="false">SUMIFS(super1[Qtde],super1[Item],tab_higiene[[#This Row],[Item]],super1[Bairro],mercado8)+SUMIFS(supercb[Qtde],supercb[Item],tab_higiene[[#This Row],[Item]],supercb[Bairro],mercado8)</f>
        <v>0</v>
      </c>
      <c r="AS226" s="27" t="n">
        <f aca="false">SUMIFS(super1[Qtde],super1[Item],tab_higiene[[#This Row],[Item]],super1[Bairro],mercado9)+SUMIFS(supercb[Qtde],supercb[Item],tab_higiene[[#This Row],[Item]],supercb[Bairro],mercado9)</f>
        <v>0</v>
      </c>
      <c r="AT226" s="27" t="n">
        <f aca="false">SUMIFS(super1[Qtde],super1[Item],tab_higiene[[#This Row],[Item]],super1[Bairro],mercado10)+SUMIFS(supercb[Qtde],supercb[Item],tab_higiene[[#This Row],[Item]],supercb[Bairro],mercado10)</f>
        <v>0</v>
      </c>
      <c r="AU226" s="27" t="n">
        <f aca="false">SUMIFS(super1[Qtde],super1[Item],tab_higiene[[#This Row],[Item]],super1[Bairro],mercado11)+SUMIFS(supercb[Qtde],supercb[Item],tab_higiene[[#This Row],[Item]],supercb[Bairro],mercado11)</f>
        <v>0</v>
      </c>
      <c r="AV226" s="27" t="n">
        <f aca="false">SUMIFS(super1[Qtde],super1[Item],tab_higiene[[#This Row],[Item]],super1[Bairro],mercado12)+SUMIFS(supercb[Qtde],supercb[Item],tab_higiene[[#This Row],[Item]],supercb[Bairro],mercado12)</f>
        <v>0</v>
      </c>
      <c r="AW226" s="27" t="n">
        <f aca="false">SUMIFS(super1[Qtde],super1[Item],tab_higiene[[#This Row],[Item]],super1[Bairro],mercado13)+SUMIFS(supercb[Qtde],supercb[Item],tab_higiene[[#This Row],[Item]],supercb[Bairro],mercado13)</f>
        <v>0</v>
      </c>
      <c r="AX226" s="27" t="n">
        <f aca="false">SUMIFS(super1[Qtde],super1[Item],tab_higiene[[#This Row],[Item]],super1[Bairro],mercado14)+SUMIFS(supercb[Qtde],supercb[Item],tab_higiene[[#This Row],[Item]],supercb[Bairro],mercado14)</f>
        <v>0</v>
      </c>
      <c r="AY226" s="27" t="n">
        <f aca="false">SUMIFS(super1[Qtde],super1[Item],tab_higiene[[#This Row],[Item]],super1[Bairro],mercado15)+SUMIFS(supercb[Qtde],supercb[Item],tab_higiene[[#This Row],[Item]],supercb[Bairro],mercado15)</f>
        <v>0</v>
      </c>
      <c r="AZ226" s="27" t="n">
        <f aca="false">SUMIFS(super1[Qtde],super1[Item],tab_higiene[[#This Row],[Item]],super1[Bairro],mercado16)+SUMIFS(supercb[Qtde],supercb[Item],tab_higiene[[#This Row],[Item]],supercb[Bairro],mercado16)</f>
        <v>0</v>
      </c>
      <c r="BA226" s="27" t="n">
        <f aca="false">SUMIFS(super1[Qtde],super1[Item],tab_higiene[[#This Row],[Item]],super1[Bairro],mercado17)+SUMIFS(supercb[Qtde],supercb[Item],tab_higiene[[#This Row],[Item]],supercb[Bairro],mercado17)</f>
        <v>0</v>
      </c>
      <c r="BB226" s="27" t="n">
        <f aca="false">SUMIFS(super1[Qtde],super1[Item],tab_higiene[[#This Row],[Item]],super1[Bairro],mercado18)+SUMIFS(supercb[Qtde],supercb[Item],tab_higiene[[#This Row],[Item]],supercb[Bairro],mercado18)</f>
        <v>0</v>
      </c>
      <c r="BC226" s="39" t="n">
        <f aca="false">SUMIFS(super1[Qtde],super1[Item],tab_higiene[[#This Row],[Item]],super1[Bairro],extras)+SUMIFS(supercb[Qtde],supercb[Item],tab_higiene[[#This Row],[Item]],supercb[Bairro],extras)</f>
        <v>0</v>
      </c>
      <c r="BD226" s="38" t="n">
        <f aca="false">SUM(AK226:BB226)</f>
        <v>0</v>
      </c>
      <c r="BE226" s="38" t="n">
        <f aca="false">IFERROR(BD226*AJ226,0)</f>
        <v>0</v>
      </c>
      <c r="BF226" s="40" t="n">
        <f aca="false">IFERROR(AI226*BD226,0)</f>
        <v>0</v>
      </c>
    </row>
    <row r="227" customFormat="false" ht="15.75" hidden="false" customHeight="false" outlineLevel="0" collapsed="false">
      <c r="I227" s="26" t="str">
        <f aca="false">alimentos[[#This Row],[Item]]</f>
        <v>Queijo ralado (50g)</v>
      </c>
      <c r="J227" s="27" t="n">
        <f aca="false">IFERROR(alimentos[[#This Row],[kg/embalagem]],0)</f>
        <v>0.05</v>
      </c>
      <c r="K227" s="27" t="n">
        <f aca="false">IFERROR(alimentos[[#This Row],[Preço]],0)</f>
        <v>3.122</v>
      </c>
      <c r="L227" s="27" t="n">
        <f aca="false">SUMIFS(super1[Qtde],super1[Item],tab_alimentos[[#This Row],[Item]],super1[Bairro],mercado1)+SUMIFS(supercb[Qtde],supercb[Item],tab_alimentos[[#This Row],[Item]],supercb[Bairro],mercado1)</f>
        <v>0</v>
      </c>
      <c r="M227" s="27" t="n">
        <f aca="false">SUMIFS(super1[Qtde],super1[Item],tab_alimentos[[#This Row],[Item]],super1[Bairro],mercado2)+SUMIFS(supercb[Qtde],supercb[Item],tab_alimentos[[#This Row],[Item]],supercb[Bairro],mercado2)</f>
        <v>0</v>
      </c>
      <c r="N227" s="27" t="n">
        <f aca="false">SUMIFS(super1[Qtde],super1[Item],tab_alimentos[[#This Row],[Item]],super1[Bairro],mercado3)+SUMIFS(supercb[Qtde],supercb[Item],tab_alimentos[[#This Row],[Item]],supercb[Bairro],mercado3)</f>
        <v>0</v>
      </c>
      <c r="O227" s="27" t="n">
        <f aca="false">SUMIFS(super1[Qtde],super1[Item],tab_alimentos[[#This Row],[Item]],super1[Bairro],mercado4)+SUMIFS(supercb[Qtde],supercb[Item],tab_alimentos[[#This Row],[Item]],supercb[Bairro],mercado4)</f>
        <v>0</v>
      </c>
      <c r="P227" s="27" t="n">
        <f aca="false">SUMIFS(super1[Qtde],super1[Item],tab_alimentos[[#This Row],[Item]],super1[Bairro],mercado5)+SUMIFS(supercb[Qtde],supercb[Item],tab_alimentos[[#This Row],[Item]],supercb[Bairro],mercado5)</f>
        <v>0</v>
      </c>
      <c r="Q227" s="27" t="n">
        <f aca="false">SUMIFS(super1[Qtde],super1[Item],tab_alimentos[[#This Row],[Item]],super1[Bairro],mercado6)+SUMIFS(supercb[Qtde],supercb[Item],tab_alimentos[[#This Row],[Item]],supercb[Bairro],mercado6)</f>
        <v>0</v>
      </c>
      <c r="R227" s="27" t="n">
        <f aca="false">SUMIFS(super1[Qtde],super1[Item],tab_alimentos[[#This Row],[Item]],super1[Bairro],mercado7)+SUMIFS(supercb[Qtde],supercb[Item],tab_alimentos[[#This Row],[Item]],supercb[Bairro],mercado7)</f>
        <v>0</v>
      </c>
      <c r="S227" s="27" t="n">
        <f aca="false">SUMIFS(super1[Qtde],super1[Item],tab_alimentos[[#This Row],[Item]],super1[Bairro],mercado8)+SUMIFS(supercb[Qtde],supercb[Item],tab_alimentos[[#This Row],[Item]],supercb[Bairro],mercado8)</f>
        <v>0</v>
      </c>
      <c r="T227" s="27" t="n">
        <f aca="false">SUMIFS(super1[Qtde],super1[Item],tab_alimentos[[#This Row],[Item]],super1[Bairro],mercado9)+SUMIFS(supercb[Qtde],supercb[Item],tab_alimentos[[#This Row],[Item]],supercb[Bairro],mercado9)</f>
        <v>0</v>
      </c>
      <c r="U227" s="27" t="n">
        <f aca="false">SUMIFS(super1[Qtde],super1[Item],tab_alimentos[[#This Row],[Item]],super1[Bairro],mercado10)+SUMIFS(supercb[Qtde],supercb[Item],tab_alimentos[[#This Row],[Item]],supercb[Bairro],mercado10)</f>
        <v>0</v>
      </c>
      <c r="V227" s="27" t="n">
        <f aca="false">SUMIFS(super1[Qtde],super1[Item],tab_alimentos[[#This Row],[Item]],super1[Bairro],mercado11)+SUMIFS(supercb[Qtde],supercb[Item],tab_alimentos[[#This Row],[Item]],supercb[Bairro],mercado11)</f>
        <v>0</v>
      </c>
      <c r="W227" s="27" t="n">
        <f aca="false">SUMIFS(super1[Qtde],super1[Item],tab_alimentos[[#This Row],[Item]],super1[Bairro],mercado12)+SUMIFS(supercb[Qtde],supercb[Item],tab_alimentos[[#This Row],[Item]],supercb[Bairro],mercado12)</f>
        <v>0</v>
      </c>
      <c r="X227" s="27" t="n">
        <f aca="false">SUMIFS(super1[Qtde],super1[Item],tab_alimentos[[#This Row],[Item]],super1[Bairro],mercado13)+SUMIFS(supercb[Qtde],supercb[Item],tab_alimentos[[#This Row],[Item]],supercb[Bairro],mercado13)</f>
        <v>0</v>
      </c>
      <c r="Y227" s="27" t="n">
        <f aca="false">SUMIFS(super1[Qtde],super1[Item],tab_alimentos[[#This Row],[Item]],super1[Bairro],mercado14)+SUMIFS(supercb[Qtde],supercb[Item],tab_alimentos[[#This Row],[Item]],supercb[Bairro],mercado14)</f>
        <v>0</v>
      </c>
      <c r="Z227" s="27" t="n">
        <f aca="false">SUMIFS(super1[Qtde],super1[Item],tab_alimentos[[#This Row],[Item]],super1[Bairro],mercado15)+SUMIFS(supercb[Qtde],supercb[Item],tab_alimentos[[#This Row],[Item]],supercb[Bairro],mercado15)</f>
        <v>0</v>
      </c>
      <c r="AA227" s="27" t="n">
        <f aca="false">SUMIFS(super1[Qtde],super1[Item],tab_alimentos[[#This Row],[Item]],super1[Bairro],mercado16)+SUMIFS(supercb[Qtde],supercb[Item],tab_alimentos[[#This Row],[Item]],supercb[Bairro],mercado16)</f>
        <v>0</v>
      </c>
      <c r="AB227" s="27" t="n">
        <f aca="false">SUMIFS(super1[Qtde],super1[Item],tab_alimentos[[#This Row],[Item]],super1[Bairro],mercado17)+SUMIFS(supercb[Qtde],supercb[Item],tab_alimentos[[#This Row],[Item]],supercb[Bairro],mercado17)</f>
        <v>0</v>
      </c>
      <c r="AC227" s="27" t="n">
        <f aca="false">SUMIFS(super1[Qtde],super1[Item],tab_alimentos[[#This Row],[Item]],super1[Bairro],mercado18)+SUMIFS(supercb[Qtde],supercb[Item],tab_alimentos[[#This Row],[Item]],supercb[Bairro],mercado18)</f>
        <v>0</v>
      </c>
      <c r="AD227" s="27" t="n">
        <f aca="false">SUMIFS(super1[Qtde],super1[Item],tab_alimentos[[#This Row],[Item]],super1[Bairro],extras)+SUMIFS(supercb[Qtde],supercb[Item],tab_alimentos[[#This Row],[Item]],supercb[Bairro],extras)</f>
        <v>0</v>
      </c>
      <c r="AE227" s="27" t="n">
        <f aca="false">SUM(L227:AC227)</f>
        <v>0</v>
      </c>
      <c r="AF227" s="27" t="n">
        <f aca="false">IFERROR(AE227*K227,0)</f>
        <v>0</v>
      </c>
      <c r="AG227" s="28" t="n">
        <f aca="false">IFERROR(J227*AE227,0)</f>
        <v>0</v>
      </c>
      <c r="AH227" s="37" t="e">
        <f aca="false">higiene[[#This Row],[Item]]</f>
        <v>#VALUE!</v>
      </c>
      <c r="AI227" s="38" t="n">
        <f aca="false">IFERROR(higiene[[#This Row],[Kg equivalente]],0)</f>
        <v>0</v>
      </c>
      <c r="AJ227" s="38" t="n">
        <f aca="false">IFERROR(higiene[[#This Row],[Preço por produto]],0)</f>
        <v>0</v>
      </c>
      <c r="AK227" s="27" t="n">
        <f aca="false">SUMIFS(super1[Qtde],super1[Item],tab_higiene[[#This Row],[Item]],super1[Bairro],mercado1)+SUMIFS(supercb[Qtde],supercb[Item],tab_higiene[[#This Row],[Item]],supercb[Bairro],mercado1)</f>
        <v>0</v>
      </c>
      <c r="AL227" s="27" t="n">
        <f aca="false">SUMIFS(super1[Qtde],super1[Item],tab_higiene[[#This Row],[Item]],super1[Bairro],mercado2)+SUMIFS(supercb[Qtde],supercb[Item],tab_higiene[[#This Row],[Item]],supercb[Bairro],mercado2)</f>
        <v>0</v>
      </c>
      <c r="AM227" s="27" t="n">
        <f aca="false">SUMIFS(super1[Qtde],super1[Item],tab_higiene[[#This Row],[Item]],super1[Bairro],mercado3)+SUMIFS(supercb[Qtde],supercb[Item],tab_higiene[[#This Row],[Item]],supercb[Bairro],mercado3)</f>
        <v>0</v>
      </c>
      <c r="AN227" s="27" t="n">
        <f aca="false">SUMIFS(super1[Qtde],super1[Item],tab_higiene[[#This Row],[Item]],super1[Bairro],mercado4)+SUMIFS(supercb[Qtde],supercb[Item],tab_higiene[[#This Row],[Item]],supercb[Bairro],mercado4)</f>
        <v>0</v>
      </c>
      <c r="AO227" s="27" t="n">
        <f aca="false">SUMIFS(super1[Qtde],super1[Item],tab_higiene[[#This Row],[Item]],super1[Bairro],mercado5)+SUMIFS(supercb[Qtde],supercb[Item],tab_higiene[[#This Row],[Item]],supercb[Bairro],mercado5)</f>
        <v>0</v>
      </c>
      <c r="AP227" s="27" t="n">
        <f aca="false">SUMIFS(super1[Qtde],super1[Item],tab_higiene[[#This Row],[Item]],super1[Bairro],mercado6)+SUMIFS(supercb[Qtde],supercb[Item],tab_higiene[[#This Row],[Item]],supercb[Bairro],mercado6)</f>
        <v>0</v>
      </c>
      <c r="AQ227" s="27" t="n">
        <f aca="false">SUMIFS(super1[Qtde],super1[Item],tab_higiene[[#This Row],[Item]],super1[Bairro],mercado7)+SUMIFS(supercb[Qtde],supercb[Item],tab_higiene[[#This Row],[Item]],supercb[Bairro],mercado7)</f>
        <v>0</v>
      </c>
      <c r="AR227" s="27" t="n">
        <f aca="false">SUMIFS(super1[Qtde],super1[Item],tab_higiene[[#This Row],[Item]],super1[Bairro],mercado8)+SUMIFS(supercb[Qtde],supercb[Item],tab_higiene[[#This Row],[Item]],supercb[Bairro],mercado8)</f>
        <v>0</v>
      </c>
      <c r="AS227" s="27" t="n">
        <f aca="false">SUMIFS(super1[Qtde],super1[Item],tab_higiene[[#This Row],[Item]],super1[Bairro],mercado9)+SUMIFS(supercb[Qtde],supercb[Item],tab_higiene[[#This Row],[Item]],supercb[Bairro],mercado9)</f>
        <v>0</v>
      </c>
      <c r="AT227" s="27" t="n">
        <f aca="false">SUMIFS(super1[Qtde],super1[Item],tab_higiene[[#This Row],[Item]],super1[Bairro],mercado10)+SUMIFS(supercb[Qtde],supercb[Item],tab_higiene[[#This Row],[Item]],supercb[Bairro],mercado10)</f>
        <v>0</v>
      </c>
      <c r="AU227" s="27" t="n">
        <f aca="false">SUMIFS(super1[Qtde],super1[Item],tab_higiene[[#This Row],[Item]],super1[Bairro],mercado11)+SUMIFS(supercb[Qtde],supercb[Item],tab_higiene[[#This Row],[Item]],supercb[Bairro],mercado11)</f>
        <v>0</v>
      </c>
      <c r="AV227" s="27" t="n">
        <f aca="false">SUMIFS(super1[Qtde],super1[Item],tab_higiene[[#This Row],[Item]],super1[Bairro],mercado12)+SUMIFS(supercb[Qtde],supercb[Item],tab_higiene[[#This Row],[Item]],supercb[Bairro],mercado12)</f>
        <v>0</v>
      </c>
      <c r="AW227" s="27" t="n">
        <f aca="false">SUMIFS(super1[Qtde],super1[Item],tab_higiene[[#This Row],[Item]],super1[Bairro],mercado13)+SUMIFS(supercb[Qtde],supercb[Item],tab_higiene[[#This Row],[Item]],supercb[Bairro],mercado13)</f>
        <v>0</v>
      </c>
      <c r="AX227" s="27" t="n">
        <f aca="false">SUMIFS(super1[Qtde],super1[Item],tab_higiene[[#This Row],[Item]],super1[Bairro],mercado14)+SUMIFS(supercb[Qtde],supercb[Item],tab_higiene[[#This Row],[Item]],supercb[Bairro],mercado14)</f>
        <v>0</v>
      </c>
      <c r="AY227" s="27" t="n">
        <f aca="false">SUMIFS(super1[Qtde],super1[Item],tab_higiene[[#This Row],[Item]],super1[Bairro],mercado15)+SUMIFS(supercb[Qtde],supercb[Item],tab_higiene[[#This Row],[Item]],supercb[Bairro],mercado15)</f>
        <v>0</v>
      </c>
      <c r="AZ227" s="27" t="n">
        <f aca="false">SUMIFS(super1[Qtde],super1[Item],tab_higiene[[#This Row],[Item]],super1[Bairro],mercado16)+SUMIFS(supercb[Qtde],supercb[Item],tab_higiene[[#This Row],[Item]],supercb[Bairro],mercado16)</f>
        <v>0</v>
      </c>
      <c r="BA227" s="27" t="n">
        <f aca="false">SUMIFS(super1[Qtde],super1[Item],tab_higiene[[#This Row],[Item]],super1[Bairro],mercado17)+SUMIFS(supercb[Qtde],supercb[Item],tab_higiene[[#This Row],[Item]],supercb[Bairro],mercado17)</f>
        <v>0</v>
      </c>
      <c r="BB227" s="27" t="n">
        <f aca="false">SUMIFS(super1[Qtde],super1[Item],tab_higiene[[#This Row],[Item]],super1[Bairro],mercado18)+SUMIFS(supercb[Qtde],supercb[Item],tab_higiene[[#This Row],[Item]],supercb[Bairro],mercado18)</f>
        <v>0</v>
      </c>
      <c r="BC227" s="39" t="n">
        <f aca="false">SUMIFS(super1[Qtde],super1[Item],tab_higiene[[#This Row],[Item]],super1[Bairro],extras)+SUMIFS(supercb[Qtde],supercb[Item],tab_higiene[[#This Row],[Item]],supercb[Bairro],extras)</f>
        <v>0</v>
      </c>
      <c r="BD227" s="38" t="n">
        <f aca="false">SUM(AK227:BB227)</f>
        <v>0</v>
      </c>
      <c r="BE227" s="38" t="n">
        <f aca="false">IFERROR(BD227*AJ227,0)</f>
        <v>0</v>
      </c>
      <c r="BF227" s="40" t="n">
        <f aca="false">IFERROR(AI227*BD227,0)</f>
        <v>0</v>
      </c>
    </row>
    <row r="228" customFormat="false" ht="15.75" hidden="false" customHeight="false" outlineLevel="0" collapsed="false">
      <c r="I228" s="26" t="str">
        <f aca="false">alimentos[[#This Row],[Item]]</f>
        <v>R</v>
      </c>
      <c r="J228" s="27" t="n">
        <f aca="false">IFERROR(alimentos[[#This Row],[kg/embalagem]],0)</f>
        <v>0</v>
      </c>
      <c r="K228" s="27" t="n">
        <f aca="false">IFERROR(alimentos[[#This Row],[Preço]],0)</f>
        <v>0</v>
      </c>
      <c r="L228" s="27" t="n">
        <f aca="false">SUMIFS(super1[Qtde],super1[Item],tab_alimentos[[#This Row],[Item]],super1[Bairro],mercado1)+SUMIFS(supercb[Qtde],supercb[Item],tab_alimentos[[#This Row],[Item]],supercb[Bairro],mercado1)</f>
        <v>0</v>
      </c>
      <c r="M228" s="27" t="n">
        <f aca="false">SUMIFS(super1[Qtde],super1[Item],tab_alimentos[[#This Row],[Item]],super1[Bairro],mercado2)+SUMIFS(supercb[Qtde],supercb[Item],tab_alimentos[[#This Row],[Item]],supercb[Bairro],mercado2)</f>
        <v>0</v>
      </c>
      <c r="N228" s="27" t="n">
        <f aca="false">SUMIFS(super1[Qtde],super1[Item],tab_alimentos[[#This Row],[Item]],super1[Bairro],mercado3)+SUMIFS(supercb[Qtde],supercb[Item],tab_alimentos[[#This Row],[Item]],supercb[Bairro],mercado3)</f>
        <v>0</v>
      </c>
      <c r="O228" s="27" t="n">
        <f aca="false">SUMIFS(super1[Qtde],super1[Item],tab_alimentos[[#This Row],[Item]],super1[Bairro],mercado4)+SUMIFS(supercb[Qtde],supercb[Item],tab_alimentos[[#This Row],[Item]],supercb[Bairro],mercado4)</f>
        <v>0</v>
      </c>
      <c r="P228" s="27" t="n">
        <f aca="false">SUMIFS(super1[Qtde],super1[Item],tab_alimentos[[#This Row],[Item]],super1[Bairro],mercado5)+SUMIFS(supercb[Qtde],supercb[Item],tab_alimentos[[#This Row],[Item]],supercb[Bairro],mercado5)</f>
        <v>0</v>
      </c>
      <c r="Q228" s="27" t="n">
        <f aca="false">SUMIFS(super1[Qtde],super1[Item],tab_alimentos[[#This Row],[Item]],super1[Bairro],mercado6)+SUMIFS(supercb[Qtde],supercb[Item],tab_alimentos[[#This Row],[Item]],supercb[Bairro],mercado6)</f>
        <v>0</v>
      </c>
      <c r="R228" s="27" t="n">
        <f aca="false">SUMIFS(super1[Qtde],super1[Item],tab_alimentos[[#This Row],[Item]],super1[Bairro],mercado7)+SUMIFS(supercb[Qtde],supercb[Item],tab_alimentos[[#This Row],[Item]],supercb[Bairro],mercado7)</f>
        <v>0</v>
      </c>
      <c r="S228" s="27" t="n">
        <f aca="false">SUMIFS(super1[Qtde],super1[Item],tab_alimentos[[#This Row],[Item]],super1[Bairro],mercado8)+SUMIFS(supercb[Qtde],supercb[Item],tab_alimentos[[#This Row],[Item]],supercb[Bairro],mercado8)</f>
        <v>0</v>
      </c>
      <c r="T228" s="27" t="n">
        <f aca="false">SUMIFS(super1[Qtde],super1[Item],tab_alimentos[[#This Row],[Item]],super1[Bairro],mercado9)+SUMIFS(supercb[Qtde],supercb[Item],tab_alimentos[[#This Row],[Item]],supercb[Bairro],mercado9)</f>
        <v>0</v>
      </c>
      <c r="U228" s="27" t="n">
        <f aca="false">SUMIFS(super1[Qtde],super1[Item],tab_alimentos[[#This Row],[Item]],super1[Bairro],mercado10)+SUMIFS(supercb[Qtde],supercb[Item],tab_alimentos[[#This Row],[Item]],supercb[Bairro],mercado10)</f>
        <v>0</v>
      </c>
      <c r="V228" s="27" t="n">
        <f aca="false">SUMIFS(super1[Qtde],super1[Item],tab_alimentos[[#This Row],[Item]],super1[Bairro],mercado11)+SUMIFS(supercb[Qtde],supercb[Item],tab_alimentos[[#This Row],[Item]],supercb[Bairro],mercado11)</f>
        <v>0</v>
      </c>
      <c r="W228" s="27" t="n">
        <f aca="false">SUMIFS(super1[Qtde],super1[Item],tab_alimentos[[#This Row],[Item]],super1[Bairro],mercado12)+SUMIFS(supercb[Qtde],supercb[Item],tab_alimentos[[#This Row],[Item]],supercb[Bairro],mercado12)</f>
        <v>0</v>
      </c>
      <c r="X228" s="27" t="n">
        <f aca="false">SUMIFS(super1[Qtde],super1[Item],tab_alimentos[[#This Row],[Item]],super1[Bairro],mercado13)+SUMIFS(supercb[Qtde],supercb[Item],tab_alimentos[[#This Row],[Item]],supercb[Bairro],mercado13)</f>
        <v>0</v>
      </c>
      <c r="Y228" s="27" t="n">
        <f aca="false">SUMIFS(super1[Qtde],super1[Item],tab_alimentos[[#This Row],[Item]],super1[Bairro],mercado14)+SUMIFS(supercb[Qtde],supercb[Item],tab_alimentos[[#This Row],[Item]],supercb[Bairro],mercado14)</f>
        <v>0</v>
      </c>
      <c r="Z228" s="27" t="n">
        <f aca="false">SUMIFS(super1[Qtde],super1[Item],tab_alimentos[[#This Row],[Item]],super1[Bairro],mercado15)+SUMIFS(supercb[Qtde],supercb[Item],tab_alimentos[[#This Row],[Item]],supercb[Bairro],mercado15)</f>
        <v>0</v>
      </c>
      <c r="AA228" s="27" t="n">
        <f aca="false">SUMIFS(super1[Qtde],super1[Item],tab_alimentos[[#This Row],[Item]],super1[Bairro],mercado16)+SUMIFS(supercb[Qtde],supercb[Item],tab_alimentos[[#This Row],[Item]],supercb[Bairro],mercado16)</f>
        <v>0</v>
      </c>
      <c r="AB228" s="27" t="n">
        <f aca="false">SUMIFS(super1[Qtde],super1[Item],tab_alimentos[[#This Row],[Item]],super1[Bairro],mercado17)+SUMIFS(supercb[Qtde],supercb[Item],tab_alimentos[[#This Row],[Item]],supercb[Bairro],mercado17)</f>
        <v>0</v>
      </c>
      <c r="AC228" s="27" t="n">
        <f aca="false">SUMIFS(super1[Qtde],super1[Item],tab_alimentos[[#This Row],[Item]],super1[Bairro],mercado18)+SUMIFS(supercb[Qtde],supercb[Item],tab_alimentos[[#This Row],[Item]],supercb[Bairro],mercado18)</f>
        <v>0</v>
      </c>
      <c r="AD228" s="27" t="n">
        <f aca="false">SUMIFS(super1[Qtde],super1[Item],tab_alimentos[[#This Row],[Item]],super1[Bairro],extras)+SUMIFS(supercb[Qtde],supercb[Item],tab_alimentos[[#This Row],[Item]],supercb[Bairro],extras)</f>
        <v>0</v>
      </c>
      <c r="AE228" s="27" t="n">
        <f aca="false">SUM(L228:AC228)</f>
        <v>0</v>
      </c>
      <c r="AF228" s="27" t="n">
        <f aca="false">IFERROR(AE228*K228,0)</f>
        <v>0</v>
      </c>
      <c r="AG228" s="28" t="n">
        <f aca="false">IFERROR(J228*AE228,0)</f>
        <v>0</v>
      </c>
      <c r="AH228" s="37" t="e">
        <f aca="false">higiene[[#This Row],[Item]]</f>
        <v>#VALUE!</v>
      </c>
      <c r="AI228" s="38" t="n">
        <f aca="false">IFERROR(higiene[[#This Row],[Kg equivalente]],0)</f>
        <v>0</v>
      </c>
      <c r="AJ228" s="38" t="n">
        <f aca="false">IFERROR(higiene[[#This Row],[Preço por produto]],0)</f>
        <v>0</v>
      </c>
      <c r="AK228" s="27" t="n">
        <f aca="false">SUMIFS(super1[Qtde],super1[Item],tab_higiene[[#This Row],[Item]],super1[Bairro],mercado1)+SUMIFS(supercb[Qtde],supercb[Item],tab_higiene[[#This Row],[Item]],supercb[Bairro],mercado1)</f>
        <v>0</v>
      </c>
      <c r="AL228" s="27" t="n">
        <f aca="false">SUMIFS(super1[Qtde],super1[Item],tab_higiene[[#This Row],[Item]],super1[Bairro],mercado2)+SUMIFS(supercb[Qtde],supercb[Item],tab_higiene[[#This Row],[Item]],supercb[Bairro],mercado2)</f>
        <v>0</v>
      </c>
      <c r="AM228" s="27" t="n">
        <f aca="false">SUMIFS(super1[Qtde],super1[Item],tab_higiene[[#This Row],[Item]],super1[Bairro],mercado3)+SUMIFS(supercb[Qtde],supercb[Item],tab_higiene[[#This Row],[Item]],supercb[Bairro],mercado3)</f>
        <v>0</v>
      </c>
      <c r="AN228" s="27" t="n">
        <f aca="false">SUMIFS(super1[Qtde],super1[Item],tab_higiene[[#This Row],[Item]],super1[Bairro],mercado4)+SUMIFS(supercb[Qtde],supercb[Item],tab_higiene[[#This Row],[Item]],supercb[Bairro],mercado4)</f>
        <v>0</v>
      </c>
      <c r="AO228" s="27" t="n">
        <f aca="false">SUMIFS(super1[Qtde],super1[Item],tab_higiene[[#This Row],[Item]],super1[Bairro],mercado5)+SUMIFS(supercb[Qtde],supercb[Item],tab_higiene[[#This Row],[Item]],supercb[Bairro],mercado5)</f>
        <v>0</v>
      </c>
      <c r="AP228" s="27" t="n">
        <f aca="false">SUMIFS(super1[Qtde],super1[Item],tab_higiene[[#This Row],[Item]],super1[Bairro],mercado6)+SUMIFS(supercb[Qtde],supercb[Item],tab_higiene[[#This Row],[Item]],supercb[Bairro],mercado6)</f>
        <v>0</v>
      </c>
      <c r="AQ228" s="27" t="n">
        <f aca="false">SUMIFS(super1[Qtde],super1[Item],tab_higiene[[#This Row],[Item]],super1[Bairro],mercado7)+SUMIFS(supercb[Qtde],supercb[Item],tab_higiene[[#This Row],[Item]],supercb[Bairro],mercado7)</f>
        <v>0</v>
      </c>
      <c r="AR228" s="27" t="n">
        <f aca="false">SUMIFS(super1[Qtde],super1[Item],tab_higiene[[#This Row],[Item]],super1[Bairro],mercado8)+SUMIFS(supercb[Qtde],supercb[Item],tab_higiene[[#This Row],[Item]],supercb[Bairro],mercado8)</f>
        <v>0</v>
      </c>
      <c r="AS228" s="27" t="n">
        <f aca="false">SUMIFS(super1[Qtde],super1[Item],tab_higiene[[#This Row],[Item]],super1[Bairro],mercado9)+SUMIFS(supercb[Qtde],supercb[Item],tab_higiene[[#This Row],[Item]],supercb[Bairro],mercado9)</f>
        <v>0</v>
      </c>
      <c r="AT228" s="27" t="n">
        <f aca="false">SUMIFS(super1[Qtde],super1[Item],tab_higiene[[#This Row],[Item]],super1[Bairro],mercado10)+SUMIFS(supercb[Qtde],supercb[Item],tab_higiene[[#This Row],[Item]],supercb[Bairro],mercado10)</f>
        <v>0</v>
      </c>
      <c r="AU228" s="27" t="n">
        <f aca="false">SUMIFS(super1[Qtde],super1[Item],tab_higiene[[#This Row],[Item]],super1[Bairro],mercado11)+SUMIFS(supercb[Qtde],supercb[Item],tab_higiene[[#This Row],[Item]],supercb[Bairro],mercado11)</f>
        <v>0</v>
      </c>
      <c r="AV228" s="27" t="n">
        <f aca="false">SUMIFS(super1[Qtde],super1[Item],tab_higiene[[#This Row],[Item]],super1[Bairro],mercado12)+SUMIFS(supercb[Qtde],supercb[Item],tab_higiene[[#This Row],[Item]],supercb[Bairro],mercado12)</f>
        <v>0</v>
      </c>
      <c r="AW228" s="27" t="n">
        <f aca="false">SUMIFS(super1[Qtde],super1[Item],tab_higiene[[#This Row],[Item]],super1[Bairro],mercado13)+SUMIFS(supercb[Qtde],supercb[Item],tab_higiene[[#This Row],[Item]],supercb[Bairro],mercado13)</f>
        <v>0</v>
      </c>
      <c r="AX228" s="27" t="n">
        <f aca="false">SUMIFS(super1[Qtde],super1[Item],tab_higiene[[#This Row],[Item]],super1[Bairro],mercado14)+SUMIFS(supercb[Qtde],supercb[Item],tab_higiene[[#This Row],[Item]],supercb[Bairro],mercado14)</f>
        <v>0</v>
      </c>
      <c r="AY228" s="27" t="n">
        <f aca="false">SUMIFS(super1[Qtde],super1[Item],tab_higiene[[#This Row],[Item]],super1[Bairro],mercado15)+SUMIFS(supercb[Qtde],supercb[Item],tab_higiene[[#This Row],[Item]],supercb[Bairro],mercado15)</f>
        <v>0</v>
      </c>
      <c r="AZ228" s="27" t="n">
        <f aca="false">SUMIFS(super1[Qtde],super1[Item],tab_higiene[[#This Row],[Item]],super1[Bairro],mercado16)+SUMIFS(supercb[Qtde],supercb[Item],tab_higiene[[#This Row],[Item]],supercb[Bairro],mercado16)</f>
        <v>0</v>
      </c>
      <c r="BA228" s="27" t="n">
        <f aca="false">SUMIFS(super1[Qtde],super1[Item],tab_higiene[[#This Row],[Item]],super1[Bairro],mercado17)+SUMIFS(supercb[Qtde],supercb[Item],tab_higiene[[#This Row],[Item]],supercb[Bairro],mercado17)</f>
        <v>0</v>
      </c>
      <c r="BB228" s="27" t="n">
        <f aca="false">SUMIFS(super1[Qtde],super1[Item],tab_higiene[[#This Row],[Item]],super1[Bairro],mercado18)+SUMIFS(supercb[Qtde],supercb[Item],tab_higiene[[#This Row],[Item]],supercb[Bairro],mercado18)</f>
        <v>0</v>
      </c>
      <c r="BC228" s="39" t="n">
        <f aca="false">SUMIFS(super1[Qtde],super1[Item],tab_higiene[[#This Row],[Item]],super1[Bairro],extras)+SUMIFS(supercb[Qtde],supercb[Item],tab_higiene[[#This Row],[Item]],supercb[Bairro],extras)</f>
        <v>0</v>
      </c>
      <c r="BD228" s="38" t="n">
        <f aca="false">SUM(AK228:BB228)</f>
        <v>0</v>
      </c>
      <c r="BE228" s="38" t="n">
        <f aca="false">IFERROR(BD228*AJ228,0)</f>
        <v>0</v>
      </c>
      <c r="BF228" s="40" t="n">
        <f aca="false">IFERROR(AI228*BD228,0)</f>
        <v>0</v>
      </c>
    </row>
    <row r="229" customFormat="false" ht="15.75" hidden="false" customHeight="false" outlineLevel="0" collapsed="false">
      <c r="I229" s="26" t="str">
        <f aca="false">alimentos[[#This Row],[Item]]</f>
        <v>Refrigerante (1L)</v>
      </c>
      <c r="J229" s="27" t="n">
        <f aca="false">IFERROR(alimentos[[#This Row],[kg/embalagem]],0)</f>
        <v>1</v>
      </c>
      <c r="K229" s="27" t="n">
        <f aca="false">IFERROR(alimentos[[#This Row],[Preço]],0)</f>
        <v>2.49</v>
      </c>
      <c r="L229" s="27" t="n">
        <f aca="false">SUMIFS(super1[Qtde],super1[Item],tab_alimentos[[#This Row],[Item]],super1[Bairro],mercado1)+SUMIFS(supercb[Qtde],supercb[Item],tab_alimentos[[#This Row],[Item]],supercb[Bairro],mercado1)</f>
        <v>0</v>
      </c>
      <c r="M229" s="27" t="n">
        <f aca="false">SUMIFS(super1[Qtde],super1[Item],tab_alimentos[[#This Row],[Item]],super1[Bairro],mercado2)+SUMIFS(supercb[Qtde],supercb[Item],tab_alimentos[[#This Row],[Item]],supercb[Bairro],mercado2)</f>
        <v>0</v>
      </c>
      <c r="N229" s="27" t="n">
        <f aca="false">SUMIFS(super1[Qtde],super1[Item],tab_alimentos[[#This Row],[Item]],super1[Bairro],mercado3)+SUMIFS(supercb[Qtde],supercb[Item],tab_alimentos[[#This Row],[Item]],supercb[Bairro],mercado3)</f>
        <v>0</v>
      </c>
      <c r="O229" s="27" t="n">
        <f aca="false">SUMIFS(super1[Qtde],super1[Item],tab_alimentos[[#This Row],[Item]],super1[Bairro],mercado4)+SUMIFS(supercb[Qtde],supercb[Item],tab_alimentos[[#This Row],[Item]],supercb[Bairro],mercado4)</f>
        <v>0</v>
      </c>
      <c r="P229" s="27" t="n">
        <f aca="false">SUMIFS(super1[Qtde],super1[Item],tab_alimentos[[#This Row],[Item]],super1[Bairro],mercado5)+SUMIFS(supercb[Qtde],supercb[Item],tab_alimentos[[#This Row],[Item]],supercb[Bairro],mercado5)</f>
        <v>0</v>
      </c>
      <c r="Q229" s="27" t="n">
        <f aca="false">SUMIFS(super1[Qtde],super1[Item],tab_alimentos[[#This Row],[Item]],super1[Bairro],mercado6)+SUMIFS(supercb[Qtde],supercb[Item],tab_alimentos[[#This Row],[Item]],supercb[Bairro],mercado6)</f>
        <v>0</v>
      </c>
      <c r="R229" s="27" t="n">
        <f aca="false">SUMIFS(super1[Qtde],super1[Item],tab_alimentos[[#This Row],[Item]],super1[Bairro],mercado7)+SUMIFS(supercb[Qtde],supercb[Item],tab_alimentos[[#This Row],[Item]],supercb[Bairro],mercado7)</f>
        <v>0</v>
      </c>
      <c r="S229" s="27" t="n">
        <f aca="false">SUMIFS(super1[Qtde],super1[Item],tab_alimentos[[#This Row],[Item]],super1[Bairro],mercado8)+SUMIFS(supercb[Qtde],supercb[Item],tab_alimentos[[#This Row],[Item]],supercb[Bairro],mercado8)</f>
        <v>0</v>
      </c>
      <c r="T229" s="27" t="n">
        <f aca="false">SUMIFS(super1[Qtde],super1[Item],tab_alimentos[[#This Row],[Item]],super1[Bairro],mercado9)+SUMIFS(supercb[Qtde],supercb[Item],tab_alimentos[[#This Row],[Item]],supercb[Bairro],mercado9)</f>
        <v>0</v>
      </c>
      <c r="U229" s="27" t="n">
        <f aca="false">SUMIFS(super1[Qtde],super1[Item],tab_alimentos[[#This Row],[Item]],super1[Bairro],mercado10)+SUMIFS(supercb[Qtde],supercb[Item],tab_alimentos[[#This Row],[Item]],supercb[Bairro],mercado10)</f>
        <v>0</v>
      </c>
      <c r="V229" s="27" t="n">
        <f aca="false">SUMIFS(super1[Qtde],super1[Item],tab_alimentos[[#This Row],[Item]],super1[Bairro],mercado11)+SUMIFS(supercb[Qtde],supercb[Item],tab_alimentos[[#This Row],[Item]],supercb[Bairro],mercado11)</f>
        <v>0</v>
      </c>
      <c r="W229" s="27" t="n">
        <f aca="false">SUMIFS(super1[Qtde],super1[Item],tab_alimentos[[#This Row],[Item]],super1[Bairro],mercado12)+SUMIFS(supercb[Qtde],supercb[Item],tab_alimentos[[#This Row],[Item]],supercb[Bairro],mercado12)</f>
        <v>0</v>
      </c>
      <c r="X229" s="27" t="n">
        <f aca="false">SUMIFS(super1[Qtde],super1[Item],tab_alimentos[[#This Row],[Item]],super1[Bairro],mercado13)+SUMIFS(supercb[Qtde],supercb[Item],tab_alimentos[[#This Row],[Item]],supercb[Bairro],mercado13)</f>
        <v>0</v>
      </c>
      <c r="Y229" s="27" t="n">
        <f aca="false">SUMIFS(super1[Qtde],super1[Item],tab_alimentos[[#This Row],[Item]],super1[Bairro],mercado14)+SUMIFS(supercb[Qtde],supercb[Item],tab_alimentos[[#This Row],[Item]],supercb[Bairro],mercado14)</f>
        <v>0</v>
      </c>
      <c r="Z229" s="27" t="n">
        <f aca="false">SUMIFS(super1[Qtde],super1[Item],tab_alimentos[[#This Row],[Item]],super1[Bairro],mercado15)+SUMIFS(supercb[Qtde],supercb[Item],tab_alimentos[[#This Row],[Item]],supercb[Bairro],mercado15)</f>
        <v>0</v>
      </c>
      <c r="AA229" s="27" t="n">
        <f aca="false">SUMIFS(super1[Qtde],super1[Item],tab_alimentos[[#This Row],[Item]],super1[Bairro],mercado16)+SUMIFS(supercb[Qtde],supercb[Item],tab_alimentos[[#This Row],[Item]],supercb[Bairro],mercado16)</f>
        <v>0</v>
      </c>
      <c r="AB229" s="27" t="n">
        <f aca="false">SUMIFS(super1[Qtde],super1[Item],tab_alimentos[[#This Row],[Item]],super1[Bairro],mercado17)+SUMIFS(supercb[Qtde],supercb[Item],tab_alimentos[[#This Row],[Item]],supercb[Bairro],mercado17)</f>
        <v>0</v>
      </c>
      <c r="AC229" s="27" t="n">
        <f aca="false">SUMIFS(super1[Qtde],super1[Item],tab_alimentos[[#This Row],[Item]],super1[Bairro],mercado18)+SUMIFS(supercb[Qtde],supercb[Item],tab_alimentos[[#This Row],[Item]],supercb[Bairro],mercado18)</f>
        <v>0</v>
      </c>
      <c r="AD229" s="27" t="n">
        <f aca="false">SUMIFS(super1[Qtde],super1[Item],tab_alimentos[[#This Row],[Item]],super1[Bairro],extras)+SUMIFS(supercb[Qtde],supercb[Item],tab_alimentos[[#This Row],[Item]],supercb[Bairro],extras)</f>
        <v>0</v>
      </c>
      <c r="AE229" s="27" t="n">
        <f aca="false">SUM(L229:AC229)</f>
        <v>0</v>
      </c>
      <c r="AF229" s="27" t="n">
        <f aca="false">IFERROR(AE229*K229,0)</f>
        <v>0</v>
      </c>
      <c r="AG229" s="28" t="n">
        <f aca="false">IFERROR(J229*AE229,0)</f>
        <v>0</v>
      </c>
      <c r="AH229" s="37" t="e">
        <f aca="false">higiene[[#This Row],[Item]]</f>
        <v>#VALUE!</v>
      </c>
      <c r="AI229" s="38" t="n">
        <f aca="false">IFERROR(higiene[[#This Row],[Kg equivalente]],0)</f>
        <v>0</v>
      </c>
      <c r="AJ229" s="38" t="n">
        <f aca="false">IFERROR(higiene[[#This Row],[Preço por produto]],0)</f>
        <v>0</v>
      </c>
      <c r="AK229" s="27" t="n">
        <f aca="false">SUMIFS(super1[Qtde],super1[Item],tab_higiene[[#This Row],[Item]],super1[Bairro],mercado1)+SUMIFS(supercb[Qtde],supercb[Item],tab_higiene[[#This Row],[Item]],supercb[Bairro],mercado1)</f>
        <v>0</v>
      </c>
      <c r="AL229" s="27" t="n">
        <f aca="false">SUMIFS(super1[Qtde],super1[Item],tab_higiene[[#This Row],[Item]],super1[Bairro],mercado2)+SUMIFS(supercb[Qtde],supercb[Item],tab_higiene[[#This Row],[Item]],supercb[Bairro],mercado2)</f>
        <v>0</v>
      </c>
      <c r="AM229" s="27" t="n">
        <f aca="false">SUMIFS(super1[Qtde],super1[Item],tab_higiene[[#This Row],[Item]],super1[Bairro],mercado3)+SUMIFS(supercb[Qtde],supercb[Item],tab_higiene[[#This Row],[Item]],supercb[Bairro],mercado3)</f>
        <v>0</v>
      </c>
      <c r="AN229" s="27" t="n">
        <f aca="false">SUMIFS(super1[Qtde],super1[Item],tab_higiene[[#This Row],[Item]],super1[Bairro],mercado4)+SUMIFS(supercb[Qtde],supercb[Item],tab_higiene[[#This Row],[Item]],supercb[Bairro],mercado4)</f>
        <v>0</v>
      </c>
      <c r="AO229" s="27" t="n">
        <f aca="false">SUMIFS(super1[Qtde],super1[Item],tab_higiene[[#This Row],[Item]],super1[Bairro],mercado5)+SUMIFS(supercb[Qtde],supercb[Item],tab_higiene[[#This Row],[Item]],supercb[Bairro],mercado5)</f>
        <v>0</v>
      </c>
      <c r="AP229" s="27" t="n">
        <f aca="false">SUMIFS(super1[Qtde],super1[Item],tab_higiene[[#This Row],[Item]],super1[Bairro],mercado6)+SUMIFS(supercb[Qtde],supercb[Item],tab_higiene[[#This Row],[Item]],supercb[Bairro],mercado6)</f>
        <v>0</v>
      </c>
      <c r="AQ229" s="27" t="n">
        <f aca="false">SUMIFS(super1[Qtde],super1[Item],tab_higiene[[#This Row],[Item]],super1[Bairro],mercado7)+SUMIFS(supercb[Qtde],supercb[Item],tab_higiene[[#This Row],[Item]],supercb[Bairro],mercado7)</f>
        <v>0</v>
      </c>
      <c r="AR229" s="27" t="n">
        <f aca="false">SUMIFS(super1[Qtde],super1[Item],tab_higiene[[#This Row],[Item]],super1[Bairro],mercado8)+SUMIFS(supercb[Qtde],supercb[Item],tab_higiene[[#This Row],[Item]],supercb[Bairro],mercado8)</f>
        <v>0</v>
      </c>
      <c r="AS229" s="27" t="n">
        <f aca="false">SUMIFS(super1[Qtde],super1[Item],tab_higiene[[#This Row],[Item]],super1[Bairro],mercado9)+SUMIFS(supercb[Qtde],supercb[Item],tab_higiene[[#This Row],[Item]],supercb[Bairro],mercado9)</f>
        <v>0</v>
      </c>
      <c r="AT229" s="27" t="n">
        <f aca="false">SUMIFS(super1[Qtde],super1[Item],tab_higiene[[#This Row],[Item]],super1[Bairro],mercado10)+SUMIFS(supercb[Qtde],supercb[Item],tab_higiene[[#This Row],[Item]],supercb[Bairro],mercado10)</f>
        <v>0</v>
      </c>
      <c r="AU229" s="27" t="n">
        <f aca="false">SUMIFS(super1[Qtde],super1[Item],tab_higiene[[#This Row],[Item]],super1[Bairro],mercado11)+SUMIFS(supercb[Qtde],supercb[Item],tab_higiene[[#This Row],[Item]],supercb[Bairro],mercado11)</f>
        <v>0</v>
      </c>
      <c r="AV229" s="27" t="n">
        <f aca="false">SUMIFS(super1[Qtde],super1[Item],tab_higiene[[#This Row],[Item]],super1[Bairro],mercado12)+SUMIFS(supercb[Qtde],supercb[Item],tab_higiene[[#This Row],[Item]],supercb[Bairro],mercado12)</f>
        <v>0</v>
      </c>
      <c r="AW229" s="27" t="n">
        <f aca="false">SUMIFS(super1[Qtde],super1[Item],tab_higiene[[#This Row],[Item]],super1[Bairro],mercado13)+SUMIFS(supercb[Qtde],supercb[Item],tab_higiene[[#This Row],[Item]],supercb[Bairro],mercado13)</f>
        <v>0</v>
      </c>
      <c r="AX229" s="27" t="n">
        <f aca="false">SUMIFS(super1[Qtde],super1[Item],tab_higiene[[#This Row],[Item]],super1[Bairro],mercado14)+SUMIFS(supercb[Qtde],supercb[Item],tab_higiene[[#This Row],[Item]],supercb[Bairro],mercado14)</f>
        <v>0</v>
      </c>
      <c r="AY229" s="27" t="n">
        <f aca="false">SUMIFS(super1[Qtde],super1[Item],tab_higiene[[#This Row],[Item]],super1[Bairro],mercado15)+SUMIFS(supercb[Qtde],supercb[Item],tab_higiene[[#This Row],[Item]],supercb[Bairro],mercado15)</f>
        <v>0</v>
      </c>
      <c r="AZ229" s="27" t="n">
        <f aca="false">SUMIFS(super1[Qtde],super1[Item],tab_higiene[[#This Row],[Item]],super1[Bairro],mercado16)+SUMIFS(supercb[Qtde],supercb[Item],tab_higiene[[#This Row],[Item]],supercb[Bairro],mercado16)</f>
        <v>0</v>
      </c>
      <c r="BA229" s="27" t="n">
        <f aca="false">SUMIFS(super1[Qtde],super1[Item],tab_higiene[[#This Row],[Item]],super1[Bairro],mercado17)+SUMIFS(supercb[Qtde],supercb[Item],tab_higiene[[#This Row],[Item]],supercb[Bairro],mercado17)</f>
        <v>0</v>
      </c>
      <c r="BB229" s="27" t="n">
        <f aca="false">SUMIFS(super1[Qtde],super1[Item],tab_higiene[[#This Row],[Item]],super1[Bairro],mercado18)+SUMIFS(supercb[Qtde],supercb[Item],tab_higiene[[#This Row],[Item]],supercb[Bairro],mercado18)</f>
        <v>0</v>
      </c>
      <c r="BC229" s="39" t="n">
        <f aca="false">SUMIFS(super1[Qtde],super1[Item],tab_higiene[[#This Row],[Item]],super1[Bairro],extras)+SUMIFS(supercb[Qtde],supercb[Item],tab_higiene[[#This Row],[Item]],supercb[Bairro],extras)</f>
        <v>0</v>
      </c>
      <c r="BD229" s="38" t="n">
        <f aca="false">SUM(AK229:BB229)</f>
        <v>0</v>
      </c>
      <c r="BE229" s="38" t="n">
        <f aca="false">IFERROR(BD229*AJ229,0)</f>
        <v>0</v>
      </c>
      <c r="BF229" s="40" t="n">
        <f aca="false">IFERROR(AI229*BD229,0)</f>
        <v>0</v>
      </c>
    </row>
    <row r="230" customFormat="false" ht="15.75" hidden="false" customHeight="false" outlineLevel="0" collapsed="false">
      <c r="I230" s="26" t="str">
        <f aca="false">alimentos[[#This Row],[Item]]</f>
        <v>Refrigerante (2L)</v>
      </c>
      <c r="J230" s="27" t="n">
        <f aca="false">IFERROR(alimentos[[#This Row],[kg/embalagem]],0)</f>
        <v>2</v>
      </c>
      <c r="K230" s="27" t="n">
        <f aca="false">IFERROR(alimentos[[#This Row],[Preço]],0)</f>
        <v>3.2</v>
      </c>
      <c r="L230" s="27" t="n">
        <f aca="false">SUMIFS(super1[Qtde],super1[Item],tab_alimentos[[#This Row],[Item]],super1[Bairro],mercado1)+SUMIFS(supercb[Qtde],supercb[Item],tab_alimentos[[#This Row],[Item]],supercb[Bairro],mercado1)</f>
        <v>0</v>
      </c>
      <c r="M230" s="27" t="n">
        <f aca="false">SUMIFS(super1[Qtde],super1[Item],tab_alimentos[[#This Row],[Item]],super1[Bairro],mercado2)+SUMIFS(supercb[Qtde],supercb[Item],tab_alimentos[[#This Row],[Item]],supercb[Bairro],mercado2)</f>
        <v>0</v>
      </c>
      <c r="N230" s="27" t="n">
        <f aca="false">SUMIFS(super1[Qtde],super1[Item],tab_alimentos[[#This Row],[Item]],super1[Bairro],mercado3)+SUMIFS(supercb[Qtde],supercb[Item],tab_alimentos[[#This Row],[Item]],supercb[Bairro],mercado3)</f>
        <v>0</v>
      </c>
      <c r="O230" s="27" t="n">
        <f aca="false">SUMIFS(super1[Qtde],super1[Item],tab_alimentos[[#This Row],[Item]],super1[Bairro],mercado4)+SUMIFS(supercb[Qtde],supercb[Item],tab_alimentos[[#This Row],[Item]],supercb[Bairro],mercado4)</f>
        <v>0</v>
      </c>
      <c r="P230" s="27" t="n">
        <f aca="false">SUMIFS(super1[Qtde],super1[Item],tab_alimentos[[#This Row],[Item]],super1[Bairro],mercado5)+SUMIFS(supercb[Qtde],supercb[Item],tab_alimentos[[#This Row],[Item]],supercb[Bairro],mercado5)</f>
        <v>0</v>
      </c>
      <c r="Q230" s="27" t="n">
        <f aca="false">SUMIFS(super1[Qtde],super1[Item],tab_alimentos[[#This Row],[Item]],super1[Bairro],mercado6)+SUMIFS(supercb[Qtde],supercb[Item],tab_alimentos[[#This Row],[Item]],supercb[Bairro],mercado6)</f>
        <v>0</v>
      </c>
      <c r="R230" s="27" t="n">
        <f aca="false">SUMIFS(super1[Qtde],super1[Item],tab_alimentos[[#This Row],[Item]],super1[Bairro],mercado7)+SUMIFS(supercb[Qtde],supercb[Item],tab_alimentos[[#This Row],[Item]],supercb[Bairro],mercado7)</f>
        <v>0</v>
      </c>
      <c r="S230" s="27" t="n">
        <f aca="false">SUMIFS(super1[Qtde],super1[Item],tab_alimentos[[#This Row],[Item]],super1[Bairro],mercado8)+SUMIFS(supercb[Qtde],supercb[Item],tab_alimentos[[#This Row],[Item]],supercb[Bairro],mercado8)</f>
        <v>0</v>
      </c>
      <c r="T230" s="27" t="n">
        <f aca="false">SUMIFS(super1[Qtde],super1[Item],tab_alimentos[[#This Row],[Item]],super1[Bairro],mercado9)+SUMIFS(supercb[Qtde],supercb[Item],tab_alimentos[[#This Row],[Item]],supercb[Bairro],mercado9)</f>
        <v>0</v>
      </c>
      <c r="U230" s="27" t="n">
        <f aca="false">SUMIFS(super1[Qtde],super1[Item],tab_alimentos[[#This Row],[Item]],super1[Bairro],mercado10)+SUMIFS(supercb[Qtde],supercb[Item],tab_alimentos[[#This Row],[Item]],supercb[Bairro],mercado10)</f>
        <v>0</v>
      </c>
      <c r="V230" s="27" t="n">
        <f aca="false">SUMIFS(super1[Qtde],super1[Item],tab_alimentos[[#This Row],[Item]],super1[Bairro],mercado11)+SUMIFS(supercb[Qtde],supercb[Item],tab_alimentos[[#This Row],[Item]],supercb[Bairro],mercado11)</f>
        <v>0</v>
      </c>
      <c r="W230" s="27" t="n">
        <f aca="false">SUMIFS(super1[Qtde],super1[Item],tab_alimentos[[#This Row],[Item]],super1[Bairro],mercado12)+SUMIFS(supercb[Qtde],supercb[Item],tab_alimentos[[#This Row],[Item]],supercb[Bairro],mercado12)</f>
        <v>0</v>
      </c>
      <c r="X230" s="27" t="n">
        <f aca="false">SUMIFS(super1[Qtde],super1[Item],tab_alimentos[[#This Row],[Item]],super1[Bairro],mercado13)+SUMIFS(supercb[Qtde],supercb[Item],tab_alimentos[[#This Row],[Item]],supercb[Bairro],mercado13)</f>
        <v>0</v>
      </c>
      <c r="Y230" s="27" t="n">
        <f aca="false">SUMIFS(super1[Qtde],super1[Item],tab_alimentos[[#This Row],[Item]],super1[Bairro],mercado14)+SUMIFS(supercb[Qtde],supercb[Item],tab_alimentos[[#This Row],[Item]],supercb[Bairro],mercado14)</f>
        <v>0</v>
      </c>
      <c r="Z230" s="27" t="n">
        <f aca="false">SUMIFS(super1[Qtde],super1[Item],tab_alimentos[[#This Row],[Item]],super1[Bairro],mercado15)+SUMIFS(supercb[Qtde],supercb[Item],tab_alimentos[[#This Row],[Item]],supercb[Bairro],mercado15)</f>
        <v>0</v>
      </c>
      <c r="AA230" s="27" t="n">
        <f aca="false">SUMIFS(super1[Qtde],super1[Item],tab_alimentos[[#This Row],[Item]],super1[Bairro],mercado16)+SUMIFS(supercb[Qtde],supercb[Item],tab_alimentos[[#This Row],[Item]],supercb[Bairro],mercado16)</f>
        <v>0</v>
      </c>
      <c r="AB230" s="27" t="n">
        <f aca="false">SUMIFS(super1[Qtde],super1[Item],tab_alimentos[[#This Row],[Item]],super1[Bairro],mercado17)+SUMIFS(supercb[Qtde],supercb[Item],tab_alimentos[[#This Row],[Item]],supercb[Bairro],mercado17)</f>
        <v>0</v>
      </c>
      <c r="AC230" s="27" t="n">
        <f aca="false">SUMIFS(super1[Qtde],super1[Item],tab_alimentos[[#This Row],[Item]],super1[Bairro],mercado18)+SUMIFS(supercb[Qtde],supercb[Item],tab_alimentos[[#This Row],[Item]],supercb[Bairro],mercado18)</f>
        <v>0</v>
      </c>
      <c r="AD230" s="27" t="n">
        <f aca="false">SUMIFS(super1[Qtde],super1[Item],tab_alimentos[[#This Row],[Item]],super1[Bairro],extras)+SUMIFS(supercb[Qtde],supercb[Item],tab_alimentos[[#This Row],[Item]],supercb[Bairro],extras)</f>
        <v>0</v>
      </c>
      <c r="AE230" s="27" t="n">
        <f aca="false">SUM(L230:AC230)</f>
        <v>0</v>
      </c>
      <c r="AF230" s="27" t="n">
        <f aca="false">IFERROR(AE230*K230,0)</f>
        <v>0</v>
      </c>
      <c r="AG230" s="28" t="n">
        <f aca="false">IFERROR(J230*AE230,0)</f>
        <v>0</v>
      </c>
      <c r="AH230" s="37" t="e">
        <f aca="false">higiene[[#This Row],[Item]]</f>
        <v>#VALUE!</v>
      </c>
      <c r="AI230" s="38" t="n">
        <f aca="false">IFERROR(higiene[[#This Row],[Kg equivalente]],0)</f>
        <v>0</v>
      </c>
      <c r="AJ230" s="38" t="n">
        <f aca="false">IFERROR(higiene[[#This Row],[Preço por produto]],0)</f>
        <v>0</v>
      </c>
      <c r="AK230" s="27" t="n">
        <f aca="false">SUMIFS(super1[Qtde],super1[Item],tab_higiene[[#This Row],[Item]],super1[Bairro],mercado1)+SUMIFS(supercb[Qtde],supercb[Item],tab_higiene[[#This Row],[Item]],supercb[Bairro],mercado1)</f>
        <v>0</v>
      </c>
      <c r="AL230" s="27" t="n">
        <f aca="false">SUMIFS(super1[Qtde],super1[Item],tab_higiene[[#This Row],[Item]],super1[Bairro],mercado2)+SUMIFS(supercb[Qtde],supercb[Item],tab_higiene[[#This Row],[Item]],supercb[Bairro],mercado2)</f>
        <v>0</v>
      </c>
      <c r="AM230" s="27" t="n">
        <f aca="false">SUMIFS(super1[Qtde],super1[Item],tab_higiene[[#This Row],[Item]],super1[Bairro],mercado3)+SUMIFS(supercb[Qtde],supercb[Item],tab_higiene[[#This Row],[Item]],supercb[Bairro],mercado3)</f>
        <v>0</v>
      </c>
      <c r="AN230" s="27" t="n">
        <f aca="false">SUMIFS(super1[Qtde],super1[Item],tab_higiene[[#This Row],[Item]],super1[Bairro],mercado4)+SUMIFS(supercb[Qtde],supercb[Item],tab_higiene[[#This Row],[Item]],supercb[Bairro],mercado4)</f>
        <v>0</v>
      </c>
      <c r="AO230" s="27" t="n">
        <f aca="false">SUMIFS(super1[Qtde],super1[Item],tab_higiene[[#This Row],[Item]],super1[Bairro],mercado5)+SUMIFS(supercb[Qtde],supercb[Item],tab_higiene[[#This Row],[Item]],supercb[Bairro],mercado5)</f>
        <v>0</v>
      </c>
      <c r="AP230" s="27" t="n">
        <f aca="false">SUMIFS(super1[Qtde],super1[Item],tab_higiene[[#This Row],[Item]],super1[Bairro],mercado6)+SUMIFS(supercb[Qtde],supercb[Item],tab_higiene[[#This Row],[Item]],supercb[Bairro],mercado6)</f>
        <v>0</v>
      </c>
      <c r="AQ230" s="27" t="n">
        <f aca="false">SUMIFS(super1[Qtde],super1[Item],tab_higiene[[#This Row],[Item]],super1[Bairro],mercado7)+SUMIFS(supercb[Qtde],supercb[Item],tab_higiene[[#This Row],[Item]],supercb[Bairro],mercado7)</f>
        <v>0</v>
      </c>
      <c r="AR230" s="27" t="n">
        <f aca="false">SUMIFS(super1[Qtde],super1[Item],tab_higiene[[#This Row],[Item]],super1[Bairro],mercado8)+SUMIFS(supercb[Qtde],supercb[Item],tab_higiene[[#This Row],[Item]],supercb[Bairro],mercado8)</f>
        <v>0</v>
      </c>
      <c r="AS230" s="27" t="n">
        <f aca="false">SUMIFS(super1[Qtde],super1[Item],tab_higiene[[#This Row],[Item]],super1[Bairro],mercado9)+SUMIFS(supercb[Qtde],supercb[Item],tab_higiene[[#This Row],[Item]],supercb[Bairro],mercado9)</f>
        <v>0</v>
      </c>
      <c r="AT230" s="27" t="n">
        <f aca="false">SUMIFS(super1[Qtde],super1[Item],tab_higiene[[#This Row],[Item]],super1[Bairro],mercado10)+SUMIFS(supercb[Qtde],supercb[Item],tab_higiene[[#This Row],[Item]],supercb[Bairro],mercado10)</f>
        <v>0</v>
      </c>
      <c r="AU230" s="27" t="n">
        <f aca="false">SUMIFS(super1[Qtde],super1[Item],tab_higiene[[#This Row],[Item]],super1[Bairro],mercado11)+SUMIFS(supercb[Qtde],supercb[Item],tab_higiene[[#This Row],[Item]],supercb[Bairro],mercado11)</f>
        <v>0</v>
      </c>
      <c r="AV230" s="27" t="n">
        <f aca="false">SUMIFS(super1[Qtde],super1[Item],tab_higiene[[#This Row],[Item]],super1[Bairro],mercado12)+SUMIFS(supercb[Qtde],supercb[Item],tab_higiene[[#This Row],[Item]],supercb[Bairro],mercado12)</f>
        <v>0</v>
      </c>
      <c r="AW230" s="27" t="n">
        <f aca="false">SUMIFS(super1[Qtde],super1[Item],tab_higiene[[#This Row],[Item]],super1[Bairro],mercado13)+SUMIFS(supercb[Qtde],supercb[Item],tab_higiene[[#This Row],[Item]],supercb[Bairro],mercado13)</f>
        <v>0</v>
      </c>
      <c r="AX230" s="27" t="n">
        <f aca="false">SUMIFS(super1[Qtde],super1[Item],tab_higiene[[#This Row],[Item]],super1[Bairro],mercado14)+SUMIFS(supercb[Qtde],supercb[Item],tab_higiene[[#This Row],[Item]],supercb[Bairro],mercado14)</f>
        <v>0</v>
      </c>
      <c r="AY230" s="27" t="n">
        <f aca="false">SUMIFS(super1[Qtde],super1[Item],tab_higiene[[#This Row],[Item]],super1[Bairro],mercado15)+SUMIFS(supercb[Qtde],supercb[Item],tab_higiene[[#This Row],[Item]],supercb[Bairro],mercado15)</f>
        <v>0</v>
      </c>
      <c r="AZ230" s="27" t="n">
        <f aca="false">SUMIFS(super1[Qtde],super1[Item],tab_higiene[[#This Row],[Item]],super1[Bairro],mercado16)+SUMIFS(supercb[Qtde],supercb[Item],tab_higiene[[#This Row],[Item]],supercb[Bairro],mercado16)</f>
        <v>0</v>
      </c>
      <c r="BA230" s="27" t="n">
        <f aca="false">SUMIFS(super1[Qtde],super1[Item],tab_higiene[[#This Row],[Item]],super1[Bairro],mercado17)+SUMIFS(supercb[Qtde],supercb[Item],tab_higiene[[#This Row],[Item]],supercb[Bairro],mercado17)</f>
        <v>0</v>
      </c>
      <c r="BB230" s="27" t="n">
        <f aca="false">SUMIFS(super1[Qtde],super1[Item],tab_higiene[[#This Row],[Item]],super1[Bairro],mercado18)+SUMIFS(supercb[Qtde],supercb[Item],tab_higiene[[#This Row],[Item]],supercb[Bairro],mercado18)</f>
        <v>0</v>
      </c>
      <c r="BC230" s="39" t="n">
        <f aca="false">SUMIFS(super1[Qtde],super1[Item],tab_higiene[[#This Row],[Item]],super1[Bairro],extras)+SUMIFS(supercb[Qtde],supercb[Item],tab_higiene[[#This Row],[Item]],supercb[Bairro],extras)</f>
        <v>0</v>
      </c>
      <c r="BD230" s="38" t="n">
        <f aca="false">SUM(AK230:BB230)</f>
        <v>0</v>
      </c>
      <c r="BE230" s="38" t="n">
        <f aca="false">IFERROR(BD230*AJ230,0)</f>
        <v>0</v>
      </c>
      <c r="BF230" s="40" t="n">
        <f aca="false">IFERROR(AI230*BD230,0)</f>
        <v>0</v>
      </c>
    </row>
    <row r="231" customFormat="false" ht="15.75" hidden="false" customHeight="false" outlineLevel="0" collapsed="false">
      <c r="I231" s="26" t="str">
        <f aca="false">alimentos[[#This Row],[Item]]</f>
        <v>Refrigerante lata</v>
      </c>
      <c r="J231" s="27" t="n">
        <f aca="false">IFERROR(alimentos[[#This Row],[kg/embalagem]],0)</f>
        <v>0.35</v>
      </c>
      <c r="K231" s="27" t="n">
        <f aca="false">IFERROR(alimentos[[#This Row],[Preço]],0)</f>
        <v>1.99</v>
      </c>
      <c r="L231" s="27" t="n">
        <f aca="false">SUMIFS(super1[Qtde],super1[Item],tab_alimentos[[#This Row],[Item]],super1[Bairro],mercado1)+SUMIFS(supercb[Qtde],supercb[Item],tab_alimentos[[#This Row],[Item]],supercb[Bairro],mercado1)</f>
        <v>0</v>
      </c>
      <c r="M231" s="27" t="n">
        <f aca="false">SUMIFS(super1[Qtde],super1[Item],tab_alimentos[[#This Row],[Item]],super1[Bairro],mercado2)+SUMIFS(supercb[Qtde],supercb[Item],tab_alimentos[[#This Row],[Item]],supercb[Bairro],mercado2)</f>
        <v>0</v>
      </c>
      <c r="N231" s="27" t="n">
        <f aca="false">SUMIFS(super1[Qtde],super1[Item],tab_alimentos[[#This Row],[Item]],super1[Bairro],mercado3)+SUMIFS(supercb[Qtde],supercb[Item],tab_alimentos[[#This Row],[Item]],supercb[Bairro],mercado3)</f>
        <v>0</v>
      </c>
      <c r="O231" s="27" t="n">
        <f aca="false">SUMIFS(super1[Qtde],super1[Item],tab_alimentos[[#This Row],[Item]],super1[Bairro],mercado4)+SUMIFS(supercb[Qtde],supercb[Item],tab_alimentos[[#This Row],[Item]],supercb[Bairro],mercado4)</f>
        <v>0</v>
      </c>
      <c r="P231" s="27" t="n">
        <f aca="false">SUMIFS(super1[Qtde],super1[Item],tab_alimentos[[#This Row],[Item]],super1[Bairro],mercado5)+SUMIFS(supercb[Qtde],supercb[Item],tab_alimentos[[#This Row],[Item]],supercb[Bairro],mercado5)</f>
        <v>0</v>
      </c>
      <c r="Q231" s="27" t="n">
        <f aca="false">SUMIFS(super1[Qtde],super1[Item],tab_alimentos[[#This Row],[Item]],super1[Bairro],mercado6)+SUMIFS(supercb[Qtde],supercb[Item],tab_alimentos[[#This Row],[Item]],supercb[Bairro],mercado6)</f>
        <v>0</v>
      </c>
      <c r="R231" s="27" t="n">
        <f aca="false">SUMIFS(super1[Qtde],super1[Item],tab_alimentos[[#This Row],[Item]],super1[Bairro],mercado7)+SUMIFS(supercb[Qtde],supercb[Item],tab_alimentos[[#This Row],[Item]],supercb[Bairro],mercado7)</f>
        <v>0</v>
      </c>
      <c r="S231" s="27" t="n">
        <f aca="false">SUMIFS(super1[Qtde],super1[Item],tab_alimentos[[#This Row],[Item]],super1[Bairro],mercado8)+SUMIFS(supercb[Qtde],supercb[Item],tab_alimentos[[#This Row],[Item]],supercb[Bairro],mercado8)</f>
        <v>0</v>
      </c>
      <c r="T231" s="27" t="n">
        <f aca="false">SUMIFS(super1[Qtde],super1[Item],tab_alimentos[[#This Row],[Item]],super1[Bairro],mercado9)+SUMIFS(supercb[Qtde],supercb[Item],tab_alimentos[[#This Row],[Item]],supercb[Bairro],mercado9)</f>
        <v>0</v>
      </c>
      <c r="U231" s="27" t="n">
        <f aca="false">SUMIFS(super1[Qtde],super1[Item],tab_alimentos[[#This Row],[Item]],super1[Bairro],mercado10)+SUMIFS(supercb[Qtde],supercb[Item],tab_alimentos[[#This Row],[Item]],supercb[Bairro],mercado10)</f>
        <v>0</v>
      </c>
      <c r="V231" s="27" t="n">
        <f aca="false">SUMIFS(super1[Qtde],super1[Item],tab_alimentos[[#This Row],[Item]],super1[Bairro],mercado11)+SUMIFS(supercb[Qtde],supercb[Item],tab_alimentos[[#This Row],[Item]],supercb[Bairro],mercado11)</f>
        <v>0</v>
      </c>
      <c r="W231" s="27" t="n">
        <f aca="false">SUMIFS(super1[Qtde],super1[Item],tab_alimentos[[#This Row],[Item]],super1[Bairro],mercado12)+SUMIFS(supercb[Qtde],supercb[Item],tab_alimentos[[#This Row],[Item]],supercb[Bairro],mercado12)</f>
        <v>0</v>
      </c>
      <c r="X231" s="27" t="n">
        <f aca="false">SUMIFS(super1[Qtde],super1[Item],tab_alimentos[[#This Row],[Item]],super1[Bairro],mercado13)+SUMIFS(supercb[Qtde],supercb[Item],tab_alimentos[[#This Row],[Item]],supercb[Bairro],mercado13)</f>
        <v>0</v>
      </c>
      <c r="Y231" s="27" t="n">
        <f aca="false">SUMIFS(super1[Qtde],super1[Item],tab_alimentos[[#This Row],[Item]],super1[Bairro],mercado14)+SUMIFS(supercb[Qtde],supercb[Item],tab_alimentos[[#This Row],[Item]],supercb[Bairro],mercado14)</f>
        <v>0</v>
      </c>
      <c r="Z231" s="27" t="n">
        <f aca="false">SUMIFS(super1[Qtde],super1[Item],tab_alimentos[[#This Row],[Item]],super1[Bairro],mercado15)+SUMIFS(supercb[Qtde],supercb[Item],tab_alimentos[[#This Row],[Item]],supercb[Bairro],mercado15)</f>
        <v>0</v>
      </c>
      <c r="AA231" s="27" t="n">
        <f aca="false">SUMIFS(super1[Qtde],super1[Item],tab_alimentos[[#This Row],[Item]],super1[Bairro],mercado16)+SUMIFS(supercb[Qtde],supercb[Item],tab_alimentos[[#This Row],[Item]],supercb[Bairro],mercado16)</f>
        <v>0</v>
      </c>
      <c r="AB231" s="27" t="n">
        <f aca="false">SUMIFS(super1[Qtde],super1[Item],tab_alimentos[[#This Row],[Item]],super1[Bairro],mercado17)+SUMIFS(supercb[Qtde],supercb[Item],tab_alimentos[[#This Row],[Item]],supercb[Bairro],mercado17)</f>
        <v>0</v>
      </c>
      <c r="AC231" s="27" t="n">
        <f aca="false">SUMIFS(super1[Qtde],super1[Item],tab_alimentos[[#This Row],[Item]],super1[Bairro],mercado18)+SUMIFS(supercb[Qtde],supercb[Item],tab_alimentos[[#This Row],[Item]],supercb[Bairro],mercado18)</f>
        <v>0</v>
      </c>
      <c r="AD231" s="27" t="n">
        <f aca="false">SUMIFS(super1[Qtde],super1[Item],tab_alimentos[[#This Row],[Item]],super1[Bairro],extras)+SUMIFS(supercb[Qtde],supercb[Item],tab_alimentos[[#This Row],[Item]],supercb[Bairro],extras)</f>
        <v>0</v>
      </c>
      <c r="AE231" s="27" t="n">
        <f aca="false">SUM(L231:AC231)</f>
        <v>0</v>
      </c>
      <c r="AF231" s="27" t="n">
        <f aca="false">IFERROR(AE231*K231,0)</f>
        <v>0</v>
      </c>
      <c r="AG231" s="28" t="n">
        <f aca="false">IFERROR(J231*AE231,0)</f>
        <v>0</v>
      </c>
      <c r="AH231" s="37" t="e">
        <f aca="false">higiene[[#This Row],[Item]]</f>
        <v>#VALUE!</v>
      </c>
      <c r="AI231" s="38" t="n">
        <f aca="false">IFERROR(higiene[[#This Row],[Kg equivalente]],0)</f>
        <v>0</v>
      </c>
      <c r="AJ231" s="38" t="n">
        <f aca="false">IFERROR(higiene[[#This Row],[Preço por produto]],0)</f>
        <v>0</v>
      </c>
      <c r="AK231" s="27" t="n">
        <f aca="false">SUMIFS(super1[Qtde],super1[Item],tab_higiene[[#This Row],[Item]],super1[Bairro],mercado1)+SUMIFS(supercb[Qtde],supercb[Item],tab_higiene[[#This Row],[Item]],supercb[Bairro],mercado1)</f>
        <v>0</v>
      </c>
      <c r="AL231" s="27" t="n">
        <f aca="false">SUMIFS(super1[Qtde],super1[Item],tab_higiene[[#This Row],[Item]],super1[Bairro],mercado2)+SUMIFS(supercb[Qtde],supercb[Item],tab_higiene[[#This Row],[Item]],supercb[Bairro],mercado2)</f>
        <v>0</v>
      </c>
      <c r="AM231" s="27" t="n">
        <f aca="false">SUMIFS(super1[Qtde],super1[Item],tab_higiene[[#This Row],[Item]],super1[Bairro],mercado3)+SUMIFS(supercb[Qtde],supercb[Item],tab_higiene[[#This Row],[Item]],supercb[Bairro],mercado3)</f>
        <v>0</v>
      </c>
      <c r="AN231" s="27" t="n">
        <f aca="false">SUMIFS(super1[Qtde],super1[Item],tab_higiene[[#This Row],[Item]],super1[Bairro],mercado4)+SUMIFS(supercb[Qtde],supercb[Item],tab_higiene[[#This Row],[Item]],supercb[Bairro],mercado4)</f>
        <v>0</v>
      </c>
      <c r="AO231" s="27" t="n">
        <f aca="false">SUMIFS(super1[Qtde],super1[Item],tab_higiene[[#This Row],[Item]],super1[Bairro],mercado5)+SUMIFS(supercb[Qtde],supercb[Item],tab_higiene[[#This Row],[Item]],supercb[Bairro],mercado5)</f>
        <v>0</v>
      </c>
      <c r="AP231" s="27" t="n">
        <f aca="false">SUMIFS(super1[Qtde],super1[Item],tab_higiene[[#This Row],[Item]],super1[Bairro],mercado6)+SUMIFS(supercb[Qtde],supercb[Item],tab_higiene[[#This Row],[Item]],supercb[Bairro],mercado6)</f>
        <v>0</v>
      </c>
      <c r="AQ231" s="27" t="n">
        <f aca="false">SUMIFS(super1[Qtde],super1[Item],tab_higiene[[#This Row],[Item]],super1[Bairro],mercado7)+SUMIFS(supercb[Qtde],supercb[Item],tab_higiene[[#This Row],[Item]],supercb[Bairro],mercado7)</f>
        <v>0</v>
      </c>
      <c r="AR231" s="27" t="n">
        <f aca="false">SUMIFS(super1[Qtde],super1[Item],tab_higiene[[#This Row],[Item]],super1[Bairro],mercado8)+SUMIFS(supercb[Qtde],supercb[Item],tab_higiene[[#This Row],[Item]],supercb[Bairro],mercado8)</f>
        <v>0</v>
      </c>
      <c r="AS231" s="27" t="n">
        <f aca="false">SUMIFS(super1[Qtde],super1[Item],tab_higiene[[#This Row],[Item]],super1[Bairro],mercado9)+SUMIFS(supercb[Qtde],supercb[Item],tab_higiene[[#This Row],[Item]],supercb[Bairro],mercado9)</f>
        <v>0</v>
      </c>
      <c r="AT231" s="27" t="n">
        <f aca="false">SUMIFS(super1[Qtde],super1[Item],tab_higiene[[#This Row],[Item]],super1[Bairro],mercado10)+SUMIFS(supercb[Qtde],supercb[Item],tab_higiene[[#This Row],[Item]],supercb[Bairro],mercado10)</f>
        <v>0</v>
      </c>
      <c r="AU231" s="27" t="n">
        <f aca="false">SUMIFS(super1[Qtde],super1[Item],tab_higiene[[#This Row],[Item]],super1[Bairro],mercado11)+SUMIFS(supercb[Qtde],supercb[Item],tab_higiene[[#This Row],[Item]],supercb[Bairro],mercado11)</f>
        <v>0</v>
      </c>
      <c r="AV231" s="27" t="n">
        <f aca="false">SUMIFS(super1[Qtde],super1[Item],tab_higiene[[#This Row],[Item]],super1[Bairro],mercado12)+SUMIFS(supercb[Qtde],supercb[Item],tab_higiene[[#This Row],[Item]],supercb[Bairro],mercado12)</f>
        <v>0</v>
      </c>
      <c r="AW231" s="27" t="n">
        <f aca="false">SUMIFS(super1[Qtde],super1[Item],tab_higiene[[#This Row],[Item]],super1[Bairro],mercado13)+SUMIFS(supercb[Qtde],supercb[Item],tab_higiene[[#This Row],[Item]],supercb[Bairro],mercado13)</f>
        <v>0</v>
      </c>
      <c r="AX231" s="27" t="n">
        <f aca="false">SUMIFS(super1[Qtde],super1[Item],tab_higiene[[#This Row],[Item]],super1[Bairro],mercado14)+SUMIFS(supercb[Qtde],supercb[Item],tab_higiene[[#This Row],[Item]],supercb[Bairro],mercado14)</f>
        <v>0</v>
      </c>
      <c r="AY231" s="27" t="n">
        <f aca="false">SUMIFS(super1[Qtde],super1[Item],tab_higiene[[#This Row],[Item]],super1[Bairro],mercado15)+SUMIFS(supercb[Qtde],supercb[Item],tab_higiene[[#This Row],[Item]],supercb[Bairro],mercado15)</f>
        <v>0</v>
      </c>
      <c r="AZ231" s="27" t="n">
        <f aca="false">SUMIFS(super1[Qtde],super1[Item],tab_higiene[[#This Row],[Item]],super1[Bairro],mercado16)+SUMIFS(supercb[Qtde],supercb[Item],tab_higiene[[#This Row],[Item]],supercb[Bairro],mercado16)</f>
        <v>0</v>
      </c>
      <c r="BA231" s="27" t="n">
        <f aca="false">SUMIFS(super1[Qtde],super1[Item],tab_higiene[[#This Row],[Item]],super1[Bairro],mercado17)+SUMIFS(supercb[Qtde],supercb[Item],tab_higiene[[#This Row],[Item]],supercb[Bairro],mercado17)</f>
        <v>0</v>
      </c>
      <c r="BB231" s="27" t="n">
        <f aca="false">SUMIFS(super1[Qtde],super1[Item],tab_higiene[[#This Row],[Item]],super1[Bairro],mercado18)+SUMIFS(supercb[Qtde],supercb[Item],tab_higiene[[#This Row],[Item]],supercb[Bairro],mercado18)</f>
        <v>0</v>
      </c>
      <c r="BC231" s="39" t="n">
        <f aca="false">SUMIFS(super1[Qtde],super1[Item],tab_higiene[[#This Row],[Item]],super1[Bairro],extras)+SUMIFS(supercb[Qtde],supercb[Item],tab_higiene[[#This Row],[Item]],supercb[Bairro],extras)</f>
        <v>0</v>
      </c>
      <c r="BD231" s="38" t="n">
        <f aca="false">SUM(AK231:BB231)</f>
        <v>0</v>
      </c>
      <c r="BE231" s="38" t="n">
        <f aca="false">IFERROR(BD231*AJ231,0)</f>
        <v>0</v>
      </c>
      <c r="BF231" s="40" t="n">
        <f aca="false">IFERROR(AI231*BD231,0)</f>
        <v>0</v>
      </c>
    </row>
    <row r="232" customFormat="false" ht="15.75" hidden="false" customHeight="false" outlineLevel="0" collapsed="false">
      <c r="I232" s="26" t="str">
        <f aca="false">alimentos[[#This Row],[Item]]</f>
        <v>S</v>
      </c>
      <c r="J232" s="27" t="n">
        <f aca="false">IFERROR(alimentos[[#This Row],[kg/embalagem]],0)</f>
        <v>0</v>
      </c>
      <c r="K232" s="27" t="n">
        <f aca="false">IFERROR(alimentos[[#This Row],[Preço]],0)</f>
        <v>0</v>
      </c>
      <c r="L232" s="27" t="n">
        <f aca="false">SUMIFS(super1[Qtde],super1[Item],tab_alimentos[[#This Row],[Item]],super1[Bairro],mercado1)+SUMIFS(supercb[Qtde],supercb[Item],tab_alimentos[[#This Row],[Item]],supercb[Bairro],mercado1)</f>
        <v>0</v>
      </c>
      <c r="M232" s="27" t="n">
        <f aca="false">SUMIFS(super1[Qtde],super1[Item],tab_alimentos[[#This Row],[Item]],super1[Bairro],mercado2)+SUMIFS(supercb[Qtde],supercb[Item],tab_alimentos[[#This Row],[Item]],supercb[Bairro],mercado2)</f>
        <v>0</v>
      </c>
      <c r="N232" s="27" t="n">
        <f aca="false">SUMIFS(super1[Qtde],super1[Item],tab_alimentos[[#This Row],[Item]],super1[Bairro],mercado3)+SUMIFS(supercb[Qtde],supercb[Item],tab_alimentos[[#This Row],[Item]],supercb[Bairro],mercado3)</f>
        <v>0</v>
      </c>
      <c r="O232" s="27" t="n">
        <f aca="false">SUMIFS(super1[Qtde],super1[Item],tab_alimentos[[#This Row],[Item]],super1[Bairro],mercado4)+SUMIFS(supercb[Qtde],supercb[Item],tab_alimentos[[#This Row],[Item]],supercb[Bairro],mercado4)</f>
        <v>0</v>
      </c>
      <c r="P232" s="27" t="n">
        <f aca="false">SUMIFS(super1[Qtde],super1[Item],tab_alimentos[[#This Row],[Item]],super1[Bairro],mercado5)+SUMIFS(supercb[Qtde],supercb[Item],tab_alimentos[[#This Row],[Item]],supercb[Bairro],mercado5)</f>
        <v>0</v>
      </c>
      <c r="Q232" s="27" t="n">
        <f aca="false">SUMIFS(super1[Qtde],super1[Item],tab_alimentos[[#This Row],[Item]],super1[Bairro],mercado6)+SUMIFS(supercb[Qtde],supercb[Item],tab_alimentos[[#This Row],[Item]],supercb[Bairro],mercado6)</f>
        <v>0</v>
      </c>
      <c r="R232" s="27" t="n">
        <f aca="false">SUMIFS(super1[Qtde],super1[Item],tab_alimentos[[#This Row],[Item]],super1[Bairro],mercado7)+SUMIFS(supercb[Qtde],supercb[Item],tab_alimentos[[#This Row],[Item]],supercb[Bairro],mercado7)</f>
        <v>0</v>
      </c>
      <c r="S232" s="27" t="n">
        <f aca="false">SUMIFS(super1[Qtde],super1[Item],tab_alimentos[[#This Row],[Item]],super1[Bairro],mercado8)+SUMIFS(supercb[Qtde],supercb[Item],tab_alimentos[[#This Row],[Item]],supercb[Bairro],mercado8)</f>
        <v>0</v>
      </c>
      <c r="T232" s="27" t="n">
        <f aca="false">SUMIFS(super1[Qtde],super1[Item],tab_alimentos[[#This Row],[Item]],super1[Bairro],mercado9)+SUMIFS(supercb[Qtde],supercb[Item],tab_alimentos[[#This Row],[Item]],supercb[Bairro],mercado9)</f>
        <v>0</v>
      </c>
      <c r="U232" s="27" t="n">
        <f aca="false">SUMIFS(super1[Qtde],super1[Item],tab_alimentos[[#This Row],[Item]],super1[Bairro],mercado10)+SUMIFS(supercb[Qtde],supercb[Item],tab_alimentos[[#This Row],[Item]],supercb[Bairro],mercado10)</f>
        <v>0</v>
      </c>
      <c r="V232" s="27" t="n">
        <f aca="false">SUMIFS(super1[Qtde],super1[Item],tab_alimentos[[#This Row],[Item]],super1[Bairro],mercado11)+SUMIFS(supercb[Qtde],supercb[Item],tab_alimentos[[#This Row],[Item]],supercb[Bairro],mercado11)</f>
        <v>0</v>
      </c>
      <c r="W232" s="27" t="n">
        <f aca="false">SUMIFS(super1[Qtde],super1[Item],tab_alimentos[[#This Row],[Item]],super1[Bairro],mercado12)+SUMIFS(supercb[Qtde],supercb[Item],tab_alimentos[[#This Row],[Item]],supercb[Bairro],mercado12)</f>
        <v>0</v>
      </c>
      <c r="X232" s="27" t="n">
        <f aca="false">SUMIFS(super1[Qtde],super1[Item],tab_alimentos[[#This Row],[Item]],super1[Bairro],mercado13)+SUMIFS(supercb[Qtde],supercb[Item],tab_alimentos[[#This Row],[Item]],supercb[Bairro],mercado13)</f>
        <v>0</v>
      </c>
      <c r="Y232" s="27" t="n">
        <f aca="false">SUMIFS(super1[Qtde],super1[Item],tab_alimentos[[#This Row],[Item]],super1[Bairro],mercado14)+SUMIFS(supercb[Qtde],supercb[Item],tab_alimentos[[#This Row],[Item]],supercb[Bairro],mercado14)</f>
        <v>0</v>
      </c>
      <c r="Z232" s="27" t="n">
        <f aca="false">SUMIFS(super1[Qtde],super1[Item],tab_alimentos[[#This Row],[Item]],super1[Bairro],mercado15)+SUMIFS(supercb[Qtde],supercb[Item],tab_alimentos[[#This Row],[Item]],supercb[Bairro],mercado15)</f>
        <v>0</v>
      </c>
      <c r="AA232" s="27" t="n">
        <f aca="false">SUMIFS(super1[Qtde],super1[Item],tab_alimentos[[#This Row],[Item]],super1[Bairro],mercado16)+SUMIFS(supercb[Qtde],supercb[Item],tab_alimentos[[#This Row],[Item]],supercb[Bairro],mercado16)</f>
        <v>0</v>
      </c>
      <c r="AB232" s="27" t="n">
        <f aca="false">SUMIFS(super1[Qtde],super1[Item],tab_alimentos[[#This Row],[Item]],super1[Bairro],mercado17)+SUMIFS(supercb[Qtde],supercb[Item],tab_alimentos[[#This Row],[Item]],supercb[Bairro],mercado17)</f>
        <v>0</v>
      </c>
      <c r="AC232" s="27" t="n">
        <f aca="false">SUMIFS(super1[Qtde],super1[Item],tab_alimentos[[#This Row],[Item]],super1[Bairro],mercado18)+SUMIFS(supercb[Qtde],supercb[Item],tab_alimentos[[#This Row],[Item]],supercb[Bairro],mercado18)</f>
        <v>0</v>
      </c>
      <c r="AD232" s="27" t="n">
        <f aca="false">SUMIFS(super1[Qtde],super1[Item],tab_alimentos[[#This Row],[Item]],super1[Bairro],extras)+SUMIFS(supercb[Qtde],supercb[Item],tab_alimentos[[#This Row],[Item]],supercb[Bairro],extras)</f>
        <v>0</v>
      </c>
      <c r="AE232" s="27" t="n">
        <f aca="false">SUM(L232:AC232)</f>
        <v>0</v>
      </c>
      <c r="AF232" s="27" t="n">
        <f aca="false">IFERROR(AE232*K232,0)</f>
        <v>0</v>
      </c>
      <c r="AG232" s="28" t="n">
        <f aca="false">IFERROR(J232*AE232,0)</f>
        <v>0</v>
      </c>
      <c r="AH232" s="37" t="e">
        <f aca="false">higiene[[#This Row],[Item]]</f>
        <v>#VALUE!</v>
      </c>
      <c r="AI232" s="38" t="n">
        <f aca="false">IFERROR(higiene[[#This Row],[Kg equivalente]],0)</f>
        <v>0</v>
      </c>
      <c r="AJ232" s="38" t="n">
        <f aca="false">IFERROR(higiene[[#This Row],[Preço por produto]],0)</f>
        <v>0</v>
      </c>
      <c r="AK232" s="27" t="n">
        <f aca="false">SUMIFS(super1[Qtde],super1[Item],tab_higiene[[#This Row],[Item]],super1[Bairro],mercado1)+SUMIFS(supercb[Qtde],supercb[Item],tab_higiene[[#This Row],[Item]],supercb[Bairro],mercado1)</f>
        <v>0</v>
      </c>
      <c r="AL232" s="27" t="n">
        <f aca="false">SUMIFS(super1[Qtde],super1[Item],tab_higiene[[#This Row],[Item]],super1[Bairro],mercado2)+SUMIFS(supercb[Qtde],supercb[Item],tab_higiene[[#This Row],[Item]],supercb[Bairro],mercado2)</f>
        <v>0</v>
      </c>
      <c r="AM232" s="27" t="n">
        <f aca="false">SUMIFS(super1[Qtde],super1[Item],tab_higiene[[#This Row],[Item]],super1[Bairro],mercado3)+SUMIFS(supercb[Qtde],supercb[Item],tab_higiene[[#This Row],[Item]],supercb[Bairro],mercado3)</f>
        <v>0</v>
      </c>
      <c r="AN232" s="27" t="n">
        <f aca="false">SUMIFS(super1[Qtde],super1[Item],tab_higiene[[#This Row],[Item]],super1[Bairro],mercado4)+SUMIFS(supercb[Qtde],supercb[Item],tab_higiene[[#This Row],[Item]],supercb[Bairro],mercado4)</f>
        <v>0</v>
      </c>
      <c r="AO232" s="27" t="n">
        <f aca="false">SUMIFS(super1[Qtde],super1[Item],tab_higiene[[#This Row],[Item]],super1[Bairro],mercado5)+SUMIFS(supercb[Qtde],supercb[Item],tab_higiene[[#This Row],[Item]],supercb[Bairro],mercado5)</f>
        <v>0</v>
      </c>
      <c r="AP232" s="27" t="n">
        <f aca="false">SUMIFS(super1[Qtde],super1[Item],tab_higiene[[#This Row],[Item]],super1[Bairro],mercado6)+SUMIFS(supercb[Qtde],supercb[Item],tab_higiene[[#This Row],[Item]],supercb[Bairro],mercado6)</f>
        <v>0</v>
      </c>
      <c r="AQ232" s="27" t="n">
        <f aca="false">SUMIFS(super1[Qtde],super1[Item],tab_higiene[[#This Row],[Item]],super1[Bairro],mercado7)+SUMIFS(supercb[Qtde],supercb[Item],tab_higiene[[#This Row],[Item]],supercb[Bairro],mercado7)</f>
        <v>0</v>
      </c>
      <c r="AR232" s="27" t="n">
        <f aca="false">SUMIFS(super1[Qtde],super1[Item],tab_higiene[[#This Row],[Item]],super1[Bairro],mercado8)+SUMIFS(supercb[Qtde],supercb[Item],tab_higiene[[#This Row],[Item]],supercb[Bairro],mercado8)</f>
        <v>0</v>
      </c>
      <c r="AS232" s="27" t="n">
        <f aca="false">SUMIFS(super1[Qtde],super1[Item],tab_higiene[[#This Row],[Item]],super1[Bairro],mercado9)+SUMIFS(supercb[Qtde],supercb[Item],tab_higiene[[#This Row],[Item]],supercb[Bairro],mercado9)</f>
        <v>0</v>
      </c>
      <c r="AT232" s="27" t="n">
        <f aca="false">SUMIFS(super1[Qtde],super1[Item],tab_higiene[[#This Row],[Item]],super1[Bairro],mercado10)+SUMIFS(supercb[Qtde],supercb[Item],tab_higiene[[#This Row],[Item]],supercb[Bairro],mercado10)</f>
        <v>0</v>
      </c>
      <c r="AU232" s="27" t="n">
        <f aca="false">SUMIFS(super1[Qtde],super1[Item],tab_higiene[[#This Row],[Item]],super1[Bairro],mercado11)+SUMIFS(supercb[Qtde],supercb[Item],tab_higiene[[#This Row],[Item]],supercb[Bairro],mercado11)</f>
        <v>0</v>
      </c>
      <c r="AV232" s="27" t="n">
        <f aca="false">SUMIFS(super1[Qtde],super1[Item],tab_higiene[[#This Row],[Item]],super1[Bairro],mercado12)+SUMIFS(supercb[Qtde],supercb[Item],tab_higiene[[#This Row],[Item]],supercb[Bairro],mercado12)</f>
        <v>0</v>
      </c>
      <c r="AW232" s="27" t="n">
        <f aca="false">SUMIFS(super1[Qtde],super1[Item],tab_higiene[[#This Row],[Item]],super1[Bairro],mercado13)+SUMIFS(supercb[Qtde],supercb[Item],tab_higiene[[#This Row],[Item]],supercb[Bairro],mercado13)</f>
        <v>0</v>
      </c>
      <c r="AX232" s="27" t="n">
        <f aca="false">SUMIFS(super1[Qtde],super1[Item],tab_higiene[[#This Row],[Item]],super1[Bairro],mercado14)+SUMIFS(supercb[Qtde],supercb[Item],tab_higiene[[#This Row],[Item]],supercb[Bairro],mercado14)</f>
        <v>0</v>
      </c>
      <c r="AY232" s="27" t="n">
        <f aca="false">SUMIFS(super1[Qtde],super1[Item],tab_higiene[[#This Row],[Item]],super1[Bairro],mercado15)+SUMIFS(supercb[Qtde],supercb[Item],tab_higiene[[#This Row],[Item]],supercb[Bairro],mercado15)</f>
        <v>0</v>
      </c>
      <c r="AZ232" s="27" t="n">
        <f aca="false">SUMIFS(super1[Qtde],super1[Item],tab_higiene[[#This Row],[Item]],super1[Bairro],mercado16)+SUMIFS(supercb[Qtde],supercb[Item],tab_higiene[[#This Row],[Item]],supercb[Bairro],mercado16)</f>
        <v>0</v>
      </c>
      <c r="BA232" s="27" t="n">
        <f aca="false">SUMIFS(super1[Qtde],super1[Item],tab_higiene[[#This Row],[Item]],super1[Bairro],mercado17)+SUMIFS(supercb[Qtde],supercb[Item],tab_higiene[[#This Row],[Item]],supercb[Bairro],mercado17)</f>
        <v>0</v>
      </c>
      <c r="BB232" s="27" t="n">
        <f aca="false">SUMIFS(super1[Qtde],super1[Item],tab_higiene[[#This Row],[Item]],super1[Bairro],mercado18)+SUMIFS(supercb[Qtde],supercb[Item],tab_higiene[[#This Row],[Item]],supercb[Bairro],mercado18)</f>
        <v>0</v>
      </c>
      <c r="BC232" s="39" t="n">
        <f aca="false">SUMIFS(super1[Qtde],super1[Item],tab_higiene[[#This Row],[Item]],super1[Bairro],extras)+SUMIFS(supercb[Qtde],supercb[Item],tab_higiene[[#This Row],[Item]],supercb[Bairro],extras)</f>
        <v>0</v>
      </c>
      <c r="BD232" s="38" t="n">
        <f aca="false">SUM(AK232:BB232)</f>
        <v>0</v>
      </c>
      <c r="BE232" s="38" t="n">
        <f aca="false">IFERROR(BD232*AJ232,0)</f>
        <v>0</v>
      </c>
      <c r="BF232" s="40" t="n">
        <f aca="false">IFERROR(AI232*BD232,0)</f>
        <v>0</v>
      </c>
    </row>
    <row r="233" customFormat="false" ht="15.75" hidden="false" customHeight="false" outlineLevel="0" collapsed="false">
      <c r="I233" s="26" t="str">
        <f aca="false">alimentos[[#This Row],[Item]]</f>
        <v>Sagu (150g)</v>
      </c>
      <c r="J233" s="27" t="n">
        <f aca="false">IFERROR(alimentos[[#This Row],[kg/embalagem]],0)</f>
        <v>0.15</v>
      </c>
      <c r="K233" s="27" t="n">
        <f aca="false">IFERROR(alimentos[[#This Row],[Preço]],0)</f>
        <v>6.99</v>
      </c>
      <c r="L233" s="27" t="n">
        <f aca="false">SUMIFS(super1[Qtde],super1[Item],tab_alimentos[[#This Row],[Item]],super1[Bairro],mercado1)+SUMIFS(supercb[Qtde],supercb[Item],tab_alimentos[[#This Row],[Item]],supercb[Bairro],mercado1)</f>
        <v>0</v>
      </c>
      <c r="M233" s="27" t="n">
        <f aca="false">SUMIFS(super1[Qtde],super1[Item],tab_alimentos[[#This Row],[Item]],super1[Bairro],mercado2)+SUMIFS(supercb[Qtde],supercb[Item],tab_alimentos[[#This Row],[Item]],supercb[Bairro],mercado2)</f>
        <v>0</v>
      </c>
      <c r="N233" s="27" t="n">
        <f aca="false">SUMIFS(super1[Qtde],super1[Item],tab_alimentos[[#This Row],[Item]],super1[Bairro],mercado3)+SUMIFS(supercb[Qtde],supercb[Item],tab_alimentos[[#This Row],[Item]],supercb[Bairro],mercado3)</f>
        <v>0</v>
      </c>
      <c r="O233" s="27" t="n">
        <f aca="false">SUMIFS(super1[Qtde],super1[Item],tab_alimentos[[#This Row],[Item]],super1[Bairro],mercado4)+SUMIFS(supercb[Qtde],supercb[Item],tab_alimentos[[#This Row],[Item]],supercb[Bairro],mercado4)</f>
        <v>0</v>
      </c>
      <c r="P233" s="27" t="n">
        <f aca="false">SUMIFS(super1[Qtde],super1[Item],tab_alimentos[[#This Row],[Item]],super1[Bairro],mercado5)+SUMIFS(supercb[Qtde],supercb[Item],tab_alimentos[[#This Row],[Item]],supercb[Bairro],mercado5)</f>
        <v>0</v>
      </c>
      <c r="Q233" s="27" t="n">
        <f aca="false">SUMIFS(super1[Qtde],super1[Item],tab_alimentos[[#This Row],[Item]],super1[Bairro],mercado6)+SUMIFS(supercb[Qtde],supercb[Item],tab_alimentos[[#This Row],[Item]],supercb[Bairro],mercado6)</f>
        <v>0</v>
      </c>
      <c r="R233" s="27" t="n">
        <f aca="false">SUMIFS(super1[Qtde],super1[Item],tab_alimentos[[#This Row],[Item]],super1[Bairro],mercado7)+SUMIFS(supercb[Qtde],supercb[Item],tab_alimentos[[#This Row],[Item]],supercb[Bairro],mercado7)</f>
        <v>0</v>
      </c>
      <c r="S233" s="27" t="n">
        <f aca="false">SUMIFS(super1[Qtde],super1[Item],tab_alimentos[[#This Row],[Item]],super1[Bairro],mercado8)+SUMIFS(supercb[Qtde],supercb[Item],tab_alimentos[[#This Row],[Item]],supercb[Bairro],mercado8)</f>
        <v>0</v>
      </c>
      <c r="T233" s="27" t="n">
        <f aca="false">SUMIFS(super1[Qtde],super1[Item],tab_alimentos[[#This Row],[Item]],super1[Bairro],mercado9)+SUMIFS(supercb[Qtde],supercb[Item],tab_alimentos[[#This Row],[Item]],supercb[Bairro],mercado9)</f>
        <v>0</v>
      </c>
      <c r="U233" s="27" t="n">
        <f aca="false">SUMIFS(super1[Qtde],super1[Item],tab_alimentos[[#This Row],[Item]],super1[Bairro],mercado10)+SUMIFS(supercb[Qtde],supercb[Item],tab_alimentos[[#This Row],[Item]],supercb[Bairro],mercado10)</f>
        <v>0</v>
      </c>
      <c r="V233" s="27" t="n">
        <f aca="false">SUMIFS(super1[Qtde],super1[Item],tab_alimentos[[#This Row],[Item]],super1[Bairro],mercado11)+SUMIFS(supercb[Qtde],supercb[Item],tab_alimentos[[#This Row],[Item]],supercb[Bairro],mercado11)</f>
        <v>0</v>
      </c>
      <c r="W233" s="27" t="n">
        <f aca="false">SUMIFS(super1[Qtde],super1[Item],tab_alimentos[[#This Row],[Item]],super1[Bairro],mercado12)+SUMIFS(supercb[Qtde],supercb[Item],tab_alimentos[[#This Row],[Item]],supercb[Bairro],mercado12)</f>
        <v>0</v>
      </c>
      <c r="X233" s="27" t="n">
        <f aca="false">SUMIFS(super1[Qtde],super1[Item],tab_alimentos[[#This Row],[Item]],super1[Bairro],mercado13)+SUMIFS(supercb[Qtde],supercb[Item],tab_alimentos[[#This Row],[Item]],supercb[Bairro],mercado13)</f>
        <v>0</v>
      </c>
      <c r="Y233" s="27" t="n">
        <f aca="false">SUMIFS(super1[Qtde],super1[Item],tab_alimentos[[#This Row],[Item]],super1[Bairro],mercado14)+SUMIFS(supercb[Qtde],supercb[Item],tab_alimentos[[#This Row],[Item]],supercb[Bairro],mercado14)</f>
        <v>0</v>
      </c>
      <c r="Z233" s="27" t="n">
        <f aca="false">SUMIFS(super1[Qtde],super1[Item],tab_alimentos[[#This Row],[Item]],super1[Bairro],mercado15)+SUMIFS(supercb[Qtde],supercb[Item],tab_alimentos[[#This Row],[Item]],supercb[Bairro],mercado15)</f>
        <v>0</v>
      </c>
      <c r="AA233" s="27" t="n">
        <f aca="false">SUMIFS(super1[Qtde],super1[Item],tab_alimentos[[#This Row],[Item]],super1[Bairro],mercado16)+SUMIFS(supercb[Qtde],supercb[Item],tab_alimentos[[#This Row],[Item]],supercb[Bairro],mercado16)</f>
        <v>0</v>
      </c>
      <c r="AB233" s="27" t="n">
        <f aca="false">SUMIFS(super1[Qtde],super1[Item],tab_alimentos[[#This Row],[Item]],super1[Bairro],mercado17)+SUMIFS(supercb[Qtde],supercb[Item],tab_alimentos[[#This Row],[Item]],supercb[Bairro],mercado17)</f>
        <v>0</v>
      </c>
      <c r="AC233" s="27" t="n">
        <f aca="false">SUMIFS(super1[Qtde],super1[Item],tab_alimentos[[#This Row],[Item]],super1[Bairro],mercado18)+SUMIFS(supercb[Qtde],supercb[Item],tab_alimentos[[#This Row],[Item]],supercb[Bairro],mercado18)</f>
        <v>0</v>
      </c>
      <c r="AD233" s="27" t="n">
        <f aca="false">SUMIFS(super1[Qtde],super1[Item],tab_alimentos[[#This Row],[Item]],super1[Bairro],extras)+SUMIFS(supercb[Qtde],supercb[Item],tab_alimentos[[#This Row],[Item]],supercb[Bairro],extras)</f>
        <v>0</v>
      </c>
      <c r="AE233" s="27" t="n">
        <f aca="false">SUM(L233:AC233)</f>
        <v>0</v>
      </c>
      <c r="AF233" s="27" t="n">
        <f aca="false">IFERROR(AE233*K233,0)</f>
        <v>0</v>
      </c>
      <c r="AG233" s="28" t="n">
        <f aca="false">IFERROR(J233*AE233,0)</f>
        <v>0</v>
      </c>
      <c r="AH233" s="37" t="e">
        <f aca="false">higiene[[#This Row],[Item]]</f>
        <v>#VALUE!</v>
      </c>
      <c r="AI233" s="38" t="n">
        <f aca="false">IFERROR(higiene[[#This Row],[Kg equivalente]],0)</f>
        <v>0</v>
      </c>
      <c r="AJ233" s="38" t="n">
        <f aca="false">IFERROR(higiene[[#This Row],[Preço por produto]],0)</f>
        <v>0</v>
      </c>
      <c r="AK233" s="27" t="n">
        <f aca="false">SUMIFS(super1[Qtde],super1[Item],tab_higiene[[#This Row],[Item]],super1[Bairro],mercado1)+SUMIFS(supercb[Qtde],supercb[Item],tab_higiene[[#This Row],[Item]],supercb[Bairro],mercado1)</f>
        <v>0</v>
      </c>
      <c r="AL233" s="27" t="n">
        <f aca="false">SUMIFS(super1[Qtde],super1[Item],tab_higiene[[#This Row],[Item]],super1[Bairro],mercado2)+SUMIFS(supercb[Qtde],supercb[Item],tab_higiene[[#This Row],[Item]],supercb[Bairro],mercado2)</f>
        <v>0</v>
      </c>
      <c r="AM233" s="27" t="n">
        <f aca="false">SUMIFS(super1[Qtde],super1[Item],tab_higiene[[#This Row],[Item]],super1[Bairro],mercado3)+SUMIFS(supercb[Qtde],supercb[Item],tab_higiene[[#This Row],[Item]],supercb[Bairro],mercado3)</f>
        <v>0</v>
      </c>
      <c r="AN233" s="27" t="n">
        <f aca="false">SUMIFS(super1[Qtde],super1[Item],tab_higiene[[#This Row],[Item]],super1[Bairro],mercado4)+SUMIFS(supercb[Qtde],supercb[Item],tab_higiene[[#This Row],[Item]],supercb[Bairro],mercado4)</f>
        <v>0</v>
      </c>
      <c r="AO233" s="27" t="n">
        <f aca="false">SUMIFS(super1[Qtde],super1[Item],tab_higiene[[#This Row],[Item]],super1[Bairro],mercado5)+SUMIFS(supercb[Qtde],supercb[Item],tab_higiene[[#This Row],[Item]],supercb[Bairro],mercado5)</f>
        <v>0</v>
      </c>
      <c r="AP233" s="27" t="n">
        <f aca="false">SUMIFS(super1[Qtde],super1[Item],tab_higiene[[#This Row],[Item]],super1[Bairro],mercado6)+SUMIFS(supercb[Qtde],supercb[Item],tab_higiene[[#This Row],[Item]],supercb[Bairro],mercado6)</f>
        <v>0</v>
      </c>
      <c r="AQ233" s="27" t="n">
        <f aca="false">SUMIFS(super1[Qtde],super1[Item],tab_higiene[[#This Row],[Item]],super1[Bairro],mercado7)+SUMIFS(supercb[Qtde],supercb[Item],tab_higiene[[#This Row],[Item]],supercb[Bairro],mercado7)</f>
        <v>0</v>
      </c>
      <c r="AR233" s="27" t="n">
        <f aca="false">SUMIFS(super1[Qtde],super1[Item],tab_higiene[[#This Row],[Item]],super1[Bairro],mercado8)+SUMIFS(supercb[Qtde],supercb[Item],tab_higiene[[#This Row],[Item]],supercb[Bairro],mercado8)</f>
        <v>0</v>
      </c>
      <c r="AS233" s="27" t="n">
        <f aca="false">SUMIFS(super1[Qtde],super1[Item],tab_higiene[[#This Row],[Item]],super1[Bairro],mercado9)+SUMIFS(supercb[Qtde],supercb[Item],tab_higiene[[#This Row],[Item]],supercb[Bairro],mercado9)</f>
        <v>0</v>
      </c>
      <c r="AT233" s="27" t="n">
        <f aca="false">SUMIFS(super1[Qtde],super1[Item],tab_higiene[[#This Row],[Item]],super1[Bairro],mercado10)+SUMIFS(supercb[Qtde],supercb[Item],tab_higiene[[#This Row],[Item]],supercb[Bairro],mercado10)</f>
        <v>0</v>
      </c>
      <c r="AU233" s="27" t="n">
        <f aca="false">SUMIFS(super1[Qtde],super1[Item],tab_higiene[[#This Row],[Item]],super1[Bairro],mercado11)+SUMIFS(supercb[Qtde],supercb[Item],tab_higiene[[#This Row],[Item]],supercb[Bairro],mercado11)</f>
        <v>0</v>
      </c>
      <c r="AV233" s="27" t="n">
        <f aca="false">SUMIFS(super1[Qtde],super1[Item],tab_higiene[[#This Row],[Item]],super1[Bairro],mercado12)+SUMIFS(supercb[Qtde],supercb[Item],tab_higiene[[#This Row],[Item]],supercb[Bairro],mercado12)</f>
        <v>0</v>
      </c>
      <c r="AW233" s="27" t="n">
        <f aca="false">SUMIFS(super1[Qtde],super1[Item],tab_higiene[[#This Row],[Item]],super1[Bairro],mercado13)+SUMIFS(supercb[Qtde],supercb[Item],tab_higiene[[#This Row],[Item]],supercb[Bairro],mercado13)</f>
        <v>0</v>
      </c>
      <c r="AX233" s="27" t="n">
        <f aca="false">SUMIFS(super1[Qtde],super1[Item],tab_higiene[[#This Row],[Item]],super1[Bairro],mercado14)+SUMIFS(supercb[Qtde],supercb[Item],tab_higiene[[#This Row],[Item]],supercb[Bairro],mercado14)</f>
        <v>0</v>
      </c>
      <c r="AY233" s="27" t="n">
        <f aca="false">SUMIFS(super1[Qtde],super1[Item],tab_higiene[[#This Row],[Item]],super1[Bairro],mercado15)+SUMIFS(supercb[Qtde],supercb[Item],tab_higiene[[#This Row],[Item]],supercb[Bairro],mercado15)</f>
        <v>0</v>
      </c>
      <c r="AZ233" s="27" t="n">
        <f aca="false">SUMIFS(super1[Qtde],super1[Item],tab_higiene[[#This Row],[Item]],super1[Bairro],mercado16)+SUMIFS(supercb[Qtde],supercb[Item],tab_higiene[[#This Row],[Item]],supercb[Bairro],mercado16)</f>
        <v>0</v>
      </c>
      <c r="BA233" s="27" t="n">
        <f aca="false">SUMIFS(super1[Qtde],super1[Item],tab_higiene[[#This Row],[Item]],super1[Bairro],mercado17)+SUMIFS(supercb[Qtde],supercb[Item],tab_higiene[[#This Row],[Item]],supercb[Bairro],mercado17)</f>
        <v>0</v>
      </c>
      <c r="BB233" s="27" t="n">
        <f aca="false">SUMIFS(super1[Qtde],super1[Item],tab_higiene[[#This Row],[Item]],super1[Bairro],mercado18)+SUMIFS(supercb[Qtde],supercb[Item],tab_higiene[[#This Row],[Item]],supercb[Bairro],mercado18)</f>
        <v>0</v>
      </c>
      <c r="BC233" s="39" t="n">
        <f aca="false">SUMIFS(super1[Qtde],super1[Item],tab_higiene[[#This Row],[Item]],super1[Bairro],extras)+SUMIFS(supercb[Qtde],supercb[Item],tab_higiene[[#This Row],[Item]],supercb[Bairro],extras)</f>
        <v>0</v>
      </c>
      <c r="BD233" s="38" t="n">
        <f aca="false">SUM(AK233:BB233)</f>
        <v>0</v>
      </c>
      <c r="BE233" s="38" t="n">
        <f aca="false">IFERROR(BD233*AJ233,0)</f>
        <v>0</v>
      </c>
      <c r="BF233" s="40" t="n">
        <f aca="false">IFERROR(AI233*BD233,0)</f>
        <v>0</v>
      </c>
    </row>
    <row r="234" customFormat="false" ht="15.75" hidden="false" customHeight="false" outlineLevel="0" collapsed="false">
      <c r="I234" s="26" t="str">
        <f aca="false">alimentos[[#This Row],[Item]]</f>
        <v>Sagu (250g)</v>
      </c>
      <c r="J234" s="27" t="n">
        <f aca="false">IFERROR(alimentos[[#This Row],[kg/embalagem]],0)</f>
        <v>0.25</v>
      </c>
      <c r="K234" s="27" t="n">
        <f aca="false">IFERROR(alimentos[[#This Row],[Preço]],0)</f>
        <v>8.89</v>
      </c>
      <c r="L234" s="27" t="n">
        <f aca="false">SUMIFS(super1[Qtde],super1[Item],tab_alimentos[[#This Row],[Item]],super1[Bairro],mercado1)+SUMIFS(supercb[Qtde],supercb[Item],tab_alimentos[[#This Row],[Item]],supercb[Bairro],mercado1)</f>
        <v>0</v>
      </c>
      <c r="M234" s="27" t="n">
        <f aca="false">SUMIFS(super1[Qtde],super1[Item],tab_alimentos[[#This Row],[Item]],super1[Bairro],mercado2)+SUMIFS(supercb[Qtde],supercb[Item],tab_alimentos[[#This Row],[Item]],supercb[Bairro],mercado2)</f>
        <v>0</v>
      </c>
      <c r="N234" s="27" t="n">
        <f aca="false">SUMIFS(super1[Qtde],super1[Item],tab_alimentos[[#This Row],[Item]],super1[Bairro],mercado3)+SUMIFS(supercb[Qtde],supercb[Item],tab_alimentos[[#This Row],[Item]],supercb[Bairro],mercado3)</f>
        <v>0</v>
      </c>
      <c r="O234" s="27" t="n">
        <f aca="false">SUMIFS(super1[Qtde],super1[Item],tab_alimentos[[#This Row],[Item]],super1[Bairro],mercado4)+SUMIFS(supercb[Qtde],supercb[Item],tab_alimentos[[#This Row],[Item]],supercb[Bairro],mercado4)</f>
        <v>0</v>
      </c>
      <c r="P234" s="27" t="n">
        <f aca="false">SUMIFS(super1[Qtde],super1[Item],tab_alimentos[[#This Row],[Item]],super1[Bairro],mercado5)+SUMIFS(supercb[Qtde],supercb[Item],tab_alimentos[[#This Row],[Item]],supercb[Bairro],mercado5)</f>
        <v>0</v>
      </c>
      <c r="Q234" s="27" t="n">
        <f aca="false">SUMIFS(super1[Qtde],super1[Item],tab_alimentos[[#This Row],[Item]],super1[Bairro],mercado6)+SUMIFS(supercb[Qtde],supercb[Item],tab_alimentos[[#This Row],[Item]],supercb[Bairro],mercado6)</f>
        <v>0</v>
      </c>
      <c r="R234" s="27" t="n">
        <f aca="false">SUMIFS(super1[Qtde],super1[Item],tab_alimentos[[#This Row],[Item]],super1[Bairro],mercado7)+SUMIFS(supercb[Qtde],supercb[Item],tab_alimentos[[#This Row],[Item]],supercb[Bairro],mercado7)</f>
        <v>0</v>
      </c>
      <c r="S234" s="27" t="n">
        <f aca="false">SUMIFS(super1[Qtde],super1[Item],tab_alimentos[[#This Row],[Item]],super1[Bairro],mercado8)+SUMIFS(supercb[Qtde],supercb[Item],tab_alimentos[[#This Row],[Item]],supercb[Bairro],mercado8)</f>
        <v>0</v>
      </c>
      <c r="T234" s="27" t="n">
        <f aca="false">SUMIFS(super1[Qtde],super1[Item],tab_alimentos[[#This Row],[Item]],super1[Bairro],mercado9)+SUMIFS(supercb[Qtde],supercb[Item],tab_alimentos[[#This Row],[Item]],supercb[Bairro],mercado9)</f>
        <v>0</v>
      </c>
      <c r="U234" s="27" t="n">
        <f aca="false">SUMIFS(super1[Qtde],super1[Item],tab_alimentos[[#This Row],[Item]],super1[Bairro],mercado10)+SUMIFS(supercb[Qtde],supercb[Item],tab_alimentos[[#This Row],[Item]],supercb[Bairro],mercado10)</f>
        <v>0</v>
      </c>
      <c r="V234" s="27" t="n">
        <f aca="false">SUMIFS(super1[Qtde],super1[Item],tab_alimentos[[#This Row],[Item]],super1[Bairro],mercado11)+SUMIFS(supercb[Qtde],supercb[Item],tab_alimentos[[#This Row],[Item]],supercb[Bairro],mercado11)</f>
        <v>0</v>
      </c>
      <c r="W234" s="27" t="n">
        <f aca="false">SUMIFS(super1[Qtde],super1[Item],tab_alimentos[[#This Row],[Item]],super1[Bairro],mercado12)+SUMIFS(supercb[Qtde],supercb[Item],tab_alimentos[[#This Row],[Item]],supercb[Bairro],mercado12)</f>
        <v>0</v>
      </c>
      <c r="X234" s="27" t="n">
        <f aca="false">SUMIFS(super1[Qtde],super1[Item],tab_alimentos[[#This Row],[Item]],super1[Bairro],mercado13)+SUMIFS(supercb[Qtde],supercb[Item],tab_alimentos[[#This Row],[Item]],supercb[Bairro],mercado13)</f>
        <v>0</v>
      </c>
      <c r="Y234" s="27" t="n">
        <f aca="false">SUMIFS(super1[Qtde],super1[Item],tab_alimentos[[#This Row],[Item]],super1[Bairro],mercado14)+SUMIFS(supercb[Qtde],supercb[Item],tab_alimentos[[#This Row],[Item]],supercb[Bairro],mercado14)</f>
        <v>0</v>
      </c>
      <c r="Z234" s="27" t="n">
        <f aca="false">SUMIFS(super1[Qtde],super1[Item],tab_alimentos[[#This Row],[Item]],super1[Bairro],mercado15)+SUMIFS(supercb[Qtde],supercb[Item],tab_alimentos[[#This Row],[Item]],supercb[Bairro],mercado15)</f>
        <v>0</v>
      </c>
      <c r="AA234" s="27" t="n">
        <f aca="false">SUMIFS(super1[Qtde],super1[Item],tab_alimentos[[#This Row],[Item]],super1[Bairro],mercado16)+SUMIFS(supercb[Qtde],supercb[Item],tab_alimentos[[#This Row],[Item]],supercb[Bairro],mercado16)</f>
        <v>0</v>
      </c>
      <c r="AB234" s="27" t="n">
        <f aca="false">SUMIFS(super1[Qtde],super1[Item],tab_alimentos[[#This Row],[Item]],super1[Bairro],mercado17)+SUMIFS(supercb[Qtde],supercb[Item],tab_alimentos[[#This Row],[Item]],supercb[Bairro],mercado17)</f>
        <v>0</v>
      </c>
      <c r="AC234" s="27" t="n">
        <f aca="false">SUMIFS(super1[Qtde],super1[Item],tab_alimentos[[#This Row],[Item]],super1[Bairro],mercado18)+SUMIFS(supercb[Qtde],supercb[Item],tab_alimentos[[#This Row],[Item]],supercb[Bairro],mercado18)</f>
        <v>0</v>
      </c>
      <c r="AD234" s="27" t="n">
        <f aca="false">SUMIFS(super1[Qtde],super1[Item],tab_alimentos[[#This Row],[Item]],super1[Bairro],extras)+SUMIFS(supercb[Qtde],supercb[Item],tab_alimentos[[#This Row],[Item]],supercb[Bairro],extras)</f>
        <v>0</v>
      </c>
      <c r="AE234" s="27" t="n">
        <f aca="false">SUM(L234:AC234)</f>
        <v>0</v>
      </c>
      <c r="AF234" s="27" t="n">
        <f aca="false">IFERROR(AE234*K234,0)</f>
        <v>0</v>
      </c>
      <c r="AG234" s="28" t="n">
        <f aca="false">IFERROR(J234*AE234,0)</f>
        <v>0</v>
      </c>
      <c r="AH234" s="37" t="e">
        <f aca="false">higiene[[#This Row],[Item]]</f>
        <v>#VALUE!</v>
      </c>
      <c r="AI234" s="38" t="n">
        <f aca="false">IFERROR(higiene[[#This Row],[Kg equivalente]],0)</f>
        <v>0</v>
      </c>
      <c r="AJ234" s="38" t="n">
        <f aca="false">IFERROR(higiene[[#This Row],[Preço por produto]],0)</f>
        <v>0</v>
      </c>
      <c r="AK234" s="27" t="n">
        <f aca="false">SUMIFS(super1[Qtde],super1[Item],tab_higiene[[#This Row],[Item]],super1[Bairro],mercado1)+SUMIFS(supercb[Qtde],supercb[Item],tab_higiene[[#This Row],[Item]],supercb[Bairro],mercado1)</f>
        <v>0</v>
      </c>
      <c r="AL234" s="27" t="n">
        <f aca="false">SUMIFS(super1[Qtde],super1[Item],tab_higiene[[#This Row],[Item]],super1[Bairro],mercado2)+SUMIFS(supercb[Qtde],supercb[Item],tab_higiene[[#This Row],[Item]],supercb[Bairro],mercado2)</f>
        <v>0</v>
      </c>
      <c r="AM234" s="27" t="n">
        <f aca="false">SUMIFS(super1[Qtde],super1[Item],tab_higiene[[#This Row],[Item]],super1[Bairro],mercado3)+SUMIFS(supercb[Qtde],supercb[Item],tab_higiene[[#This Row],[Item]],supercb[Bairro],mercado3)</f>
        <v>0</v>
      </c>
      <c r="AN234" s="27" t="n">
        <f aca="false">SUMIFS(super1[Qtde],super1[Item],tab_higiene[[#This Row],[Item]],super1[Bairro],mercado4)+SUMIFS(supercb[Qtde],supercb[Item],tab_higiene[[#This Row],[Item]],supercb[Bairro],mercado4)</f>
        <v>0</v>
      </c>
      <c r="AO234" s="27" t="n">
        <f aca="false">SUMIFS(super1[Qtde],super1[Item],tab_higiene[[#This Row],[Item]],super1[Bairro],mercado5)+SUMIFS(supercb[Qtde],supercb[Item],tab_higiene[[#This Row],[Item]],supercb[Bairro],mercado5)</f>
        <v>0</v>
      </c>
      <c r="AP234" s="27" t="n">
        <f aca="false">SUMIFS(super1[Qtde],super1[Item],tab_higiene[[#This Row],[Item]],super1[Bairro],mercado6)+SUMIFS(supercb[Qtde],supercb[Item],tab_higiene[[#This Row],[Item]],supercb[Bairro],mercado6)</f>
        <v>0</v>
      </c>
      <c r="AQ234" s="27" t="n">
        <f aca="false">SUMIFS(super1[Qtde],super1[Item],tab_higiene[[#This Row],[Item]],super1[Bairro],mercado7)+SUMIFS(supercb[Qtde],supercb[Item],tab_higiene[[#This Row],[Item]],supercb[Bairro],mercado7)</f>
        <v>0</v>
      </c>
      <c r="AR234" s="27" t="n">
        <f aca="false">SUMIFS(super1[Qtde],super1[Item],tab_higiene[[#This Row],[Item]],super1[Bairro],mercado8)+SUMIFS(supercb[Qtde],supercb[Item],tab_higiene[[#This Row],[Item]],supercb[Bairro],mercado8)</f>
        <v>0</v>
      </c>
      <c r="AS234" s="27" t="n">
        <f aca="false">SUMIFS(super1[Qtde],super1[Item],tab_higiene[[#This Row],[Item]],super1[Bairro],mercado9)+SUMIFS(supercb[Qtde],supercb[Item],tab_higiene[[#This Row],[Item]],supercb[Bairro],mercado9)</f>
        <v>0</v>
      </c>
      <c r="AT234" s="27" t="n">
        <f aca="false">SUMIFS(super1[Qtde],super1[Item],tab_higiene[[#This Row],[Item]],super1[Bairro],mercado10)+SUMIFS(supercb[Qtde],supercb[Item],tab_higiene[[#This Row],[Item]],supercb[Bairro],mercado10)</f>
        <v>0</v>
      </c>
      <c r="AU234" s="27" t="n">
        <f aca="false">SUMIFS(super1[Qtde],super1[Item],tab_higiene[[#This Row],[Item]],super1[Bairro],mercado11)+SUMIFS(supercb[Qtde],supercb[Item],tab_higiene[[#This Row],[Item]],supercb[Bairro],mercado11)</f>
        <v>0</v>
      </c>
      <c r="AV234" s="27" t="n">
        <f aca="false">SUMIFS(super1[Qtde],super1[Item],tab_higiene[[#This Row],[Item]],super1[Bairro],mercado12)+SUMIFS(supercb[Qtde],supercb[Item],tab_higiene[[#This Row],[Item]],supercb[Bairro],mercado12)</f>
        <v>0</v>
      </c>
      <c r="AW234" s="27" t="n">
        <f aca="false">SUMIFS(super1[Qtde],super1[Item],tab_higiene[[#This Row],[Item]],super1[Bairro],mercado13)+SUMIFS(supercb[Qtde],supercb[Item],tab_higiene[[#This Row],[Item]],supercb[Bairro],mercado13)</f>
        <v>0</v>
      </c>
      <c r="AX234" s="27" t="n">
        <f aca="false">SUMIFS(super1[Qtde],super1[Item],tab_higiene[[#This Row],[Item]],super1[Bairro],mercado14)+SUMIFS(supercb[Qtde],supercb[Item],tab_higiene[[#This Row],[Item]],supercb[Bairro],mercado14)</f>
        <v>0</v>
      </c>
      <c r="AY234" s="27" t="n">
        <f aca="false">SUMIFS(super1[Qtde],super1[Item],tab_higiene[[#This Row],[Item]],super1[Bairro],mercado15)+SUMIFS(supercb[Qtde],supercb[Item],tab_higiene[[#This Row],[Item]],supercb[Bairro],mercado15)</f>
        <v>0</v>
      </c>
      <c r="AZ234" s="27" t="n">
        <f aca="false">SUMIFS(super1[Qtde],super1[Item],tab_higiene[[#This Row],[Item]],super1[Bairro],mercado16)+SUMIFS(supercb[Qtde],supercb[Item],tab_higiene[[#This Row],[Item]],supercb[Bairro],mercado16)</f>
        <v>0</v>
      </c>
      <c r="BA234" s="27" t="n">
        <f aca="false">SUMIFS(super1[Qtde],super1[Item],tab_higiene[[#This Row],[Item]],super1[Bairro],mercado17)+SUMIFS(supercb[Qtde],supercb[Item],tab_higiene[[#This Row],[Item]],supercb[Bairro],mercado17)</f>
        <v>0</v>
      </c>
      <c r="BB234" s="27" t="n">
        <f aca="false">SUMIFS(super1[Qtde],super1[Item],tab_higiene[[#This Row],[Item]],super1[Bairro],mercado18)+SUMIFS(supercb[Qtde],supercb[Item],tab_higiene[[#This Row],[Item]],supercb[Bairro],mercado18)</f>
        <v>0</v>
      </c>
      <c r="BC234" s="39" t="n">
        <f aca="false">SUMIFS(super1[Qtde],super1[Item],tab_higiene[[#This Row],[Item]],super1[Bairro],extras)+SUMIFS(supercb[Qtde],supercb[Item],tab_higiene[[#This Row],[Item]],supercb[Bairro],extras)</f>
        <v>0</v>
      </c>
      <c r="BD234" s="38" t="n">
        <f aca="false">SUM(AK234:BB234)</f>
        <v>0</v>
      </c>
      <c r="BE234" s="38" t="n">
        <f aca="false">IFERROR(BD234*AJ234,0)</f>
        <v>0</v>
      </c>
      <c r="BF234" s="40" t="n">
        <f aca="false">IFERROR(AI234*BD234,0)</f>
        <v>0</v>
      </c>
    </row>
    <row r="235" customFormat="false" ht="15.75" hidden="false" customHeight="false" outlineLevel="0" collapsed="false">
      <c r="I235" s="26" t="str">
        <f aca="false">alimentos[[#This Row],[Item]]</f>
        <v>Sagu (500g)</v>
      </c>
      <c r="J235" s="27" t="n">
        <f aca="false">IFERROR(alimentos[[#This Row],[kg/embalagem]],0)</f>
        <v>0.5</v>
      </c>
      <c r="K235" s="27" t="n">
        <f aca="false">IFERROR(alimentos[[#This Row],[Preço]],0)</f>
        <v>6.99</v>
      </c>
      <c r="L235" s="27" t="n">
        <f aca="false">SUMIFS(super1[Qtde],super1[Item],tab_alimentos[[#This Row],[Item]],super1[Bairro],mercado1)+SUMIFS(supercb[Qtde],supercb[Item],tab_alimentos[[#This Row],[Item]],supercb[Bairro],mercado1)</f>
        <v>0</v>
      </c>
      <c r="M235" s="27" t="n">
        <f aca="false">SUMIFS(super1[Qtde],super1[Item],tab_alimentos[[#This Row],[Item]],super1[Bairro],mercado2)+SUMIFS(supercb[Qtde],supercb[Item],tab_alimentos[[#This Row],[Item]],supercb[Bairro],mercado2)</f>
        <v>0</v>
      </c>
      <c r="N235" s="27" t="n">
        <f aca="false">SUMIFS(super1[Qtde],super1[Item],tab_alimentos[[#This Row],[Item]],super1[Bairro],mercado3)+SUMIFS(supercb[Qtde],supercb[Item],tab_alimentos[[#This Row],[Item]],supercb[Bairro],mercado3)</f>
        <v>0</v>
      </c>
      <c r="O235" s="27" t="n">
        <f aca="false">SUMIFS(super1[Qtde],super1[Item],tab_alimentos[[#This Row],[Item]],super1[Bairro],mercado4)+SUMIFS(supercb[Qtde],supercb[Item],tab_alimentos[[#This Row],[Item]],supercb[Bairro],mercado4)</f>
        <v>0</v>
      </c>
      <c r="P235" s="27" t="n">
        <f aca="false">SUMIFS(super1[Qtde],super1[Item],tab_alimentos[[#This Row],[Item]],super1[Bairro],mercado5)+SUMIFS(supercb[Qtde],supercb[Item],tab_alimentos[[#This Row],[Item]],supercb[Bairro],mercado5)</f>
        <v>0</v>
      </c>
      <c r="Q235" s="27" t="n">
        <f aca="false">SUMIFS(super1[Qtde],super1[Item],tab_alimentos[[#This Row],[Item]],super1[Bairro],mercado6)+SUMIFS(supercb[Qtde],supercb[Item],tab_alimentos[[#This Row],[Item]],supercb[Bairro],mercado6)</f>
        <v>0</v>
      </c>
      <c r="R235" s="27" t="n">
        <f aca="false">SUMIFS(super1[Qtde],super1[Item],tab_alimentos[[#This Row],[Item]],super1[Bairro],mercado7)+SUMIFS(supercb[Qtde],supercb[Item],tab_alimentos[[#This Row],[Item]],supercb[Bairro],mercado7)</f>
        <v>0</v>
      </c>
      <c r="S235" s="27" t="n">
        <f aca="false">SUMIFS(super1[Qtde],super1[Item],tab_alimentos[[#This Row],[Item]],super1[Bairro],mercado8)+SUMIFS(supercb[Qtde],supercb[Item],tab_alimentos[[#This Row],[Item]],supercb[Bairro],mercado8)</f>
        <v>0</v>
      </c>
      <c r="T235" s="27" t="n">
        <f aca="false">SUMIFS(super1[Qtde],super1[Item],tab_alimentos[[#This Row],[Item]],super1[Bairro],mercado9)+SUMIFS(supercb[Qtde],supercb[Item],tab_alimentos[[#This Row],[Item]],supercb[Bairro],mercado9)</f>
        <v>0</v>
      </c>
      <c r="U235" s="27" t="n">
        <f aca="false">SUMIFS(super1[Qtde],super1[Item],tab_alimentos[[#This Row],[Item]],super1[Bairro],mercado10)+SUMIFS(supercb[Qtde],supercb[Item],tab_alimentos[[#This Row],[Item]],supercb[Bairro],mercado10)</f>
        <v>0</v>
      </c>
      <c r="V235" s="27" t="n">
        <f aca="false">SUMIFS(super1[Qtde],super1[Item],tab_alimentos[[#This Row],[Item]],super1[Bairro],mercado11)+SUMIFS(supercb[Qtde],supercb[Item],tab_alimentos[[#This Row],[Item]],supercb[Bairro],mercado11)</f>
        <v>0</v>
      </c>
      <c r="W235" s="27" t="n">
        <f aca="false">SUMIFS(super1[Qtde],super1[Item],tab_alimentos[[#This Row],[Item]],super1[Bairro],mercado12)+SUMIFS(supercb[Qtde],supercb[Item],tab_alimentos[[#This Row],[Item]],supercb[Bairro],mercado12)</f>
        <v>0</v>
      </c>
      <c r="X235" s="27" t="n">
        <f aca="false">SUMIFS(super1[Qtde],super1[Item],tab_alimentos[[#This Row],[Item]],super1[Bairro],mercado13)+SUMIFS(supercb[Qtde],supercb[Item],tab_alimentos[[#This Row],[Item]],supercb[Bairro],mercado13)</f>
        <v>0</v>
      </c>
      <c r="Y235" s="27" t="n">
        <f aca="false">SUMIFS(super1[Qtde],super1[Item],tab_alimentos[[#This Row],[Item]],super1[Bairro],mercado14)+SUMIFS(supercb[Qtde],supercb[Item],tab_alimentos[[#This Row],[Item]],supercb[Bairro],mercado14)</f>
        <v>0</v>
      </c>
      <c r="Z235" s="27" t="n">
        <f aca="false">SUMIFS(super1[Qtde],super1[Item],tab_alimentos[[#This Row],[Item]],super1[Bairro],mercado15)+SUMIFS(supercb[Qtde],supercb[Item],tab_alimentos[[#This Row],[Item]],supercb[Bairro],mercado15)</f>
        <v>0</v>
      </c>
      <c r="AA235" s="27" t="n">
        <f aca="false">SUMIFS(super1[Qtde],super1[Item],tab_alimentos[[#This Row],[Item]],super1[Bairro],mercado16)+SUMIFS(supercb[Qtde],supercb[Item],tab_alimentos[[#This Row],[Item]],supercb[Bairro],mercado16)</f>
        <v>0</v>
      </c>
      <c r="AB235" s="27" t="n">
        <f aca="false">SUMIFS(super1[Qtde],super1[Item],tab_alimentos[[#This Row],[Item]],super1[Bairro],mercado17)+SUMIFS(supercb[Qtde],supercb[Item],tab_alimentos[[#This Row],[Item]],supercb[Bairro],mercado17)</f>
        <v>0</v>
      </c>
      <c r="AC235" s="27" t="n">
        <f aca="false">SUMIFS(super1[Qtde],super1[Item],tab_alimentos[[#This Row],[Item]],super1[Bairro],mercado18)+SUMIFS(supercb[Qtde],supercb[Item],tab_alimentos[[#This Row],[Item]],supercb[Bairro],mercado18)</f>
        <v>0</v>
      </c>
      <c r="AD235" s="27" t="n">
        <f aca="false">SUMIFS(super1[Qtde],super1[Item],tab_alimentos[[#This Row],[Item]],super1[Bairro],extras)+SUMIFS(supercb[Qtde],supercb[Item],tab_alimentos[[#This Row],[Item]],supercb[Bairro],extras)</f>
        <v>0</v>
      </c>
      <c r="AE235" s="27" t="n">
        <f aca="false">SUM(L235:AC235)</f>
        <v>0</v>
      </c>
      <c r="AF235" s="27" t="n">
        <f aca="false">IFERROR(AE235*K235,0)</f>
        <v>0</v>
      </c>
      <c r="AG235" s="28" t="n">
        <f aca="false">IFERROR(J235*AE235,0)</f>
        <v>0</v>
      </c>
      <c r="AH235" s="37" t="e">
        <f aca="false">higiene[[#This Row],[Item]]</f>
        <v>#VALUE!</v>
      </c>
      <c r="AI235" s="38" t="n">
        <f aca="false">IFERROR(higiene[[#This Row],[Kg equivalente]],0)</f>
        <v>0</v>
      </c>
      <c r="AJ235" s="38" t="n">
        <f aca="false">IFERROR(higiene[[#This Row],[Preço por produto]],0)</f>
        <v>0</v>
      </c>
      <c r="AK235" s="27" t="n">
        <f aca="false">SUMIFS(super1[Qtde],super1[Item],tab_higiene[[#This Row],[Item]],super1[Bairro],mercado1)+SUMIFS(supercb[Qtde],supercb[Item],tab_higiene[[#This Row],[Item]],supercb[Bairro],mercado1)</f>
        <v>0</v>
      </c>
      <c r="AL235" s="27" t="n">
        <f aca="false">SUMIFS(super1[Qtde],super1[Item],tab_higiene[[#This Row],[Item]],super1[Bairro],mercado2)+SUMIFS(supercb[Qtde],supercb[Item],tab_higiene[[#This Row],[Item]],supercb[Bairro],mercado2)</f>
        <v>0</v>
      </c>
      <c r="AM235" s="27" t="n">
        <f aca="false">SUMIFS(super1[Qtde],super1[Item],tab_higiene[[#This Row],[Item]],super1[Bairro],mercado3)+SUMIFS(supercb[Qtde],supercb[Item],tab_higiene[[#This Row],[Item]],supercb[Bairro],mercado3)</f>
        <v>0</v>
      </c>
      <c r="AN235" s="27" t="n">
        <f aca="false">SUMIFS(super1[Qtde],super1[Item],tab_higiene[[#This Row],[Item]],super1[Bairro],mercado4)+SUMIFS(supercb[Qtde],supercb[Item],tab_higiene[[#This Row],[Item]],supercb[Bairro],mercado4)</f>
        <v>0</v>
      </c>
      <c r="AO235" s="27" t="n">
        <f aca="false">SUMIFS(super1[Qtde],super1[Item],tab_higiene[[#This Row],[Item]],super1[Bairro],mercado5)+SUMIFS(supercb[Qtde],supercb[Item],tab_higiene[[#This Row],[Item]],supercb[Bairro],mercado5)</f>
        <v>0</v>
      </c>
      <c r="AP235" s="27" t="n">
        <f aca="false">SUMIFS(super1[Qtde],super1[Item],tab_higiene[[#This Row],[Item]],super1[Bairro],mercado6)+SUMIFS(supercb[Qtde],supercb[Item],tab_higiene[[#This Row],[Item]],supercb[Bairro],mercado6)</f>
        <v>0</v>
      </c>
      <c r="AQ235" s="27" t="n">
        <f aca="false">SUMIFS(super1[Qtde],super1[Item],tab_higiene[[#This Row],[Item]],super1[Bairro],mercado7)+SUMIFS(supercb[Qtde],supercb[Item],tab_higiene[[#This Row],[Item]],supercb[Bairro],mercado7)</f>
        <v>0</v>
      </c>
      <c r="AR235" s="27" t="n">
        <f aca="false">SUMIFS(super1[Qtde],super1[Item],tab_higiene[[#This Row],[Item]],super1[Bairro],mercado8)+SUMIFS(supercb[Qtde],supercb[Item],tab_higiene[[#This Row],[Item]],supercb[Bairro],mercado8)</f>
        <v>0</v>
      </c>
      <c r="AS235" s="27" t="n">
        <f aca="false">SUMIFS(super1[Qtde],super1[Item],tab_higiene[[#This Row],[Item]],super1[Bairro],mercado9)+SUMIFS(supercb[Qtde],supercb[Item],tab_higiene[[#This Row],[Item]],supercb[Bairro],mercado9)</f>
        <v>0</v>
      </c>
      <c r="AT235" s="27" t="n">
        <f aca="false">SUMIFS(super1[Qtde],super1[Item],tab_higiene[[#This Row],[Item]],super1[Bairro],mercado10)+SUMIFS(supercb[Qtde],supercb[Item],tab_higiene[[#This Row],[Item]],supercb[Bairro],mercado10)</f>
        <v>0</v>
      </c>
      <c r="AU235" s="27" t="n">
        <f aca="false">SUMIFS(super1[Qtde],super1[Item],tab_higiene[[#This Row],[Item]],super1[Bairro],mercado11)+SUMIFS(supercb[Qtde],supercb[Item],tab_higiene[[#This Row],[Item]],supercb[Bairro],mercado11)</f>
        <v>0</v>
      </c>
      <c r="AV235" s="27" t="n">
        <f aca="false">SUMIFS(super1[Qtde],super1[Item],tab_higiene[[#This Row],[Item]],super1[Bairro],mercado12)+SUMIFS(supercb[Qtde],supercb[Item],tab_higiene[[#This Row],[Item]],supercb[Bairro],mercado12)</f>
        <v>0</v>
      </c>
      <c r="AW235" s="27" t="n">
        <f aca="false">SUMIFS(super1[Qtde],super1[Item],tab_higiene[[#This Row],[Item]],super1[Bairro],mercado13)+SUMIFS(supercb[Qtde],supercb[Item],tab_higiene[[#This Row],[Item]],supercb[Bairro],mercado13)</f>
        <v>0</v>
      </c>
      <c r="AX235" s="27" t="n">
        <f aca="false">SUMIFS(super1[Qtde],super1[Item],tab_higiene[[#This Row],[Item]],super1[Bairro],mercado14)+SUMIFS(supercb[Qtde],supercb[Item],tab_higiene[[#This Row],[Item]],supercb[Bairro],mercado14)</f>
        <v>0</v>
      </c>
      <c r="AY235" s="27" t="n">
        <f aca="false">SUMIFS(super1[Qtde],super1[Item],tab_higiene[[#This Row],[Item]],super1[Bairro],mercado15)+SUMIFS(supercb[Qtde],supercb[Item],tab_higiene[[#This Row],[Item]],supercb[Bairro],mercado15)</f>
        <v>0</v>
      </c>
      <c r="AZ235" s="27" t="n">
        <f aca="false">SUMIFS(super1[Qtde],super1[Item],tab_higiene[[#This Row],[Item]],super1[Bairro],mercado16)+SUMIFS(supercb[Qtde],supercb[Item],tab_higiene[[#This Row],[Item]],supercb[Bairro],mercado16)</f>
        <v>0</v>
      </c>
      <c r="BA235" s="27" t="n">
        <f aca="false">SUMIFS(super1[Qtde],super1[Item],tab_higiene[[#This Row],[Item]],super1[Bairro],mercado17)+SUMIFS(supercb[Qtde],supercb[Item],tab_higiene[[#This Row],[Item]],supercb[Bairro],mercado17)</f>
        <v>0</v>
      </c>
      <c r="BB235" s="27" t="n">
        <f aca="false">SUMIFS(super1[Qtde],super1[Item],tab_higiene[[#This Row],[Item]],super1[Bairro],mercado18)+SUMIFS(supercb[Qtde],supercb[Item],tab_higiene[[#This Row],[Item]],supercb[Bairro],mercado18)</f>
        <v>0</v>
      </c>
      <c r="BC235" s="39" t="n">
        <f aca="false">SUMIFS(super1[Qtde],super1[Item],tab_higiene[[#This Row],[Item]],super1[Bairro],extras)+SUMIFS(supercb[Qtde],supercb[Item],tab_higiene[[#This Row],[Item]],supercb[Bairro],extras)</f>
        <v>0</v>
      </c>
      <c r="BD235" s="38" t="n">
        <f aca="false">SUM(AK235:BB235)</f>
        <v>0</v>
      </c>
      <c r="BE235" s="38" t="n">
        <f aca="false">IFERROR(BD235*AJ235,0)</f>
        <v>0</v>
      </c>
      <c r="BF235" s="40" t="n">
        <f aca="false">IFERROR(AI235*BD235,0)</f>
        <v>0</v>
      </c>
    </row>
    <row r="236" customFormat="false" ht="15.75" hidden="false" customHeight="false" outlineLevel="0" collapsed="false">
      <c r="I236" s="26" t="str">
        <f aca="false">alimentos[[#This Row],[Item]]</f>
        <v>Sal (1kg)</v>
      </c>
      <c r="J236" s="27" t="n">
        <f aca="false">IFERROR(alimentos[[#This Row],[kg/embalagem]],0)</f>
        <v>1</v>
      </c>
      <c r="K236" s="27" t="n">
        <f aca="false">IFERROR(alimentos[[#This Row],[Preço]],0)</f>
        <v>1.68666666666667</v>
      </c>
      <c r="L236" s="27" t="n">
        <f aca="false">SUMIFS(super1[Qtde],super1[Item],tab_alimentos[[#This Row],[Item]],super1[Bairro],mercado1)+SUMIFS(supercb[Qtde],supercb[Item],tab_alimentos[[#This Row],[Item]],supercb[Bairro],mercado1)</f>
        <v>0</v>
      </c>
      <c r="M236" s="27" t="n">
        <f aca="false">SUMIFS(super1[Qtde],super1[Item],tab_alimentos[[#This Row],[Item]],super1[Bairro],mercado2)+SUMIFS(supercb[Qtde],supercb[Item],tab_alimentos[[#This Row],[Item]],supercb[Bairro],mercado2)</f>
        <v>2</v>
      </c>
      <c r="N236" s="27" t="n">
        <f aca="false">SUMIFS(super1[Qtde],super1[Item],tab_alimentos[[#This Row],[Item]],super1[Bairro],mercado3)+SUMIFS(supercb[Qtde],supercb[Item],tab_alimentos[[#This Row],[Item]],supercb[Bairro],mercado3)</f>
        <v>1</v>
      </c>
      <c r="O236" s="27" t="n">
        <f aca="false">SUMIFS(super1[Qtde],super1[Item],tab_alimentos[[#This Row],[Item]],super1[Bairro],mercado4)+SUMIFS(supercb[Qtde],supercb[Item],tab_alimentos[[#This Row],[Item]],supercb[Bairro],mercado4)</f>
        <v>1</v>
      </c>
      <c r="P236" s="27" t="n">
        <f aca="false">SUMIFS(super1[Qtde],super1[Item],tab_alimentos[[#This Row],[Item]],super1[Bairro],mercado5)+SUMIFS(supercb[Qtde],supercb[Item],tab_alimentos[[#This Row],[Item]],supercb[Bairro],mercado5)</f>
        <v>1</v>
      </c>
      <c r="Q236" s="27" t="n">
        <f aca="false">SUMIFS(super1[Qtde],super1[Item],tab_alimentos[[#This Row],[Item]],super1[Bairro],mercado6)+SUMIFS(supercb[Qtde],supercb[Item],tab_alimentos[[#This Row],[Item]],supercb[Bairro],mercado6)</f>
        <v>2</v>
      </c>
      <c r="R236" s="27" t="n">
        <f aca="false">SUMIFS(super1[Qtde],super1[Item],tab_alimentos[[#This Row],[Item]],super1[Bairro],mercado7)+SUMIFS(supercb[Qtde],supercb[Item],tab_alimentos[[#This Row],[Item]],supercb[Bairro],mercado7)</f>
        <v>1</v>
      </c>
      <c r="S236" s="27" t="n">
        <f aca="false">SUMIFS(super1[Qtde],super1[Item],tab_alimentos[[#This Row],[Item]],super1[Bairro],mercado8)+SUMIFS(supercb[Qtde],supercb[Item],tab_alimentos[[#This Row],[Item]],supercb[Bairro],mercado8)</f>
        <v>3</v>
      </c>
      <c r="T236" s="27" t="n">
        <f aca="false">SUMIFS(super1[Qtde],super1[Item],tab_alimentos[[#This Row],[Item]],super1[Bairro],mercado9)+SUMIFS(supercb[Qtde],supercb[Item],tab_alimentos[[#This Row],[Item]],supercb[Bairro],mercado9)</f>
        <v>4</v>
      </c>
      <c r="U236" s="27" t="n">
        <f aca="false">SUMIFS(super1[Qtde],super1[Item],tab_alimentos[[#This Row],[Item]],super1[Bairro],mercado10)+SUMIFS(supercb[Qtde],supercb[Item],tab_alimentos[[#This Row],[Item]],supercb[Bairro],mercado10)</f>
        <v>2</v>
      </c>
      <c r="V236" s="27" t="n">
        <f aca="false">SUMIFS(super1[Qtde],super1[Item],tab_alimentos[[#This Row],[Item]],super1[Bairro],mercado11)+SUMIFS(supercb[Qtde],supercb[Item],tab_alimentos[[#This Row],[Item]],supercb[Bairro],mercado11)</f>
        <v>5</v>
      </c>
      <c r="W236" s="27" t="n">
        <f aca="false">SUMIFS(super1[Qtde],super1[Item],tab_alimentos[[#This Row],[Item]],super1[Bairro],mercado12)+SUMIFS(supercb[Qtde],supercb[Item],tab_alimentos[[#This Row],[Item]],supercb[Bairro],mercado12)</f>
        <v>0</v>
      </c>
      <c r="X236" s="27" t="n">
        <f aca="false">SUMIFS(super1[Qtde],super1[Item],tab_alimentos[[#This Row],[Item]],super1[Bairro],mercado13)+SUMIFS(supercb[Qtde],supercb[Item],tab_alimentos[[#This Row],[Item]],supercb[Bairro],mercado13)</f>
        <v>6</v>
      </c>
      <c r="Y236" s="27" t="n">
        <f aca="false">SUMIFS(super1[Qtde],super1[Item],tab_alimentos[[#This Row],[Item]],super1[Bairro],mercado14)+SUMIFS(supercb[Qtde],supercb[Item],tab_alimentos[[#This Row],[Item]],supercb[Bairro],mercado14)</f>
        <v>0</v>
      </c>
      <c r="Z236" s="27" t="n">
        <f aca="false">SUMIFS(super1[Qtde],super1[Item],tab_alimentos[[#This Row],[Item]],super1[Bairro],mercado15)+SUMIFS(supercb[Qtde],supercb[Item],tab_alimentos[[#This Row],[Item]],supercb[Bairro],mercado15)</f>
        <v>0</v>
      </c>
      <c r="AA236" s="27" t="n">
        <f aca="false">SUMIFS(super1[Qtde],super1[Item],tab_alimentos[[#This Row],[Item]],super1[Bairro],mercado16)+SUMIFS(supercb[Qtde],supercb[Item],tab_alimentos[[#This Row],[Item]],supercb[Bairro],mercado16)</f>
        <v>0</v>
      </c>
      <c r="AB236" s="27" t="n">
        <f aca="false">SUMIFS(super1[Qtde],super1[Item],tab_alimentos[[#This Row],[Item]],super1[Bairro],mercado17)+SUMIFS(supercb[Qtde],supercb[Item],tab_alimentos[[#This Row],[Item]],supercb[Bairro],mercado17)</f>
        <v>0</v>
      </c>
      <c r="AC236" s="27" t="n">
        <f aca="false">SUMIFS(super1[Qtde],super1[Item],tab_alimentos[[#This Row],[Item]],super1[Bairro],mercado18)+SUMIFS(supercb[Qtde],supercb[Item],tab_alimentos[[#This Row],[Item]],supercb[Bairro],mercado18)</f>
        <v>0</v>
      </c>
      <c r="AD236" s="27" t="n">
        <f aca="false">SUMIFS(super1[Qtde],super1[Item],tab_alimentos[[#This Row],[Item]],super1[Bairro],extras)+SUMIFS(supercb[Qtde],supercb[Item],tab_alimentos[[#This Row],[Item]],supercb[Bairro],extras)</f>
        <v>0</v>
      </c>
      <c r="AE236" s="27" t="n">
        <f aca="false">SUM(L236:AC236)</f>
        <v>28</v>
      </c>
      <c r="AF236" s="27" t="n">
        <f aca="false">IFERROR(AE236*K236,0)</f>
        <v>47.2266666666667</v>
      </c>
      <c r="AG236" s="28" t="n">
        <f aca="false">IFERROR(J236*AE236,0)</f>
        <v>28</v>
      </c>
      <c r="AH236" s="37" t="e">
        <f aca="false">higiene[[#This Row],[Item]]</f>
        <v>#VALUE!</v>
      </c>
      <c r="AI236" s="38" t="n">
        <f aca="false">IFERROR(higiene[[#This Row],[Kg equivalente]],0)</f>
        <v>0</v>
      </c>
      <c r="AJ236" s="38" t="n">
        <f aca="false">IFERROR(higiene[[#This Row],[Preço por produto]],0)</f>
        <v>0</v>
      </c>
      <c r="AK236" s="27" t="n">
        <f aca="false">SUMIFS(super1[Qtde],super1[Item],tab_higiene[[#This Row],[Item]],super1[Bairro],mercado1)+SUMIFS(supercb[Qtde],supercb[Item],tab_higiene[[#This Row],[Item]],supercb[Bairro],mercado1)</f>
        <v>0</v>
      </c>
      <c r="AL236" s="27" t="n">
        <f aca="false">SUMIFS(super1[Qtde],super1[Item],tab_higiene[[#This Row],[Item]],super1[Bairro],mercado2)+SUMIFS(supercb[Qtde],supercb[Item],tab_higiene[[#This Row],[Item]],supercb[Bairro],mercado2)</f>
        <v>0</v>
      </c>
      <c r="AM236" s="27" t="n">
        <f aca="false">SUMIFS(super1[Qtde],super1[Item],tab_higiene[[#This Row],[Item]],super1[Bairro],mercado3)+SUMIFS(supercb[Qtde],supercb[Item],tab_higiene[[#This Row],[Item]],supercb[Bairro],mercado3)</f>
        <v>0</v>
      </c>
      <c r="AN236" s="27" t="n">
        <f aca="false">SUMIFS(super1[Qtde],super1[Item],tab_higiene[[#This Row],[Item]],super1[Bairro],mercado4)+SUMIFS(supercb[Qtde],supercb[Item],tab_higiene[[#This Row],[Item]],supercb[Bairro],mercado4)</f>
        <v>0</v>
      </c>
      <c r="AO236" s="27" t="n">
        <f aca="false">SUMIFS(super1[Qtde],super1[Item],tab_higiene[[#This Row],[Item]],super1[Bairro],mercado5)+SUMIFS(supercb[Qtde],supercb[Item],tab_higiene[[#This Row],[Item]],supercb[Bairro],mercado5)</f>
        <v>0</v>
      </c>
      <c r="AP236" s="27" t="n">
        <f aca="false">SUMIFS(super1[Qtde],super1[Item],tab_higiene[[#This Row],[Item]],super1[Bairro],mercado6)+SUMIFS(supercb[Qtde],supercb[Item],tab_higiene[[#This Row],[Item]],supercb[Bairro],mercado6)</f>
        <v>0</v>
      </c>
      <c r="AQ236" s="27" t="n">
        <f aca="false">SUMIFS(super1[Qtde],super1[Item],tab_higiene[[#This Row],[Item]],super1[Bairro],mercado7)+SUMIFS(supercb[Qtde],supercb[Item],tab_higiene[[#This Row],[Item]],supercb[Bairro],mercado7)</f>
        <v>0</v>
      </c>
      <c r="AR236" s="27" t="n">
        <f aca="false">SUMIFS(super1[Qtde],super1[Item],tab_higiene[[#This Row],[Item]],super1[Bairro],mercado8)+SUMIFS(supercb[Qtde],supercb[Item],tab_higiene[[#This Row],[Item]],supercb[Bairro],mercado8)</f>
        <v>0</v>
      </c>
      <c r="AS236" s="27" t="n">
        <f aca="false">SUMIFS(super1[Qtde],super1[Item],tab_higiene[[#This Row],[Item]],super1[Bairro],mercado9)+SUMIFS(supercb[Qtde],supercb[Item],tab_higiene[[#This Row],[Item]],supercb[Bairro],mercado9)</f>
        <v>0</v>
      </c>
      <c r="AT236" s="27" t="n">
        <f aca="false">SUMIFS(super1[Qtde],super1[Item],tab_higiene[[#This Row],[Item]],super1[Bairro],mercado10)+SUMIFS(supercb[Qtde],supercb[Item],tab_higiene[[#This Row],[Item]],supercb[Bairro],mercado10)</f>
        <v>0</v>
      </c>
      <c r="AU236" s="27" t="n">
        <f aca="false">SUMIFS(super1[Qtde],super1[Item],tab_higiene[[#This Row],[Item]],super1[Bairro],mercado11)+SUMIFS(supercb[Qtde],supercb[Item],tab_higiene[[#This Row],[Item]],supercb[Bairro],mercado11)</f>
        <v>0</v>
      </c>
      <c r="AV236" s="27" t="n">
        <f aca="false">SUMIFS(super1[Qtde],super1[Item],tab_higiene[[#This Row],[Item]],super1[Bairro],mercado12)+SUMIFS(supercb[Qtde],supercb[Item],tab_higiene[[#This Row],[Item]],supercb[Bairro],mercado12)</f>
        <v>0</v>
      </c>
      <c r="AW236" s="27" t="n">
        <f aca="false">SUMIFS(super1[Qtde],super1[Item],tab_higiene[[#This Row],[Item]],super1[Bairro],mercado13)+SUMIFS(supercb[Qtde],supercb[Item],tab_higiene[[#This Row],[Item]],supercb[Bairro],mercado13)</f>
        <v>0</v>
      </c>
      <c r="AX236" s="27" t="n">
        <f aca="false">SUMIFS(super1[Qtde],super1[Item],tab_higiene[[#This Row],[Item]],super1[Bairro],mercado14)+SUMIFS(supercb[Qtde],supercb[Item],tab_higiene[[#This Row],[Item]],supercb[Bairro],mercado14)</f>
        <v>0</v>
      </c>
      <c r="AY236" s="27" t="n">
        <f aca="false">SUMIFS(super1[Qtde],super1[Item],tab_higiene[[#This Row],[Item]],super1[Bairro],mercado15)+SUMIFS(supercb[Qtde],supercb[Item],tab_higiene[[#This Row],[Item]],supercb[Bairro],mercado15)</f>
        <v>0</v>
      </c>
      <c r="AZ236" s="27" t="n">
        <f aca="false">SUMIFS(super1[Qtde],super1[Item],tab_higiene[[#This Row],[Item]],super1[Bairro],mercado16)+SUMIFS(supercb[Qtde],supercb[Item],tab_higiene[[#This Row],[Item]],supercb[Bairro],mercado16)</f>
        <v>0</v>
      </c>
      <c r="BA236" s="27" t="n">
        <f aca="false">SUMIFS(super1[Qtde],super1[Item],tab_higiene[[#This Row],[Item]],super1[Bairro],mercado17)+SUMIFS(supercb[Qtde],supercb[Item],tab_higiene[[#This Row],[Item]],supercb[Bairro],mercado17)</f>
        <v>0</v>
      </c>
      <c r="BB236" s="27" t="n">
        <f aca="false">SUMIFS(super1[Qtde],super1[Item],tab_higiene[[#This Row],[Item]],super1[Bairro],mercado18)+SUMIFS(supercb[Qtde],supercb[Item],tab_higiene[[#This Row],[Item]],supercb[Bairro],mercado18)</f>
        <v>0</v>
      </c>
      <c r="BC236" s="39" t="n">
        <f aca="false">SUMIFS(super1[Qtde],super1[Item],tab_higiene[[#This Row],[Item]],super1[Bairro],extras)+SUMIFS(supercb[Qtde],supercb[Item],tab_higiene[[#This Row],[Item]],supercb[Bairro],extras)</f>
        <v>0</v>
      </c>
      <c r="BD236" s="38" t="n">
        <f aca="false">SUM(AK236:BB236)</f>
        <v>0</v>
      </c>
      <c r="BE236" s="38" t="n">
        <f aca="false">IFERROR(BD236*AJ236,0)</f>
        <v>0</v>
      </c>
      <c r="BF236" s="40" t="n">
        <f aca="false">IFERROR(AI236*BD236,0)</f>
        <v>0</v>
      </c>
    </row>
    <row r="237" customFormat="false" ht="15.75" hidden="false" customHeight="false" outlineLevel="0" collapsed="false">
      <c r="I237" s="26" t="str">
        <f aca="false">alimentos[[#This Row],[Item]]</f>
        <v>Sal (500g)</v>
      </c>
      <c r="J237" s="27" t="n">
        <f aca="false">IFERROR(alimentos[[#This Row],[kg/embalagem]],0)</f>
        <v>0.5</v>
      </c>
      <c r="K237" s="27" t="n">
        <f aca="false">IFERROR(alimentos[[#This Row],[Preço]],0)</f>
        <v>6.92</v>
      </c>
      <c r="L237" s="27" t="n">
        <f aca="false">SUMIFS(super1[Qtde],super1[Item],tab_alimentos[[#This Row],[Item]],super1[Bairro],mercado1)+SUMIFS(supercb[Qtde],supercb[Item],tab_alimentos[[#This Row],[Item]],supercb[Bairro],mercado1)</f>
        <v>0</v>
      </c>
      <c r="M237" s="27" t="n">
        <f aca="false">SUMIFS(super1[Qtde],super1[Item],tab_alimentos[[#This Row],[Item]],super1[Bairro],mercado2)+SUMIFS(supercb[Qtde],supercb[Item],tab_alimentos[[#This Row],[Item]],supercb[Bairro],mercado2)</f>
        <v>0</v>
      </c>
      <c r="N237" s="27" t="n">
        <f aca="false">SUMIFS(super1[Qtde],super1[Item],tab_alimentos[[#This Row],[Item]],super1[Bairro],mercado3)+SUMIFS(supercb[Qtde],supercb[Item],tab_alimentos[[#This Row],[Item]],supercb[Bairro],mercado3)</f>
        <v>0</v>
      </c>
      <c r="O237" s="27" t="n">
        <f aca="false">SUMIFS(super1[Qtde],super1[Item],tab_alimentos[[#This Row],[Item]],super1[Bairro],mercado4)+SUMIFS(supercb[Qtde],supercb[Item],tab_alimentos[[#This Row],[Item]],supercb[Bairro],mercado4)</f>
        <v>0</v>
      </c>
      <c r="P237" s="27" t="n">
        <f aca="false">SUMIFS(super1[Qtde],super1[Item],tab_alimentos[[#This Row],[Item]],super1[Bairro],mercado5)+SUMIFS(supercb[Qtde],supercb[Item],tab_alimentos[[#This Row],[Item]],supercb[Bairro],mercado5)</f>
        <v>0</v>
      </c>
      <c r="Q237" s="27" t="n">
        <f aca="false">SUMIFS(super1[Qtde],super1[Item],tab_alimentos[[#This Row],[Item]],super1[Bairro],mercado6)+SUMIFS(supercb[Qtde],supercb[Item],tab_alimentos[[#This Row],[Item]],supercb[Bairro],mercado6)</f>
        <v>0</v>
      </c>
      <c r="R237" s="27" t="n">
        <f aca="false">SUMIFS(super1[Qtde],super1[Item],tab_alimentos[[#This Row],[Item]],super1[Bairro],mercado7)+SUMIFS(supercb[Qtde],supercb[Item],tab_alimentos[[#This Row],[Item]],supercb[Bairro],mercado7)</f>
        <v>0</v>
      </c>
      <c r="S237" s="27" t="n">
        <f aca="false">SUMIFS(super1[Qtde],super1[Item],tab_alimentos[[#This Row],[Item]],super1[Bairro],mercado8)+SUMIFS(supercb[Qtde],supercb[Item],tab_alimentos[[#This Row],[Item]],supercb[Bairro],mercado8)</f>
        <v>0</v>
      </c>
      <c r="T237" s="27" t="n">
        <f aca="false">SUMIFS(super1[Qtde],super1[Item],tab_alimentos[[#This Row],[Item]],super1[Bairro],mercado9)+SUMIFS(supercb[Qtde],supercb[Item],tab_alimentos[[#This Row],[Item]],supercb[Bairro],mercado9)</f>
        <v>0</v>
      </c>
      <c r="U237" s="27" t="n">
        <f aca="false">SUMIFS(super1[Qtde],super1[Item],tab_alimentos[[#This Row],[Item]],super1[Bairro],mercado10)+SUMIFS(supercb[Qtde],supercb[Item],tab_alimentos[[#This Row],[Item]],supercb[Bairro],mercado10)</f>
        <v>0</v>
      </c>
      <c r="V237" s="27" t="n">
        <f aca="false">SUMIFS(super1[Qtde],super1[Item],tab_alimentos[[#This Row],[Item]],super1[Bairro],mercado11)+SUMIFS(supercb[Qtde],supercb[Item],tab_alimentos[[#This Row],[Item]],supercb[Bairro],mercado11)</f>
        <v>0</v>
      </c>
      <c r="W237" s="27" t="n">
        <f aca="false">SUMIFS(super1[Qtde],super1[Item],tab_alimentos[[#This Row],[Item]],super1[Bairro],mercado12)+SUMIFS(supercb[Qtde],supercb[Item],tab_alimentos[[#This Row],[Item]],supercb[Bairro],mercado12)</f>
        <v>0</v>
      </c>
      <c r="X237" s="27" t="n">
        <f aca="false">SUMIFS(super1[Qtde],super1[Item],tab_alimentos[[#This Row],[Item]],super1[Bairro],mercado13)+SUMIFS(supercb[Qtde],supercb[Item],tab_alimentos[[#This Row],[Item]],supercb[Bairro],mercado13)</f>
        <v>0</v>
      </c>
      <c r="Y237" s="27" t="n">
        <f aca="false">SUMIFS(super1[Qtde],super1[Item],tab_alimentos[[#This Row],[Item]],super1[Bairro],mercado14)+SUMIFS(supercb[Qtde],supercb[Item],tab_alimentos[[#This Row],[Item]],supercb[Bairro],mercado14)</f>
        <v>0</v>
      </c>
      <c r="Z237" s="27" t="n">
        <f aca="false">SUMIFS(super1[Qtde],super1[Item],tab_alimentos[[#This Row],[Item]],super1[Bairro],mercado15)+SUMIFS(supercb[Qtde],supercb[Item],tab_alimentos[[#This Row],[Item]],supercb[Bairro],mercado15)</f>
        <v>0</v>
      </c>
      <c r="AA237" s="27" t="n">
        <f aca="false">SUMIFS(super1[Qtde],super1[Item],tab_alimentos[[#This Row],[Item]],super1[Bairro],mercado16)+SUMIFS(supercb[Qtde],supercb[Item],tab_alimentos[[#This Row],[Item]],supercb[Bairro],mercado16)</f>
        <v>0</v>
      </c>
      <c r="AB237" s="27" t="n">
        <f aca="false">SUMIFS(super1[Qtde],super1[Item],tab_alimentos[[#This Row],[Item]],super1[Bairro],mercado17)+SUMIFS(supercb[Qtde],supercb[Item],tab_alimentos[[#This Row],[Item]],supercb[Bairro],mercado17)</f>
        <v>0</v>
      </c>
      <c r="AC237" s="27" t="n">
        <f aca="false">SUMIFS(super1[Qtde],super1[Item],tab_alimentos[[#This Row],[Item]],super1[Bairro],mercado18)+SUMIFS(supercb[Qtde],supercb[Item],tab_alimentos[[#This Row],[Item]],supercb[Bairro],mercado18)</f>
        <v>0</v>
      </c>
      <c r="AD237" s="27" t="n">
        <f aca="false">SUMIFS(super1[Qtde],super1[Item],tab_alimentos[[#This Row],[Item]],super1[Bairro],extras)+SUMIFS(supercb[Qtde],supercb[Item],tab_alimentos[[#This Row],[Item]],supercb[Bairro],extras)</f>
        <v>0</v>
      </c>
      <c r="AE237" s="27" t="n">
        <f aca="false">SUM(L237:AC237)</f>
        <v>0</v>
      </c>
      <c r="AF237" s="27" t="n">
        <f aca="false">IFERROR(AE237*K237,0)</f>
        <v>0</v>
      </c>
      <c r="AG237" s="28" t="n">
        <f aca="false">IFERROR(J237*AE237,0)</f>
        <v>0</v>
      </c>
      <c r="AH237" s="37" t="e">
        <f aca="false">higiene[[#This Row],[Item]]</f>
        <v>#VALUE!</v>
      </c>
      <c r="AI237" s="38" t="n">
        <f aca="false">IFERROR(higiene[[#This Row],[Kg equivalente]],0)</f>
        <v>0</v>
      </c>
      <c r="AJ237" s="38" t="n">
        <f aca="false">IFERROR(higiene[[#This Row],[Preço por produto]],0)</f>
        <v>0</v>
      </c>
      <c r="AK237" s="27" t="n">
        <f aca="false">SUMIFS(super1[Qtde],super1[Item],tab_higiene[[#This Row],[Item]],super1[Bairro],mercado1)+SUMIFS(supercb[Qtde],supercb[Item],tab_higiene[[#This Row],[Item]],supercb[Bairro],mercado1)</f>
        <v>0</v>
      </c>
      <c r="AL237" s="27" t="n">
        <f aca="false">SUMIFS(super1[Qtde],super1[Item],tab_higiene[[#This Row],[Item]],super1[Bairro],mercado2)+SUMIFS(supercb[Qtde],supercb[Item],tab_higiene[[#This Row],[Item]],supercb[Bairro],mercado2)</f>
        <v>0</v>
      </c>
      <c r="AM237" s="27" t="n">
        <f aca="false">SUMIFS(super1[Qtde],super1[Item],tab_higiene[[#This Row],[Item]],super1[Bairro],mercado3)+SUMIFS(supercb[Qtde],supercb[Item],tab_higiene[[#This Row],[Item]],supercb[Bairro],mercado3)</f>
        <v>0</v>
      </c>
      <c r="AN237" s="27" t="n">
        <f aca="false">SUMIFS(super1[Qtde],super1[Item],tab_higiene[[#This Row],[Item]],super1[Bairro],mercado4)+SUMIFS(supercb[Qtde],supercb[Item],tab_higiene[[#This Row],[Item]],supercb[Bairro],mercado4)</f>
        <v>0</v>
      </c>
      <c r="AO237" s="27" t="n">
        <f aca="false">SUMIFS(super1[Qtde],super1[Item],tab_higiene[[#This Row],[Item]],super1[Bairro],mercado5)+SUMIFS(supercb[Qtde],supercb[Item],tab_higiene[[#This Row],[Item]],supercb[Bairro],mercado5)</f>
        <v>0</v>
      </c>
      <c r="AP237" s="27" t="n">
        <f aca="false">SUMIFS(super1[Qtde],super1[Item],tab_higiene[[#This Row],[Item]],super1[Bairro],mercado6)+SUMIFS(supercb[Qtde],supercb[Item],tab_higiene[[#This Row],[Item]],supercb[Bairro],mercado6)</f>
        <v>0</v>
      </c>
      <c r="AQ237" s="27" t="n">
        <f aca="false">SUMIFS(super1[Qtde],super1[Item],tab_higiene[[#This Row],[Item]],super1[Bairro],mercado7)+SUMIFS(supercb[Qtde],supercb[Item],tab_higiene[[#This Row],[Item]],supercb[Bairro],mercado7)</f>
        <v>0</v>
      </c>
      <c r="AR237" s="27" t="n">
        <f aca="false">SUMIFS(super1[Qtde],super1[Item],tab_higiene[[#This Row],[Item]],super1[Bairro],mercado8)+SUMIFS(supercb[Qtde],supercb[Item],tab_higiene[[#This Row],[Item]],supercb[Bairro],mercado8)</f>
        <v>0</v>
      </c>
      <c r="AS237" s="27" t="n">
        <f aca="false">SUMIFS(super1[Qtde],super1[Item],tab_higiene[[#This Row],[Item]],super1[Bairro],mercado9)+SUMIFS(supercb[Qtde],supercb[Item],tab_higiene[[#This Row],[Item]],supercb[Bairro],mercado9)</f>
        <v>0</v>
      </c>
      <c r="AT237" s="27" t="n">
        <f aca="false">SUMIFS(super1[Qtde],super1[Item],tab_higiene[[#This Row],[Item]],super1[Bairro],mercado10)+SUMIFS(supercb[Qtde],supercb[Item],tab_higiene[[#This Row],[Item]],supercb[Bairro],mercado10)</f>
        <v>0</v>
      </c>
      <c r="AU237" s="27" t="n">
        <f aca="false">SUMIFS(super1[Qtde],super1[Item],tab_higiene[[#This Row],[Item]],super1[Bairro],mercado11)+SUMIFS(supercb[Qtde],supercb[Item],tab_higiene[[#This Row],[Item]],supercb[Bairro],mercado11)</f>
        <v>0</v>
      </c>
      <c r="AV237" s="27" t="n">
        <f aca="false">SUMIFS(super1[Qtde],super1[Item],tab_higiene[[#This Row],[Item]],super1[Bairro],mercado12)+SUMIFS(supercb[Qtde],supercb[Item],tab_higiene[[#This Row],[Item]],supercb[Bairro],mercado12)</f>
        <v>0</v>
      </c>
      <c r="AW237" s="27" t="n">
        <f aca="false">SUMIFS(super1[Qtde],super1[Item],tab_higiene[[#This Row],[Item]],super1[Bairro],mercado13)+SUMIFS(supercb[Qtde],supercb[Item],tab_higiene[[#This Row],[Item]],supercb[Bairro],mercado13)</f>
        <v>0</v>
      </c>
      <c r="AX237" s="27" t="n">
        <f aca="false">SUMIFS(super1[Qtde],super1[Item],tab_higiene[[#This Row],[Item]],super1[Bairro],mercado14)+SUMIFS(supercb[Qtde],supercb[Item],tab_higiene[[#This Row],[Item]],supercb[Bairro],mercado14)</f>
        <v>0</v>
      </c>
      <c r="AY237" s="27" t="n">
        <f aca="false">SUMIFS(super1[Qtde],super1[Item],tab_higiene[[#This Row],[Item]],super1[Bairro],mercado15)+SUMIFS(supercb[Qtde],supercb[Item],tab_higiene[[#This Row],[Item]],supercb[Bairro],mercado15)</f>
        <v>0</v>
      </c>
      <c r="AZ237" s="27" t="n">
        <f aca="false">SUMIFS(super1[Qtde],super1[Item],tab_higiene[[#This Row],[Item]],super1[Bairro],mercado16)+SUMIFS(supercb[Qtde],supercb[Item],tab_higiene[[#This Row],[Item]],supercb[Bairro],mercado16)</f>
        <v>0</v>
      </c>
      <c r="BA237" s="27" t="n">
        <f aca="false">SUMIFS(super1[Qtde],super1[Item],tab_higiene[[#This Row],[Item]],super1[Bairro],mercado17)+SUMIFS(supercb[Qtde],supercb[Item],tab_higiene[[#This Row],[Item]],supercb[Bairro],mercado17)</f>
        <v>0</v>
      </c>
      <c r="BB237" s="27" t="n">
        <f aca="false">SUMIFS(super1[Qtde],super1[Item],tab_higiene[[#This Row],[Item]],super1[Bairro],mercado18)+SUMIFS(supercb[Qtde],supercb[Item],tab_higiene[[#This Row],[Item]],supercb[Bairro],mercado18)</f>
        <v>0</v>
      </c>
      <c r="BC237" s="39" t="n">
        <f aca="false">SUMIFS(super1[Qtde],super1[Item],tab_higiene[[#This Row],[Item]],super1[Bairro],extras)+SUMIFS(supercb[Qtde],supercb[Item],tab_higiene[[#This Row],[Item]],supercb[Bairro],extras)</f>
        <v>0</v>
      </c>
      <c r="BD237" s="38" t="n">
        <f aca="false">SUM(AK237:BB237)</f>
        <v>0</v>
      </c>
      <c r="BE237" s="38" t="n">
        <f aca="false">IFERROR(BD237*AJ237,0)</f>
        <v>0</v>
      </c>
      <c r="BF237" s="40" t="n">
        <f aca="false">IFERROR(AI237*BD237,0)</f>
        <v>0</v>
      </c>
    </row>
    <row r="238" customFormat="false" ht="15.75" hidden="false" customHeight="false" outlineLevel="0" collapsed="false">
      <c r="I238" s="26" t="str">
        <f aca="false">alimentos[[#This Row],[Item]]</f>
        <v>Sal Grosso (1kg)</v>
      </c>
      <c r="J238" s="27" t="n">
        <f aca="false">IFERROR(alimentos[[#This Row],[kg/embalagem]],0)</f>
        <v>1</v>
      </c>
      <c r="K238" s="27" t="n">
        <f aca="false">IFERROR(alimentos[[#This Row],[Preço]],0)</f>
        <v>3.62333333333333</v>
      </c>
      <c r="L238" s="27" t="n">
        <f aca="false">SUMIFS(super1[Qtde],super1[Item],tab_alimentos[[#This Row],[Item]],super1[Bairro],mercado1)+SUMIFS(supercb[Qtde],supercb[Item],tab_alimentos[[#This Row],[Item]],supercb[Bairro],mercado1)</f>
        <v>0</v>
      </c>
      <c r="M238" s="27" t="n">
        <f aca="false">SUMIFS(super1[Qtde],super1[Item],tab_alimentos[[#This Row],[Item]],super1[Bairro],mercado2)+SUMIFS(supercb[Qtde],supercb[Item],tab_alimentos[[#This Row],[Item]],supercb[Bairro],mercado2)</f>
        <v>0</v>
      </c>
      <c r="N238" s="27" t="n">
        <f aca="false">SUMIFS(super1[Qtde],super1[Item],tab_alimentos[[#This Row],[Item]],super1[Bairro],mercado3)+SUMIFS(supercb[Qtde],supercb[Item],tab_alimentos[[#This Row],[Item]],supercb[Bairro],mercado3)</f>
        <v>0</v>
      </c>
      <c r="O238" s="27" t="n">
        <f aca="false">SUMIFS(super1[Qtde],super1[Item],tab_alimentos[[#This Row],[Item]],super1[Bairro],mercado4)+SUMIFS(supercb[Qtde],supercb[Item],tab_alimentos[[#This Row],[Item]],supercb[Bairro],mercado4)</f>
        <v>0</v>
      </c>
      <c r="P238" s="27" t="n">
        <f aca="false">SUMIFS(super1[Qtde],super1[Item],tab_alimentos[[#This Row],[Item]],super1[Bairro],mercado5)+SUMIFS(supercb[Qtde],supercb[Item],tab_alimentos[[#This Row],[Item]],supercb[Bairro],mercado5)</f>
        <v>0</v>
      </c>
      <c r="Q238" s="27" t="n">
        <f aca="false">SUMIFS(super1[Qtde],super1[Item],tab_alimentos[[#This Row],[Item]],super1[Bairro],mercado6)+SUMIFS(supercb[Qtde],supercb[Item],tab_alimentos[[#This Row],[Item]],supercb[Bairro],mercado6)</f>
        <v>0</v>
      </c>
      <c r="R238" s="27" t="n">
        <f aca="false">SUMIFS(super1[Qtde],super1[Item],tab_alimentos[[#This Row],[Item]],super1[Bairro],mercado7)+SUMIFS(supercb[Qtde],supercb[Item],tab_alimentos[[#This Row],[Item]],supercb[Bairro],mercado7)</f>
        <v>0</v>
      </c>
      <c r="S238" s="27" t="n">
        <f aca="false">SUMIFS(super1[Qtde],super1[Item],tab_alimentos[[#This Row],[Item]],super1[Bairro],mercado8)+SUMIFS(supercb[Qtde],supercb[Item],tab_alimentos[[#This Row],[Item]],supercb[Bairro],mercado8)</f>
        <v>0</v>
      </c>
      <c r="T238" s="27" t="n">
        <f aca="false">SUMIFS(super1[Qtde],super1[Item],tab_alimentos[[#This Row],[Item]],super1[Bairro],mercado9)+SUMIFS(supercb[Qtde],supercb[Item],tab_alimentos[[#This Row],[Item]],supercb[Bairro],mercado9)</f>
        <v>0</v>
      </c>
      <c r="U238" s="27" t="n">
        <f aca="false">SUMIFS(super1[Qtde],super1[Item],tab_alimentos[[#This Row],[Item]],super1[Bairro],mercado10)+SUMIFS(supercb[Qtde],supercb[Item],tab_alimentos[[#This Row],[Item]],supercb[Bairro],mercado10)</f>
        <v>0</v>
      </c>
      <c r="V238" s="27" t="n">
        <f aca="false">SUMIFS(super1[Qtde],super1[Item],tab_alimentos[[#This Row],[Item]],super1[Bairro],mercado11)+SUMIFS(supercb[Qtde],supercb[Item],tab_alimentos[[#This Row],[Item]],supercb[Bairro],mercado11)</f>
        <v>0</v>
      </c>
      <c r="W238" s="27" t="n">
        <f aca="false">SUMIFS(super1[Qtde],super1[Item],tab_alimentos[[#This Row],[Item]],super1[Bairro],mercado12)+SUMIFS(supercb[Qtde],supercb[Item],tab_alimentos[[#This Row],[Item]],supercb[Bairro],mercado12)</f>
        <v>0</v>
      </c>
      <c r="X238" s="27" t="n">
        <f aca="false">SUMIFS(super1[Qtde],super1[Item],tab_alimentos[[#This Row],[Item]],super1[Bairro],mercado13)+SUMIFS(supercb[Qtde],supercb[Item],tab_alimentos[[#This Row],[Item]],supercb[Bairro],mercado13)</f>
        <v>0</v>
      </c>
      <c r="Y238" s="27" t="n">
        <f aca="false">SUMIFS(super1[Qtde],super1[Item],tab_alimentos[[#This Row],[Item]],super1[Bairro],mercado14)+SUMIFS(supercb[Qtde],supercb[Item],tab_alimentos[[#This Row],[Item]],supercb[Bairro],mercado14)</f>
        <v>0</v>
      </c>
      <c r="Z238" s="27" t="n">
        <f aca="false">SUMIFS(super1[Qtde],super1[Item],tab_alimentos[[#This Row],[Item]],super1[Bairro],mercado15)+SUMIFS(supercb[Qtde],supercb[Item],tab_alimentos[[#This Row],[Item]],supercb[Bairro],mercado15)</f>
        <v>0</v>
      </c>
      <c r="AA238" s="27" t="n">
        <f aca="false">SUMIFS(super1[Qtde],super1[Item],tab_alimentos[[#This Row],[Item]],super1[Bairro],mercado16)+SUMIFS(supercb[Qtde],supercb[Item],tab_alimentos[[#This Row],[Item]],supercb[Bairro],mercado16)</f>
        <v>0</v>
      </c>
      <c r="AB238" s="27" t="n">
        <f aca="false">SUMIFS(super1[Qtde],super1[Item],tab_alimentos[[#This Row],[Item]],super1[Bairro],mercado17)+SUMIFS(supercb[Qtde],supercb[Item],tab_alimentos[[#This Row],[Item]],supercb[Bairro],mercado17)</f>
        <v>0</v>
      </c>
      <c r="AC238" s="27" t="n">
        <f aca="false">SUMIFS(super1[Qtde],super1[Item],tab_alimentos[[#This Row],[Item]],super1[Bairro],mercado18)+SUMIFS(supercb[Qtde],supercb[Item],tab_alimentos[[#This Row],[Item]],supercb[Bairro],mercado18)</f>
        <v>0</v>
      </c>
      <c r="AD238" s="27" t="n">
        <f aca="false">SUMIFS(super1[Qtde],super1[Item],tab_alimentos[[#This Row],[Item]],super1[Bairro],extras)+SUMIFS(supercb[Qtde],supercb[Item],tab_alimentos[[#This Row],[Item]],supercb[Bairro],extras)</f>
        <v>0</v>
      </c>
      <c r="AE238" s="27" t="n">
        <f aca="false">SUM(L238:AC238)</f>
        <v>0</v>
      </c>
      <c r="AF238" s="27" t="n">
        <f aca="false">IFERROR(AE238*K238,0)</f>
        <v>0</v>
      </c>
      <c r="AG238" s="28" t="n">
        <f aca="false">IFERROR(J238*AE238,0)</f>
        <v>0</v>
      </c>
      <c r="AH238" s="37" t="e">
        <f aca="false">higiene[[#This Row],[Item]]</f>
        <v>#VALUE!</v>
      </c>
      <c r="AI238" s="38" t="n">
        <f aca="false">IFERROR(higiene[[#This Row],[Kg equivalente]],0)</f>
        <v>0</v>
      </c>
      <c r="AJ238" s="38" t="n">
        <f aca="false">IFERROR(higiene[[#This Row],[Preço por produto]],0)</f>
        <v>0</v>
      </c>
      <c r="AK238" s="27" t="n">
        <f aca="false">SUMIFS(super1[Qtde],super1[Item],tab_higiene[[#This Row],[Item]],super1[Bairro],mercado1)+SUMIFS(supercb[Qtde],supercb[Item],tab_higiene[[#This Row],[Item]],supercb[Bairro],mercado1)</f>
        <v>0</v>
      </c>
      <c r="AL238" s="27" t="n">
        <f aca="false">SUMIFS(super1[Qtde],super1[Item],tab_higiene[[#This Row],[Item]],super1[Bairro],mercado2)+SUMIFS(supercb[Qtde],supercb[Item],tab_higiene[[#This Row],[Item]],supercb[Bairro],mercado2)</f>
        <v>0</v>
      </c>
      <c r="AM238" s="27" t="n">
        <f aca="false">SUMIFS(super1[Qtde],super1[Item],tab_higiene[[#This Row],[Item]],super1[Bairro],mercado3)+SUMIFS(supercb[Qtde],supercb[Item],tab_higiene[[#This Row],[Item]],supercb[Bairro],mercado3)</f>
        <v>0</v>
      </c>
      <c r="AN238" s="27" t="n">
        <f aca="false">SUMIFS(super1[Qtde],super1[Item],tab_higiene[[#This Row],[Item]],super1[Bairro],mercado4)+SUMIFS(supercb[Qtde],supercb[Item],tab_higiene[[#This Row],[Item]],supercb[Bairro],mercado4)</f>
        <v>0</v>
      </c>
      <c r="AO238" s="27" t="n">
        <f aca="false">SUMIFS(super1[Qtde],super1[Item],tab_higiene[[#This Row],[Item]],super1[Bairro],mercado5)+SUMIFS(supercb[Qtde],supercb[Item],tab_higiene[[#This Row],[Item]],supercb[Bairro],mercado5)</f>
        <v>0</v>
      </c>
      <c r="AP238" s="27" t="n">
        <f aca="false">SUMIFS(super1[Qtde],super1[Item],tab_higiene[[#This Row],[Item]],super1[Bairro],mercado6)+SUMIFS(supercb[Qtde],supercb[Item],tab_higiene[[#This Row],[Item]],supercb[Bairro],mercado6)</f>
        <v>0</v>
      </c>
      <c r="AQ238" s="27" t="n">
        <f aca="false">SUMIFS(super1[Qtde],super1[Item],tab_higiene[[#This Row],[Item]],super1[Bairro],mercado7)+SUMIFS(supercb[Qtde],supercb[Item],tab_higiene[[#This Row],[Item]],supercb[Bairro],mercado7)</f>
        <v>0</v>
      </c>
      <c r="AR238" s="27" t="n">
        <f aca="false">SUMIFS(super1[Qtde],super1[Item],tab_higiene[[#This Row],[Item]],super1[Bairro],mercado8)+SUMIFS(supercb[Qtde],supercb[Item],tab_higiene[[#This Row],[Item]],supercb[Bairro],mercado8)</f>
        <v>0</v>
      </c>
      <c r="AS238" s="27" t="n">
        <f aca="false">SUMIFS(super1[Qtde],super1[Item],tab_higiene[[#This Row],[Item]],super1[Bairro],mercado9)+SUMIFS(supercb[Qtde],supercb[Item],tab_higiene[[#This Row],[Item]],supercb[Bairro],mercado9)</f>
        <v>0</v>
      </c>
      <c r="AT238" s="27" t="n">
        <f aca="false">SUMIFS(super1[Qtde],super1[Item],tab_higiene[[#This Row],[Item]],super1[Bairro],mercado10)+SUMIFS(supercb[Qtde],supercb[Item],tab_higiene[[#This Row],[Item]],supercb[Bairro],mercado10)</f>
        <v>0</v>
      </c>
      <c r="AU238" s="27" t="n">
        <f aca="false">SUMIFS(super1[Qtde],super1[Item],tab_higiene[[#This Row],[Item]],super1[Bairro],mercado11)+SUMIFS(supercb[Qtde],supercb[Item],tab_higiene[[#This Row],[Item]],supercb[Bairro],mercado11)</f>
        <v>0</v>
      </c>
      <c r="AV238" s="27" t="n">
        <f aca="false">SUMIFS(super1[Qtde],super1[Item],tab_higiene[[#This Row],[Item]],super1[Bairro],mercado12)+SUMIFS(supercb[Qtde],supercb[Item],tab_higiene[[#This Row],[Item]],supercb[Bairro],mercado12)</f>
        <v>0</v>
      </c>
      <c r="AW238" s="27" t="n">
        <f aca="false">SUMIFS(super1[Qtde],super1[Item],tab_higiene[[#This Row],[Item]],super1[Bairro],mercado13)+SUMIFS(supercb[Qtde],supercb[Item],tab_higiene[[#This Row],[Item]],supercb[Bairro],mercado13)</f>
        <v>0</v>
      </c>
      <c r="AX238" s="27" t="n">
        <f aca="false">SUMIFS(super1[Qtde],super1[Item],tab_higiene[[#This Row],[Item]],super1[Bairro],mercado14)+SUMIFS(supercb[Qtde],supercb[Item],tab_higiene[[#This Row],[Item]],supercb[Bairro],mercado14)</f>
        <v>0</v>
      </c>
      <c r="AY238" s="27" t="n">
        <f aca="false">SUMIFS(super1[Qtde],super1[Item],tab_higiene[[#This Row],[Item]],super1[Bairro],mercado15)+SUMIFS(supercb[Qtde],supercb[Item],tab_higiene[[#This Row],[Item]],supercb[Bairro],mercado15)</f>
        <v>0</v>
      </c>
      <c r="AZ238" s="27" t="n">
        <f aca="false">SUMIFS(super1[Qtde],super1[Item],tab_higiene[[#This Row],[Item]],super1[Bairro],mercado16)+SUMIFS(supercb[Qtde],supercb[Item],tab_higiene[[#This Row],[Item]],supercb[Bairro],mercado16)</f>
        <v>0</v>
      </c>
      <c r="BA238" s="27" t="n">
        <f aca="false">SUMIFS(super1[Qtde],super1[Item],tab_higiene[[#This Row],[Item]],super1[Bairro],mercado17)+SUMIFS(supercb[Qtde],supercb[Item],tab_higiene[[#This Row],[Item]],supercb[Bairro],mercado17)</f>
        <v>0</v>
      </c>
      <c r="BB238" s="27" t="n">
        <f aca="false">SUMIFS(super1[Qtde],super1[Item],tab_higiene[[#This Row],[Item]],super1[Bairro],mercado18)+SUMIFS(supercb[Qtde],supercb[Item],tab_higiene[[#This Row],[Item]],supercb[Bairro],mercado18)</f>
        <v>0</v>
      </c>
      <c r="BC238" s="39" t="n">
        <f aca="false">SUMIFS(super1[Qtde],super1[Item],tab_higiene[[#This Row],[Item]],super1[Bairro],extras)+SUMIFS(supercb[Qtde],supercb[Item],tab_higiene[[#This Row],[Item]],supercb[Bairro],extras)</f>
        <v>0</v>
      </c>
      <c r="BD238" s="38" t="n">
        <f aca="false">SUM(AK238:BB238)</f>
        <v>0</v>
      </c>
      <c r="BE238" s="38" t="n">
        <f aca="false">IFERROR(BD238*AJ238,0)</f>
        <v>0</v>
      </c>
      <c r="BF238" s="40" t="n">
        <f aca="false">IFERROR(AI238*BD238,0)</f>
        <v>0</v>
      </c>
    </row>
    <row r="239" customFormat="false" ht="15.75" hidden="false" customHeight="false" outlineLevel="0" collapsed="false">
      <c r="I239" s="26" t="str">
        <f aca="false">alimentos[[#This Row],[Item]]</f>
        <v>Salgadinho (50g)</v>
      </c>
      <c r="J239" s="27" t="n">
        <f aca="false">IFERROR(alimentos[[#This Row],[kg/embalagem]],0)</f>
        <v>0.05</v>
      </c>
      <c r="K239" s="27" t="n">
        <f aca="false">IFERROR(alimentos[[#This Row],[Preço]],0)</f>
        <v>2.72166666666667</v>
      </c>
      <c r="L239" s="27" t="n">
        <f aca="false">SUMIFS(super1[Qtde],super1[Item],tab_alimentos[[#This Row],[Item]],super1[Bairro],mercado1)+SUMIFS(supercb[Qtde],supercb[Item],tab_alimentos[[#This Row],[Item]],supercb[Bairro],mercado1)</f>
        <v>0</v>
      </c>
      <c r="M239" s="27" t="n">
        <f aca="false">SUMIFS(super1[Qtde],super1[Item],tab_alimentos[[#This Row],[Item]],super1[Bairro],mercado2)+SUMIFS(supercb[Qtde],supercb[Item],tab_alimentos[[#This Row],[Item]],supercb[Bairro],mercado2)</f>
        <v>0</v>
      </c>
      <c r="N239" s="27" t="n">
        <f aca="false">SUMIFS(super1[Qtde],super1[Item],tab_alimentos[[#This Row],[Item]],super1[Bairro],mercado3)+SUMIFS(supercb[Qtde],supercb[Item],tab_alimentos[[#This Row],[Item]],supercb[Bairro],mercado3)</f>
        <v>0</v>
      </c>
      <c r="O239" s="27" t="n">
        <f aca="false">SUMIFS(super1[Qtde],super1[Item],tab_alimentos[[#This Row],[Item]],super1[Bairro],mercado4)+SUMIFS(supercb[Qtde],supercb[Item],tab_alimentos[[#This Row],[Item]],supercb[Bairro],mercado4)</f>
        <v>0</v>
      </c>
      <c r="P239" s="27" t="n">
        <f aca="false">SUMIFS(super1[Qtde],super1[Item],tab_alimentos[[#This Row],[Item]],super1[Bairro],mercado5)+SUMIFS(supercb[Qtde],supercb[Item],tab_alimentos[[#This Row],[Item]],supercb[Bairro],mercado5)</f>
        <v>0</v>
      </c>
      <c r="Q239" s="27" t="n">
        <f aca="false">SUMIFS(super1[Qtde],super1[Item],tab_alimentos[[#This Row],[Item]],super1[Bairro],mercado6)+SUMIFS(supercb[Qtde],supercb[Item],tab_alimentos[[#This Row],[Item]],supercb[Bairro],mercado6)</f>
        <v>0</v>
      </c>
      <c r="R239" s="27" t="n">
        <f aca="false">SUMIFS(super1[Qtde],super1[Item],tab_alimentos[[#This Row],[Item]],super1[Bairro],mercado7)+SUMIFS(supercb[Qtde],supercb[Item],tab_alimentos[[#This Row],[Item]],supercb[Bairro],mercado7)</f>
        <v>0</v>
      </c>
      <c r="S239" s="27" t="n">
        <f aca="false">SUMIFS(super1[Qtde],super1[Item],tab_alimentos[[#This Row],[Item]],super1[Bairro],mercado8)+SUMIFS(supercb[Qtde],supercb[Item],tab_alimentos[[#This Row],[Item]],supercb[Bairro],mercado8)</f>
        <v>0</v>
      </c>
      <c r="T239" s="27" t="n">
        <f aca="false">SUMIFS(super1[Qtde],super1[Item],tab_alimentos[[#This Row],[Item]],super1[Bairro],mercado9)+SUMIFS(supercb[Qtde],supercb[Item],tab_alimentos[[#This Row],[Item]],supercb[Bairro],mercado9)</f>
        <v>0</v>
      </c>
      <c r="U239" s="27" t="n">
        <f aca="false">SUMIFS(super1[Qtde],super1[Item],tab_alimentos[[#This Row],[Item]],super1[Bairro],mercado10)+SUMIFS(supercb[Qtde],supercb[Item],tab_alimentos[[#This Row],[Item]],supercb[Bairro],mercado10)</f>
        <v>0</v>
      </c>
      <c r="V239" s="27" t="n">
        <f aca="false">SUMIFS(super1[Qtde],super1[Item],tab_alimentos[[#This Row],[Item]],super1[Bairro],mercado11)+SUMIFS(supercb[Qtde],supercb[Item],tab_alimentos[[#This Row],[Item]],supercb[Bairro],mercado11)</f>
        <v>0</v>
      </c>
      <c r="W239" s="27" t="n">
        <f aca="false">SUMIFS(super1[Qtde],super1[Item],tab_alimentos[[#This Row],[Item]],super1[Bairro],mercado12)+SUMIFS(supercb[Qtde],supercb[Item],tab_alimentos[[#This Row],[Item]],supercb[Bairro],mercado12)</f>
        <v>0</v>
      </c>
      <c r="X239" s="27" t="n">
        <f aca="false">SUMIFS(super1[Qtde],super1[Item],tab_alimentos[[#This Row],[Item]],super1[Bairro],mercado13)+SUMIFS(supercb[Qtde],supercb[Item],tab_alimentos[[#This Row],[Item]],supercb[Bairro],mercado13)</f>
        <v>0</v>
      </c>
      <c r="Y239" s="27" t="n">
        <f aca="false">SUMIFS(super1[Qtde],super1[Item],tab_alimentos[[#This Row],[Item]],super1[Bairro],mercado14)+SUMIFS(supercb[Qtde],supercb[Item],tab_alimentos[[#This Row],[Item]],supercb[Bairro],mercado14)</f>
        <v>0</v>
      </c>
      <c r="Z239" s="27" t="n">
        <f aca="false">SUMIFS(super1[Qtde],super1[Item],tab_alimentos[[#This Row],[Item]],super1[Bairro],mercado15)+SUMIFS(supercb[Qtde],supercb[Item],tab_alimentos[[#This Row],[Item]],supercb[Bairro],mercado15)</f>
        <v>0</v>
      </c>
      <c r="AA239" s="27" t="n">
        <f aca="false">SUMIFS(super1[Qtde],super1[Item],tab_alimentos[[#This Row],[Item]],super1[Bairro],mercado16)+SUMIFS(supercb[Qtde],supercb[Item],tab_alimentos[[#This Row],[Item]],supercb[Bairro],mercado16)</f>
        <v>0</v>
      </c>
      <c r="AB239" s="27" t="n">
        <f aca="false">SUMIFS(super1[Qtde],super1[Item],tab_alimentos[[#This Row],[Item]],super1[Bairro],mercado17)+SUMIFS(supercb[Qtde],supercb[Item],tab_alimentos[[#This Row],[Item]],supercb[Bairro],mercado17)</f>
        <v>0</v>
      </c>
      <c r="AC239" s="27" t="n">
        <f aca="false">SUMIFS(super1[Qtde],super1[Item],tab_alimentos[[#This Row],[Item]],super1[Bairro],mercado18)+SUMIFS(supercb[Qtde],supercb[Item],tab_alimentos[[#This Row],[Item]],supercb[Bairro],mercado18)</f>
        <v>0</v>
      </c>
      <c r="AD239" s="27" t="n">
        <f aca="false">SUMIFS(super1[Qtde],super1[Item],tab_alimentos[[#This Row],[Item]],super1[Bairro],extras)+SUMIFS(supercb[Qtde],supercb[Item],tab_alimentos[[#This Row],[Item]],supercb[Bairro],extras)</f>
        <v>0</v>
      </c>
      <c r="AE239" s="27" t="n">
        <f aca="false">SUM(L239:AC239)</f>
        <v>0</v>
      </c>
      <c r="AF239" s="27" t="n">
        <f aca="false">IFERROR(AE239*K239,0)</f>
        <v>0</v>
      </c>
      <c r="AG239" s="28" t="n">
        <f aca="false">IFERROR(J239*AE239,0)</f>
        <v>0</v>
      </c>
      <c r="AH239" s="37" t="e">
        <f aca="false">higiene[[#This Row],[Item]]</f>
        <v>#VALUE!</v>
      </c>
      <c r="AI239" s="38" t="n">
        <f aca="false">IFERROR(higiene[[#This Row],[Kg equivalente]],0)</f>
        <v>0</v>
      </c>
      <c r="AJ239" s="38" t="n">
        <f aca="false">IFERROR(higiene[[#This Row],[Preço por produto]],0)</f>
        <v>0</v>
      </c>
      <c r="AK239" s="27" t="n">
        <f aca="false">SUMIFS(super1[Qtde],super1[Item],tab_higiene[[#This Row],[Item]],super1[Bairro],mercado1)+SUMIFS(supercb[Qtde],supercb[Item],tab_higiene[[#This Row],[Item]],supercb[Bairro],mercado1)</f>
        <v>0</v>
      </c>
      <c r="AL239" s="27" t="n">
        <f aca="false">SUMIFS(super1[Qtde],super1[Item],tab_higiene[[#This Row],[Item]],super1[Bairro],mercado2)+SUMIFS(supercb[Qtde],supercb[Item],tab_higiene[[#This Row],[Item]],supercb[Bairro],mercado2)</f>
        <v>0</v>
      </c>
      <c r="AM239" s="27" t="n">
        <f aca="false">SUMIFS(super1[Qtde],super1[Item],tab_higiene[[#This Row],[Item]],super1[Bairro],mercado3)+SUMIFS(supercb[Qtde],supercb[Item],tab_higiene[[#This Row],[Item]],supercb[Bairro],mercado3)</f>
        <v>0</v>
      </c>
      <c r="AN239" s="27" t="n">
        <f aca="false">SUMIFS(super1[Qtde],super1[Item],tab_higiene[[#This Row],[Item]],super1[Bairro],mercado4)+SUMIFS(supercb[Qtde],supercb[Item],tab_higiene[[#This Row],[Item]],supercb[Bairro],mercado4)</f>
        <v>0</v>
      </c>
      <c r="AO239" s="27" t="n">
        <f aca="false">SUMIFS(super1[Qtde],super1[Item],tab_higiene[[#This Row],[Item]],super1[Bairro],mercado5)+SUMIFS(supercb[Qtde],supercb[Item],tab_higiene[[#This Row],[Item]],supercb[Bairro],mercado5)</f>
        <v>0</v>
      </c>
      <c r="AP239" s="27" t="n">
        <f aca="false">SUMIFS(super1[Qtde],super1[Item],tab_higiene[[#This Row],[Item]],super1[Bairro],mercado6)+SUMIFS(supercb[Qtde],supercb[Item],tab_higiene[[#This Row],[Item]],supercb[Bairro],mercado6)</f>
        <v>0</v>
      </c>
      <c r="AQ239" s="27" t="n">
        <f aca="false">SUMIFS(super1[Qtde],super1[Item],tab_higiene[[#This Row],[Item]],super1[Bairro],mercado7)+SUMIFS(supercb[Qtde],supercb[Item],tab_higiene[[#This Row],[Item]],supercb[Bairro],mercado7)</f>
        <v>0</v>
      </c>
      <c r="AR239" s="27" t="n">
        <f aca="false">SUMIFS(super1[Qtde],super1[Item],tab_higiene[[#This Row],[Item]],super1[Bairro],mercado8)+SUMIFS(supercb[Qtde],supercb[Item],tab_higiene[[#This Row],[Item]],supercb[Bairro],mercado8)</f>
        <v>0</v>
      </c>
      <c r="AS239" s="27" t="n">
        <f aca="false">SUMIFS(super1[Qtde],super1[Item],tab_higiene[[#This Row],[Item]],super1[Bairro],mercado9)+SUMIFS(supercb[Qtde],supercb[Item],tab_higiene[[#This Row],[Item]],supercb[Bairro],mercado9)</f>
        <v>0</v>
      </c>
      <c r="AT239" s="27" t="n">
        <f aca="false">SUMIFS(super1[Qtde],super1[Item],tab_higiene[[#This Row],[Item]],super1[Bairro],mercado10)+SUMIFS(supercb[Qtde],supercb[Item],tab_higiene[[#This Row],[Item]],supercb[Bairro],mercado10)</f>
        <v>0</v>
      </c>
      <c r="AU239" s="27" t="n">
        <f aca="false">SUMIFS(super1[Qtde],super1[Item],tab_higiene[[#This Row],[Item]],super1[Bairro],mercado11)+SUMIFS(supercb[Qtde],supercb[Item],tab_higiene[[#This Row],[Item]],supercb[Bairro],mercado11)</f>
        <v>0</v>
      </c>
      <c r="AV239" s="27" t="n">
        <f aca="false">SUMIFS(super1[Qtde],super1[Item],tab_higiene[[#This Row],[Item]],super1[Bairro],mercado12)+SUMIFS(supercb[Qtde],supercb[Item],tab_higiene[[#This Row],[Item]],supercb[Bairro],mercado12)</f>
        <v>0</v>
      </c>
      <c r="AW239" s="27" t="n">
        <f aca="false">SUMIFS(super1[Qtde],super1[Item],tab_higiene[[#This Row],[Item]],super1[Bairro],mercado13)+SUMIFS(supercb[Qtde],supercb[Item],tab_higiene[[#This Row],[Item]],supercb[Bairro],mercado13)</f>
        <v>0</v>
      </c>
      <c r="AX239" s="27" t="n">
        <f aca="false">SUMIFS(super1[Qtde],super1[Item],tab_higiene[[#This Row],[Item]],super1[Bairro],mercado14)+SUMIFS(supercb[Qtde],supercb[Item],tab_higiene[[#This Row],[Item]],supercb[Bairro],mercado14)</f>
        <v>0</v>
      </c>
      <c r="AY239" s="27" t="n">
        <f aca="false">SUMIFS(super1[Qtde],super1[Item],tab_higiene[[#This Row],[Item]],super1[Bairro],mercado15)+SUMIFS(supercb[Qtde],supercb[Item],tab_higiene[[#This Row],[Item]],supercb[Bairro],mercado15)</f>
        <v>0</v>
      </c>
      <c r="AZ239" s="27" t="n">
        <f aca="false">SUMIFS(super1[Qtde],super1[Item],tab_higiene[[#This Row],[Item]],super1[Bairro],mercado16)+SUMIFS(supercb[Qtde],supercb[Item],tab_higiene[[#This Row],[Item]],supercb[Bairro],mercado16)</f>
        <v>0</v>
      </c>
      <c r="BA239" s="27" t="n">
        <f aca="false">SUMIFS(super1[Qtde],super1[Item],tab_higiene[[#This Row],[Item]],super1[Bairro],mercado17)+SUMIFS(supercb[Qtde],supercb[Item],tab_higiene[[#This Row],[Item]],supercb[Bairro],mercado17)</f>
        <v>0</v>
      </c>
      <c r="BB239" s="27" t="n">
        <f aca="false">SUMIFS(super1[Qtde],super1[Item],tab_higiene[[#This Row],[Item]],super1[Bairro],mercado18)+SUMIFS(supercb[Qtde],supercb[Item],tab_higiene[[#This Row],[Item]],supercb[Bairro],mercado18)</f>
        <v>0</v>
      </c>
      <c r="BC239" s="39" t="n">
        <f aca="false">SUMIFS(super1[Qtde],super1[Item],tab_higiene[[#This Row],[Item]],super1[Bairro],extras)+SUMIFS(supercb[Qtde],supercb[Item],tab_higiene[[#This Row],[Item]],supercb[Bairro],extras)</f>
        <v>0</v>
      </c>
      <c r="BD239" s="38" t="n">
        <f aca="false">SUM(AK239:BB239)</f>
        <v>0</v>
      </c>
      <c r="BE239" s="38" t="n">
        <f aca="false">IFERROR(BD239*AJ239,0)</f>
        <v>0</v>
      </c>
      <c r="BF239" s="40" t="n">
        <f aca="false">IFERROR(AI239*BD239,0)</f>
        <v>0</v>
      </c>
    </row>
    <row r="240" customFormat="false" ht="15.75" hidden="false" customHeight="false" outlineLevel="0" collapsed="false">
      <c r="I240" s="26" t="str">
        <f aca="false">alimentos[[#This Row],[Item]]</f>
        <v>Salsicha (lata)</v>
      </c>
      <c r="J240" s="27" t="n">
        <f aca="false">IFERROR(alimentos[[#This Row],[kg/embalagem]],0)</f>
        <v>0.2</v>
      </c>
      <c r="K240" s="27" t="n">
        <f aca="false">IFERROR(alimentos[[#This Row],[Preço]],0)</f>
        <v>2.852</v>
      </c>
      <c r="L240" s="27" t="n">
        <f aca="false">SUMIFS(super1[Qtde],super1[Item],tab_alimentos[[#This Row],[Item]],super1[Bairro],mercado1)+SUMIFS(supercb[Qtde],supercb[Item],tab_alimentos[[#This Row],[Item]],supercb[Bairro],mercado1)</f>
        <v>0</v>
      </c>
      <c r="M240" s="27" t="n">
        <f aca="false">SUMIFS(super1[Qtde],super1[Item],tab_alimentos[[#This Row],[Item]],super1[Bairro],mercado2)+SUMIFS(supercb[Qtde],supercb[Item],tab_alimentos[[#This Row],[Item]],supercb[Bairro],mercado2)</f>
        <v>0</v>
      </c>
      <c r="N240" s="27" t="n">
        <f aca="false">SUMIFS(super1[Qtde],super1[Item],tab_alimentos[[#This Row],[Item]],super1[Bairro],mercado3)+SUMIFS(supercb[Qtde],supercb[Item],tab_alimentos[[#This Row],[Item]],supercb[Bairro],mercado3)</f>
        <v>1</v>
      </c>
      <c r="O240" s="27" t="n">
        <f aca="false">SUMIFS(super1[Qtde],super1[Item],tab_alimentos[[#This Row],[Item]],super1[Bairro],mercado4)+SUMIFS(supercb[Qtde],supercb[Item],tab_alimentos[[#This Row],[Item]],supercb[Bairro],mercado4)</f>
        <v>0</v>
      </c>
      <c r="P240" s="27" t="n">
        <f aca="false">SUMIFS(super1[Qtde],super1[Item],tab_alimentos[[#This Row],[Item]],super1[Bairro],mercado5)+SUMIFS(supercb[Qtde],supercb[Item],tab_alimentos[[#This Row],[Item]],supercb[Bairro],mercado5)</f>
        <v>0</v>
      </c>
      <c r="Q240" s="27" t="n">
        <f aca="false">SUMIFS(super1[Qtde],super1[Item],tab_alimentos[[#This Row],[Item]],super1[Bairro],mercado6)+SUMIFS(supercb[Qtde],supercb[Item],tab_alimentos[[#This Row],[Item]],supercb[Bairro],mercado6)</f>
        <v>0</v>
      </c>
      <c r="R240" s="27" t="n">
        <f aca="false">SUMIFS(super1[Qtde],super1[Item],tab_alimentos[[#This Row],[Item]],super1[Bairro],mercado7)+SUMIFS(supercb[Qtde],supercb[Item],tab_alimentos[[#This Row],[Item]],supercb[Bairro],mercado7)</f>
        <v>0</v>
      </c>
      <c r="S240" s="27" t="n">
        <f aca="false">SUMIFS(super1[Qtde],super1[Item],tab_alimentos[[#This Row],[Item]],super1[Bairro],mercado8)+SUMIFS(supercb[Qtde],supercb[Item],tab_alimentos[[#This Row],[Item]],supercb[Bairro],mercado8)</f>
        <v>0</v>
      </c>
      <c r="T240" s="27" t="n">
        <f aca="false">SUMIFS(super1[Qtde],super1[Item],tab_alimentos[[#This Row],[Item]],super1[Bairro],mercado9)+SUMIFS(supercb[Qtde],supercb[Item],tab_alimentos[[#This Row],[Item]],supercb[Bairro],mercado9)</f>
        <v>1</v>
      </c>
      <c r="U240" s="27" t="n">
        <f aca="false">SUMIFS(super1[Qtde],super1[Item],tab_alimentos[[#This Row],[Item]],super1[Bairro],mercado10)+SUMIFS(supercb[Qtde],supercb[Item],tab_alimentos[[#This Row],[Item]],supercb[Bairro],mercado10)</f>
        <v>0</v>
      </c>
      <c r="V240" s="27" t="n">
        <f aca="false">SUMIFS(super1[Qtde],super1[Item],tab_alimentos[[#This Row],[Item]],super1[Bairro],mercado11)+SUMIFS(supercb[Qtde],supercb[Item],tab_alimentos[[#This Row],[Item]],supercb[Bairro],mercado11)</f>
        <v>0</v>
      </c>
      <c r="W240" s="27" t="n">
        <f aca="false">SUMIFS(super1[Qtde],super1[Item],tab_alimentos[[#This Row],[Item]],super1[Bairro],mercado12)+SUMIFS(supercb[Qtde],supercb[Item],tab_alimentos[[#This Row],[Item]],supercb[Bairro],mercado12)</f>
        <v>0</v>
      </c>
      <c r="X240" s="27" t="n">
        <f aca="false">SUMIFS(super1[Qtde],super1[Item],tab_alimentos[[#This Row],[Item]],super1[Bairro],mercado13)+SUMIFS(supercb[Qtde],supercb[Item],tab_alimentos[[#This Row],[Item]],supercb[Bairro],mercado13)</f>
        <v>1</v>
      </c>
      <c r="Y240" s="27" t="n">
        <f aca="false">SUMIFS(super1[Qtde],super1[Item],tab_alimentos[[#This Row],[Item]],super1[Bairro],mercado14)+SUMIFS(supercb[Qtde],supercb[Item],tab_alimentos[[#This Row],[Item]],supercb[Bairro],mercado14)</f>
        <v>0</v>
      </c>
      <c r="Z240" s="27" t="n">
        <f aca="false">SUMIFS(super1[Qtde],super1[Item],tab_alimentos[[#This Row],[Item]],super1[Bairro],mercado15)+SUMIFS(supercb[Qtde],supercb[Item],tab_alimentos[[#This Row],[Item]],supercb[Bairro],mercado15)</f>
        <v>0</v>
      </c>
      <c r="AA240" s="27" t="n">
        <f aca="false">SUMIFS(super1[Qtde],super1[Item],tab_alimentos[[#This Row],[Item]],super1[Bairro],mercado16)+SUMIFS(supercb[Qtde],supercb[Item],tab_alimentos[[#This Row],[Item]],supercb[Bairro],mercado16)</f>
        <v>0</v>
      </c>
      <c r="AB240" s="27" t="n">
        <f aca="false">SUMIFS(super1[Qtde],super1[Item],tab_alimentos[[#This Row],[Item]],super1[Bairro],mercado17)+SUMIFS(supercb[Qtde],supercb[Item],tab_alimentos[[#This Row],[Item]],supercb[Bairro],mercado17)</f>
        <v>0</v>
      </c>
      <c r="AC240" s="27" t="n">
        <f aca="false">SUMIFS(super1[Qtde],super1[Item],tab_alimentos[[#This Row],[Item]],super1[Bairro],mercado18)+SUMIFS(supercb[Qtde],supercb[Item],tab_alimentos[[#This Row],[Item]],supercb[Bairro],mercado18)</f>
        <v>0</v>
      </c>
      <c r="AD240" s="27" t="n">
        <f aca="false">SUMIFS(super1[Qtde],super1[Item],tab_alimentos[[#This Row],[Item]],super1[Bairro],extras)+SUMIFS(supercb[Qtde],supercb[Item],tab_alimentos[[#This Row],[Item]],supercb[Bairro],extras)</f>
        <v>0</v>
      </c>
      <c r="AE240" s="27" t="n">
        <f aca="false">SUM(L240:AC240)</f>
        <v>3</v>
      </c>
      <c r="AF240" s="27" t="n">
        <f aca="false">IFERROR(AE240*K240,0)</f>
        <v>8.556</v>
      </c>
      <c r="AG240" s="28" t="n">
        <f aca="false">IFERROR(J240*AE240,0)</f>
        <v>0.6</v>
      </c>
      <c r="AH240" s="37" t="e">
        <f aca="false">higiene[[#This Row],[Item]]</f>
        <v>#VALUE!</v>
      </c>
      <c r="AI240" s="38" t="n">
        <f aca="false">IFERROR(higiene[[#This Row],[Kg equivalente]],0)</f>
        <v>0</v>
      </c>
      <c r="AJ240" s="38" t="n">
        <f aca="false">IFERROR(higiene[[#This Row],[Preço por produto]],0)</f>
        <v>0</v>
      </c>
      <c r="AK240" s="27" t="n">
        <f aca="false">SUMIFS(super1[Qtde],super1[Item],tab_higiene[[#This Row],[Item]],super1[Bairro],mercado1)+SUMIFS(supercb[Qtde],supercb[Item],tab_higiene[[#This Row],[Item]],supercb[Bairro],mercado1)</f>
        <v>0</v>
      </c>
      <c r="AL240" s="27" t="n">
        <f aca="false">SUMIFS(super1[Qtde],super1[Item],tab_higiene[[#This Row],[Item]],super1[Bairro],mercado2)+SUMIFS(supercb[Qtde],supercb[Item],tab_higiene[[#This Row],[Item]],supercb[Bairro],mercado2)</f>
        <v>0</v>
      </c>
      <c r="AM240" s="27" t="n">
        <f aca="false">SUMIFS(super1[Qtde],super1[Item],tab_higiene[[#This Row],[Item]],super1[Bairro],mercado3)+SUMIFS(supercb[Qtde],supercb[Item],tab_higiene[[#This Row],[Item]],supercb[Bairro],mercado3)</f>
        <v>0</v>
      </c>
      <c r="AN240" s="27" t="n">
        <f aca="false">SUMIFS(super1[Qtde],super1[Item],tab_higiene[[#This Row],[Item]],super1[Bairro],mercado4)+SUMIFS(supercb[Qtde],supercb[Item],tab_higiene[[#This Row],[Item]],supercb[Bairro],mercado4)</f>
        <v>0</v>
      </c>
      <c r="AO240" s="27" t="n">
        <f aca="false">SUMIFS(super1[Qtde],super1[Item],tab_higiene[[#This Row],[Item]],super1[Bairro],mercado5)+SUMIFS(supercb[Qtde],supercb[Item],tab_higiene[[#This Row],[Item]],supercb[Bairro],mercado5)</f>
        <v>0</v>
      </c>
      <c r="AP240" s="27" t="n">
        <f aca="false">SUMIFS(super1[Qtde],super1[Item],tab_higiene[[#This Row],[Item]],super1[Bairro],mercado6)+SUMIFS(supercb[Qtde],supercb[Item],tab_higiene[[#This Row],[Item]],supercb[Bairro],mercado6)</f>
        <v>0</v>
      </c>
      <c r="AQ240" s="27" t="n">
        <f aca="false">SUMIFS(super1[Qtde],super1[Item],tab_higiene[[#This Row],[Item]],super1[Bairro],mercado7)+SUMIFS(supercb[Qtde],supercb[Item],tab_higiene[[#This Row],[Item]],supercb[Bairro],mercado7)</f>
        <v>0</v>
      </c>
      <c r="AR240" s="27" t="n">
        <f aca="false">SUMIFS(super1[Qtde],super1[Item],tab_higiene[[#This Row],[Item]],super1[Bairro],mercado8)+SUMIFS(supercb[Qtde],supercb[Item],tab_higiene[[#This Row],[Item]],supercb[Bairro],mercado8)</f>
        <v>0</v>
      </c>
      <c r="AS240" s="27" t="n">
        <f aca="false">SUMIFS(super1[Qtde],super1[Item],tab_higiene[[#This Row],[Item]],super1[Bairro],mercado9)+SUMIFS(supercb[Qtde],supercb[Item],tab_higiene[[#This Row],[Item]],supercb[Bairro],mercado9)</f>
        <v>0</v>
      </c>
      <c r="AT240" s="27" t="n">
        <f aca="false">SUMIFS(super1[Qtde],super1[Item],tab_higiene[[#This Row],[Item]],super1[Bairro],mercado10)+SUMIFS(supercb[Qtde],supercb[Item],tab_higiene[[#This Row],[Item]],supercb[Bairro],mercado10)</f>
        <v>0</v>
      </c>
      <c r="AU240" s="27" t="n">
        <f aca="false">SUMIFS(super1[Qtde],super1[Item],tab_higiene[[#This Row],[Item]],super1[Bairro],mercado11)+SUMIFS(supercb[Qtde],supercb[Item],tab_higiene[[#This Row],[Item]],supercb[Bairro],mercado11)</f>
        <v>0</v>
      </c>
      <c r="AV240" s="27" t="n">
        <f aca="false">SUMIFS(super1[Qtde],super1[Item],tab_higiene[[#This Row],[Item]],super1[Bairro],mercado12)+SUMIFS(supercb[Qtde],supercb[Item],tab_higiene[[#This Row],[Item]],supercb[Bairro],mercado12)</f>
        <v>0</v>
      </c>
      <c r="AW240" s="27" t="n">
        <f aca="false">SUMIFS(super1[Qtde],super1[Item],tab_higiene[[#This Row],[Item]],super1[Bairro],mercado13)+SUMIFS(supercb[Qtde],supercb[Item],tab_higiene[[#This Row],[Item]],supercb[Bairro],mercado13)</f>
        <v>0</v>
      </c>
      <c r="AX240" s="27" t="n">
        <f aca="false">SUMIFS(super1[Qtde],super1[Item],tab_higiene[[#This Row],[Item]],super1[Bairro],mercado14)+SUMIFS(supercb[Qtde],supercb[Item],tab_higiene[[#This Row],[Item]],supercb[Bairro],mercado14)</f>
        <v>0</v>
      </c>
      <c r="AY240" s="27" t="n">
        <f aca="false">SUMIFS(super1[Qtde],super1[Item],tab_higiene[[#This Row],[Item]],super1[Bairro],mercado15)+SUMIFS(supercb[Qtde],supercb[Item],tab_higiene[[#This Row],[Item]],supercb[Bairro],mercado15)</f>
        <v>0</v>
      </c>
      <c r="AZ240" s="27" t="n">
        <f aca="false">SUMIFS(super1[Qtde],super1[Item],tab_higiene[[#This Row],[Item]],super1[Bairro],mercado16)+SUMIFS(supercb[Qtde],supercb[Item],tab_higiene[[#This Row],[Item]],supercb[Bairro],mercado16)</f>
        <v>0</v>
      </c>
      <c r="BA240" s="27" t="n">
        <f aca="false">SUMIFS(super1[Qtde],super1[Item],tab_higiene[[#This Row],[Item]],super1[Bairro],mercado17)+SUMIFS(supercb[Qtde],supercb[Item],tab_higiene[[#This Row],[Item]],supercb[Bairro],mercado17)</f>
        <v>0</v>
      </c>
      <c r="BB240" s="27" t="n">
        <f aca="false">SUMIFS(super1[Qtde],super1[Item],tab_higiene[[#This Row],[Item]],super1[Bairro],mercado18)+SUMIFS(supercb[Qtde],supercb[Item],tab_higiene[[#This Row],[Item]],supercb[Bairro],mercado18)</f>
        <v>0</v>
      </c>
      <c r="BC240" s="39" t="n">
        <f aca="false">SUMIFS(super1[Qtde],super1[Item],tab_higiene[[#This Row],[Item]],super1[Bairro],extras)+SUMIFS(supercb[Qtde],supercb[Item],tab_higiene[[#This Row],[Item]],supercb[Bairro],extras)</f>
        <v>0</v>
      </c>
      <c r="BD240" s="38" t="n">
        <f aca="false">SUM(AK240:BB240)</f>
        <v>0</v>
      </c>
      <c r="BE240" s="38" t="n">
        <f aca="false">IFERROR(BD240*AJ240,0)</f>
        <v>0</v>
      </c>
      <c r="BF240" s="40" t="n">
        <f aca="false">IFERROR(AI240*BD240,0)</f>
        <v>0</v>
      </c>
    </row>
    <row r="241" customFormat="false" ht="15.75" hidden="false" customHeight="false" outlineLevel="0" collapsed="false">
      <c r="I241" s="26" t="str">
        <f aca="false">alimentos[[#This Row],[Item]]</f>
        <v>Salsicha tipo Viena</v>
      </c>
      <c r="J241" s="27" t="n">
        <f aca="false">IFERROR(alimentos[[#This Row],[kg/embalagem]],0)</f>
        <v>0.2</v>
      </c>
      <c r="K241" s="27" t="n">
        <f aca="false">IFERROR(alimentos[[#This Row],[Preço]],0)</f>
        <v>4.49666666666667</v>
      </c>
      <c r="L241" s="27" t="n">
        <f aca="false">SUMIFS(super1[Qtde],super1[Item],tab_alimentos[[#This Row],[Item]],super1[Bairro],mercado1)+SUMIFS(supercb[Qtde],supercb[Item],tab_alimentos[[#This Row],[Item]],supercb[Bairro],mercado1)</f>
        <v>0</v>
      </c>
      <c r="M241" s="27" t="n">
        <f aca="false">SUMIFS(super1[Qtde],super1[Item],tab_alimentos[[#This Row],[Item]],super1[Bairro],mercado2)+SUMIFS(supercb[Qtde],supercb[Item],tab_alimentos[[#This Row],[Item]],supercb[Bairro],mercado2)</f>
        <v>0</v>
      </c>
      <c r="N241" s="27" t="n">
        <f aca="false">SUMIFS(super1[Qtde],super1[Item],tab_alimentos[[#This Row],[Item]],super1[Bairro],mercado3)+SUMIFS(supercb[Qtde],supercb[Item],tab_alimentos[[#This Row],[Item]],supercb[Bairro],mercado3)</f>
        <v>0</v>
      </c>
      <c r="O241" s="27" t="n">
        <f aca="false">SUMIFS(super1[Qtde],super1[Item],tab_alimentos[[#This Row],[Item]],super1[Bairro],mercado4)+SUMIFS(supercb[Qtde],supercb[Item],tab_alimentos[[#This Row],[Item]],supercb[Bairro],mercado4)</f>
        <v>0</v>
      </c>
      <c r="P241" s="27" t="n">
        <f aca="false">SUMIFS(super1[Qtde],super1[Item],tab_alimentos[[#This Row],[Item]],super1[Bairro],mercado5)+SUMIFS(supercb[Qtde],supercb[Item],tab_alimentos[[#This Row],[Item]],supercb[Bairro],mercado5)</f>
        <v>0</v>
      </c>
      <c r="Q241" s="27" t="n">
        <f aca="false">SUMIFS(super1[Qtde],super1[Item],tab_alimentos[[#This Row],[Item]],super1[Bairro],mercado6)+SUMIFS(supercb[Qtde],supercb[Item],tab_alimentos[[#This Row],[Item]],supercb[Bairro],mercado6)</f>
        <v>0</v>
      </c>
      <c r="R241" s="27" t="n">
        <f aca="false">SUMIFS(super1[Qtde],super1[Item],tab_alimentos[[#This Row],[Item]],super1[Bairro],mercado7)+SUMIFS(supercb[Qtde],supercb[Item],tab_alimentos[[#This Row],[Item]],supercb[Bairro],mercado7)</f>
        <v>0</v>
      </c>
      <c r="S241" s="27" t="n">
        <f aca="false">SUMIFS(super1[Qtde],super1[Item],tab_alimentos[[#This Row],[Item]],super1[Bairro],mercado8)+SUMIFS(supercb[Qtde],supercb[Item],tab_alimentos[[#This Row],[Item]],supercb[Bairro],mercado8)</f>
        <v>0</v>
      </c>
      <c r="T241" s="27" t="n">
        <f aca="false">SUMIFS(super1[Qtde],super1[Item],tab_alimentos[[#This Row],[Item]],super1[Bairro],mercado9)+SUMIFS(supercb[Qtde],supercb[Item],tab_alimentos[[#This Row],[Item]],supercb[Bairro],mercado9)</f>
        <v>0</v>
      </c>
      <c r="U241" s="27" t="n">
        <f aca="false">SUMIFS(super1[Qtde],super1[Item],tab_alimentos[[#This Row],[Item]],super1[Bairro],mercado10)+SUMIFS(supercb[Qtde],supercb[Item],tab_alimentos[[#This Row],[Item]],supercb[Bairro],mercado10)</f>
        <v>0</v>
      </c>
      <c r="V241" s="27" t="n">
        <f aca="false">SUMIFS(super1[Qtde],super1[Item],tab_alimentos[[#This Row],[Item]],super1[Bairro],mercado11)+SUMIFS(supercb[Qtde],supercb[Item],tab_alimentos[[#This Row],[Item]],supercb[Bairro],mercado11)</f>
        <v>0</v>
      </c>
      <c r="W241" s="27" t="n">
        <f aca="false">SUMIFS(super1[Qtde],super1[Item],tab_alimentos[[#This Row],[Item]],super1[Bairro],mercado12)+SUMIFS(supercb[Qtde],supercb[Item],tab_alimentos[[#This Row],[Item]],supercb[Bairro],mercado12)</f>
        <v>0</v>
      </c>
      <c r="X241" s="27" t="n">
        <f aca="false">SUMIFS(super1[Qtde],super1[Item],tab_alimentos[[#This Row],[Item]],super1[Bairro],mercado13)+SUMIFS(supercb[Qtde],supercb[Item],tab_alimentos[[#This Row],[Item]],supercb[Bairro],mercado13)</f>
        <v>0</v>
      </c>
      <c r="Y241" s="27" t="n">
        <f aca="false">SUMIFS(super1[Qtde],super1[Item],tab_alimentos[[#This Row],[Item]],super1[Bairro],mercado14)+SUMIFS(supercb[Qtde],supercb[Item],tab_alimentos[[#This Row],[Item]],supercb[Bairro],mercado14)</f>
        <v>0</v>
      </c>
      <c r="Z241" s="27" t="n">
        <f aca="false">SUMIFS(super1[Qtde],super1[Item],tab_alimentos[[#This Row],[Item]],super1[Bairro],mercado15)+SUMIFS(supercb[Qtde],supercb[Item],tab_alimentos[[#This Row],[Item]],supercb[Bairro],mercado15)</f>
        <v>0</v>
      </c>
      <c r="AA241" s="27" t="n">
        <f aca="false">SUMIFS(super1[Qtde],super1[Item],tab_alimentos[[#This Row],[Item]],super1[Bairro],mercado16)+SUMIFS(supercb[Qtde],supercb[Item],tab_alimentos[[#This Row],[Item]],supercb[Bairro],mercado16)</f>
        <v>0</v>
      </c>
      <c r="AB241" s="27" t="n">
        <f aca="false">SUMIFS(super1[Qtde],super1[Item],tab_alimentos[[#This Row],[Item]],super1[Bairro],mercado17)+SUMIFS(supercb[Qtde],supercb[Item],tab_alimentos[[#This Row],[Item]],supercb[Bairro],mercado17)</f>
        <v>0</v>
      </c>
      <c r="AC241" s="27" t="n">
        <f aca="false">SUMIFS(super1[Qtde],super1[Item],tab_alimentos[[#This Row],[Item]],super1[Bairro],mercado18)+SUMIFS(supercb[Qtde],supercb[Item],tab_alimentos[[#This Row],[Item]],supercb[Bairro],mercado18)</f>
        <v>0</v>
      </c>
      <c r="AD241" s="27" t="n">
        <f aca="false">SUMIFS(super1[Qtde],super1[Item],tab_alimentos[[#This Row],[Item]],super1[Bairro],extras)+SUMIFS(supercb[Qtde],supercb[Item],tab_alimentos[[#This Row],[Item]],supercb[Bairro],extras)</f>
        <v>0</v>
      </c>
      <c r="AE241" s="27" t="n">
        <f aca="false">SUM(L241:AC241)</f>
        <v>0</v>
      </c>
      <c r="AF241" s="27" t="n">
        <f aca="false">IFERROR(AE241*K241,0)</f>
        <v>0</v>
      </c>
      <c r="AG241" s="28" t="n">
        <f aca="false">IFERROR(J241*AE241,0)</f>
        <v>0</v>
      </c>
      <c r="AH241" s="37" t="e">
        <f aca="false">higiene[[#This Row],[Item]]</f>
        <v>#VALUE!</v>
      </c>
      <c r="AI241" s="38" t="n">
        <f aca="false">IFERROR(higiene[[#This Row],[Kg equivalente]],0)</f>
        <v>0</v>
      </c>
      <c r="AJ241" s="38" t="n">
        <f aca="false">IFERROR(higiene[[#This Row],[Preço por produto]],0)</f>
        <v>0</v>
      </c>
      <c r="AK241" s="27" t="n">
        <f aca="false">SUMIFS(super1[Qtde],super1[Item],tab_higiene[[#This Row],[Item]],super1[Bairro],mercado1)+SUMIFS(supercb[Qtde],supercb[Item],tab_higiene[[#This Row],[Item]],supercb[Bairro],mercado1)</f>
        <v>0</v>
      </c>
      <c r="AL241" s="27" t="n">
        <f aca="false">SUMIFS(super1[Qtde],super1[Item],tab_higiene[[#This Row],[Item]],super1[Bairro],mercado2)+SUMIFS(supercb[Qtde],supercb[Item],tab_higiene[[#This Row],[Item]],supercb[Bairro],mercado2)</f>
        <v>0</v>
      </c>
      <c r="AM241" s="27" t="n">
        <f aca="false">SUMIFS(super1[Qtde],super1[Item],tab_higiene[[#This Row],[Item]],super1[Bairro],mercado3)+SUMIFS(supercb[Qtde],supercb[Item],tab_higiene[[#This Row],[Item]],supercb[Bairro],mercado3)</f>
        <v>0</v>
      </c>
      <c r="AN241" s="27" t="n">
        <f aca="false">SUMIFS(super1[Qtde],super1[Item],tab_higiene[[#This Row],[Item]],super1[Bairro],mercado4)+SUMIFS(supercb[Qtde],supercb[Item],tab_higiene[[#This Row],[Item]],supercb[Bairro],mercado4)</f>
        <v>0</v>
      </c>
      <c r="AO241" s="27" t="n">
        <f aca="false">SUMIFS(super1[Qtde],super1[Item],tab_higiene[[#This Row],[Item]],super1[Bairro],mercado5)+SUMIFS(supercb[Qtde],supercb[Item],tab_higiene[[#This Row],[Item]],supercb[Bairro],mercado5)</f>
        <v>0</v>
      </c>
      <c r="AP241" s="27" t="n">
        <f aca="false">SUMIFS(super1[Qtde],super1[Item],tab_higiene[[#This Row],[Item]],super1[Bairro],mercado6)+SUMIFS(supercb[Qtde],supercb[Item],tab_higiene[[#This Row],[Item]],supercb[Bairro],mercado6)</f>
        <v>0</v>
      </c>
      <c r="AQ241" s="27" t="n">
        <f aca="false">SUMIFS(super1[Qtde],super1[Item],tab_higiene[[#This Row],[Item]],super1[Bairro],mercado7)+SUMIFS(supercb[Qtde],supercb[Item],tab_higiene[[#This Row],[Item]],supercb[Bairro],mercado7)</f>
        <v>0</v>
      </c>
      <c r="AR241" s="27" t="n">
        <f aca="false">SUMIFS(super1[Qtde],super1[Item],tab_higiene[[#This Row],[Item]],super1[Bairro],mercado8)+SUMIFS(supercb[Qtde],supercb[Item],tab_higiene[[#This Row],[Item]],supercb[Bairro],mercado8)</f>
        <v>0</v>
      </c>
      <c r="AS241" s="27" t="n">
        <f aca="false">SUMIFS(super1[Qtde],super1[Item],tab_higiene[[#This Row],[Item]],super1[Bairro],mercado9)+SUMIFS(supercb[Qtde],supercb[Item],tab_higiene[[#This Row],[Item]],supercb[Bairro],mercado9)</f>
        <v>0</v>
      </c>
      <c r="AT241" s="27" t="n">
        <f aca="false">SUMIFS(super1[Qtde],super1[Item],tab_higiene[[#This Row],[Item]],super1[Bairro],mercado10)+SUMIFS(supercb[Qtde],supercb[Item],tab_higiene[[#This Row],[Item]],supercb[Bairro],mercado10)</f>
        <v>0</v>
      </c>
      <c r="AU241" s="27" t="n">
        <f aca="false">SUMIFS(super1[Qtde],super1[Item],tab_higiene[[#This Row],[Item]],super1[Bairro],mercado11)+SUMIFS(supercb[Qtde],supercb[Item],tab_higiene[[#This Row],[Item]],supercb[Bairro],mercado11)</f>
        <v>0</v>
      </c>
      <c r="AV241" s="27" t="n">
        <f aca="false">SUMIFS(super1[Qtde],super1[Item],tab_higiene[[#This Row],[Item]],super1[Bairro],mercado12)+SUMIFS(supercb[Qtde],supercb[Item],tab_higiene[[#This Row],[Item]],supercb[Bairro],mercado12)</f>
        <v>0</v>
      </c>
      <c r="AW241" s="27" t="n">
        <f aca="false">SUMIFS(super1[Qtde],super1[Item],tab_higiene[[#This Row],[Item]],super1[Bairro],mercado13)+SUMIFS(supercb[Qtde],supercb[Item],tab_higiene[[#This Row],[Item]],supercb[Bairro],mercado13)</f>
        <v>0</v>
      </c>
      <c r="AX241" s="27" t="n">
        <f aca="false">SUMIFS(super1[Qtde],super1[Item],tab_higiene[[#This Row],[Item]],super1[Bairro],mercado14)+SUMIFS(supercb[Qtde],supercb[Item],tab_higiene[[#This Row],[Item]],supercb[Bairro],mercado14)</f>
        <v>0</v>
      </c>
      <c r="AY241" s="27" t="n">
        <f aca="false">SUMIFS(super1[Qtde],super1[Item],tab_higiene[[#This Row],[Item]],super1[Bairro],mercado15)+SUMIFS(supercb[Qtde],supercb[Item],tab_higiene[[#This Row],[Item]],supercb[Bairro],mercado15)</f>
        <v>0</v>
      </c>
      <c r="AZ241" s="27" t="n">
        <f aca="false">SUMIFS(super1[Qtde],super1[Item],tab_higiene[[#This Row],[Item]],super1[Bairro],mercado16)+SUMIFS(supercb[Qtde],supercb[Item],tab_higiene[[#This Row],[Item]],supercb[Bairro],mercado16)</f>
        <v>0</v>
      </c>
      <c r="BA241" s="27" t="n">
        <f aca="false">SUMIFS(super1[Qtde],super1[Item],tab_higiene[[#This Row],[Item]],super1[Bairro],mercado17)+SUMIFS(supercb[Qtde],supercb[Item],tab_higiene[[#This Row],[Item]],supercb[Bairro],mercado17)</f>
        <v>0</v>
      </c>
      <c r="BB241" s="27" t="n">
        <f aca="false">SUMIFS(super1[Qtde],super1[Item],tab_higiene[[#This Row],[Item]],super1[Bairro],mercado18)+SUMIFS(supercb[Qtde],supercb[Item],tab_higiene[[#This Row],[Item]],supercb[Bairro],mercado18)</f>
        <v>0</v>
      </c>
      <c r="BC241" s="39" t="n">
        <f aca="false">SUMIFS(super1[Qtde],super1[Item],tab_higiene[[#This Row],[Item]],super1[Bairro],extras)+SUMIFS(supercb[Qtde],supercb[Item],tab_higiene[[#This Row],[Item]],supercb[Bairro],extras)</f>
        <v>0</v>
      </c>
      <c r="BD241" s="38" t="n">
        <f aca="false">SUM(AK241:BB241)</f>
        <v>0</v>
      </c>
      <c r="BE241" s="38" t="n">
        <f aca="false">IFERROR(BD241*AJ241,0)</f>
        <v>0</v>
      </c>
      <c r="BF241" s="40" t="n">
        <f aca="false">IFERROR(AI241*BD241,0)</f>
        <v>0</v>
      </c>
    </row>
    <row r="242" customFormat="false" ht="15.75" hidden="false" customHeight="false" outlineLevel="0" collapsed="false">
      <c r="I242" s="26" t="str">
        <f aca="false">alimentos[[#This Row],[Item]]</f>
        <v>Sardinha (125g)</v>
      </c>
      <c r="J242" s="27" t="n">
        <f aca="false">IFERROR(alimentos[[#This Row],[kg/embalagem]],0)</f>
        <v>0.125</v>
      </c>
      <c r="K242" s="27" t="n">
        <f aca="false">IFERROR(alimentos[[#This Row],[Preço]],0)</f>
        <v>2.99</v>
      </c>
      <c r="L242" s="27" t="n">
        <f aca="false">SUMIFS(super1[Qtde],super1[Item],tab_alimentos[[#This Row],[Item]],super1[Bairro],mercado1)+SUMIFS(supercb[Qtde],supercb[Item],tab_alimentos[[#This Row],[Item]],supercb[Bairro],mercado1)</f>
        <v>0</v>
      </c>
      <c r="M242" s="27" t="n">
        <f aca="false">SUMIFS(super1[Qtde],super1[Item],tab_alimentos[[#This Row],[Item]],super1[Bairro],mercado2)+SUMIFS(supercb[Qtde],supercb[Item],tab_alimentos[[#This Row],[Item]],supercb[Bairro],mercado2)</f>
        <v>0</v>
      </c>
      <c r="N242" s="27" t="n">
        <f aca="false">SUMIFS(super1[Qtde],super1[Item],tab_alimentos[[#This Row],[Item]],super1[Bairro],mercado3)+SUMIFS(supercb[Qtde],supercb[Item],tab_alimentos[[#This Row],[Item]],supercb[Bairro],mercado3)</f>
        <v>2</v>
      </c>
      <c r="O242" s="27" t="n">
        <f aca="false">SUMIFS(super1[Qtde],super1[Item],tab_alimentos[[#This Row],[Item]],super1[Bairro],mercado4)+SUMIFS(supercb[Qtde],supercb[Item],tab_alimentos[[#This Row],[Item]],supercb[Bairro],mercado4)</f>
        <v>3</v>
      </c>
      <c r="P242" s="27" t="n">
        <f aca="false">SUMIFS(super1[Qtde],super1[Item],tab_alimentos[[#This Row],[Item]],super1[Bairro],mercado5)+SUMIFS(supercb[Qtde],supercb[Item],tab_alimentos[[#This Row],[Item]],supercb[Bairro],mercado5)</f>
        <v>0</v>
      </c>
      <c r="Q242" s="27" t="n">
        <f aca="false">SUMIFS(super1[Qtde],super1[Item],tab_alimentos[[#This Row],[Item]],super1[Bairro],mercado6)+SUMIFS(supercb[Qtde],supercb[Item],tab_alimentos[[#This Row],[Item]],supercb[Bairro],mercado6)</f>
        <v>3</v>
      </c>
      <c r="R242" s="27" t="n">
        <f aca="false">SUMIFS(super1[Qtde],super1[Item],tab_alimentos[[#This Row],[Item]],super1[Bairro],mercado7)+SUMIFS(supercb[Qtde],supercb[Item],tab_alimentos[[#This Row],[Item]],supercb[Bairro],mercado7)</f>
        <v>2</v>
      </c>
      <c r="S242" s="27" t="n">
        <f aca="false">SUMIFS(super1[Qtde],super1[Item],tab_alimentos[[#This Row],[Item]],super1[Bairro],mercado8)+SUMIFS(supercb[Qtde],supercb[Item],tab_alimentos[[#This Row],[Item]],supercb[Bairro],mercado8)</f>
        <v>0</v>
      </c>
      <c r="T242" s="27" t="n">
        <f aca="false">SUMIFS(super1[Qtde],super1[Item],tab_alimentos[[#This Row],[Item]],super1[Bairro],mercado9)+SUMIFS(supercb[Qtde],supercb[Item],tab_alimentos[[#This Row],[Item]],supercb[Bairro],mercado9)</f>
        <v>0</v>
      </c>
      <c r="U242" s="27" t="n">
        <f aca="false">SUMIFS(super1[Qtde],super1[Item],tab_alimentos[[#This Row],[Item]],super1[Bairro],mercado10)+SUMIFS(supercb[Qtde],supercb[Item],tab_alimentos[[#This Row],[Item]],supercb[Bairro],mercado10)</f>
        <v>2</v>
      </c>
      <c r="V242" s="27" t="n">
        <f aca="false">SUMIFS(super1[Qtde],super1[Item],tab_alimentos[[#This Row],[Item]],super1[Bairro],mercado11)+SUMIFS(supercb[Qtde],supercb[Item],tab_alimentos[[#This Row],[Item]],supercb[Bairro],mercado11)</f>
        <v>0</v>
      </c>
      <c r="W242" s="27" t="n">
        <f aca="false">SUMIFS(super1[Qtde],super1[Item],tab_alimentos[[#This Row],[Item]],super1[Bairro],mercado12)+SUMIFS(supercb[Qtde],supercb[Item],tab_alimentos[[#This Row],[Item]],supercb[Bairro],mercado12)</f>
        <v>0</v>
      </c>
      <c r="X242" s="27" t="n">
        <f aca="false">SUMIFS(super1[Qtde],super1[Item],tab_alimentos[[#This Row],[Item]],super1[Bairro],mercado13)+SUMIFS(supercb[Qtde],supercb[Item],tab_alimentos[[#This Row],[Item]],supercb[Bairro],mercado13)</f>
        <v>0</v>
      </c>
      <c r="Y242" s="27" t="n">
        <f aca="false">SUMIFS(super1[Qtde],super1[Item],tab_alimentos[[#This Row],[Item]],super1[Bairro],mercado14)+SUMIFS(supercb[Qtde],supercb[Item],tab_alimentos[[#This Row],[Item]],supercb[Bairro],mercado14)</f>
        <v>0</v>
      </c>
      <c r="Z242" s="27" t="n">
        <f aca="false">SUMIFS(super1[Qtde],super1[Item],tab_alimentos[[#This Row],[Item]],super1[Bairro],mercado15)+SUMIFS(supercb[Qtde],supercb[Item],tab_alimentos[[#This Row],[Item]],supercb[Bairro],mercado15)</f>
        <v>0</v>
      </c>
      <c r="AA242" s="27" t="n">
        <f aca="false">SUMIFS(super1[Qtde],super1[Item],tab_alimentos[[#This Row],[Item]],super1[Bairro],mercado16)+SUMIFS(supercb[Qtde],supercb[Item],tab_alimentos[[#This Row],[Item]],supercb[Bairro],mercado16)</f>
        <v>0</v>
      </c>
      <c r="AB242" s="27" t="n">
        <f aca="false">SUMIFS(super1[Qtde],super1[Item],tab_alimentos[[#This Row],[Item]],super1[Bairro],mercado17)+SUMIFS(supercb[Qtde],supercb[Item],tab_alimentos[[#This Row],[Item]],supercb[Bairro],mercado17)</f>
        <v>0</v>
      </c>
      <c r="AC242" s="27" t="n">
        <f aca="false">SUMIFS(super1[Qtde],super1[Item],tab_alimentos[[#This Row],[Item]],super1[Bairro],mercado18)+SUMIFS(supercb[Qtde],supercb[Item],tab_alimentos[[#This Row],[Item]],supercb[Bairro],mercado18)</f>
        <v>0</v>
      </c>
      <c r="AD242" s="27" t="n">
        <f aca="false">SUMIFS(super1[Qtde],super1[Item],tab_alimentos[[#This Row],[Item]],super1[Bairro],extras)+SUMIFS(supercb[Qtde],supercb[Item],tab_alimentos[[#This Row],[Item]],supercb[Bairro],extras)</f>
        <v>0</v>
      </c>
      <c r="AE242" s="27" t="n">
        <f aca="false">SUM(L242:AC242)</f>
        <v>12</v>
      </c>
      <c r="AF242" s="27" t="n">
        <f aca="false">IFERROR(AE242*K242,0)</f>
        <v>35.88</v>
      </c>
      <c r="AG242" s="28" t="n">
        <f aca="false">IFERROR(J242*AE242,0)</f>
        <v>1.5</v>
      </c>
      <c r="AH242" s="37" t="e">
        <f aca="false">higiene[[#This Row],[Item]]</f>
        <v>#VALUE!</v>
      </c>
      <c r="AI242" s="38" t="n">
        <f aca="false">IFERROR(higiene[[#This Row],[Kg equivalente]],0)</f>
        <v>0</v>
      </c>
      <c r="AJ242" s="38" t="n">
        <f aca="false">IFERROR(higiene[[#This Row],[Preço por produto]],0)</f>
        <v>0</v>
      </c>
      <c r="AK242" s="27" t="n">
        <f aca="false">SUMIFS(super1[Qtde],super1[Item],tab_higiene[[#This Row],[Item]],super1[Bairro],mercado1)+SUMIFS(supercb[Qtde],supercb[Item],tab_higiene[[#This Row],[Item]],supercb[Bairro],mercado1)</f>
        <v>0</v>
      </c>
      <c r="AL242" s="27" t="n">
        <f aca="false">SUMIFS(super1[Qtde],super1[Item],tab_higiene[[#This Row],[Item]],super1[Bairro],mercado2)+SUMIFS(supercb[Qtde],supercb[Item],tab_higiene[[#This Row],[Item]],supercb[Bairro],mercado2)</f>
        <v>0</v>
      </c>
      <c r="AM242" s="27" t="n">
        <f aca="false">SUMIFS(super1[Qtde],super1[Item],tab_higiene[[#This Row],[Item]],super1[Bairro],mercado3)+SUMIFS(supercb[Qtde],supercb[Item],tab_higiene[[#This Row],[Item]],supercb[Bairro],mercado3)</f>
        <v>0</v>
      </c>
      <c r="AN242" s="27" t="n">
        <f aca="false">SUMIFS(super1[Qtde],super1[Item],tab_higiene[[#This Row],[Item]],super1[Bairro],mercado4)+SUMIFS(supercb[Qtde],supercb[Item],tab_higiene[[#This Row],[Item]],supercb[Bairro],mercado4)</f>
        <v>0</v>
      </c>
      <c r="AO242" s="27" t="n">
        <f aca="false">SUMIFS(super1[Qtde],super1[Item],tab_higiene[[#This Row],[Item]],super1[Bairro],mercado5)+SUMIFS(supercb[Qtde],supercb[Item],tab_higiene[[#This Row],[Item]],supercb[Bairro],mercado5)</f>
        <v>0</v>
      </c>
      <c r="AP242" s="27" t="n">
        <f aca="false">SUMIFS(super1[Qtde],super1[Item],tab_higiene[[#This Row],[Item]],super1[Bairro],mercado6)+SUMIFS(supercb[Qtde],supercb[Item],tab_higiene[[#This Row],[Item]],supercb[Bairro],mercado6)</f>
        <v>0</v>
      </c>
      <c r="AQ242" s="27" t="n">
        <f aca="false">SUMIFS(super1[Qtde],super1[Item],tab_higiene[[#This Row],[Item]],super1[Bairro],mercado7)+SUMIFS(supercb[Qtde],supercb[Item],tab_higiene[[#This Row],[Item]],supercb[Bairro],mercado7)</f>
        <v>0</v>
      </c>
      <c r="AR242" s="27" t="n">
        <f aca="false">SUMIFS(super1[Qtde],super1[Item],tab_higiene[[#This Row],[Item]],super1[Bairro],mercado8)+SUMIFS(supercb[Qtde],supercb[Item],tab_higiene[[#This Row],[Item]],supercb[Bairro],mercado8)</f>
        <v>0</v>
      </c>
      <c r="AS242" s="27" t="n">
        <f aca="false">SUMIFS(super1[Qtde],super1[Item],tab_higiene[[#This Row],[Item]],super1[Bairro],mercado9)+SUMIFS(supercb[Qtde],supercb[Item],tab_higiene[[#This Row],[Item]],supercb[Bairro],mercado9)</f>
        <v>0</v>
      </c>
      <c r="AT242" s="27" t="n">
        <f aca="false">SUMIFS(super1[Qtde],super1[Item],tab_higiene[[#This Row],[Item]],super1[Bairro],mercado10)+SUMIFS(supercb[Qtde],supercb[Item],tab_higiene[[#This Row],[Item]],supercb[Bairro],mercado10)</f>
        <v>0</v>
      </c>
      <c r="AU242" s="27" t="n">
        <f aca="false">SUMIFS(super1[Qtde],super1[Item],tab_higiene[[#This Row],[Item]],super1[Bairro],mercado11)+SUMIFS(supercb[Qtde],supercb[Item],tab_higiene[[#This Row],[Item]],supercb[Bairro],mercado11)</f>
        <v>0</v>
      </c>
      <c r="AV242" s="27" t="n">
        <f aca="false">SUMIFS(super1[Qtde],super1[Item],tab_higiene[[#This Row],[Item]],super1[Bairro],mercado12)+SUMIFS(supercb[Qtde],supercb[Item],tab_higiene[[#This Row],[Item]],supercb[Bairro],mercado12)</f>
        <v>0</v>
      </c>
      <c r="AW242" s="27" t="n">
        <f aca="false">SUMIFS(super1[Qtde],super1[Item],tab_higiene[[#This Row],[Item]],super1[Bairro],mercado13)+SUMIFS(supercb[Qtde],supercb[Item],tab_higiene[[#This Row],[Item]],supercb[Bairro],mercado13)</f>
        <v>0</v>
      </c>
      <c r="AX242" s="27" t="n">
        <f aca="false">SUMIFS(super1[Qtde],super1[Item],tab_higiene[[#This Row],[Item]],super1[Bairro],mercado14)+SUMIFS(supercb[Qtde],supercb[Item],tab_higiene[[#This Row],[Item]],supercb[Bairro],mercado14)</f>
        <v>0</v>
      </c>
      <c r="AY242" s="27" t="n">
        <f aca="false">SUMIFS(super1[Qtde],super1[Item],tab_higiene[[#This Row],[Item]],super1[Bairro],mercado15)+SUMIFS(supercb[Qtde],supercb[Item],tab_higiene[[#This Row],[Item]],supercb[Bairro],mercado15)</f>
        <v>0</v>
      </c>
      <c r="AZ242" s="27" t="n">
        <f aca="false">SUMIFS(super1[Qtde],super1[Item],tab_higiene[[#This Row],[Item]],super1[Bairro],mercado16)+SUMIFS(supercb[Qtde],supercb[Item],tab_higiene[[#This Row],[Item]],supercb[Bairro],mercado16)</f>
        <v>0</v>
      </c>
      <c r="BA242" s="27" t="n">
        <f aca="false">SUMIFS(super1[Qtde],super1[Item],tab_higiene[[#This Row],[Item]],super1[Bairro],mercado17)+SUMIFS(supercb[Qtde],supercb[Item],tab_higiene[[#This Row],[Item]],supercb[Bairro],mercado17)</f>
        <v>0</v>
      </c>
      <c r="BB242" s="27" t="n">
        <f aca="false">SUMIFS(super1[Qtde],super1[Item],tab_higiene[[#This Row],[Item]],super1[Bairro],mercado18)+SUMIFS(supercb[Qtde],supercb[Item],tab_higiene[[#This Row],[Item]],supercb[Bairro],mercado18)</f>
        <v>0</v>
      </c>
      <c r="BC242" s="39" t="n">
        <f aca="false">SUMIFS(super1[Qtde],super1[Item],tab_higiene[[#This Row],[Item]],super1[Bairro],extras)+SUMIFS(supercb[Qtde],supercb[Item],tab_higiene[[#This Row],[Item]],supercb[Bairro],extras)</f>
        <v>0</v>
      </c>
      <c r="BD242" s="38" t="n">
        <f aca="false">SUM(AK242:BB242)</f>
        <v>0</v>
      </c>
      <c r="BE242" s="38" t="n">
        <f aca="false">IFERROR(BD242*AJ242,0)</f>
        <v>0</v>
      </c>
      <c r="BF242" s="40" t="n">
        <f aca="false">IFERROR(AI242*BD242,0)</f>
        <v>0</v>
      </c>
    </row>
    <row r="243" customFormat="false" ht="15.75" hidden="false" customHeight="false" outlineLevel="0" collapsed="false">
      <c r="I243" s="26" t="str">
        <f aca="false">alimentos[[#This Row],[Item]]</f>
        <v>Sazon (60g)</v>
      </c>
      <c r="J243" s="27" t="n">
        <f aca="false">IFERROR(alimentos[[#This Row],[kg/embalagem]],0)</f>
        <v>0.06</v>
      </c>
      <c r="K243" s="27" t="n">
        <f aca="false">IFERROR(alimentos[[#This Row],[Preço]],0)</f>
        <v>3.67</v>
      </c>
      <c r="L243" s="27" t="n">
        <f aca="false">SUMIFS(super1[Qtde],super1[Item],tab_alimentos[[#This Row],[Item]],super1[Bairro],mercado1)+SUMIFS(supercb[Qtde],supercb[Item],tab_alimentos[[#This Row],[Item]],supercb[Bairro],mercado1)</f>
        <v>0</v>
      </c>
      <c r="M243" s="27" t="n">
        <f aca="false">SUMIFS(super1[Qtde],super1[Item],tab_alimentos[[#This Row],[Item]],super1[Bairro],mercado2)+SUMIFS(supercb[Qtde],supercb[Item],tab_alimentos[[#This Row],[Item]],supercb[Bairro],mercado2)</f>
        <v>0</v>
      </c>
      <c r="N243" s="27" t="n">
        <f aca="false">SUMIFS(super1[Qtde],super1[Item],tab_alimentos[[#This Row],[Item]],super1[Bairro],mercado3)+SUMIFS(supercb[Qtde],supercb[Item],tab_alimentos[[#This Row],[Item]],supercb[Bairro],mercado3)</f>
        <v>0</v>
      </c>
      <c r="O243" s="27" t="n">
        <f aca="false">SUMIFS(super1[Qtde],super1[Item],tab_alimentos[[#This Row],[Item]],super1[Bairro],mercado4)+SUMIFS(supercb[Qtde],supercb[Item],tab_alimentos[[#This Row],[Item]],supercb[Bairro],mercado4)</f>
        <v>0</v>
      </c>
      <c r="P243" s="27" t="n">
        <f aca="false">SUMIFS(super1[Qtde],super1[Item],tab_alimentos[[#This Row],[Item]],super1[Bairro],mercado5)+SUMIFS(supercb[Qtde],supercb[Item],tab_alimentos[[#This Row],[Item]],supercb[Bairro],mercado5)</f>
        <v>0</v>
      </c>
      <c r="Q243" s="27" t="n">
        <f aca="false">SUMIFS(super1[Qtde],super1[Item],tab_alimentos[[#This Row],[Item]],super1[Bairro],mercado6)+SUMIFS(supercb[Qtde],supercb[Item],tab_alimentos[[#This Row],[Item]],supercb[Bairro],mercado6)</f>
        <v>0</v>
      </c>
      <c r="R243" s="27" t="n">
        <f aca="false">SUMIFS(super1[Qtde],super1[Item],tab_alimentos[[#This Row],[Item]],super1[Bairro],mercado7)+SUMIFS(supercb[Qtde],supercb[Item],tab_alimentos[[#This Row],[Item]],supercb[Bairro],mercado7)</f>
        <v>0</v>
      </c>
      <c r="S243" s="27" t="n">
        <f aca="false">SUMIFS(super1[Qtde],super1[Item],tab_alimentos[[#This Row],[Item]],super1[Bairro],mercado8)+SUMIFS(supercb[Qtde],supercb[Item],tab_alimentos[[#This Row],[Item]],supercb[Bairro],mercado8)</f>
        <v>0</v>
      </c>
      <c r="T243" s="27" t="n">
        <f aca="false">SUMIFS(super1[Qtde],super1[Item],tab_alimentos[[#This Row],[Item]],super1[Bairro],mercado9)+SUMIFS(supercb[Qtde],supercb[Item],tab_alimentos[[#This Row],[Item]],supercb[Bairro],mercado9)</f>
        <v>0</v>
      </c>
      <c r="U243" s="27" t="n">
        <f aca="false">SUMIFS(super1[Qtde],super1[Item],tab_alimentos[[#This Row],[Item]],super1[Bairro],mercado10)+SUMIFS(supercb[Qtde],supercb[Item],tab_alimentos[[#This Row],[Item]],supercb[Bairro],mercado10)</f>
        <v>0</v>
      </c>
      <c r="V243" s="27" t="n">
        <f aca="false">SUMIFS(super1[Qtde],super1[Item],tab_alimentos[[#This Row],[Item]],super1[Bairro],mercado11)+SUMIFS(supercb[Qtde],supercb[Item],tab_alimentos[[#This Row],[Item]],supercb[Bairro],mercado11)</f>
        <v>0</v>
      </c>
      <c r="W243" s="27" t="n">
        <f aca="false">SUMIFS(super1[Qtde],super1[Item],tab_alimentos[[#This Row],[Item]],super1[Bairro],mercado12)+SUMIFS(supercb[Qtde],supercb[Item],tab_alimentos[[#This Row],[Item]],supercb[Bairro],mercado12)</f>
        <v>0</v>
      </c>
      <c r="X243" s="27" t="n">
        <f aca="false">SUMIFS(super1[Qtde],super1[Item],tab_alimentos[[#This Row],[Item]],super1[Bairro],mercado13)+SUMIFS(supercb[Qtde],supercb[Item],tab_alimentos[[#This Row],[Item]],supercb[Bairro],mercado13)</f>
        <v>0</v>
      </c>
      <c r="Y243" s="27" t="n">
        <f aca="false">SUMIFS(super1[Qtde],super1[Item],tab_alimentos[[#This Row],[Item]],super1[Bairro],mercado14)+SUMIFS(supercb[Qtde],supercb[Item],tab_alimentos[[#This Row],[Item]],supercb[Bairro],mercado14)</f>
        <v>0</v>
      </c>
      <c r="Z243" s="27" t="n">
        <f aca="false">SUMIFS(super1[Qtde],super1[Item],tab_alimentos[[#This Row],[Item]],super1[Bairro],mercado15)+SUMIFS(supercb[Qtde],supercb[Item],tab_alimentos[[#This Row],[Item]],supercb[Bairro],mercado15)</f>
        <v>0</v>
      </c>
      <c r="AA243" s="27" t="n">
        <f aca="false">SUMIFS(super1[Qtde],super1[Item],tab_alimentos[[#This Row],[Item]],super1[Bairro],mercado16)+SUMIFS(supercb[Qtde],supercb[Item],tab_alimentos[[#This Row],[Item]],supercb[Bairro],mercado16)</f>
        <v>0</v>
      </c>
      <c r="AB243" s="27" t="n">
        <f aca="false">SUMIFS(super1[Qtde],super1[Item],tab_alimentos[[#This Row],[Item]],super1[Bairro],mercado17)+SUMIFS(supercb[Qtde],supercb[Item],tab_alimentos[[#This Row],[Item]],supercb[Bairro],mercado17)</f>
        <v>0</v>
      </c>
      <c r="AC243" s="27" t="n">
        <f aca="false">SUMIFS(super1[Qtde],super1[Item],tab_alimentos[[#This Row],[Item]],super1[Bairro],mercado18)+SUMIFS(supercb[Qtde],supercb[Item],tab_alimentos[[#This Row],[Item]],supercb[Bairro],mercado18)</f>
        <v>0</v>
      </c>
      <c r="AD243" s="27" t="n">
        <f aca="false">SUMIFS(super1[Qtde],super1[Item],tab_alimentos[[#This Row],[Item]],super1[Bairro],extras)+SUMIFS(supercb[Qtde],supercb[Item],tab_alimentos[[#This Row],[Item]],supercb[Bairro],extras)</f>
        <v>0</v>
      </c>
      <c r="AE243" s="27" t="n">
        <f aca="false">SUM(L243:AC243)</f>
        <v>0</v>
      </c>
      <c r="AF243" s="27" t="n">
        <f aca="false">IFERROR(AE243*K243,0)</f>
        <v>0</v>
      </c>
      <c r="AG243" s="28" t="n">
        <f aca="false">IFERROR(J243*AE243,0)</f>
        <v>0</v>
      </c>
      <c r="AH243" s="37" t="e">
        <f aca="false">higiene[[#This Row],[Item]]</f>
        <v>#VALUE!</v>
      </c>
      <c r="AI243" s="38" t="n">
        <f aca="false">IFERROR(higiene[[#This Row],[Kg equivalente]],0)</f>
        <v>0</v>
      </c>
      <c r="AJ243" s="38" t="n">
        <f aca="false">IFERROR(higiene[[#This Row],[Preço por produto]],0)</f>
        <v>0</v>
      </c>
      <c r="AK243" s="27" t="n">
        <f aca="false">SUMIFS(super1[Qtde],super1[Item],tab_higiene[[#This Row],[Item]],super1[Bairro],mercado1)+SUMIFS(supercb[Qtde],supercb[Item],tab_higiene[[#This Row],[Item]],supercb[Bairro],mercado1)</f>
        <v>0</v>
      </c>
      <c r="AL243" s="27" t="n">
        <f aca="false">SUMIFS(super1[Qtde],super1[Item],tab_higiene[[#This Row],[Item]],super1[Bairro],mercado2)+SUMIFS(supercb[Qtde],supercb[Item],tab_higiene[[#This Row],[Item]],supercb[Bairro],mercado2)</f>
        <v>0</v>
      </c>
      <c r="AM243" s="27" t="n">
        <f aca="false">SUMIFS(super1[Qtde],super1[Item],tab_higiene[[#This Row],[Item]],super1[Bairro],mercado3)+SUMIFS(supercb[Qtde],supercb[Item],tab_higiene[[#This Row],[Item]],supercb[Bairro],mercado3)</f>
        <v>0</v>
      </c>
      <c r="AN243" s="27" t="n">
        <f aca="false">SUMIFS(super1[Qtde],super1[Item],tab_higiene[[#This Row],[Item]],super1[Bairro],mercado4)+SUMIFS(supercb[Qtde],supercb[Item],tab_higiene[[#This Row],[Item]],supercb[Bairro],mercado4)</f>
        <v>0</v>
      </c>
      <c r="AO243" s="27" t="n">
        <f aca="false">SUMIFS(super1[Qtde],super1[Item],tab_higiene[[#This Row],[Item]],super1[Bairro],mercado5)+SUMIFS(supercb[Qtde],supercb[Item],tab_higiene[[#This Row],[Item]],supercb[Bairro],mercado5)</f>
        <v>0</v>
      </c>
      <c r="AP243" s="27" t="n">
        <f aca="false">SUMIFS(super1[Qtde],super1[Item],tab_higiene[[#This Row],[Item]],super1[Bairro],mercado6)+SUMIFS(supercb[Qtde],supercb[Item],tab_higiene[[#This Row],[Item]],supercb[Bairro],mercado6)</f>
        <v>0</v>
      </c>
      <c r="AQ243" s="27" t="n">
        <f aca="false">SUMIFS(super1[Qtde],super1[Item],tab_higiene[[#This Row],[Item]],super1[Bairro],mercado7)+SUMIFS(supercb[Qtde],supercb[Item],tab_higiene[[#This Row],[Item]],supercb[Bairro],mercado7)</f>
        <v>0</v>
      </c>
      <c r="AR243" s="27" t="n">
        <f aca="false">SUMIFS(super1[Qtde],super1[Item],tab_higiene[[#This Row],[Item]],super1[Bairro],mercado8)+SUMIFS(supercb[Qtde],supercb[Item],tab_higiene[[#This Row],[Item]],supercb[Bairro],mercado8)</f>
        <v>0</v>
      </c>
      <c r="AS243" s="27" t="n">
        <f aca="false">SUMIFS(super1[Qtde],super1[Item],tab_higiene[[#This Row],[Item]],super1[Bairro],mercado9)+SUMIFS(supercb[Qtde],supercb[Item],tab_higiene[[#This Row],[Item]],supercb[Bairro],mercado9)</f>
        <v>0</v>
      </c>
      <c r="AT243" s="27" t="n">
        <f aca="false">SUMIFS(super1[Qtde],super1[Item],tab_higiene[[#This Row],[Item]],super1[Bairro],mercado10)+SUMIFS(supercb[Qtde],supercb[Item],tab_higiene[[#This Row],[Item]],supercb[Bairro],mercado10)</f>
        <v>0</v>
      </c>
      <c r="AU243" s="27" t="n">
        <f aca="false">SUMIFS(super1[Qtde],super1[Item],tab_higiene[[#This Row],[Item]],super1[Bairro],mercado11)+SUMIFS(supercb[Qtde],supercb[Item],tab_higiene[[#This Row],[Item]],supercb[Bairro],mercado11)</f>
        <v>0</v>
      </c>
      <c r="AV243" s="27" t="n">
        <f aca="false">SUMIFS(super1[Qtde],super1[Item],tab_higiene[[#This Row],[Item]],super1[Bairro],mercado12)+SUMIFS(supercb[Qtde],supercb[Item],tab_higiene[[#This Row],[Item]],supercb[Bairro],mercado12)</f>
        <v>0</v>
      </c>
      <c r="AW243" s="27" t="n">
        <f aca="false">SUMIFS(super1[Qtde],super1[Item],tab_higiene[[#This Row],[Item]],super1[Bairro],mercado13)+SUMIFS(supercb[Qtde],supercb[Item],tab_higiene[[#This Row],[Item]],supercb[Bairro],mercado13)</f>
        <v>0</v>
      </c>
      <c r="AX243" s="27" t="n">
        <f aca="false">SUMIFS(super1[Qtde],super1[Item],tab_higiene[[#This Row],[Item]],super1[Bairro],mercado14)+SUMIFS(supercb[Qtde],supercb[Item],tab_higiene[[#This Row],[Item]],supercb[Bairro],mercado14)</f>
        <v>0</v>
      </c>
      <c r="AY243" s="27" t="n">
        <f aca="false">SUMIFS(super1[Qtde],super1[Item],tab_higiene[[#This Row],[Item]],super1[Bairro],mercado15)+SUMIFS(supercb[Qtde],supercb[Item],tab_higiene[[#This Row],[Item]],supercb[Bairro],mercado15)</f>
        <v>0</v>
      </c>
      <c r="AZ243" s="27" t="n">
        <f aca="false">SUMIFS(super1[Qtde],super1[Item],tab_higiene[[#This Row],[Item]],super1[Bairro],mercado16)+SUMIFS(supercb[Qtde],supercb[Item],tab_higiene[[#This Row],[Item]],supercb[Bairro],mercado16)</f>
        <v>0</v>
      </c>
      <c r="BA243" s="27" t="n">
        <f aca="false">SUMIFS(super1[Qtde],super1[Item],tab_higiene[[#This Row],[Item]],super1[Bairro],mercado17)+SUMIFS(supercb[Qtde],supercb[Item],tab_higiene[[#This Row],[Item]],supercb[Bairro],mercado17)</f>
        <v>0</v>
      </c>
      <c r="BB243" s="27" t="n">
        <f aca="false">SUMIFS(super1[Qtde],super1[Item],tab_higiene[[#This Row],[Item]],super1[Bairro],mercado18)+SUMIFS(supercb[Qtde],supercb[Item],tab_higiene[[#This Row],[Item]],supercb[Bairro],mercado18)</f>
        <v>0</v>
      </c>
      <c r="BC243" s="39" t="n">
        <f aca="false">SUMIFS(super1[Qtde],super1[Item],tab_higiene[[#This Row],[Item]],super1[Bairro],extras)+SUMIFS(supercb[Qtde],supercb[Item],tab_higiene[[#This Row],[Item]],supercb[Bairro],extras)</f>
        <v>0</v>
      </c>
      <c r="BD243" s="38" t="n">
        <f aca="false">SUM(AK243:BB243)</f>
        <v>0</v>
      </c>
      <c r="BE243" s="38" t="n">
        <f aca="false">IFERROR(BD243*AJ243,0)</f>
        <v>0</v>
      </c>
      <c r="BF243" s="40" t="n">
        <f aca="false">IFERROR(AI243*BD243,0)</f>
        <v>0</v>
      </c>
    </row>
    <row r="244" customFormat="false" ht="15.75" hidden="false" customHeight="false" outlineLevel="0" collapsed="false">
      <c r="I244" s="26" t="str">
        <f aca="false">alimentos[[#This Row],[Item]]</f>
        <v>Seleta de legumes (200g)</v>
      </c>
      <c r="J244" s="27" t="n">
        <f aca="false">IFERROR(alimentos[[#This Row],[kg/embalagem]],0)</f>
        <v>0.2</v>
      </c>
      <c r="K244" s="27" t="n">
        <f aca="false">IFERROR(alimentos[[#This Row],[Preço]],0)</f>
        <v>2.75</v>
      </c>
      <c r="L244" s="27" t="n">
        <f aca="false">SUMIFS(super1[Qtde],super1[Item],tab_alimentos[[#This Row],[Item]],super1[Bairro],mercado1)+SUMIFS(supercb[Qtde],supercb[Item],tab_alimentos[[#This Row],[Item]],supercb[Bairro],mercado1)</f>
        <v>0</v>
      </c>
      <c r="M244" s="27" t="n">
        <f aca="false">SUMIFS(super1[Qtde],super1[Item],tab_alimentos[[#This Row],[Item]],super1[Bairro],mercado2)+SUMIFS(supercb[Qtde],supercb[Item],tab_alimentos[[#This Row],[Item]],supercb[Bairro],mercado2)</f>
        <v>0</v>
      </c>
      <c r="N244" s="27" t="n">
        <f aca="false">SUMIFS(super1[Qtde],super1[Item],tab_alimentos[[#This Row],[Item]],super1[Bairro],mercado3)+SUMIFS(supercb[Qtde],supercb[Item],tab_alimentos[[#This Row],[Item]],supercb[Bairro],mercado3)</f>
        <v>0</v>
      </c>
      <c r="O244" s="27" t="n">
        <f aca="false">SUMIFS(super1[Qtde],super1[Item],tab_alimentos[[#This Row],[Item]],super1[Bairro],mercado4)+SUMIFS(supercb[Qtde],supercb[Item],tab_alimentos[[#This Row],[Item]],supercb[Bairro],mercado4)</f>
        <v>0</v>
      </c>
      <c r="P244" s="27" t="n">
        <f aca="false">SUMIFS(super1[Qtde],super1[Item],tab_alimentos[[#This Row],[Item]],super1[Bairro],mercado5)+SUMIFS(supercb[Qtde],supercb[Item],tab_alimentos[[#This Row],[Item]],supercb[Bairro],mercado5)</f>
        <v>0</v>
      </c>
      <c r="Q244" s="27" t="n">
        <f aca="false">SUMIFS(super1[Qtde],super1[Item],tab_alimentos[[#This Row],[Item]],super1[Bairro],mercado6)+SUMIFS(supercb[Qtde],supercb[Item],tab_alimentos[[#This Row],[Item]],supercb[Bairro],mercado6)</f>
        <v>0</v>
      </c>
      <c r="R244" s="27" t="n">
        <f aca="false">SUMIFS(super1[Qtde],super1[Item],tab_alimentos[[#This Row],[Item]],super1[Bairro],mercado7)+SUMIFS(supercb[Qtde],supercb[Item],tab_alimentos[[#This Row],[Item]],supercb[Bairro],mercado7)</f>
        <v>0</v>
      </c>
      <c r="S244" s="27" t="n">
        <f aca="false">SUMIFS(super1[Qtde],super1[Item],tab_alimentos[[#This Row],[Item]],super1[Bairro],mercado8)+SUMIFS(supercb[Qtde],supercb[Item],tab_alimentos[[#This Row],[Item]],supercb[Bairro],mercado8)</f>
        <v>0</v>
      </c>
      <c r="T244" s="27" t="n">
        <f aca="false">SUMIFS(super1[Qtde],super1[Item],tab_alimentos[[#This Row],[Item]],super1[Bairro],mercado9)+SUMIFS(supercb[Qtde],supercb[Item],tab_alimentos[[#This Row],[Item]],supercb[Bairro],mercado9)</f>
        <v>0</v>
      </c>
      <c r="U244" s="27" t="n">
        <f aca="false">SUMIFS(super1[Qtde],super1[Item],tab_alimentos[[#This Row],[Item]],super1[Bairro],mercado10)+SUMIFS(supercb[Qtde],supercb[Item],tab_alimentos[[#This Row],[Item]],supercb[Bairro],mercado10)</f>
        <v>0</v>
      </c>
      <c r="V244" s="27" t="n">
        <f aca="false">SUMIFS(super1[Qtde],super1[Item],tab_alimentos[[#This Row],[Item]],super1[Bairro],mercado11)+SUMIFS(supercb[Qtde],supercb[Item],tab_alimentos[[#This Row],[Item]],supercb[Bairro],mercado11)</f>
        <v>0</v>
      </c>
      <c r="W244" s="27" t="n">
        <f aca="false">SUMIFS(super1[Qtde],super1[Item],tab_alimentos[[#This Row],[Item]],super1[Bairro],mercado12)+SUMIFS(supercb[Qtde],supercb[Item],tab_alimentos[[#This Row],[Item]],supercb[Bairro],mercado12)</f>
        <v>0</v>
      </c>
      <c r="X244" s="27" t="n">
        <f aca="false">SUMIFS(super1[Qtde],super1[Item],tab_alimentos[[#This Row],[Item]],super1[Bairro],mercado13)+SUMIFS(supercb[Qtde],supercb[Item],tab_alimentos[[#This Row],[Item]],supercb[Bairro],mercado13)</f>
        <v>0</v>
      </c>
      <c r="Y244" s="27" t="n">
        <f aca="false">SUMIFS(super1[Qtde],super1[Item],tab_alimentos[[#This Row],[Item]],super1[Bairro],mercado14)+SUMIFS(supercb[Qtde],supercb[Item],tab_alimentos[[#This Row],[Item]],supercb[Bairro],mercado14)</f>
        <v>0</v>
      </c>
      <c r="Z244" s="27" t="n">
        <f aca="false">SUMIFS(super1[Qtde],super1[Item],tab_alimentos[[#This Row],[Item]],super1[Bairro],mercado15)+SUMIFS(supercb[Qtde],supercb[Item],tab_alimentos[[#This Row],[Item]],supercb[Bairro],mercado15)</f>
        <v>0</v>
      </c>
      <c r="AA244" s="27" t="n">
        <f aca="false">SUMIFS(super1[Qtde],super1[Item],tab_alimentos[[#This Row],[Item]],super1[Bairro],mercado16)+SUMIFS(supercb[Qtde],supercb[Item],tab_alimentos[[#This Row],[Item]],supercb[Bairro],mercado16)</f>
        <v>0</v>
      </c>
      <c r="AB244" s="27" t="n">
        <f aca="false">SUMIFS(super1[Qtde],super1[Item],tab_alimentos[[#This Row],[Item]],super1[Bairro],mercado17)+SUMIFS(supercb[Qtde],supercb[Item],tab_alimentos[[#This Row],[Item]],supercb[Bairro],mercado17)</f>
        <v>0</v>
      </c>
      <c r="AC244" s="27" t="n">
        <f aca="false">SUMIFS(super1[Qtde],super1[Item],tab_alimentos[[#This Row],[Item]],super1[Bairro],mercado18)+SUMIFS(supercb[Qtde],supercb[Item],tab_alimentos[[#This Row],[Item]],supercb[Bairro],mercado18)</f>
        <v>0</v>
      </c>
      <c r="AD244" s="27" t="n">
        <f aca="false">SUMIFS(super1[Qtde],super1[Item],tab_alimentos[[#This Row],[Item]],super1[Bairro],extras)+SUMIFS(supercb[Qtde],supercb[Item],tab_alimentos[[#This Row],[Item]],supercb[Bairro],extras)</f>
        <v>0</v>
      </c>
      <c r="AE244" s="27" t="n">
        <f aca="false">SUM(L244:AC244)</f>
        <v>0</v>
      </c>
      <c r="AF244" s="27" t="n">
        <f aca="false">IFERROR(AE244*K244,0)</f>
        <v>0</v>
      </c>
      <c r="AG244" s="28" t="n">
        <f aca="false">IFERROR(J244*AE244,0)</f>
        <v>0</v>
      </c>
      <c r="AH244" s="37" t="e">
        <f aca="false">higiene[[#This Row],[Item]]</f>
        <v>#VALUE!</v>
      </c>
      <c r="AI244" s="38" t="n">
        <f aca="false">IFERROR(higiene[[#This Row],[Kg equivalente]],0)</f>
        <v>0</v>
      </c>
      <c r="AJ244" s="38" t="n">
        <f aca="false">IFERROR(higiene[[#This Row],[Preço por produto]],0)</f>
        <v>0</v>
      </c>
      <c r="AK244" s="27" t="n">
        <f aca="false">SUMIFS(super1[Qtde],super1[Item],tab_higiene[[#This Row],[Item]],super1[Bairro],mercado1)+SUMIFS(supercb[Qtde],supercb[Item],tab_higiene[[#This Row],[Item]],supercb[Bairro],mercado1)</f>
        <v>0</v>
      </c>
      <c r="AL244" s="27" t="n">
        <f aca="false">SUMIFS(super1[Qtde],super1[Item],tab_higiene[[#This Row],[Item]],super1[Bairro],mercado2)+SUMIFS(supercb[Qtde],supercb[Item],tab_higiene[[#This Row],[Item]],supercb[Bairro],mercado2)</f>
        <v>0</v>
      </c>
      <c r="AM244" s="27" t="n">
        <f aca="false">SUMIFS(super1[Qtde],super1[Item],tab_higiene[[#This Row],[Item]],super1[Bairro],mercado3)+SUMIFS(supercb[Qtde],supercb[Item],tab_higiene[[#This Row],[Item]],supercb[Bairro],mercado3)</f>
        <v>0</v>
      </c>
      <c r="AN244" s="27" t="n">
        <f aca="false">SUMIFS(super1[Qtde],super1[Item],tab_higiene[[#This Row],[Item]],super1[Bairro],mercado4)+SUMIFS(supercb[Qtde],supercb[Item],tab_higiene[[#This Row],[Item]],supercb[Bairro],mercado4)</f>
        <v>0</v>
      </c>
      <c r="AO244" s="27" t="n">
        <f aca="false">SUMIFS(super1[Qtde],super1[Item],tab_higiene[[#This Row],[Item]],super1[Bairro],mercado5)+SUMIFS(supercb[Qtde],supercb[Item],tab_higiene[[#This Row],[Item]],supercb[Bairro],mercado5)</f>
        <v>0</v>
      </c>
      <c r="AP244" s="27" t="n">
        <f aca="false">SUMIFS(super1[Qtde],super1[Item],tab_higiene[[#This Row],[Item]],super1[Bairro],mercado6)+SUMIFS(supercb[Qtde],supercb[Item],tab_higiene[[#This Row],[Item]],supercb[Bairro],mercado6)</f>
        <v>0</v>
      </c>
      <c r="AQ244" s="27" t="n">
        <f aca="false">SUMIFS(super1[Qtde],super1[Item],tab_higiene[[#This Row],[Item]],super1[Bairro],mercado7)+SUMIFS(supercb[Qtde],supercb[Item],tab_higiene[[#This Row],[Item]],supercb[Bairro],mercado7)</f>
        <v>0</v>
      </c>
      <c r="AR244" s="27" t="n">
        <f aca="false">SUMIFS(super1[Qtde],super1[Item],tab_higiene[[#This Row],[Item]],super1[Bairro],mercado8)+SUMIFS(supercb[Qtde],supercb[Item],tab_higiene[[#This Row],[Item]],supercb[Bairro],mercado8)</f>
        <v>0</v>
      </c>
      <c r="AS244" s="27" t="n">
        <f aca="false">SUMIFS(super1[Qtde],super1[Item],tab_higiene[[#This Row],[Item]],super1[Bairro],mercado9)+SUMIFS(supercb[Qtde],supercb[Item],tab_higiene[[#This Row],[Item]],supercb[Bairro],mercado9)</f>
        <v>0</v>
      </c>
      <c r="AT244" s="27" t="n">
        <f aca="false">SUMIFS(super1[Qtde],super1[Item],tab_higiene[[#This Row],[Item]],super1[Bairro],mercado10)+SUMIFS(supercb[Qtde],supercb[Item],tab_higiene[[#This Row],[Item]],supercb[Bairro],mercado10)</f>
        <v>0</v>
      </c>
      <c r="AU244" s="27" t="n">
        <f aca="false">SUMIFS(super1[Qtde],super1[Item],tab_higiene[[#This Row],[Item]],super1[Bairro],mercado11)+SUMIFS(supercb[Qtde],supercb[Item],tab_higiene[[#This Row],[Item]],supercb[Bairro],mercado11)</f>
        <v>0</v>
      </c>
      <c r="AV244" s="27" t="n">
        <f aca="false">SUMIFS(super1[Qtde],super1[Item],tab_higiene[[#This Row],[Item]],super1[Bairro],mercado12)+SUMIFS(supercb[Qtde],supercb[Item],tab_higiene[[#This Row],[Item]],supercb[Bairro],mercado12)</f>
        <v>0</v>
      </c>
      <c r="AW244" s="27" t="n">
        <f aca="false">SUMIFS(super1[Qtde],super1[Item],tab_higiene[[#This Row],[Item]],super1[Bairro],mercado13)+SUMIFS(supercb[Qtde],supercb[Item],tab_higiene[[#This Row],[Item]],supercb[Bairro],mercado13)</f>
        <v>0</v>
      </c>
      <c r="AX244" s="27" t="n">
        <f aca="false">SUMIFS(super1[Qtde],super1[Item],tab_higiene[[#This Row],[Item]],super1[Bairro],mercado14)+SUMIFS(supercb[Qtde],supercb[Item],tab_higiene[[#This Row],[Item]],supercb[Bairro],mercado14)</f>
        <v>0</v>
      </c>
      <c r="AY244" s="27" t="n">
        <f aca="false">SUMIFS(super1[Qtde],super1[Item],tab_higiene[[#This Row],[Item]],super1[Bairro],mercado15)+SUMIFS(supercb[Qtde],supercb[Item],tab_higiene[[#This Row],[Item]],supercb[Bairro],mercado15)</f>
        <v>0</v>
      </c>
      <c r="AZ244" s="27" t="n">
        <f aca="false">SUMIFS(super1[Qtde],super1[Item],tab_higiene[[#This Row],[Item]],super1[Bairro],mercado16)+SUMIFS(supercb[Qtde],supercb[Item],tab_higiene[[#This Row],[Item]],supercb[Bairro],mercado16)</f>
        <v>0</v>
      </c>
      <c r="BA244" s="27" t="n">
        <f aca="false">SUMIFS(super1[Qtde],super1[Item],tab_higiene[[#This Row],[Item]],super1[Bairro],mercado17)+SUMIFS(supercb[Qtde],supercb[Item],tab_higiene[[#This Row],[Item]],supercb[Bairro],mercado17)</f>
        <v>0</v>
      </c>
      <c r="BB244" s="27" t="n">
        <f aca="false">SUMIFS(super1[Qtde],super1[Item],tab_higiene[[#This Row],[Item]],super1[Bairro],mercado18)+SUMIFS(supercb[Qtde],supercb[Item],tab_higiene[[#This Row],[Item]],supercb[Bairro],mercado18)</f>
        <v>0</v>
      </c>
      <c r="BC244" s="39" t="n">
        <f aca="false">SUMIFS(super1[Qtde],super1[Item],tab_higiene[[#This Row],[Item]],super1[Bairro],extras)+SUMIFS(supercb[Qtde],supercb[Item],tab_higiene[[#This Row],[Item]],supercb[Bairro],extras)</f>
        <v>0</v>
      </c>
      <c r="BD244" s="38" t="n">
        <f aca="false">SUM(AK244:BB244)</f>
        <v>0</v>
      </c>
      <c r="BE244" s="38" t="n">
        <f aca="false">IFERROR(BD244*AJ244,0)</f>
        <v>0</v>
      </c>
      <c r="BF244" s="40" t="n">
        <f aca="false">IFERROR(AI244*BD244,0)</f>
        <v>0</v>
      </c>
    </row>
    <row r="245" customFormat="false" ht="15.75" hidden="false" customHeight="false" outlineLevel="0" collapsed="false">
      <c r="I245" s="26" t="str">
        <f aca="false">alimentos[[#This Row],[Item]]</f>
        <v>Seleta de legumes (280g)</v>
      </c>
      <c r="J245" s="27" t="n">
        <f aca="false">IFERROR(alimentos[[#This Row],[kg/embalagem]],0)</f>
        <v>0.28</v>
      </c>
      <c r="K245" s="27" t="n">
        <f aca="false">IFERROR(alimentos[[#This Row],[Preço]],0)</f>
        <v>2.20666666666667</v>
      </c>
      <c r="L245" s="27" t="n">
        <f aca="false">SUMIFS(super1[Qtde],super1[Item],tab_alimentos[[#This Row],[Item]],super1[Bairro],mercado1)+SUMIFS(supercb[Qtde],supercb[Item],tab_alimentos[[#This Row],[Item]],supercb[Bairro],mercado1)</f>
        <v>0</v>
      </c>
      <c r="M245" s="27" t="n">
        <f aca="false">SUMIFS(super1[Qtde],super1[Item],tab_alimentos[[#This Row],[Item]],super1[Bairro],mercado2)+SUMIFS(supercb[Qtde],supercb[Item],tab_alimentos[[#This Row],[Item]],supercb[Bairro],mercado2)</f>
        <v>0</v>
      </c>
      <c r="N245" s="27" t="n">
        <f aca="false">SUMIFS(super1[Qtde],super1[Item],tab_alimentos[[#This Row],[Item]],super1[Bairro],mercado3)+SUMIFS(supercb[Qtde],supercb[Item],tab_alimentos[[#This Row],[Item]],supercb[Bairro],mercado3)</f>
        <v>0</v>
      </c>
      <c r="O245" s="27" t="n">
        <f aca="false">SUMIFS(super1[Qtde],super1[Item],tab_alimentos[[#This Row],[Item]],super1[Bairro],mercado4)+SUMIFS(supercb[Qtde],supercb[Item],tab_alimentos[[#This Row],[Item]],supercb[Bairro],mercado4)</f>
        <v>0</v>
      </c>
      <c r="P245" s="27" t="n">
        <f aca="false">SUMIFS(super1[Qtde],super1[Item],tab_alimentos[[#This Row],[Item]],super1[Bairro],mercado5)+SUMIFS(supercb[Qtde],supercb[Item],tab_alimentos[[#This Row],[Item]],supercb[Bairro],mercado5)</f>
        <v>0</v>
      </c>
      <c r="Q245" s="27" t="n">
        <f aca="false">SUMIFS(super1[Qtde],super1[Item],tab_alimentos[[#This Row],[Item]],super1[Bairro],mercado6)+SUMIFS(supercb[Qtde],supercb[Item],tab_alimentos[[#This Row],[Item]],supercb[Bairro],mercado6)</f>
        <v>0</v>
      </c>
      <c r="R245" s="27" t="n">
        <f aca="false">SUMIFS(super1[Qtde],super1[Item],tab_alimentos[[#This Row],[Item]],super1[Bairro],mercado7)+SUMIFS(supercb[Qtde],supercb[Item],tab_alimentos[[#This Row],[Item]],supercb[Bairro],mercado7)</f>
        <v>0</v>
      </c>
      <c r="S245" s="27" t="n">
        <f aca="false">SUMIFS(super1[Qtde],super1[Item],tab_alimentos[[#This Row],[Item]],super1[Bairro],mercado8)+SUMIFS(supercb[Qtde],supercb[Item],tab_alimentos[[#This Row],[Item]],supercb[Bairro],mercado8)</f>
        <v>0</v>
      </c>
      <c r="T245" s="27" t="n">
        <f aca="false">SUMIFS(super1[Qtde],super1[Item],tab_alimentos[[#This Row],[Item]],super1[Bairro],mercado9)+SUMIFS(supercb[Qtde],supercb[Item],tab_alimentos[[#This Row],[Item]],supercb[Bairro],mercado9)</f>
        <v>0</v>
      </c>
      <c r="U245" s="27" t="n">
        <f aca="false">SUMIFS(super1[Qtde],super1[Item],tab_alimentos[[#This Row],[Item]],super1[Bairro],mercado10)+SUMIFS(supercb[Qtde],supercb[Item],tab_alimentos[[#This Row],[Item]],supercb[Bairro],mercado10)</f>
        <v>0</v>
      </c>
      <c r="V245" s="27" t="n">
        <f aca="false">SUMIFS(super1[Qtde],super1[Item],tab_alimentos[[#This Row],[Item]],super1[Bairro],mercado11)+SUMIFS(supercb[Qtde],supercb[Item],tab_alimentos[[#This Row],[Item]],supercb[Bairro],mercado11)</f>
        <v>0</v>
      </c>
      <c r="W245" s="27" t="n">
        <f aca="false">SUMIFS(super1[Qtde],super1[Item],tab_alimentos[[#This Row],[Item]],super1[Bairro],mercado12)+SUMIFS(supercb[Qtde],supercb[Item],tab_alimentos[[#This Row],[Item]],supercb[Bairro],mercado12)</f>
        <v>0</v>
      </c>
      <c r="X245" s="27" t="n">
        <f aca="false">SUMIFS(super1[Qtde],super1[Item],tab_alimentos[[#This Row],[Item]],super1[Bairro],mercado13)+SUMIFS(supercb[Qtde],supercb[Item],tab_alimentos[[#This Row],[Item]],supercb[Bairro],mercado13)</f>
        <v>0</v>
      </c>
      <c r="Y245" s="27" t="n">
        <f aca="false">SUMIFS(super1[Qtde],super1[Item],tab_alimentos[[#This Row],[Item]],super1[Bairro],mercado14)+SUMIFS(supercb[Qtde],supercb[Item],tab_alimentos[[#This Row],[Item]],supercb[Bairro],mercado14)</f>
        <v>0</v>
      </c>
      <c r="Z245" s="27" t="n">
        <f aca="false">SUMIFS(super1[Qtde],super1[Item],tab_alimentos[[#This Row],[Item]],super1[Bairro],mercado15)+SUMIFS(supercb[Qtde],supercb[Item],tab_alimentos[[#This Row],[Item]],supercb[Bairro],mercado15)</f>
        <v>0</v>
      </c>
      <c r="AA245" s="27" t="n">
        <f aca="false">SUMIFS(super1[Qtde],super1[Item],tab_alimentos[[#This Row],[Item]],super1[Bairro],mercado16)+SUMIFS(supercb[Qtde],supercb[Item],tab_alimentos[[#This Row],[Item]],supercb[Bairro],mercado16)</f>
        <v>0</v>
      </c>
      <c r="AB245" s="27" t="n">
        <f aca="false">SUMIFS(super1[Qtde],super1[Item],tab_alimentos[[#This Row],[Item]],super1[Bairro],mercado17)+SUMIFS(supercb[Qtde],supercb[Item],tab_alimentos[[#This Row],[Item]],supercb[Bairro],mercado17)</f>
        <v>0</v>
      </c>
      <c r="AC245" s="27" t="n">
        <f aca="false">SUMIFS(super1[Qtde],super1[Item],tab_alimentos[[#This Row],[Item]],super1[Bairro],mercado18)+SUMIFS(supercb[Qtde],supercb[Item],tab_alimentos[[#This Row],[Item]],supercb[Bairro],mercado18)</f>
        <v>0</v>
      </c>
      <c r="AD245" s="27" t="n">
        <f aca="false">SUMIFS(super1[Qtde],super1[Item],tab_alimentos[[#This Row],[Item]],super1[Bairro],extras)+SUMIFS(supercb[Qtde],supercb[Item],tab_alimentos[[#This Row],[Item]],supercb[Bairro],extras)</f>
        <v>0</v>
      </c>
      <c r="AE245" s="27" t="n">
        <f aca="false">SUM(L245:AC245)</f>
        <v>0</v>
      </c>
      <c r="AF245" s="27" t="n">
        <f aca="false">IFERROR(AE245*K245,0)</f>
        <v>0</v>
      </c>
      <c r="AG245" s="28" t="n">
        <f aca="false">IFERROR(J245*AE245,0)</f>
        <v>0</v>
      </c>
      <c r="AH245" s="37" t="e">
        <f aca="false">higiene[[#This Row],[Item]]</f>
        <v>#VALUE!</v>
      </c>
      <c r="AI245" s="38" t="n">
        <f aca="false">IFERROR(higiene[[#This Row],[Kg equivalente]],0)</f>
        <v>0</v>
      </c>
      <c r="AJ245" s="38" t="n">
        <f aca="false">IFERROR(higiene[[#This Row],[Preço por produto]],0)</f>
        <v>0</v>
      </c>
      <c r="AK245" s="27" t="n">
        <f aca="false">SUMIFS(super1[Qtde],super1[Item],tab_higiene[[#This Row],[Item]],super1[Bairro],mercado1)+SUMIFS(supercb[Qtde],supercb[Item],tab_higiene[[#This Row],[Item]],supercb[Bairro],mercado1)</f>
        <v>0</v>
      </c>
      <c r="AL245" s="27" t="n">
        <f aca="false">SUMIFS(super1[Qtde],super1[Item],tab_higiene[[#This Row],[Item]],super1[Bairro],mercado2)+SUMIFS(supercb[Qtde],supercb[Item],tab_higiene[[#This Row],[Item]],supercb[Bairro],mercado2)</f>
        <v>0</v>
      </c>
      <c r="AM245" s="27" t="n">
        <f aca="false">SUMIFS(super1[Qtde],super1[Item],tab_higiene[[#This Row],[Item]],super1[Bairro],mercado3)+SUMIFS(supercb[Qtde],supercb[Item],tab_higiene[[#This Row],[Item]],supercb[Bairro],mercado3)</f>
        <v>0</v>
      </c>
      <c r="AN245" s="27" t="n">
        <f aca="false">SUMIFS(super1[Qtde],super1[Item],tab_higiene[[#This Row],[Item]],super1[Bairro],mercado4)+SUMIFS(supercb[Qtde],supercb[Item],tab_higiene[[#This Row],[Item]],supercb[Bairro],mercado4)</f>
        <v>0</v>
      </c>
      <c r="AO245" s="27" t="n">
        <f aca="false">SUMIFS(super1[Qtde],super1[Item],tab_higiene[[#This Row],[Item]],super1[Bairro],mercado5)+SUMIFS(supercb[Qtde],supercb[Item],tab_higiene[[#This Row],[Item]],supercb[Bairro],mercado5)</f>
        <v>0</v>
      </c>
      <c r="AP245" s="27" t="n">
        <f aca="false">SUMIFS(super1[Qtde],super1[Item],tab_higiene[[#This Row],[Item]],super1[Bairro],mercado6)+SUMIFS(supercb[Qtde],supercb[Item],tab_higiene[[#This Row],[Item]],supercb[Bairro],mercado6)</f>
        <v>0</v>
      </c>
      <c r="AQ245" s="27" t="n">
        <f aca="false">SUMIFS(super1[Qtde],super1[Item],tab_higiene[[#This Row],[Item]],super1[Bairro],mercado7)+SUMIFS(supercb[Qtde],supercb[Item],tab_higiene[[#This Row],[Item]],supercb[Bairro],mercado7)</f>
        <v>0</v>
      </c>
      <c r="AR245" s="27" t="n">
        <f aca="false">SUMIFS(super1[Qtde],super1[Item],tab_higiene[[#This Row],[Item]],super1[Bairro],mercado8)+SUMIFS(supercb[Qtde],supercb[Item],tab_higiene[[#This Row],[Item]],supercb[Bairro],mercado8)</f>
        <v>0</v>
      </c>
      <c r="AS245" s="27" t="n">
        <f aca="false">SUMIFS(super1[Qtde],super1[Item],tab_higiene[[#This Row],[Item]],super1[Bairro],mercado9)+SUMIFS(supercb[Qtde],supercb[Item],tab_higiene[[#This Row],[Item]],supercb[Bairro],mercado9)</f>
        <v>0</v>
      </c>
      <c r="AT245" s="27" t="n">
        <f aca="false">SUMIFS(super1[Qtde],super1[Item],tab_higiene[[#This Row],[Item]],super1[Bairro],mercado10)+SUMIFS(supercb[Qtde],supercb[Item],tab_higiene[[#This Row],[Item]],supercb[Bairro],mercado10)</f>
        <v>0</v>
      </c>
      <c r="AU245" s="27" t="n">
        <f aca="false">SUMIFS(super1[Qtde],super1[Item],tab_higiene[[#This Row],[Item]],super1[Bairro],mercado11)+SUMIFS(supercb[Qtde],supercb[Item],tab_higiene[[#This Row],[Item]],supercb[Bairro],mercado11)</f>
        <v>0</v>
      </c>
      <c r="AV245" s="27" t="n">
        <f aca="false">SUMIFS(super1[Qtde],super1[Item],tab_higiene[[#This Row],[Item]],super1[Bairro],mercado12)+SUMIFS(supercb[Qtde],supercb[Item],tab_higiene[[#This Row],[Item]],supercb[Bairro],mercado12)</f>
        <v>0</v>
      </c>
      <c r="AW245" s="27" t="n">
        <f aca="false">SUMIFS(super1[Qtde],super1[Item],tab_higiene[[#This Row],[Item]],super1[Bairro],mercado13)+SUMIFS(supercb[Qtde],supercb[Item],tab_higiene[[#This Row],[Item]],supercb[Bairro],mercado13)</f>
        <v>0</v>
      </c>
      <c r="AX245" s="27" t="n">
        <f aca="false">SUMIFS(super1[Qtde],super1[Item],tab_higiene[[#This Row],[Item]],super1[Bairro],mercado14)+SUMIFS(supercb[Qtde],supercb[Item],tab_higiene[[#This Row],[Item]],supercb[Bairro],mercado14)</f>
        <v>0</v>
      </c>
      <c r="AY245" s="27" t="n">
        <f aca="false">SUMIFS(super1[Qtde],super1[Item],tab_higiene[[#This Row],[Item]],super1[Bairro],mercado15)+SUMIFS(supercb[Qtde],supercb[Item],tab_higiene[[#This Row],[Item]],supercb[Bairro],mercado15)</f>
        <v>0</v>
      </c>
      <c r="AZ245" s="27" t="n">
        <f aca="false">SUMIFS(super1[Qtde],super1[Item],tab_higiene[[#This Row],[Item]],super1[Bairro],mercado16)+SUMIFS(supercb[Qtde],supercb[Item],tab_higiene[[#This Row],[Item]],supercb[Bairro],mercado16)</f>
        <v>0</v>
      </c>
      <c r="BA245" s="27" t="n">
        <f aca="false">SUMIFS(super1[Qtde],super1[Item],tab_higiene[[#This Row],[Item]],super1[Bairro],mercado17)+SUMIFS(supercb[Qtde],supercb[Item],tab_higiene[[#This Row],[Item]],supercb[Bairro],mercado17)</f>
        <v>0</v>
      </c>
      <c r="BB245" s="27" t="n">
        <f aca="false">SUMIFS(super1[Qtde],super1[Item],tab_higiene[[#This Row],[Item]],super1[Bairro],mercado18)+SUMIFS(supercb[Qtde],supercb[Item],tab_higiene[[#This Row],[Item]],supercb[Bairro],mercado18)</f>
        <v>0</v>
      </c>
      <c r="BC245" s="39" t="n">
        <f aca="false">SUMIFS(super1[Qtde],super1[Item],tab_higiene[[#This Row],[Item]],super1[Bairro],extras)+SUMIFS(supercb[Qtde],supercb[Item],tab_higiene[[#This Row],[Item]],supercb[Bairro],extras)</f>
        <v>0</v>
      </c>
      <c r="BD245" s="38" t="n">
        <f aca="false">SUM(AK245:BB245)</f>
        <v>0</v>
      </c>
      <c r="BE245" s="38" t="n">
        <f aca="false">IFERROR(BD245*AJ245,0)</f>
        <v>0</v>
      </c>
      <c r="BF245" s="40" t="n">
        <f aca="false">IFERROR(AI245*BD245,0)</f>
        <v>0</v>
      </c>
    </row>
    <row r="246" customFormat="false" ht="15.75" hidden="false" customHeight="false" outlineLevel="0" collapsed="false">
      <c r="I246" s="26" t="str">
        <f aca="false">alimentos[[#This Row],[Item]]</f>
        <v>Sopa de Cebola (38g)</v>
      </c>
      <c r="J246" s="27" t="n">
        <f aca="false">IFERROR(alimentos[[#This Row],[kg/embalagem]],0)</f>
        <v>0.038</v>
      </c>
      <c r="K246" s="27" t="n">
        <f aca="false">IFERROR(alimentos[[#This Row],[Preço]],0)</f>
        <v>4.98666666666667</v>
      </c>
      <c r="L246" s="27" t="n">
        <f aca="false">SUMIFS(super1[Qtde],super1[Item],tab_alimentos[[#This Row],[Item]],super1[Bairro],mercado1)+SUMIFS(supercb[Qtde],supercb[Item],tab_alimentos[[#This Row],[Item]],supercb[Bairro],mercado1)</f>
        <v>0</v>
      </c>
      <c r="M246" s="27" t="n">
        <f aca="false">SUMIFS(super1[Qtde],super1[Item],tab_alimentos[[#This Row],[Item]],super1[Bairro],mercado2)+SUMIFS(supercb[Qtde],supercb[Item],tab_alimentos[[#This Row],[Item]],supercb[Bairro],mercado2)</f>
        <v>0</v>
      </c>
      <c r="N246" s="27" t="n">
        <f aca="false">SUMIFS(super1[Qtde],super1[Item],tab_alimentos[[#This Row],[Item]],super1[Bairro],mercado3)+SUMIFS(supercb[Qtde],supercb[Item],tab_alimentos[[#This Row],[Item]],supercb[Bairro],mercado3)</f>
        <v>0</v>
      </c>
      <c r="O246" s="27" t="n">
        <f aca="false">SUMIFS(super1[Qtde],super1[Item],tab_alimentos[[#This Row],[Item]],super1[Bairro],mercado4)+SUMIFS(supercb[Qtde],supercb[Item],tab_alimentos[[#This Row],[Item]],supercb[Bairro],mercado4)</f>
        <v>0</v>
      </c>
      <c r="P246" s="27" t="n">
        <f aca="false">SUMIFS(super1[Qtde],super1[Item],tab_alimentos[[#This Row],[Item]],super1[Bairro],mercado5)+SUMIFS(supercb[Qtde],supercb[Item],tab_alimentos[[#This Row],[Item]],supercb[Bairro],mercado5)</f>
        <v>0</v>
      </c>
      <c r="Q246" s="27" t="n">
        <f aca="false">SUMIFS(super1[Qtde],super1[Item],tab_alimentos[[#This Row],[Item]],super1[Bairro],mercado6)+SUMIFS(supercb[Qtde],supercb[Item],tab_alimentos[[#This Row],[Item]],supercb[Bairro],mercado6)</f>
        <v>0</v>
      </c>
      <c r="R246" s="27" t="n">
        <f aca="false">SUMIFS(super1[Qtde],super1[Item],tab_alimentos[[#This Row],[Item]],super1[Bairro],mercado7)+SUMIFS(supercb[Qtde],supercb[Item],tab_alimentos[[#This Row],[Item]],supercb[Bairro],mercado7)</f>
        <v>0</v>
      </c>
      <c r="S246" s="27" t="n">
        <f aca="false">SUMIFS(super1[Qtde],super1[Item],tab_alimentos[[#This Row],[Item]],super1[Bairro],mercado8)+SUMIFS(supercb[Qtde],supercb[Item],tab_alimentos[[#This Row],[Item]],supercb[Bairro],mercado8)</f>
        <v>0</v>
      </c>
      <c r="T246" s="27" t="n">
        <f aca="false">SUMIFS(super1[Qtde],super1[Item],tab_alimentos[[#This Row],[Item]],super1[Bairro],mercado9)+SUMIFS(supercb[Qtde],supercb[Item],tab_alimentos[[#This Row],[Item]],supercb[Bairro],mercado9)</f>
        <v>0</v>
      </c>
      <c r="U246" s="27" t="n">
        <f aca="false">SUMIFS(super1[Qtde],super1[Item],tab_alimentos[[#This Row],[Item]],super1[Bairro],mercado10)+SUMIFS(supercb[Qtde],supercb[Item],tab_alimentos[[#This Row],[Item]],supercb[Bairro],mercado10)</f>
        <v>0</v>
      </c>
      <c r="V246" s="27" t="n">
        <f aca="false">SUMIFS(super1[Qtde],super1[Item],tab_alimentos[[#This Row],[Item]],super1[Bairro],mercado11)+SUMIFS(supercb[Qtde],supercb[Item],tab_alimentos[[#This Row],[Item]],supercb[Bairro],mercado11)</f>
        <v>0</v>
      </c>
      <c r="W246" s="27" t="n">
        <f aca="false">SUMIFS(super1[Qtde],super1[Item],tab_alimentos[[#This Row],[Item]],super1[Bairro],mercado12)+SUMIFS(supercb[Qtde],supercb[Item],tab_alimentos[[#This Row],[Item]],supercb[Bairro],mercado12)</f>
        <v>0</v>
      </c>
      <c r="X246" s="27" t="n">
        <f aca="false">SUMIFS(super1[Qtde],super1[Item],tab_alimentos[[#This Row],[Item]],super1[Bairro],mercado13)+SUMIFS(supercb[Qtde],supercb[Item],tab_alimentos[[#This Row],[Item]],supercb[Bairro],mercado13)</f>
        <v>0</v>
      </c>
      <c r="Y246" s="27" t="n">
        <f aca="false">SUMIFS(super1[Qtde],super1[Item],tab_alimentos[[#This Row],[Item]],super1[Bairro],mercado14)+SUMIFS(supercb[Qtde],supercb[Item],tab_alimentos[[#This Row],[Item]],supercb[Bairro],mercado14)</f>
        <v>0</v>
      </c>
      <c r="Z246" s="27" t="n">
        <f aca="false">SUMIFS(super1[Qtde],super1[Item],tab_alimentos[[#This Row],[Item]],super1[Bairro],mercado15)+SUMIFS(supercb[Qtde],supercb[Item],tab_alimentos[[#This Row],[Item]],supercb[Bairro],mercado15)</f>
        <v>0</v>
      </c>
      <c r="AA246" s="27" t="n">
        <f aca="false">SUMIFS(super1[Qtde],super1[Item],tab_alimentos[[#This Row],[Item]],super1[Bairro],mercado16)+SUMIFS(supercb[Qtde],supercb[Item],tab_alimentos[[#This Row],[Item]],supercb[Bairro],mercado16)</f>
        <v>0</v>
      </c>
      <c r="AB246" s="27" t="n">
        <f aca="false">SUMIFS(super1[Qtde],super1[Item],tab_alimentos[[#This Row],[Item]],super1[Bairro],mercado17)+SUMIFS(supercb[Qtde],supercb[Item],tab_alimentos[[#This Row],[Item]],supercb[Bairro],mercado17)</f>
        <v>0</v>
      </c>
      <c r="AC246" s="27" t="n">
        <f aca="false">SUMIFS(super1[Qtde],super1[Item],tab_alimentos[[#This Row],[Item]],super1[Bairro],mercado18)+SUMIFS(supercb[Qtde],supercb[Item],tab_alimentos[[#This Row],[Item]],supercb[Bairro],mercado18)</f>
        <v>0</v>
      </c>
      <c r="AD246" s="27" t="n">
        <f aca="false">SUMIFS(super1[Qtde],super1[Item],tab_alimentos[[#This Row],[Item]],super1[Bairro],extras)+SUMIFS(supercb[Qtde],supercb[Item],tab_alimentos[[#This Row],[Item]],supercb[Bairro],extras)</f>
        <v>0</v>
      </c>
      <c r="AE246" s="27" t="n">
        <f aca="false">SUM(L246:AC246)</f>
        <v>0</v>
      </c>
      <c r="AF246" s="27" t="n">
        <f aca="false">IFERROR(AE246*K246,0)</f>
        <v>0</v>
      </c>
      <c r="AG246" s="28" t="n">
        <f aca="false">IFERROR(J246*AE246,0)</f>
        <v>0</v>
      </c>
      <c r="AH246" s="37" t="e">
        <f aca="false">higiene[[#This Row],[Item]]</f>
        <v>#VALUE!</v>
      </c>
      <c r="AI246" s="38" t="n">
        <f aca="false">IFERROR(higiene[[#This Row],[Kg equivalente]],0)</f>
        <v>0</v>
      </c>
      <c r="AJ246" s="38" t="n">
        <f aca="false">IFERROR(higiene[[#This Row],[Preço por produto]],0)</f>
        <v>0</v>
      </c>
      <c r="AK246" s="27" t="n">
        <f aca="false">SUMIFS(super1[Qtde],super1[Item],tab_higiene[[#This Row],[Item]],super1[Bairro],mercado1)+SUMIFS(supercb[Qtde],supercb[Item],tab_higiene[[#This Row],[Item]],supercb[Bairro],mercado1)</f>
        <v>0</v>
      </c>
      <c r="AL246" s="27" t="n">
        <f aca="false">SUMIFS(super1[Qtde],super1[Item],tab_higiene[[#This Row],[Item]],super1[Bairro],mercado2)+SUMIFS(supercb[Qtde],supercb[Item],tab_higiene[[#This Row],[Item]],supercb[Bairro],mercado2)</f>
        <v>0</v>
      </c>
      <c r="AM246" s="27" t="n">
        <f aca="false">SUMIFS(super1[Qtde],super1[Item],tab_higiene[[#This Row],[Item]],super1[Bairro],mercado3)+SUMIFS(supercb[Qtde],supercb[Item],tab_higiene[[#This Row],[Item]],supercb[Bairro],mercado3)</f>
        <v>0</v>
      </c>
      <c r="AN246" s="27" t="n">
        <f aca="false">SUMIFS(super1[Qtde],super1[Item],tab_higiene[[#This Row],[Item]],super1[Bairro],mercado4)+SUMIFS(supercb[Qtde],supercb[Item],tab_higiene[[#This Row],[Item]],supercb[Bairro],mercado4)</f>
        <v>0</v>
      </c>
      <c r="AO246" s="27" t="n">
        <f aca="false">SUMIFS(super1[Qtde],super1[Item],tab_higiene[[#This Row],[Item]],super1[Bairro],mercado5)+SUMIFS(supercb[Qtde],supercb[Item],tab_higiene[[#This Row],[Item]],supercb[Bairro],mercado5)</f>
        <v>0</v>
      </c>
      <c r="AP246" s="27" t="n">
        <f aca="false">SUMIFS(super1[Qtde],super1[Item],tab_higiene[[#This Row],[Item]],super1[Bairro],mercado6)+SUMIFS(supercb[Qtde],supercb[Item],tab_higiene[[#This Row],[Item]],supercb[Bairro],mercado6)</f>
        <v>0</v>
      </c>
      <c r="AQ246" s="27" t="n">
        <f aca="false">SUMIFS(super1[Qtde],super1[Item],tab_higiene[[#This Row],[Item]],super1[Bairro],mercado7)+SUMIFS(supercb[Qtde],supercb[Item],tab_higiene[[#This Row],[Item]],supercb[Bairro],mercado7)</f>
        <v>0</v>
      </c>
      <c r="AR246" s="27" t="n">
        <f aca="false">SUMIFS(super1[Qtde],super1[Item],tab_higiene[[#This Row],[Item]],super1[Bairro],mercado8)+SUMIFS(supercb[Qtde],supercb[Item],tab_higiene[[#This Row],[Item]],supercb[Bairro],mercado8)</f>
        <v>0</v>
      </c>
      <c r="AS246" s="27" t="n">
        <f aca="false">SUMIFS(super1[Qtde],super1[Item],tab_higiene[[#This Row],[Item]],super1[Bairro],mercado9)+SUMIFS(supercb[Qtde],supercb[Item],tab_higiene[[#This Row],[Item]],supercb[Bairro],mercado9)</f>
        <v>0</v>
      </c>
      <c r="AT246" s="27" t="n">
        <f aca="false">SUMIFS(super1[Qtde],super1[Item],tab_higiene[[#This Row],[Item]],super1[Bairro],mercado10)+SUMIFS(supercb[Qtde],supercb[Item],tab_higiene[[#This Row],[Item]],supercb[Bairro],mercado10)</f>
        <v>0</v>
      </c>
      <c r="AU246" s="27" t="n">
        <f aca="false">SUMIFS(super1[Qtde],super1[Item],tab_higiene[[#This Row],[Item]],super1[Bairro],mercado11)+SUMIFS(supercb[Qtde],supercb[Item],tab_higiene[[#This Row],[Item]],supercb[Bairro],mercado11)</f>
        <v>0</v>
      </c>
      <c r="AV246" s="27" t="n">
        <f aca="false">SUMIFS(super1[Qtde],super1[Item],tab_higiene[[#This Row],[Item]],super1[Bairro],mercado12)+SUMIFS(supercb[Qtde],supercb[Item],tab_higiene[[#This Row],[Item]],supercb[Bairro],mercado12)</f>
        <v>0</v>
      </c>
      <c r="AW246" s="27" t="n">
        <f aca="false">SUMIFS(super1[Qtde],super1[Item],tab_higiene[[#This Row],[Item]],super1[Bairro],mercado13)+SUMIFS(supercb[Qtde],supercb[Item],tab_higiene[[#This Row],[Item]],supercb[Bairro],mercado13)</f>
        <v>0</v>
      </c>
      <c r="AX246" s="27" t="n">
        <f aca="false">SUMIFS(super1[Qtde],super1[Item],tab_higiene[[#This Row],[Item]],super1[Bairro],mercado14)+SUMIFS(supercb[Qtde],supercb[Item],tab_higiene[[#This Row],[Item]],supercb[Bairro],mercado14)</f>
        <v>0</v>
      </c>
      <c r="AY246" s="27" t="n">
        <f aca="false">SUMIFS(super1[Qtde],super1[Item],tab_higiene[[#This Row],[Item]],super1[Bairro],mercado15)+SUMIFS(supercb[Qtde],supercb[Item],tab_higiene[[#This Row],[Item]],supercb[Bairro],mercado15)</f>
        <v>0</v>
      </c>
      <c r="AZ246" s="27" t="n">
        <f aca="false">SUMIFS(super1[Qtde],super1[Item],tab_higiene[[#This Row],[Item]],super1[Bairro],mercado16)+SUMIFS(supercb[Qtde],supercb[Item],tab_higiene[[#This Row],[Item]],supercb[Bairro],mercado16)</f>
        <v>0</v>
      </c>
      <c r="BA246" s="27" t="n">
        <f aca="false">SUMIFS(super1[Qtde],super1[Item],tab_higiene[[#This Row],[Item]],super1[Bairro],mercado17)+SUMIFS(supercb[Qtde],supercb[Item],tab_higiene[[#This Row],[Item]],supercb[Bairro],mercado17)</f>
        <v>0</v>
      </c>
      <c r="BB246" s="27" t="n">
        <f aca="false">SUMIFS(super1[Qtde],super1[Item],tab_higiene[[#This Row],[Item]],super1[Bairro],mercado18)+SUMIFS(supercb[Qtde],supercb[Item],tab_higiene[[#This Row],[Item]],supercb[Bairro],mercado18)</f>
        <v>0</v>
      </c>
      <c r="BC246" s="39" t="n">
        <f aca="false">SUMIFS(super1[Qtde],super1[Item],tab_higiene[[#This Row],[Item]],super1[Bairro],extras)+SUMIFS(supercb[Qtde],supercb[Item],tab_higiene[[#This Row],[Item]],supercb[Bairro],extras)</f>
        <v>0</v>
      </c>
      <c r="BD246" s="38" t="n">
        <f aca="false">SUM(AK246:BB246)</f>
        <v>0</v>
      </c>
      <c r="BE246" s="38" t="n">
        <f aca="false">IFERROR(BD246*AJ246,0)</f>
        <v>0</v>
      </c>
      <c r="BF246" s="40" t="n">
        <f aca="false">IFERROR(AI246*BD246,0)</f>
        <v>0</v>
      </c>
    </row>
    <row r="247" customFormat="false" ht="15.75" hidden="false" customHeight="false" outlineLevel="0" collapsed="false">
      <c r="I247" s="26" t="str">
        <f aca="false">alimentos[[#This Row],[Item]]</f>
        <v>Sopa pronta (500g)</v>
      </c>
      <c r="J247" s="27" t="n">
        <f aca="false">IFERROR(alimentos[[#This Row],[kg/embalagem]],0)</f>
        <v>0.5</v>
      </c>
      <c r="K247" s="27" t="n">
        <f aca="false">IFERROR(alimentos[[#This Row],[Preço]],0)</f>
        <v>7.99</v>
      </c>
      <c r="L247" s="27" t="n">
        <f aca="false">SUMIFS(super1[Qtde],super1[Item],tab_alimentos[[#This Row],[Item]],super1[Bairro],mercado1)+SUMIFS(supercb[Qtde],supercb[Item],tab_alimentos[[#This Row],[Item]],supercb[Bairro],mercado1)</f>
        <v>0</v>
      </c>
      <c r="M247" s="27" t="n">
        <f aca="false">SUMIFS(super1[Qtde],super1[Item],tab_alimentos[[#This Row],[Item]],super1[Bairro],mercado2)+SUMIFS(supercb[Qtde],supercb[Item],tab_alimentos[[#This Row],[Item]],supercb[Bairro],mercado2)</f>
        <v>0</v>
      </c>
      <c r="N247" s="27" t="n">
        <f aca="false">SUMIFS(super1[Qtde],super1[Item],tab_alimentos[[#This Row],[Item]],super1[Bairro],mercado3)+SUMIFS(supercb[Qtde],supercb[Item],tab_alimentos[[#This Row],[Item]],supercb[Bairro],mercado3)</f>
        <v>0</v>
      </c>
      <c r="O247" s="27" t="n">
        <f aca="false">SUMIFS(super1[Qtde],super1[Item],tab_alimentos[[#This Row],[Item]],super1[Bairro],mercado4)+SUMIFS(supercb[Qtde],supercb[Item],tab_alimentos[[#This Row],[Item]],supercb[Bairro],mercado4)</f>
        <v>0</v>
      </c>
      <c r="P247" s="27" t="n">
        <f aca="false">SUMIFS(super1[Qtde],super1[Item],tab_alimentos[[#This Row],[Item]],super1[Bairro],mercado5)+SUMIFS(supercb[Qtde],supercb[Item],tab_alimentos[[#This Row],[Item]],supercb[Bairro],mercado5)</f>
        <v>0</v>
      </c>
      <c r="Q247" s="27" t="n">
        <f aca="false">SUMIFS(super1[Qtde],super1[Item],tab_alimentos[[#This Row],[Item]],super1[Bairro],mercado6)+SUMIFS(supercb[Qtde],supercb[Item],tab_alimentos[[#This Row],[Item]],supercb[Bairro],mercado6)</f>
        <v>0</v>
      </c>
      <c r="R247" s="27" t="n">
        <f aca="false">SUMIFS(super1[Qtde],super1[Item],tab_alimentos[[#This Row],[Item]],super1[Bairro],mercado7)+SUMIFS(supercb[Qtde],supercb[Item],tab_alimentos[[#This Row],[Item]],supercb[Bairro],mercado7)</f>
        <v>0</v>
      </c>
      <c r="S247" s="27" t="n">
        <f aca="false">SUMIFS(super1[Qtde],super1[Item],tab_alimentos[[#This Row],[Item]],super1[Bairro],mercado8)+SUMIFS(supercb[Qtde],supercb[Item],tab_alimentos[[#This Row],[Item]],supercb[Bairro],mercado8)</f>
        <v>0</v>
      </c>
      <c r="T247" s="27" t="n">
        <f aca="false">SUMIFS(super1[Qtde],super1[Item],tab_alimentos[[#This Row],[Item]],super1[Bairro],mercado9)+SUMIFS(supercb[Qtde],supercb[Item],tab_alimentos[[#This Row],[Item]],supercb[Bairro],mercado9)</f>
        <v>0</v>
      </c>
      <c r="U247" s="27" t="n">
        <f aca="false">SUMIFS(super1[Qtde],super1[Item],tab_alimentos[[#This Row],[Item]],super1[Bairro],mercado10)+SUMIFS(supercb[Qtde],supercb[Item],tab_alimentos[[#This Row],[Item]],supercb[Bairro],mercado10)</f>
        <v>0</v>
      </c>
      <c r="V247" s="27" t="n">
        <f aca="false">SUMIFS(super1[Qtde],super1[Item],tab_alimentos[[#This Row],[Item]],super1[Bairro],mercado11)+SUMIFS(supercb[Qtde],supercb[Item],tab_alimentos[[#This Row],[Item]],supercb[Bairro],mercado11)</f>
        <v>0</v>
      </c>
      <c r="W247" s="27" t="n">
        <f aca="false">SUMIFS(super1[Qtde],super1[Item],tab_alimentos[[#This Row],[Item]],super1[Bairro],mercado12)+SUMIFS(supercb[Qtde],supercb[Item],tab_alimentos[[#This Row],[Item]],supercb[Bairro],mercado12)</f>
        <v>0</v>
      </c>
      <c r="X247" s="27" t="n">
        <f aca="false">SUMIFS(super1[Qtde],super1[Item],tab_alimentos[[#This Row],[Item]],super1[Bairro],mercado13)+SUMIFS(supercb[Qtde],supercb[Item],tab_alimentos[[#This Row],[Item]],supercb[Bairro],mercado13)</f>
        <v>0</v>
      </c>
      <c r="Y247" s="27" t="n">
        <f aca="false">SUMIFS(super1[Qtde],super1[Item],tab_alimentos[[#This Row],[Item]],super1[Bairro],mercado14)+SUMIFS(supercb[Qtde],supercb[Item],tab_alimentos[[#This Row],[Item]],supercb[Bairro],mercado14)</f>
        <v>0</v>
      </c>
      <c r="Z247" s="27" t="n">
        <f aca="false">SUMIFS(super1[Qtde],super1[Item],tab_alimentos[[#This Row],[Item]],super1[Bairro],mercado15)+SUMIFS(supercb[Qtde],supercb[Item],tab_alimentos[[#This Row],[Item]],supercb[Bairro],mercado15)</f>
        <v>0</v>
      </c>
      <c r="AA247" s="27" t="n">
        <f aca="false">SUMIFS(super1[Qtde],super1[Item],tab_alimentos[[#This Row],[Item]],super1[Bairro],mercado16)+SUMIFS(supercb[Qtde],supercb[Item],tab_alimentos[[#This Row],[Item]],supercb[Bairro],mercado16)</f>
        <v>0</v>
      </c>
      <c r="AB247" s="27" t="n">
        <f aca="false">SUMIFS(super1[Qtde],super1[Item],tab_alimentos[[#This Row],[Item]],super1[Bairro],mercado17)+SUMIFS(supercb[Qtde],supercb[Item],tab_alimentos[[#This Row],[Item]],supercb[Bairro],mercado17)</f>
        <v>0</v>
      </c>
      <c r="AC247" s="27" t="n">
        <f aca="false">SUMIFS(super1[Qtde],super1[Item],tab_alimentos[[#This Row],[Item]],super1[Bairro],mercado18)+SUMIFS(supercb[Qtde],supercb[Item],tab_alimentos[[#This Row],[Item]],supercb[Bairro],mercado18)</f>
        <v>0</v>
      </c>
      <c r="AD247" s="27" t="n">
        <f aca="false">SUMIFS(super1[Qtde],super1[Item],tab_alimentos[[#This Row],[Item]],super1[Bairro],extras)+SUMIFS(supercb[Qtde],supercb[Item],tab_alimentos[[#This Row],[Item]],supercb[Bairro],extras)</f>
        <v>0</v>
      </c>
      <c r="AE247" s="27" t="n">
        <f aca="false">SUM(L247:AC247)</f>
        <v>0</v>
      </c>
      <c r="AF247" s="27" t="n">
        <f aca="false">IFERROR(AE247*K247,0)</f>
        <v>0</v>
      </c>
      <c r="AG247" s="28" t="n">
        <f aca="false">IFERROR(J247*AE247,0)</f>
        <v>0</v>
      </c>
      <c r="AH247" s="37" t="e">
        <f aca="false">higiene[[#This Row],[Item]]</f>
        <v>#VALUE!</v>
      </c>
      <c r="AI247" s="38" t="n">
        <f aca="false">IFERROR(higiene[[#This Row],[Kg equivalente]],0)</f>
        <v>0</v>
      </c>
      <c r="AJ247" s="38" t="n">
        <f aca="false">IFERROR(higiene[[#This Row],[Preço por produto]],0)</f>
        <v>0</v>
      </c>
      <c r="AK247" s="27" t="n">
        <f aca="false">SUMIFS(super1[Qtde],super1[Item],tab_higiene[[#This Row],[Item]],super1[Bairro],mercado1)+SUMIFS(supercb[Qtde],supercb[Item],tab_higiene[[#This Row],[Item]],supercb[Bairro],mercado1)</f>
        <v>0</v>
      </c>
      <c r="AL247" s="27" t="n">
        <f aca="false">SUMIFS(super1[Qtde],super1[Item],tab_higiene[[#This Row],[Item]],super1[Bairro],mercado2)+SUMIFS(supercb[Qtde],supercb[Item],tab_higiene[[#This Row],[Item]],supercb[Bairro],mercado2)</f>
        <v>0</v>
      </c>
      <c r="AM247" s="27" t="n">
        <f aca="false">SUMIFS(super1[Qtde],super1[Item],tab_higiene[[#This Row],[Item]],super1[Bairro],mercado3)+SUMIFS(supercb[Qtde],supercb[Item],tab_higiene[[#This Row],[Item]],supercb[Bairro],mercado3)</f>
        <v>0</v>
      </c>
      <c r="AN247" s="27" t="n">
        <f aca="false">SUMIFS(super1[Qtde],super1[Item],tab_higiene[[#This Row],[Item]],super1[Bairro],mercado4)+SUMIFS(supercb[Qtde],supercb[Item],tab_higiene[[#This Row],[Item]],supercb[Bairro],mercado4)</f>
        <v>0</v>
      </c>
      <c r="AO247" s="27" t="n">
        <f aca="false">SUMIFS(super1[Qtde],super1[Item],tab_higiene[[#This Row],[Item]],super1[Bairro],mercado5)+SUMIFS(supercb[Qtde],supercb[Item],tab_higiene[[#This Row],[Item]],supercb[Bairro],mercado5)</f>
        <v>0</v>
      </c>
      <c r="AP247" s="27" t="n">
        <f aca="false">SUMIFS(super1[Qtde],super1[Item],tab_higiene[[#This Row],[Item]],super1[Bairro],mercado6)+SUMIFS(supercb[Qtde],supercb[Item],tab_higiene[[#This Row],[Item]],supercb[Bairro],mercado6)</f>
        <v>0</v>
      </c>
      <c r="AQ247" s="27" t="n">
        <f aca="false">SUMIFS(super1[Qtde],super1[Item],tab_higiene[[#This Row],[Item]],super1[Bairro],mercado7)+SUMIFS(supercb[Qtde],supercb[Item],tab_higiene[[#This Row],[Item]],supercb[Bairro],mercado7)</f>
        <v>0</v>
      </c>
      <c r="AR247" s="27" t="n">
        <f aca="false">SUMIFS(super1[Qtde],super1[Item],tab_higiene[[#This Row],[Item]],super1[Bairro],mercado8)+SUMIFS(supercb[Qtde],supercb[Item],tab_higiene[[#This Row],[Item]],supercb[Bairro],mercado8)</f>
        <v>0</v>
      </c>
      <c r="AS247" s="27" t="n">
        <f aca="false">SUMIFS(super1[Qtde],super1[Item],tab_higiene[[#This Row],[Item]],super1[Bairro],mercado9)+SUMIFS(supercb[Qtde],supercb[Item],tab_higiene[[#This Row],[Item]],supercb[Bairro],mercado9)</f>
        <v>0</v>
      </c>
      <c r="AT247" s="27" t="n">
        <f aca="false">SUMIFS(super1[Qtde],super1[Item],tab_higiene[[#This Row],[Item]],super1[Bairro],mercado10)+SUMIFS(supercb[Qtde],supercb[Item],tab_higiene[[#This Row],[Item]],supercb[Bairro],mercado10)</f>
        <v>0</v>
      </c>
      <c r="AU247" s="27" t="n">
        <f aca="false">SUMIFS(super1[Qtde],super1[Item],tab_higiene[[#This Row],[Item]],super1[Bairro],mercado11)+SUMIFS(supercb[Qtde],supercb[Item],tab_higiene[[#This Row],[Item]],supercb[Bairro],mercado11)</f>
        <v>0</v>
      </c>
      <c r="AV247" s="27" t="n">
        <f aca="false">SUMIFS(super1[Qtde],super1[Item],tab_higiene[[#This Row],[Item]],super1[Bairro],mercado12)+SUMIFS(supercb[Qtde],supercb[Item],tab_higiene[[#This Row],[Item]],supercb[Bairro],mercado12)</f>
        <v>0</v>
      </c>
      <c r="AW247" s="27" t="n">
        <f aca="false">SUMIFS(super1[Qtde],super1[Item],tab_higiene[[#This Row],[Item]],super1[Bairro],mercado13)+SUMIFS(supercb[Qtde],supercb[Item],tab_higiene[[#This Row],[Item]],supercb[Bairro],mercado13)</f>
        <v>0</v>
      </c>
      <c r="AX247" s="27" t="n">
        <f aca="false">SUMIFS(super1[Qtde],super1[Item],tab_higiene[[#This Row],[Item]],super1[Bairro],mercado14)+SUMIFS(supercb[Qtde],supercb[Item],tab_higiene[[#This Row],[Item]],supercb[Bairro],mercado14)</f>
        <v>0</v>
      </c>
      <c r="AY247" s="27" t="n">
        <f aca="false">SUMIFS(super1[Qtde],super1[Item],tab_higiene[[#This Row],[Item]],super1[Bairro],mercado15)+SUMIFS(supercb[Qtde],supercb[Item],tab_higiene[[#This Row],[Item]],supercb[Bairro],mercado15)</f>
        <v>0</v>
      </c>
      <c r="AZ247" s="27" t="n">
        <f aca="false">SUMIFS(super1[Qtde],super1[Item],tab_higiene[[#This Row],[Item]],super1[Bairro],mercado16)+SUMIFS(supercb[Qtde],supercb[Item],tab_higiene[[#This Row],[Item]],supercb[Bairro],mercado16)</f>
        <v>0</v>
      </c>
      <c r="BA247" s="27" t="n">
        <f aca="false">SUMIFS(super1[Qtde],super1[Item],tab_higiene[[#This Row],[Item]],super1[Bairro],mercado17)+SUMIFS(supercb[Qtde],supercb[Item],tab_higiene[[#This Row],[Item]],supercb[Bairro],mercado17)</f>
        <v>0</v>
      </c>
      <c r="BB247" s="27" t="n">
        <f aca="false">SUMIFS(super1[Qtde],super1[Item],tab_higiene[[#This Row],[Item]],super1[Bairro],mercado18)+SUMIFS(supercb[Qtde],supercb[Item],tab_higiene[[#This Row],[Item]],supercb[Bairro],mercado18)</f>
        <v>0</v>
      </c>
      <c r="BC247" s="39" t="n">
        <f aca="false">SUMIFS(super1[Qtde],super1[Item],tab_higiene[[#This Row],[Item]],super1[Bairro],extras)+SUMIFS(supercb[Qtde],supercb[Item],tab_higiene[[#This Row],[Item]],supercb[Bairro],extras)</f>
        <v>0</v>
      </c>
      <c r="BD247" s="38" t="n">
        <f aca="false">SUM(AK247:BB247)</f>
        <v>0</v>
      </c>
      <c r="BE247" s="38" t="n">
        <f aca="false">IFERROR(BD247*AJ247,0)</f>
        <v>0</v>
      </c>
      <c r="BF247" s="40" t="n">
        <f aca="false">IFERROR(AI247*BD247,0)</f>
        <v>0</v>
      </c>
    </row>
    <row r="248" customFormat="false" ht="15.75" hidden="false" customHeight="false" outlineLevel="0" collapsed="false">
      <c r="I248" s="26" t="str">
        <f aca="false">alimentos[[#This Row],[Item]]</f>
        <v>Sopão (200g)</v>
      </c>
      <c r="J248" s="27" t="n">
        <f aca="false">IFERROR(alimentos[[#This Row],[kg/embalagem]],0)</f>
        <v>0.2</v>
      </c>
      <c r="K248" s="27" t="n">
        <f aca="false">IFERROR(alimentos[[#This Row],[Preço]],0)</f>
        <v>6.74833333333334</v>
      </c>
      <c r="L248" s="27" t="n">
        <f aca="false">SUMIFS(super1[Qtde],super1[Item],tab_alimentos[[#This Row],[Item]],super1[Bairro],mercado1)+SUMIFS(supercb[Qtde],supercb[Item],tab_alimentos[[#This Row],[Item]],supercb[Bairro],mercado1)</f>
        <v>1</v>
      </c>
      <c r="M248" s="27" t="n">
        <f aca="false">SUMIFS(super1[Qtde],super1[Item],tab_alimentos[[#This Row],[Item]],super1[Bairro],mercado2)+SUMIFS(supercb[Qtde],supercb[Item],tab_alimentos[[#This Row],[Item]],supercb[Bairro],mercado2)</f>
        <v>0</v>
      </c>
      <c r="N248" s="27" t="n">
        <f aca="false">SUMIFS(super1[Qtde],super1[Item],tab_alimentos[[#This Row],[Item]],super1[Bairro],mercado3)+SUMIFS(supercb[Qtde],supercb[Item],tab_alimentos[[#This Row],[Item]],supercb[Bairro],mercado3)</f>
        <v>0</v>
      </c>
      <c r="O248" s="27" t="n">
        <f aca="false">SUMIFS(super1[Qtde],super1[Item],tab_alimentos[[#This Row],[Item]],super1[Bairro],mercado4)+SUMIFS(supercb[Qtde],supercb[Item],tab_alimentos[[#This Row],[Item]],supercb[Bairro],mercado4)</f>
        <v>0</v>
      </c>
      <c r="P248" s="27" t="n">
        <f aca="false">SUMIFS(super1[Qtde],super1[Item],tab_alimentos[[#This Row],[Item]],super1[Bairro],mercado5)+SUMIFS(supercb[Qtde],supercb[Item],tab_alimentos[[#This Row],[Item]],supercb[Bairro],mercado5)</f>
        <v>0</v>
      </c>
      <c r="Q248" s="27" t="n">
        <f aca="false">SUMIFS(super1[Qtde],super1[Item],tab_alimentos[[#This Row],[Item]],super1[Bairro],mercado6)+SUMIFS(supercb[Qtde],supercb[Item],tab_alimentos[[#This Row],[Item]],supercb[Bairro],mercado6)</f>
        <v>0</v>
      </c>
      <c r="R248" s="27" t="n">
        <f aca="false">SUMIFS(super1[Qtde],super1[Item],tab_alimentos[[#This Row],[Item]],super1[Bairro],mercado7)+SUMIFS(supercb[Qtde],supercb[Item],tab_alimentos[[#This Row],[Item]],supercb[Bairro],mercado7)</f>
        <v>0</v>
      </c>
      <c r="S248" s="27" t="n">
        <f aca="false">SUMIFS(super1[Qtde],super1[Item],tab_alimentos[[#This Row],[Item]],super1[Bairro],mercado8)+SUMIFS(supercb[Qtde],supercb[Item],tab_alimentos[[#This Row],[Item]],supercb[Bairro],mercado8)</f>
        <v>0</v>
      </c>
      <c r="T248" s="27" t="n">
        <f aca="false">SUMIFS(super1[Qtde],super1[Item],tab_alimentos[[#This Row],[Item]],super1[Bairro],mercado9)+SUMIFS(supercb[Qtde],supercb[Item],tab_alimentos[[#This Row],[Item]],supercb[Bairro],mercado9)</f>
        <v>0</v>
      </c>
      <c r="U248" s="27" t="n">
        <f aca="false">SUMIFS(super1[Qtde],super1[Item],tab_alimentos[[#This Row],[Item]],super1[Bairro],mercado10)+SUMIFS(supercb[Qtde],supercb[Item],tab_alimentos[[#This Row],[Item]],supercb[Bairro],mercado10)</f>
        <v>0</v>
      </c>
      <c r="V248" s="27" t="n">
        <f aca="false">SUMIFS(super1[Qtde],super1[Item],tab_alimentos[[#This Row],[Item]],super1[Bairro],mercado11)+SUMIFS(supercb[Qtde],supercb[Item],tab_alimentos[[#This Row],[Item]],supercb[Bairro],mercado11)</f>
        <v>0</v>
      </c>
      <c r="W248" s="27" t="n">
        <f aca="false">SUMIFS(super1[Qtde],super1[Item],tab_alimentos[[#This Row],[Item]],super1[Bairro],mercado12)+SUMIFS(supercb[Qtde],supercb[Item],tab_alimentos[[#This Row],[Item]],supercb[Bairro],mercado12)</f>
        <v>0</v>
      </c>
      <c r="X248" s="27" t="n">
        <f aca="false">SUMIFS(super1[Qtde],super1[Item],tab_alimentos[[#This Row],[Item]],super1[Bairro],mercado13)+SUMIFS(supercb[Qtde],supercb[Item],tab_alimentos[[#This Row],[Item]],supercb[Bairro],mercado13)</f>
        <v>0</v>
      </c>
      <c r="Y248" s="27" t="n">
        <f aca="false">SUMIFS(super1[Qtde],super1[Item],tab_alimentos[[#This Row],[Item]],super1[Bairro],mercado14)+SUMIFS(supercb[Qtde],supercb[Item],tab_alimentos[[#This Row],[Item]],supercb[Bairro],mercado14)</f>
        <v>0</v>
      </c>
      <c r="Z248" s="27" t="n">
        <f aca="false">SUMIFS(super1[Qtde],super1[Item],tab_alimentos[[#This Row],[Item]],super1[Bairro],mercado15)+SUMIFS(supercb[Qtde],supercb[Item],tab_alimentos[[#This Row],[Item]],supercb[Bairro],mercado15)</f>
        <v>0</v>
      </c>
      <c r="AA248" s="27" t="n">
        <f aca="false">SUMIFS(super1[Qtde],super1[Item],tab_alimentos[[#This Row],[Item]],super1[Bairro],mercado16)+SUMIFS(supercb[Qtde],supercb[Item],tab_alimentos[[#This Row],[Item]],supercb[Bairro],mercado16)</f>
        <v>0</v>
      </c>
      <c r="AB248" s="27" t="n">
        <f aca="false">SUMIFS(super1[Qtde],super1[Item],tab_alimentos[[#This Row],[Item]],super1[Bairro],mercado17)+SUMIFS(supercb[Qtde],supercb[Item],tab_alimentos[[#This Row],[Item]],supercb[Bairro],mercado17)</f>
        <v>0</v>
      </c>
      <c r="AC248" s="27" t="n">
        <f aca="false">SUMIFS(super1[Qtde],super1[Item],tab_alimentos[[#This Row],[Item]],super1[Bairro],mercado18)+SUMIFS(supercb[Qtde],supercb[Item],tab_alimentos[[#This Row],[Item]],supercb[Bairro],mercado18)</f>
        <v>0</v>
      </c>
      <c r="AD248" s="27" t="n">
        <f aca="false">SUMIFS(super1[Qtde],super1[Item],tab_alimentos[[#This Row],[Item]],super1[Bairro],extras)+SUMIFS(supercb[Qtde],supercb[Item],tab_alimentos[[#This Row],[Item]],supercb[Bairro],extras)</f>
        <v>0</v>
      </c>
      <c r="AE248" s="27" t="n">
        <f aca="false">SUM(L248:AC248)</f>
        <v>1</v>
      </c>
      <c r="AF248" s="27" t="n">
        <f aca="false">IFERROR(AE248*K248,0)</f>
        <v>6.74833333333334</v>
      </c>
      <c r="AG248" s="28" t="n">
        <f aca="false">IFERROR(J248*AE248,0)</f>
        <v>0.2</v>
      </c>
      <c r="AH248" s="37" t="e">
        <f aca="false">higiene[[#This Row],[Item]]</f>
        <v>#VALUE!</v>
      </c>
      <c r="AI248" s="38" t="n">
        <f aca="false">IFERROR(higiene[[#This Row],[Kg equivalente]],0)</f>
        <v>0</v>
      </c>
      <c r="AJ248" s="38" t="n">
        <f aca="false">IFERROR(higiene[[#This Row],[Preço por produto]],0)</f>
        <v>0</v>
      </c>
      <c r="AK248" s="27" t="n">
        <f aca="false">SUMIFS(super1[Qtde],super1[Item],tab_higiene[[#This Row],[Item]],super1[Bairro],mercado1)+SUMIFS(supercb[Qtde],supercb[Item],tab_higiene[[#This Row],[Item]],supercb[Bairro],mercado1)</f>
        <v>0</v>
      </c>
      <c r="AL248" s="27" t="n">
        <f aca="false">SUMIFS(super1[Qtde],super1[Item],tab_higiene[[#This Row],[Item]],super1[Bairro],mercado2)+SUMIFS(supercb[Qtde],supercb[Item],tab_higiene[[#This Row],[Item]],supercb[Bairro],mercado2)</f>
        <v>0</v>
      </c>
      <c r="AM248" s="27" t="n">
        <f aca="false">SUMIFS(super1[Qtde],super1[Item],tab_higiene[[#This Row],[Item]],super1[Bairro],mercado3)+SUMIFS(supercb[Qtde],supercb[Item],tab_higiene[[#This Row],[Item]],supercb[Bairro],mercado3)</f>
        <v>0</v>
      </c>
      <c r="AN248" s="27" t="n">
        <f aca="false">SUMIFS(super1[Qtde],super1[Item],tab_higiene[[#This Row],[Item]],super1[Bairro],mercado4)+SUMIFS(supercb[Qtde],supercb[Item],tab_higiene[[#This Row],[Item]],supercb[Bairro],mercado4)</f>
        <v>0</v>
      </c>
      <c r="AO248" s="27" t="n">
        <f aca="false">SUMIFS(super1[Qtde],super1[Item],tab_higiene[[#This Row],[Item]],super1[Bairro],mercado5)+SUMIFS(supercb[Qtde],supercb[Item],tab_higiene[[#This Row],[Item]],supercb[Bairro],mercado5)</f>
        <v>0</v>
      </c>
      <c r="AP248" s="27" t="n">
        <f aca="false">SUMIFS(super1[Qtde],super1[Item],tab_higiene[[#This Row],[Item]],super1[Bairro],mercado6)+SUMIFS(supercb[Qtde],supercb[Item],tab_higiene[[#This Row],[Item]],supercb[Bairro],mercado6)</f>
        <v>0</v>
      </c>
      <c r="AQ248" s="27" t="n">
        <f aca="false">SUMIFS(super1[Qtde],super1[Item],tab_higiene[[#This Row],[Item]],super1[Bairro],mercado7)+SUMIFS(supercb[Qtde],supercb[Item],tab_higiene[[#This Row],[Item]],supercb[Bairro],mercado7)</f>
        <v>0</v>
      </c>
      <c r="AR248" s="27" t="n">
        <f aca="false">SUMIFS(super1[Qtde],super1[Item],tab_higiene[[#This Row],[Item]],super1[Bairro],mercado8)+SUMIFS(supercb[Qtde],supercb[Item],tab_higiene[[#This Row],[Item]],supercb[Bairro],mercado8)</f>
        <v>0</v>
      </c>
      <c r="AS248" s="27" t="n">
        <f aca="false">SUMIFS(super1[Qtde],super1[Item],tab_higiene[[#This Row],[Item]],super1[Bairro],mercado9)+SUMIFS(supercb[Qtde],supercb[Item],tab_higiene[[#This Row],[Item]],supercb[Bairro],mercado9)</f>
        <v>0</v>
      </c>
      <c r="AT248" s="27" t="n">
        <f aca="false">SUMIFS(super1[Qtde],super1[Item],tab_higiene[[#This Row],[Item]],super1[Bairro],mercado10)+SUMIFS(supercb[Qtde],supercb[Item],tab_higiene[[#This Row],[Item]],supercb[Bairro],mercado10)</f>
        <v>0</v>
      </c>
      <c r="AU248" s="27" t="n">
        <f aca="false">SUMIFS(super1[Qtde],super1[Item],tab_higiene[[#This Row],[Item]],super1[Bairro],mercado11)+SUMIFS(supercb[Qtde],supercb[Item],tab_higiene[[#This Row],[Item]],supercb[Bairro],mercado11)</f>
        <v>0</v>
      </c>
      <c r="AV248" s="27" t="n">
        <f aca="false">SUMIFS(super1[Qtde],super1[Item],tab_higiene[[#This Row],[Item]],super1[Bairro],mercado12)+SUMIFS(supercb[Qtde],supercb[Item],tab_higiene[[#This Row],[Item]],supercb[Bairro],mercado12)</f>
        <v>0</v>
      </c>
      <c r="AW248" s="27" t="n">
        <f aca="false">SUMIFS(super1[Qtde],super1[Item],tab_higiene[[#This Row],[Item]],super1[Bairro],mercado13)+SUMIFS(supercb[Qtde],supercb[Item],tab_higiene[[#This Row],[Item]],supercb[Bairro],mercado13)</f>
        <v>0</v>
      </c>
      <c r="AX248" s="27" t="n">
        <f aca="false">SUMIFS(super1[Qtde],super1[Item],tab_higiene[[#This Row],[Item]],super1[Bairro],mercado14)+SUMIFS(supercb[Qtde],supercb[Item],tab_higiene[[#This Row],[Item]],supercb[Bairro],mercado14)</f>
        <v>0</v>
      </c>
      <c r="AY248" s="27" t="n">
        <f aca="false">SUMIFS(super1[Qtde],super1[Item],tab_higiene[[#This Row],[Item]],super1[Bairro],mercado15)+SUMIFS(supercb[Qtde],supercb[Item],tab_higiene[[#This Row],[Item]],supercb[Bairro],mercado15)</f>
        <v>0</v>
      </c>
      <c r="AZ248" s="27" t="n">
        <f aca="false">SUMIFS(super1[Qtde],super1[Item],tab_higiene[[#This Row],[Item]],super1[Bairro],mercado16)+SUMIFS(supercb[Qtde],supercb[Item],tab_higiene[[#This Row],[Item]],supercb[Bairro],mercado16)</f>
        <v>0</v>
      </c>
      <c r="BA248" s="27" t="n">
        <f aca="false">SUMIFS(super1[Qtde],super1[Item],tab_higiene[[#This Row],[Item]],super1[Bairro],mercado17)+SUMIFS(supercb[Qtde],supercb[Item],tab_higiene[[#This Row],[Item]],supercb[Bairro],mercado17)</f>
        <v>0</v>
      </c>
      <c r="BB248" s="27" t="n">
        <f aca="false">SUMIFS(super1[Qtde],super1[Item],tab_higiene[[#This Row],[Item]],super1[Bairro],mercado18)+SUMIFS(supercb[Qtde],supercb[Item],tab_higiene[[#This Row],[Item]],supercb[Bairro],mercado18)</f>
        <v>0</v>
      </c>
      <c r="BC248" s="39" t="n">
        <f aca="false">SUMIFS(super1[Qtde],super1[Item],tab_higiene[[#This Row],[Item]],super1[Bairro],extras)+SUMIFS(supercb[Qtde],supercb[Item],tab_higiene[[#This Row],[Item]],supercb[Bairro],extras)</f>
        <v>0</v>
      </c>
      <c r="BD248" s="38" t="n">
        <f aca="false">SUM(AK248:BB248)</f>
        <v>0</v>
      </c>
      <c r="BE248" s="38" t="n">
        <f aca="false">IFERROR(BD248*AJ248,0)</f>
        <v>0</v>
      </c>
      <c r="BF248" s="40" t="n">
        <f aca="false">IFERROR(AI248*BD248,0)</f>
        <v>0</v>
      </c>
    </row>
    <row r="249" customFormat="false" ht="15.75" hidden="false" customHeight="false" outlineLevel="0" collapsed="false">
      <c r="I249" s="26" t="str">
        <f aca="false">alimentos[[#This Row],[Item]]</f>
        <v>Suco (1,5L)</v>
      </c>
      <c r="J249" s="27" t="n">
        <f aca="false">IFERROR(alimentos[[#This Row],[kg/embalagem]],0)</f>
        <v>1.5</v>
      </c>
      <c r="K249" s="27" t="n">
        <f aca="false">IFERROR(alimentos[[#This Row],[Preço]],0)</f>
        <v>8.56</v>
      </c>
      <c r="L249" s="27" t="n">
        <f aca="false">SUMIFS(super1[Qtde],super1[Item],tab_alimentos[[#This Row],[Item]],super1[Bairro],mercado1)+SUMIFS(supercb[Qtde],supercb[Item],tab_alimentos[[#This Row],[Item]],supercb[Bairro],mercado1)</f>
        <v>0</v>
      </c>
      <c r="M249" s="27" t="n">
        <f aca="false">SUMIFS(super1[Qtde],super1[Item],tab_alimentos[[#This Row],[Item]],super1[Bairro],mercado2)+SUMIFS(supercb[Qtde],supercb[Item],tab_alimentos[[#This Row],[Item]],supercb[Bairro],mercado2)</f>
        <v>0</v>
      </c>
      <c r="N249" s="27" t="n">
        <f aca="false">SUMIFS(super1[Qtde],super1[Item],tab_alimentos[[#This Row],[Item]],super1[Bairro],mercado3)+SUMIFS(supercb[Qtde],supercb[Item],tab_alimentos[[#This Row],[Item]],supercb[Bairro],mercado3)</f>
        <v>0</v>
      </c>
      <c r="O249" s="27" t="n">
        <f aca="false">SUMIFS(super1[Qtde],super1[Item],tab_alimentos[[#This Row],[Item]],super1[Bairro],mercado4)+SUMIFS(supercb[Qtde],supercb[Item],tab_alimentos[[#This Row],[Item]],supercb[Bairro],mercado4)</f>
        <v>0</v>
      </c>
      <c r="P249" s="27" t="n">
        <f aca="false">SUMIFS(super1[Qtde],super1[Item],tab_alimentos[[#This Row],[Item]],super1[Bairro],mercado5)+SUMIFS(supercb[Qtde],supercb[Item],tab_alimentos[[#This Row],[Item]],supercb[Bairro],mercado5)</f>
        <v>0</v>
      </c>
      <c r="Q249" s="27" t="n">
        <f aca="false">SUMIFS(super1[Qtde],super1[Item],tab_alimentos[[#This Row],[Item]],super1[Bairro],mercado6)+SUMIFS(supercb[Qtde],supercb[Item],tab_alimentos[[#This Row],[Item]],supercb[Bairro],mercado6)</f>
        <v>0</v>
      </c>
      <c r="R249" s="27" t="n">
        <f aca="false">SUMIFS(super1[Qtde],super1[Item],tab_alimentos[[#This Row],[Item]],super1[Bairro],mercado7)+SUMIFS(supercb[Qtde],supercb[Item],tab_alimentos[[#This Row],[Item]],supercb[Bairro],mercado7)</f>
        <v>1</v>
      </c>
      <c r="S249" s="27" t="n">
        <f aca="false">SUMIFS(super1[Qtde],super1[Item],tab_alimentos[[#This Row],[Item]],super1[Bairro],mercado8)+SUMIFS(supercb[Qtde],supercb[Item],tab_alimentos[[#This Row],[Item]],supercb[Bairro],mercado8)</f>
        <v>0</v>
      </c>
      <c r="T249" s="27" t="n">
        <f aca="false">SUMIFS(super1[Qtde],super1[Item],tab_alimentos[[#This Row],[Item]],super1[Bairro],mercado9)+SUMIFS(supercb[Qtde],supercb[Item],tab_alimentos[[#This Row],[Item]],supercb[Bairro],mercado9)</f>
        <v>0</v>
      </c>
      <c r="U249" s="27" t="n">
        <f aca="false">SUMIFS(super1[Qtde],super1[Item],tab_alimentos[[#This Row],[Item]],super1[Bairro],mercado10)+SUMIFS(supercb[Qtde],supercb[Item],tab_alimentos[[#This Row],[Item]],supercb[Bairro],mercado10)</f>
        <v>0</v>
      </c>
      <c r="V249" s="27" t="n">
        <f aca="false">SUMIFS(super1[Qtde],super1[Item],tab_alimentos[[#This Row],[Item]],super1[Bairro],mercado11)+SUMIFS(supercb[Qtde],supercb[Item],tab_alimentos[[#This Row],[Item]],supercb[Bairro],mercado11)</f>
        <v>0</v>
      </c>
      <c r="W249" s="27" t="n">
        <f aca="false">SUMIFS(super1[Qtde],super1[Item],tab_alimentos[[#This Row],[Item]],super1[Bairro],mercado12)+SUMIFS(supercb[Qtde],supercb[Item],tab_alimentos[[#This Row],[Item]],supercb[Bairro],mercado12)</f>
        <v>0</v>
      </c>
      <c r="X249" s="27" t="n">
        <f aca="false">SUMIFS(super1[Qtde],super1[Item],tab_alimentos[[#This Row],[Item]],super1[Bairro],mercado13)+SUMIFS(supercb[Qtde],supercb[Item],tab_alimentos[[#This Row],[Item]],supercb[Bairro],mercado13)</f>
        <v>0</v>
      </c>
      <c r="Y249" s="27" t="n">
        <f aca="false">SUMIFS(super1[Qtde],super1[Item],tab_alimentos[[#This Row],[Item]],super1[Bairro],mercado14)+SUMIFS(supercb[Qtde],supercb[Item],tab_alimentos[[#This Row],[Item]],supercb[Bairro],mercado14)</f>
        <v>0</v>
      </c>
      <c r="Z249" s="27" t="n">
        <f aca="false">SUMIFS(super1[Qtde],super1[Item],tab_alimentos[[#This Row],[Item]],super1[Bairro],mercado15)+SUMIFS(supercb[Qtde],supercb[Item],tab_alimentos[[#This Row],[Item]],supercb[Bairro],mercado15)</f>
        <v>0</v>
      </c>
      <c r="AA249" s="27" t="n">
        <f aca="false">SUMIFS(super1[Qtde],super1[Item],tab_alimentos[[#This Row],[Item]],super1[Bairro],mercado16)+SUMIFS(supercb[Qtde],supercb[Item],tab_alimentos[[#This Row],[Item]],supercb[Bairro],mercado16)</f>
        <v>0</v>
      </c>
      <c r="AB249" s="27" t="n">
        <f aca="false">SUMIFS(super1[Qtde],super1[Item],tab_alimentos[[#This Row],[Item]],super1[Bairro],mercado17)+SUMIFS(supercb[Qtde],supercb[Item],tab_alimentos[[#This Row],[Item]],supercb[Bairro],mercado17)</f>
        <v>0</v>
      </c>
      <c r="AC249" s="27" t="n">
        <f aca="false">SUMIFS(super1[Qtde],super1[Item],tab_alimentos[[#This Row],[Item]],super1[Bairro],mercado18)+SUMIFS(supercb[Qtde],supercb[Item],tab_alimentos[[#This Row],[Item]],supercb[Bairro],mercado18)</f>
        <v>0</v>
      </c>
      <c r="AD249" s="27" t="n">
        <f aca="false">SUMIFS(super1[Qtde],super1[Item],tab_alimentos[[#This Row],[Item]],super1[Bairro],extras)+SUMIFS(supercb[Qtde],supercb[Item],tab_alimentos[[#This Row],[Item]],supercb[Bairro],extras)</f>
        <v>0</v>
      </c>
      <c r="AE249" s="27" t="n">
        <f aca="false">SUM(L249:AC249)</f>
        <v>1</v>
      </c>
      <c r="AF249" s="27" t="n">
        <f aca="false">IFERROR(AE249*K249,0)</f>
        <v>8.56</v>
      </c>
      <c r="AG249" s="28" t="n">
        <f aca="false">IFERROR(J249*AE249,0)</f>
        <v>1.5</v>
      </c>
      <c r="AH249" s="37" t="e">
        <f aca="false">higiene[[#This Row],[Item]]</f>
        <v>#VALUE!</v>
      </c>
      <c r="AI249" s="38" t="n">
        <f aca="false">IFERROR(higiene[[#This Row],[Kg equivalente]],0)</f>
        <v>0</v>
      </c>
      <c r="AJ249" s="38" t="n">
        <f aca="false">IFERROR(higiene[[#This Row],[Preço por produto]],0)</f>
        <v>0</v>
      </c>
      <c r="AK249" s="27" t="n">
        <f aca="false">SUMIFS(super1[Qtde],super1[Item],tab_higiene[[#This Row],[Item]],super1[Bairro],mercado1)+SUMIFS(supercb[Qtde],supercb[Item],tab_higiene[[#This Row],[Item]],supercb[Bairro],mercado1)</f>
        <v>0</v>
      </c>
      <c r="AL249" s="27" t="n">
        <f aca="false">SUMIFS(super1[Qtde],super1[Item],tab_higiene[[#This Row],[Item]],super1[Bairro],mercado2)+SUMIFS(supercb[Qtde],supercb[Item],tab_higiene[[#This Row],[Item]],supercb[Bairro],mercado2)</f>
        <v>0</v>
      </c>
      <c r="AM249" s="27" t="n">
        <f aca="false">SUMIFS(super1[Qtde],super1[Item],tab_higiene[[#This Row],[Item]],super1[Bairro],mercado3)+SUMIFS(supercb[Qtde],supercb[Item],tab_higiene[[#This Row],[Item]],supercb[Bairro],mercado3)</f>
        <v>0</v>
      </c>
      <c r="AN249" s="27" t="n">
        <f aca="false">SUMIFS(super1[Qtde],super1[Item],tab_higiene[[#This Row],[Item]],super1[Bairro],mercado4)+SUMIFS(supercb[Qtde],supercb[Item],tab_higiene[[#This Row],[Item]],supercb[Bairro],mercado4)</f>
        <v>0</v>
      </c>
      <c r="AO249" s="27" t="n">
        <f aca="false">SUMIFS(super1[Qtde],super1[Item],tab_higiene[[#This Row],[Item]],super1[Bairro],mercado5)+SUMIFS(supercb[Qtde],supercb[Item],tab_higiene[[#This Row],[Item]],supercb[Bairro],mercado5)</f>
        <v>0</v>
      </c>
      <c r="AP249" s="27" t="n">
        <f aca="false">SUMIFS(super1[Qtde],super1[Item],tab_higiene[[#This Row],[Item]],super1[Bairro],mercado6)+SUMIFS(supercb[Qtde],supercb[Item],tab_higiene[[#This Row],[Item]],supercb[Bairro],mercado6)</f>
        <v>0</v>
      </c>
      <c r="AQ249" s="27" t="n">
        <f aca="false">SUMIFS(super1[Qtde],super1[Item],tab_higiene[[#This Row],[Item]],super1[Bairro],mercado7)+SUMIFS(supercb[Qtde],supercb[Item],tab_higiene[[#This Row],[Item]],supercb[Bairro],mercado7)</f>
        <v>0</v>
      </c>
      <c r="AR249" s="27" t="n">
        <f aca="false">SUMIFS(super1[Qtde],super1[Item],tab_higiene[[#This Row],[Item]],super1[Bairro],mercado8)+SUMIFS(supercb[Qtde],supercb[Item],tab_higiene[[#This Row],[Item]],supercb[Bairro],mercado8)</f>
        <v>0</v>
      </c>
      <c r="AS249" s="27" t="n">
        <f aca="false">SUMIFS(super1[Qtde],super1[Item],tab_higiene[[#This Row],[Item]],super1[Bairro],mercado9)+SUMIFS(supercb[Qtde],supercb[Item],tab_higiene[[#This Row],[Item]],supercb[Bairro],mercado9)</f>
        <v>0</v>
      </c>
      <c r="AT249" s="27" t="n">
        <f aca="false">SUMIFS(super1[Qtde],super1[Item],tab_higiene[[#This Row],[Item]],super1[Bairro],mercado10)+SUMIFS(supercb[Qtde],supercb[Item],tab_higiene[[#This Row],[Item]],supercb[Bairro],mercado10)</f>
        <v>0</v>
      </c>
      <c r="AU249" s="27" t="n">
        <f aca="false">SUMIFS(super1[Qtde],super1[Item],tab_higiene[[#This Row],[Item]],super1[Bairro],mercado11)+SUMIFS(supercb[Qtde],supercb[Item],tab_higiene[[#This Row],[Item]],supercb[Bairro],mercado11)</f>
        <v>0</v>
      </c>
      <c r="AV249" s="27" t="n">
        <f aca="false">SUMIFS(super1[Qtde],super1[Item],tab_higiene[[#This Row],[Item]],super1[Bairro],mercado12)+SUMIFS(supercb[Qtde],supercb[Item],tab_higiene[[#This Row],[Item]],supercb[Bairro],mercado12)</f>
        <v>0</v>
      </c>
      <c r="AW249" s="27" t="n">
        <f aca="false">SUMIFS(super1[Qtde],super1[Item],tab_higiene[[#This Row],[Item]],super1[Bairro],mercado13)+SUMIFS(supercb[Qtde],supercb[Item],tab_higiene[[#This Row],[Item]],supercb[Bairro],mercado13)</f>
        <v>0</v>
      </c>
      <c r="AX249" s="27" t="n">
        <f aca="false">SUMIFS(super1[Qtde],super1[Item],tab_higiene[[#This Row],[Item]],super1[Bairro],mercado14)+SUMIFS(supercb[Qtde],supercb[Item],tab_higiene[[#This Row],[Item]],supercb[Bairro],mercado14)</f>
        <v>0</v>
      </c>
      <c r="AY249" s="27" t="n">
        <f aca="false">SUMIFS(super1[Qtde],super1[Item],tab_higiene[[#This Row],[Item]],super1[Bairro],mercado15)+SUMIFS(supercb[Qtde],supercb[Item],tab_higiene[[#This Row],[Item]],supercb[Bairro],mercado15)</f>
        <v>0</v>
      </c>
      <c r="AZ249" s="27" t="n">
        <f aca="false">SUMIFS(super1[Qtde],super1[Item],tab_higiene[[#This Row],[Item]],super1[Bairro],mercado16)+SUMIFS(supercb[Qtde],supercb[Item],tab_higiene[[#This Row],[Item]],supercb[Bairro],mercado16)</f>
        <v>0</v>
      </c>
      <c r="BA249" s="27" t="n">
        <f aca="false">SUMIFS(super1[Qtde],super1[Item],tab_higiene[[#This Row],[Item]],super1[Bairro],mercado17)+SUMIFS(supercb[Qtde],supercb[Item],tab_higiene[[#This Row],[Item]],supercb[Bairro],mercado17)</f>
        <v>0</v>
      </c>
      <c r="BB249" s="27" t="n">
        <f aca="false">SUMIFS(super1[Qtde],super1[Item],tab_higiene[[#This Row],[Item]],super1[Bairro],mercado18)+SUMIFS(supercb[Qtde],supercb[Item],tab_higiene[[#This Row],[Item]],supercb[Bairro],mercado18)</f>
        <v>0</v>
      </c>
      <c r="BC249" s="39" t="n">
        <f aca="false">SUMIFS(super1[Qtde],super1[Item],tab_higiene[[#This Row],[Item]],super1[Bairro],extras)+SUMIFS(supercb[Qtde],supercb[Item],tab_higiene[[#This Row],[Item]],supercb[Bairro],extras)</f>
        <v>0</v>
      </c>
      <c r="BD249" s="38" t="n">
        <f aca="false">SUM(AK249:BB249)</f>
        <v>0</v>
      </c>
      <c r="BE249" s="38" t="n">
        <f aca="false">IFERROR(BD249*AJ249,0)</f>
        <v>0</v>
      </c>
      <c r="BF249" s="40" t="n">
        <f aca="false">IFERROR(AI249*BD249,0)</f>
        <v>0</v>
      </c>
    </row>
    <row r="250" customFormat="false" ht="15.75" hidden="false" customHeight="false" outlineLevel="0" collapsed="false">
      <c r="I250" s="26" t="str">
        <f aca="false">alimentos[[#This Row],[Item]]</f>
        <v>Suco (Caixa)</v>
      </c>
      <c r="J250" s="27" t="n">
        <f aca="false">IFERROR(alimentos[[#This Row],[kg/embalagem]],0)</f>
        <v>1</v>
      </c>
      <c r="K250" s="27" t="n">
        <f aca="false">IFERROR(alimentos[[#This Row],[Preço]],0)</f>
        <v>3.74</v>
      </c>
      <c r="L250" s="27" t="n">
        <f aca="false">SUMIFS(super1[Qtde],super1[Item],tab_alimentos[[#This Row],[Item]],super1[Bairro],mercado1)+SUMIFS(supercb[Qtde],supercb[Item],tab_alimentos[[#This Row],[Item]],supercb[Bairro],mercado1)</f>
        <v>1</v>
      </c>
      <c r="M250" s="27" t="n">
        <f aca="false">SUMIFS(super1[Qtde],super1[Item],tab_alimentos[[#This Row],[Item]],super1[Bairro],mercado2)+SUMIFS(supercb[Qtde],supercb[Item],tab_alimentos[[#This Row],[Item]],supercb[Bairro],mercado2)</f>
        <v>0</v>
      </c>
      <c r="N250" s="27" t="n">
        <f aca="false">SUMIFS(super1[Qtde],super1[Item],tab_alimentos[[#This Row],[Item]],super1[Bairro],mercado3)+SUMIFS(supercb[Qtde],supercb[Item],tab_alimentos[[#This Row],[Item]],supercb[Bairro],mercado3)</f>
        <v>0</v>
      </c>
      <c r="O250" s="27" t="n">
        <f aca="false">SUMIFS(super1[Qtde],super1[Item],tab_alimentos[[#This Row],[Item]],super1[Bairro],mercado4)+SUMIFS(supercb[Qtde],supercb[Item],tab_alimentos[[#This Row],[Item]],supercb[Bairro],mercado4)</f>
        <v>0</v>
      </c>
      <c r="P250" s="27" t="n">
        <f aca="false">SUMIFS(super1[Qtde],super1[Item],tab_alimentos[[#This Row],[Item]],super1[Bairro],mercado5)+SUMIFS(supercb[Qtde],supercb[Item],tab_alimentos[[#This Row],[Item]],supercb[Bairro],mercado5)</f>
        <v>0</v>
      </c>
      <c r="Q250" s="27" t="n">
        <f aca="false">SUMIFS(super1[Qtde],super1[Item],tab_alimentos[[#This Row],[Item]],super1[Bairro],mercado6)+SUMIFS(supercb[Qtde],supercb[Item],tab_alimentos[[#This Row],[Item]],supercb[Bairro],mercado6)</f>
        <v>0</v>
      </c>
      <c r="R250" s="27" t="n">
        <f aca="false">SUMIFS(super1[Qtde],super1[Item],tab_alimentos[[#This Row],[Item]],super1[Bairro],mercado7)+SUMIFS(supercb[Qtde],supercb[Item],tab_alimentos[[#This Row],[Item]],supercb[Bairro],mercado7)</f>
        <v>0</v>
      </c>
      <c r="S250" s="27" t="n">
        <f aca="false">SUMIFS(super1[Qtde],super1[Item],tab_alimentos[[#This Row],[Item]],super1[Bairro],mercado8)+SUMIFS(supercb[Qtde],supercb[Item],tab_alimentos[[#This Row],[Item]],supercb[Bairro],mercado8)</f>
        <v>1</v>
      </c>
      <c r="T250" s="27" t="n">
        <f aca="false">SUMIFS(super1[Qtde],super1[Item],tab_alimentos[[#This Row],[Item]],super1[Bairro],mercado9)+SUMIFS(supercb[Qtde],supercb[Item],tab_alimentos[[#This Row],[Item]],supercb[Bairro],mercado9)</f>
        <v>0</v>
      </c>
      <c r="U250" s="27" t="n">
        <f aca="false">SUMIFS(super1[Qtde],super1[Item],tab_alimentos[[#This Row],[Item]],super1[Bairro],mercado10)+SUMIFS(supercb[Qtde],supercb[Item],tab_alimentos[[#This Row],[Item]],supercb[Bairro],mercado10)</f>
        <v>0</v>
      </c>
      <c r="V250" s="27" t="n">
        <f aca="false">SUMIFS(super1[Qtde],super1[Item],tab_alimentos[[#This Row],[Item]],super1[Bairro],mercado11)+SUMIFS(supercb[Qtde],supercb[Item],tab_alimentos[[#This Row],[Item]],supercb[Bairro],mercado11)</f>
        <v>0</v>
      </c>
      <c r="W250" s="27" t="n">
        <f aca="false">SUMIFS(super1[Qtde],super1[Item],tab_alimentos[[#This Row],[Item]],super1[Bairro],mercado12)+SUMIFS(supercb[Qtde],supercb[Item],tab_alimentos[[#This Row],[Item]],supercb[Bairro],mercado12)</f>
        <v>0</v>
      </c>
      <c r="X250" s="27" t="n">
        <f aca="false">SUMIFS(super1[Qtde],super1[Item],tab_alimentos[[#This Row],[Item]],super1[Bairro],mercado13)+SUMIFS(supercb[Qtde],supercb[Item],tab_alimentos[[#This Row],[Item]],supercb[Bairro],mercado13)</f>
        <v>0</v>
      </c>
      <c r="Y250" s="27" t="n">
        <f aca="false">SUMIFS(super1[Qtde],super1[Item],tab_alimentos[[#This Row],[Item]],super1[Bairro],mercado14)+SUMIFS(supercb[Qtde],supercb[Item],tab_alimentos[[#This Row],[Item]],supercb[Bairro],mercado14)</f>
        <v>0</v>
      </c>
      <c r="Z250" s="27" t="n">
        <f aca="false">SUMIFS(super1[Qtde],super1[Item],tab_alimentos[[#This Row],[Item]],super1[Bairro],mercado15)+SUMIFS(supercb[Qtde],supercb[Item],tab_alimentos[[#This Row],[Item]],supercb[Bairro],mercado15)</f>
        <v>0</v>
      </c>
      <c r="AA250" s="27" t="n">
        <f aca="false">SUMIFS(super1[Qtde],super1[Item],tab_alimentos[[#This Row],[Item]],super1[Bairro],mercado16)+SUMIFS(supercb[Qtde],supercb[Item],tab_alimentos[[#This Row],[Item]],supercb[Bairro],mercado16)</f>
        <v>0</v>
      </c>
      <c r="AB250" s="27" t="n">
        <f aca="false">SUMIFS(super1[Qtde],super1[Item],tab_alimentos[[#This Row],[Item]],super1[Bairro],mercado17)+SUMIFS(supercb[Qtde],supercb[Item],tab_alimentos[[#This Row],[Item]],supercb[Bairro],mercado17)</f>
        <v>0</v>
      </c>
      <c r="AC250" s="27" t="n">
        <f aca="false">SUMIFS(super1[Qtde],super1[Item],tab_alimentos[[#This Row],[Item]],super1[Bairro],mercado18)+SUMIFS(supercb[Qtde],supercb[Item],tab_alimentos[[#This Row],[Item]],supercb[Bairro],mercado18)</f>
        <v>0</v>
      </c>
      <c r="AD250" s="27" t="n">
        <f aca="false">SUMIFS(super1[Qtde],super1[Item],tab_alimentos[[#This Row],[Item]],super1[Bairro],extras)+SUMIFS(supercb[Qtde],supercb[Item],tab_alimentos[[#This Row],[Item]],supercb[Bairro],extras)</f>
        <v>0</v>
      </c>
      <c r="AE250" s="27" t="n">
        <f aca="false">SUM(L250:AC250)</f>
        <v>2</v>
      </c>
      <c r="AF250" s="27" t="n">
        <f aca="false">IFERROR(AE250*K250,0)</f>
        <v>7.48</v>
      </c>
      <c r="AG250" s="28" t="n">
        <f aca="false">IFERROR(J250*AE250,0)</f>
        <v>2</v>
      </c>
      <c r="AH250" s="37" t="e">
        <f aca="false">higiene[[#This Row],[Item]]</f>
        <v>#VALUE!</v>
      </c>
      <c r="AI250" s="38" t="n">
        <f aca="false">IFERROR(higiene[[#This Row],[Kg equivalente]],0)</f>
        <v>0</v>
      </c>
      <c r="AJ250" s="38" t="n">
        <f aca="false">IFERROR(higiene[[#This Row],[Preço por produto]],0)</f>
        <v>0</v>
      </c>
      <c r="AK250" s="27" t="n">
        <f aca="false">SUMIFS(super1[Qtde],super1[Item],tab_higiene[[#This Row],[Item]],super1[Bairro],mercado1)+SUMIFS(supercb[Qtde],supercb[Item],tab_higiene[[#This Row],[Item]],supercb[Bairro],mercado1)</f>
        <v>0</v>
      </c>
      <c r="AL250" s="27" t="n">
        <f aca="false">SUMIFS(super1[Qtde],super1[Item],tab_higiene[[#This Row],[Item]],super1[Bairro],mercado2)+SUMIFS(supercb[Qtde],supercb[Item],tab_higiene[[#This Row],[Item]],supercb[Bairro],mercado2)</f>
        <v>0</v>
      </c>
      <c r="AM250" s="27" t="n">
        <f aca="false">SUMIFS(super1[Qtde],super1[Item],tab_higiene[[#This Row],[Item]],super1[Bairro],mercado3)+SUMIFS(supercb[Qtde],supercb[Item],tab_higiene[[#This Row],[Item]],supercb[Bairro],mercado3)</f>
        <v>0</v>
      </c>
      <c r="AN250" s="27" t="n">
        <f aca="false">SUMIFS(super1[Qtde],super1[Item],tab_higiene[[#This Row],[Item]],super1[Bairro],mercado4)+SUMIFS(supercb[Qtde],supercb[Item],tab_higiene[[#This Row],[Item]],supercb[Bairro],mercado4)</f>
        <v>0</v>
      </c>
      <c r="AO250" s="27" t="n">
        <f aca="false">SUMIFS(super1[Qtde],super1[Item],tab_higiene[[#This Row],[Item]],super1[Bairro],mercado5)+SUMIFS(supercb[Qtde],supercb[Item],tab_higiene[[#This Row],[Item]],supercb[Bairro],mercado5)</f>
        <v>0</v>
      </c>
      <c r="AP250" s="27" t="n">
        <f aca="false">SUMIFS(super1[Qtde],super1[Item],tab_higiene[[#This Row],[Item]],super1[Bairro],mercado6)+SUMIFS(supercb[Qtde],supercb[Item],tab_higiene[[#This Row],[Item]],supercb[Bairro],mercado6)</f>
        <v>0</v>
      </c>
      <c r="AQ250" s="27" t="n">
        <f aca="false">SUMIFS(super1[Qtde],super1[Item],tab_higiene[[#This Row],[Item]],super1[Bairro],mercado7)+SUMIFS(supercb[Qtde],supercb[Item],tab_higiene[[#This Row],[Item]],supercb[Bairro],mercado7)</f>
        <v>0</v>
      </c>
      <c r="AR250" s="27" t="n">
        <f aca="false">SUMIFS(super1[Qtde],super1[Item],tab_higiene[[#This Row],[Item]],super1[Bairro],mercado8)+SUMIFS(supercb[Qtde],supercb[Item],tab_higiene[[#This Row],[Item]],supercb[Bairro],mercado8)</f>
        <v>0</v>
      </c>
      <c r="AS250" s="27" t="n">
        <f aca="false">SUMIFS(super1[Qtde],super1[Item],tab_higiene[[#This Row],[Item]],super1[Bairro],mercado9)+SUMIFS(supercb[Qtde],supercb[Item],tab_higiene[[#This Row],[Item]],supercb[Bairro],mercado9)</f>
        <v>0</v>
      </c>
      <c r="AT250" s="27" t="n">
        <f aca="false">SUMIFS(super1[Qtde],super1[Item],tab_higiene[[#This Row],[Item]],super1[Bairro],mercado10)+SUMIFS(supercb[Qtde],supercb[Item],tab_higiene[[#This Row],[Item]],supercb[Bairro],mercado10)</f>
        <v>0</v>
      </c>
      <c r="AU250" s="27" t="n">
        <f aca="false">SUMIFS(super1[Qtde],super1[Item],tab_higiene[[#This Row],[Item]],super1[Bairro],mercado11)+SUMIFS(supercb[Qtde],supercb[Item],tab_higiene[[#This Row],[Item]],supercb[Bairro],mercado11)</f>
        <v>0</v>
      </c>
      <c r="AV250" s="27" t="n">
        <f aca="false">SUMIFS(super1[Qtde],super1[Item],tab_higiene[[#This Row],[Item]],super1[Bairro],mercado12)+SUMIFS(supercb[Qtde],supercb[Item],tab_higiene[[#This Row],[Item]],supercb[Bairro],mercado12)</f>
        <v>0</v>
      </c>
      <c r="AW250" s="27" t="n">
        <f aca="false">SUMIFS(super1[Qtde],super1[Item],tab_higiene[[#This Row],[Item]],super1[Bairro],mercado13)+SUMIFS(supercb[Qtde],supercb[Item],tab_higiene[[#This Row],[Item]],supercb[Bairro],mercado13)</f>
        <v>0</v>
      </c>
      <c r="AX250" s="27" t="n">
        <f aca="false">SUMIFS(super1[Qtde],super1[Item],tab_higiene[[#This Row],[Item]],super1[Bairro],mercado14)+SUMIFS(supercb[Qtde],supercb[Item],tab_higiene[[#This Row],[Item]],supercb[Bairro],mercado14)</f>
        <v>0</v>
      </c>
      <c r="AY250" s="27" t="n">
        <f aca="false">SUMIFS(super1[Qtde],super1[Item],tab_higiene[[#This Row],[Item]],super1[Bairro],mercado15)+SUMIFS(supercb[Qtde],supercb[Item],tab_higiene[[#This Row],[Item]],supercb[Bairro],mercado15)</f>
        <v>0</v>
      </c>
      <c r="AZ250" s="27" t="n">
        <f aca="false">SUMIFS(super1[Qtde],super1[Item],tab_higiene[[#This Row],[Item]],super1[Bairro],mercado16)+SUMIFS(supercb[Qtde],supercb[Item],tab_higiene[[#This Row],[Item]],supercb[Bairro],mercado16)</f>
        <v>0</v>
      </c>
      <c r="BA250" s="27" t="n">
        <f aca="false">SUMIFS(super1[Qtde],super1[Item],tab_higiene[[#This Row],[Item]],super1[Bairro],mercado17)+SUMIFS(supercb[Qtde],supercb[Item],tab_higiene[[#This Row],[Item]],supercb[Bairro],mercado17)</f>
        <v>0</v>
      </c>
      <c r="BB250" s="27" t="n">
        <f aca="false">SUMIFS(super1[Qtde],super1[Item],tab_higiene[[#This Row],[Item]],super1[Bairro],mercado18)+SUMIFS(supercb[Qtde],supercb[Item],tab_higiene[[#This Row],[Item]],supercb[Bairro],mercado18)</f>
        <v>0</v>
      </c>
      <c r="BC250" s="39" t="n">
        <f aca="false">SUMIFS(super1[Qtde],super1[Item],tab_higiene[[#This Row],[Item]],super1[Bairro],extras)+SUMIFS(supercb[Qtde],supercb[Item],tab_higiene[[#This Row],[Item]],supercb[Bairro],extras)</f>
        <v>0</v>
      </c>
      <c r="BD250" s="38" t="n">
        <f aca="false">SUM(AK250:BB250)</f>
        <v>0</v>
      </c>
      <c r="BE250" s="38" t="n">
        <f aca="false">IFERROR(BD250*AJ250,0)</f>
        <v>0</v>
      </c>
      <c r="BF250" s="40" t="n">
        <f aca="false">IFERROR(AI250*BD250,0)</f>
        <v>0</v>
      </c>
    </row>
    <row r="251" customFormat="false" ht="15.75" hidden="false" customHeight="false" outlineLevel="0" collapsed="false">
      <c r="I251" s="26" t="str">
        <f aca="false">alimentos[[#This Row],[Item]]</f>
        <v>Suco (Saquinho)</v>
      </c>
      <c r="J251" s="27" t="n">
        <f aca="false">IFERROR(alimentos[[#This Row],[kg/embalagem]],0)</f>
        <v>0.01</v>
      </c>
      <c r="K251" s="27" t="n">
        <f aca="false">IFERROR(alimentos[[#This Row],[Preço]],0)</f>
        <v>0.69</v>
      </c>
      <c r="L251" s="27" t="n">
        <f aca="false">SUMIFS(super1[Qtde],super1[Item],tab_alimentos[[#This Row],[Item]],super1[Bairro],mercado1)+SUMIFS(supercb[Qtde],supercb[Item],tab_alimentos[[#This Row],[Item]],supercb[Bairro],mercado1)</f>
        <v>0</v>
      </c>
      <c r="M251" s="27" t="n">
        <f aca="false">SUMIFS(super1[Qtde],super1[Item],tab_alimentos[[#This Row],[Item]],super1[Bairro],mercado2)+SUMIFS(supercb[Qtde],supercb[Item],tab_alimentos[[#This Row],[Item]],supercb[Bairro],mercado2)</f>
        <v>0</v>
      </c>
      <c r="N251" s="27" t="n">
        <f aca="false">SUMIFS(super1[Qtde],super1[Item],tab_alimentos[[#This Row],[Item]],super1[Bairro],mercado3)+SUMIFS(supercb[Qtde],supercb[Item],tab_alimentos[[#This Row],[Item]],supercb[Bairro],mercado3)</f>
        <v>1</v>
      </c>
      <c r="O251" s="27" t="n">
        <f aca="false">SUMIFS(super1[Qtde],super1[Item],tab_alimentos[[#This Row],[Item]],super1[Bairro],mercado4)+SUMIFS(supercb[Qtde],supercb[Item],tab_alimentos[[#This Row],[Item]],supercb[Bairro],mercado4)</f>
        <v>0</v>
      </c>
      <c r="P251" s="27" t="n">
        <f aca="false">SUMIFS(super1[Qtde],super1[Item],tab_alimentos[[#This Row],[Item]],super1[Bairro],mercado5)+SUMIFS(supercb[Qtde],supercb[Item],tab_alimentos[[#This Row],[Item]],supercb[Bairro],mercado5)</f>
        <v>0</v>
      </c>
      <c r="Q251" s="27" t="n">
        <f aca="false">SUMIFS(super1[Qtde],super1[Item],tab_alimentos[[#This Row],[Item]],super1[Bairro],mercado6)+SUMIFS(supercb[Qtde],supercb[Item],tab_alimentos[[#This Row],[Item]],supercb[Bairro],mercado6)</f>
        <v>0</v>
      </c>
      <c r="R251" s="27" t="n">
        <f aca="false">SUMIFS(super1[Qtde],super1[Item],tab_alimentos[[#This Row],[Item]],super1[Bairro],mercado7)+SUMIFS(supercb[Qtde],supercb[Item],tab_alimentos[[#This Row],[Item]],supercb[Bairro],mercado7)</f>
        <v>1</v>
      </c>
      <c r="S251" s="27" t="n">
        <f aca="false">SUMIFS(super1[Qtde],super1[Item],tab_alimentos[[#This Row],[Item]],super1[Bairro],mercado8)+SUMIFS(supercb[Qtde],supercb[Item],tab_alimentos[[#This Row],[Item]],supercb[Bairro],mercado8)</f>
        <v>0</v>
      </c>
      <c r="T251" s="27" t="n">
        <f aca="false">SUMIFS(super1[Qtde],super1[Item],tab_alimentos[[#This Row],[Item]],super1[Bairro],mercado9)+SUMIFS(supercb[Qtde],supercb[Item],tab_alimentos[[#This Row],[Item]],supercb[Bairro],mercado9)</f>
        <v>0</v>
      </c>
      <c r="U251" s="27" t="n">
        <f aca="false">SUMIFS(super1[Qtde],super1[Item],tab_alimentos[[#This Row],[Item]],super1[Bairro],mercado10)+SUMIFS(supercb[Qtde],supercb[Item],tab_alimentos[[#This Row],[Item]],supercb[Bairro],mercado10)</f>
        <v>3</v>
      </c>
      <c r="V251" s="27" t="n">
        <f aca="false">SUMIFS(super1[Qtde],super1[Item],tab_alimentos[[#This Row],[Item]],super1[Bairro],mercado11)+SUMIFS(supercb[Qtde],supercb[Item],tab_alimentos[[#This Row],[Item]],supercb[Bairro],mercado11)</f>
        <v>2</v>
      </c>
      <c r="W251" s="27" t="n">
        <f aca="false">SUMIFS(super1[Qtde],super1[Item],tab_alimentos[[#This Row],[Item]],super1[Bairro],mercado12)+SUMIFS(supercb[Qtde],supercb[Item],tab_alimentos[[#This Row],[Item]],supercb[Bairro],mercado12)</f>
        <v>0</v>
      </c>
      <c r="X251" s="27" t="n">
        <f aca="false">SUMIFS(super1[Qtde],super1[Item],tab_alimentos[[#This Row],[Item]],super1[Bairro],mercado13)+SUMIFS(supercb[Qtde],supercb[Item],tab_alimentos[[#This Row],[Item]],supercb[Bairro],mercado13)</f>
        <v>0</v>
      </c>
      <c r="Y251" s="27" t="n">
        <f aca="false">SUMIFS(super1[Qtde],super1[Item],tab_alimentos[[#This Row],[Item]],super1[Bairro],mercado14)+SUMIFS(supercb[Qtde],supercb[Item],tab_alimentos[[#This Row],[Item]],supercb[Bairro],mercado14)</f>
        <v>0</v>
      </c>
      <c r="Z251" s="27" t="n">
        <f aca="false">SUMIFS(super1[Qtde],super1[Item],tab_alimentos[[#This Row],[Item]],super1[Bairro],mercado15)+SUMIFS(supercb[Qtde],supercb[Item],tab_alimentos[[#This Row],[Item]],supercb[Bairro],mercado15)</f>
        <v>0</v>
      </c>
      <c r="AA251" s="27" t="n">
        <f aca="false">SUMIFS(super1[Qtde],super1[Item],tab_alimentos[[#This Row],[Item]],super1[Bairro],mercado16)+SUMIFS(supercb[Qtde],supercb[Item],tab_alimentos[[#This Row],[Item]],supercb[Bairro],mercado16)</f>
        <v>0</v>
      </c>
      <c r="AB251" s="27" t="n">
        <f aca="false">SUMIFS(super1[Qtde],super1[Item],tab_alimentos[[#This Row],[Item]],super1[Bairro],mercado17)+SUMIFS(supercb[Qtde],supercb[Item],tab_alimentos[[#This Row],[Item]],supercb[Bairro],mercado17)</f>
        <v>0</v>
      </c>
      <c r="AC251" s="27" t="n">
        <f aca="false">SUMIFS(super1[Qtde],super1[Item],tab_alimentos[[#This Row],[Item]],super1[Bairro],mercado18)+SUMIFS(supercb[Qtde],supercb[Item],tab_alimentos[[#This Row],[Item]],supercb[Bairro],mercado18)</f>
        <v>0</v>
      </c>
      <c r="AD251" s="27" t="n">
        <f aca="false">SUMIFS(super1[Qtde],super1[Item],tab_alimentos[[#This Row],[Item]],super1[Bairro],extras)+SUMIFS(supercb[Qtde],supercb[Item],tab_alimentos[[#This Row],[Item]],supercb[Bairro],extras)</f>
        <v>0</v>
      </c>
      <c r="AE251" s="27" t="n">
        <f aca="false">SUM(L251:AC251)</f>
        <v>7</v>
      </c>
      <c r="AF251" s="27" t="n">
        <f aca="false">IFERROR(AE251*K251,0)</f>
        <v>4.83</v>
      </c>
      <c r="AG251" s="28" t="n">
        <f aca="false">IFERROR(J251*AE251,0)</f>
        <v>0.07</v>
      </c>
      <c r="AH251" s="37" t="e">
        <f aca="false">higiene[[#This Row],[Item]]</f>
        <v>#VALUE!</v>
      </c>
      <c r="AI251" s="38" t="n">
        <f aca="false">IFERROR(higiene[[#This Row],[Kg equivalente]],0)</f>
        <v>0</v>
      </c>
      <c r="AJ251" s="38" t="n">
        <f aca="false">IFERROR(higiene[[#This Row],[Preço por produto]],0)</f>
        <v>0</v>
      </c>
      <c r="AK251" s="27" t="n">
        <f aca="false">SUMIFS(super1[Qtde],super1[Item],tab_higiene[[#This Row],[Item]],super1[Bairro],mercado1)+SUMIFS(supercb[Qtde],supercb[Item],tab_higiene[[#This Row],[Item]],supercb[Bairro],mercado1)</f>
        <v>0</v>
      </c>
      <c r="AL251" s="27" t="n">
        <f aca="false">SUMIFS(super1[Qtde],super1[Item],tab_higiene[[#This Row],[Item]],super1[Bairro],mercado2)+SUMIFS(supercb[Qtde],supercb[Item],tab_higiene[[#This Row],[Item]],supercb[Bairro],mercado2)</f>
        <v>0</v>
      </c>
      <c r="AM251" s="27" t="n">
        <f aca="false">SUMIFS(super1[Qtde],super1[Item],tab_higiene[[#This Row],[Item]],super1[Bairro],mercado3)+SUMIFS(supercb[Qtde],supercb[Item],tab_higiene[[#This Row],[Item]],supercb[Bairro],mercado3)</f>
        <v>0</v>
      </c>
      <c r="AN251" s="27" t="n">
        <f aca="false">SUMIFS(super1[Qtde],super1[Item],tab_higiene[[#This Row],[Item]],super1[Bairro],mercado4)+SUMIFS(supercb[Qtde],supercb[Item],tab_higiene[[#This Row],[Item]],supercb[Bairro],mercado4)</f>
        <v>0</v>
      </c>
      <c r="AO251" s="27" t="n">
        <f aca="false">SUMIFS(super1[Qtde],super1[Item],tab_higiene[[#This Row],[Item]],super1[Bairro],mercado5)+SUMIFS(supercb[Qtde],supercb[Item],tab_higiene[[#This Row],[Item]],supercb[Bairro],mercado5)</f>
        <v>0</v>
      </c>
      <c r="AP251" s="27" t="n">
        <f aca="false">SUMIFS(super1[Qtde],super1[Item],tab_higiene[[#This Row],[Item]],super1[Bairro],mercado6)+SUMIFS(supercb[Qtde],supercb[Item],tab_higiene[[#This Row],[Item]],supercb[Bairro],mercado6)</f>
        <v>0</v>
      </c>
      <c r="AQ251" s="27" t="n">
        <f aca="false">SUMIFS(super1[Qtde],super1[Item],tab_higiene[[#This Row],[Item]],super1[Bairro],mercado7)+SUMIFS(supercb[Qtde],supercb[Item],tab_higiene[[#This Row],[Item]],supercb[Bairro],mercado7)</f>
        <v>0</v>
      </c>
      <c r="AR251" s="27" t="n">
        <f aca="false">SUMIFS(super1[Qtde],super1[Item],tab_higiene[[#This Row],[Item]],super1[Bairro],mercado8)+SUMIFS(supercb[Qtde],supercb[Item],tab_higiene[[#This Row],[Item]],supercb[Bairro],mercado8)</f>
        <v>0</v>
      </c>
      <c r="AS251" s="27" t="n">
        <f aca="false">SUMIFS(super1[Qtde],super1[Item],tab_higiene[[#This Row],[Item]],super1[Bairro],mercado9)+SUMIFS(supercb[Qtde],supercb[Item],tab_higiene[[#This Row],[Item]],supercb[Bairro],mercado9)</f>
        <v>0</v>
      </c>
      <c r="AT251" s="27" t="n">
        <f aca="false">SUMIFS(super1[Qtde],super1[Item],tab_higiene[[#This Row],[Item]],super1[Bairro],mercado10)+SUMIFS(supercb[Qtde],supercb[Item],tab_higiene[[#This Row],[Item]],supercb[Bairro],mercado10)</f>
        <v>0</v>
      </c>
      <c r="AU251" s="27" t="n">
        <f aca="false">SUMIFS(super1[Qtde],super1[Item],tab_higiene[[#This Row],[Item]],super1[Bairro],mercado11)+SUMIFS(supercb[Qtde],supercb[Item],tab_higiene[[#This Row],[Item]],supercb[Bairro],mercado11)</f>
        <v>0</v>
      </c>
      <c r="AV251" s="27" t="n">
        <f aca="false">SUMIFS(super1[Qtde],super1[Item],tab_higiene[[#This Row],[Item]],super1[Bairro],mercado12)+SUMIFS(supercb[Qtde],supercb[Item],tab_higiene[[#This Row],[Item]],supercb[Bairro],mercado12)</f>
        <v>0</v>
      </c>
      <c r="AW251" s="27" t="n">
        <f aca="false">SUMIFS(super1[Qtde],super1[Item],tab_higiene[[#This Row],[Item]],super1[Bairro],mercado13)+SUMIFS(supercb[Qtde],supercb[Item],tab_higiene[[#This Row],[Item]],supercb[Bairro],mercado13)</f>
        <v>0</v>
      </c>
      <c r="AX251" s="27" t="n">
        <f aca="false">SUMIFS(super1[Qtde],super1[Item],tab_higiene[[#This Row],[Item]],super1[Bairro],mercado14)+SUMIFS(supercb[Qtde],supercb[Item],tab_higiene[[#This Row],[Item]],supercb[Bairro],mercado14)</f>
        <v>0</v>
      </c>
      <c r="AY251" s="27" t="n">
        <f aca="false">SUMIFS(super1[Qtde],super1[Item],tab_higiene[[#This Row],[Item]],super1[Bairro],mercado15)+SUMIFS(supercb[Qtde],supercb[Item],tab_higiene[[#This Row],[Item]],supercb[Bairro],mercado15)</f>
        <v>0</v>
      </c>
      <c r="AZ251" s="27" t="n">
        <f aca="false">SUMIFS(super1[Qtde],super1[Item],tab_higiene[[#This Row],[Item]],super1[Bairro],mercado16)+SUMIFS(supercb[Qtde],supercb[Item],tab_higiene[[#This Row],[Item]],supercb[Bairro],mercado16)</f>
        <v>0</v>
      </c>
      <c r="BA251" s="27" t="n">
        <f aca="false">SUMIFS(super1[Qtde],super1[Item],tab_higiene[[#This Row],[Item]],super1[Bairro],mercado17)+SUMIFS(supercb[Qtde],supercb[Item],tab_higiene[[#This Row],[Item]],supercb[Bairro],mercado17)</f>
        <v>0</v>
      </c>
      <c r="BB251" s="27" t="n">
        <f aca="false">SUMIFS(super1[Qtde],super1[Item],tab_higiene[[#This Row],[Item]],super1[Bairro],mercado18)+SUMIFS(supercb[Qtde],supercb[Item],tab_higiene[[#This Row],[Item]],supercb[Bairro],mercado18)</f>
        <v>0</v>
      </c>
      <c r="BC251" s="39" t="n">
        <f aca="false">SUMIFS(super1[Qtde],super1[Item],tab_higiene[[#This Row],[Item]],super1[Bairro],extras)+SUMIFS(supercb[Qtde],supercb[Item],tab_higiene[[#This Row],[Item]],supercb[Bairro],extras)</f>
        <v>0</v>
      </c>
      <c r="BD251" s="38" t="n">
        <f aca="false">SUM(AK251:BB251)</f>
        <v>0</v>
      </c>
      <c r="BE251" s="38" t="n">
        <f aca="false">IFERROR(BD251*AJ251,0)</f>
        <v>0</v>
      </c>
      <c r="BF251" s="40" t="n">
        <f aca="false">IFERROR(AI251*BD251,0)</f>
        <v>0</v>
      </c>
    </row>
    <row r="252" customFormat="false" ht="15.75" hidden="false" customHeight="false" outlineLevel="0" collapsed="false">
      <c r="I252" s="26" t="str">
        <f aca="false">alimentos[[#This Row],[Item]]</f>
        <v>Suco concentrado (500mL)</v>
      </c>
      <c r="J252" s="27" t="n">
        <f aca="false">IFERROR(alimentos[[#This Row],[kg/embalagem]],0)</f>
        <v>0.5</v>
      </c>
      <c r="K252" s="27" t="n">
        <f aca="false">IFERROR(alimentos[[#This Row],[Preço]],0)</f>
        <v>3.39</v>
      </c>
      <c r="L252" s="27" t="n">
        <f aca="false">SUMIFS(super1[Qtde],super1[Item],tab_alimentos[[#This Row],[Item]],super1[Bairro],mercado1)+SUMIFS(supercb[Qtde],supercb[Item],tab_alimentos[[#This Row],[Item]],supercb[Bairro],mercado1)</f>
        <v>0</v>
      </c>
      <c r="M252" s="27" t="n">
        <f aca="false">SUMIFS(super1[Qtde],super1[Item],tab_alimentos[[#This Row],[Item]],super1[Bairro],mercado2)+SUMIFS(supercb[Qtde],supercb[Item],tab_alimentos[[#This Row],[Item]],supercb[Bairro],mercado2)</f>
        <v>0</v>
      </c>
      <c r="N252" s="27" t="n">
        <f aca="false">SUMIFS(super1[Qtde],super1[Item],tab_alimentos[[#This Row],[Item]],super1[Bairro],mercado3)+SUMIFS(supercb[Qtde],supercb[Item],tab_alimentos[[#This Row],[Item]],supercb[Bairro],mercado3)</f>
        <v>0</v>
      </c>
      <c r="O252" s="27" t="n">
        <f aca="false">SUMIFS(super1[Qtde],super1[Item],tab_alimentos[[#This Row],[Item]],super1[Bairro],mercado4)+SUMIFS(supercb[Qtde],supercb[Item],tab_alimentos[[#This Row],[Item]],supercb[Bairro],mercado4)</f>
        <v>0</v>
      </c>
      <c r="P252" s="27" t="n">
        <f aca="false">SUMIFS(super1[Qtde],super1[Item],tab_alimentos[[#This Row],[Item]],super1[Bairro],mercado5)+SUMIFS(supercb[Qtde],supercb[Item],tab_alimentos[[#This Row],[Item]],supercb[Bairro],mercado5)</f>
        <v>0</v>
      </c>
      <c r="Q252" s="27" t="n">
        <f aca="false">SUMIFS(super1[Qtde],super1[Item],tab_alimentos[[#This Row],[Item]],super1[Bairro],mercado6)+SUMIFS(supercb[Qtde],supercb[Item],tab_alimentos[[#This Row],[Item]],supercb[Bairro],mercado6)</f>
        <v>0</v>
      </c>
      <c r="R252" s="27" t="n">
        <f aca="false">SUMIFS(super1[Qtde],super1[Item],tab_alimentos[[#This Row],[Item]],super1[Bairro],mercado7)+SUMIFS(supercb[Qtde],supercb[Item],tab_alimentos[[#This Row],[Item]],supercb[Bairro],mercado7)</f>
        <v>0</v>
      </c>
      <c r="S252" s="27" t="n">
        <f aca="false">SUMIFS(super1[Qtde],super1[Item],tab_alimentos[[#This Row],[Item]],super1[Bairro],mercado8)+SUMIFS(supercb[Qtde],supercb[Item],tab_alimentos[[#This Row],[Item]],supercb[Bairro],mercado8)</f>
        <v>0</v>
      </c>
      <c r="T252" s="27" t="n">
        <f aca="false">SUMIFS(super1[Qtde],super1[Item],tab_alimentos[[#This Row],[Item]],super1[Bairro],mercado9)+SUMIFS(supercb[Qtde],supercb[Item],tab_alimentos[[#This Row],[Item]],supercb[Bairro],mercado9)</f>
        <v>0</v>
      </c>
      <c r="U252" s="27" t="n">
        <f aca="false">SUMIFS(super1[Qtde],super1[Item],tab_alimentos[[#This Row],[Item]],super1[Bairro],mercado10)+SUMIFS(supercb[Qtde],supercb[Item],tab_alimentos[[#This Row],[Item]],supercb[Bairro],mercado10)</f>
        <v>0</v>
      </c>
      <c r="V252" s="27" t="n">
        <f aca="false">SUMIFS(super1[Qtde],super1[Item],tab_alimentos[[#This Row],[Item]],super1[Bairro],mercado11)+SUMIFS(supercb[Qtde],supercb[Item],tab_alimentos[[#This Row],[Item]],supercb[Bairro],mercado11)</f>
        <v>0</v>
      </c>
      <c r="W252" s="27" t="n">
        <f aca="false">SUMIFS(super1[Qtde],super1[Item],tab_alimentos[[#This Row],[Item]],super1[Bairro],mercado12)+SUMIFS(supercb[Qtde],supercb[Item],tab_alimentos[[#This Row],[Item]],supercb[Bairro],mercado12)</f>
        <v>0</v>
      </c>
      <c r="X252" s="27" t="n">
        <f aca="false">SUMIFS(super1[Qtde],super1[Item],tab_alimentos[[#This Row],[Item]],super1[Bairro],mercado13)+SUMIFS(supercb[Qtde],supercb[Item],tab_alimentos[[#This Row],[Item]],supercb[Bairro],mercado13)</f>
        <v>0</v>
      </c>
      <c r="Y252" s="27" t="n">
        <f aca="false">SUMIFS(super1[Qtde],super1[Item],tab_alimentos[[#This Row],[Item]],super1[Bairro],mercado14)+SUMIFS(supercb[Qtde],supercb[Item],tab_alimentos[[#This Row],[Item]],supercb[Bairro],mercado14)</f>
        <v>0</v>
      </c>
      <c r="Z252" s="27" t="n">
        <f aca="false">SUMIFS(super1[Qtde],super1[Item],tab_alimentos[[#This Row],[Item]],super1[Bairro],mercado15)+SUMIFS(supercb[Qtde],supercb[Item],tab_alimentos[[#This Row],[Item]],supercb[Bairro],mercado15)</f>
        <v>0</v>
      </c>
      <c r="AA252" s="27" t="n">
        <f aca="false">SUMIFS(super1[Qtde],super1[Item],tab_alimentos[[#This Row],[Item]],super1[Bairro],mercado16)+SUMIFS(supercb[Qtde],supercb[Item],tab_alimentos[[#This Row],[Item]],supercb[Bairro],mercado16)</f>
        <v>0</v>
      </c>
      <c r="AB252" s="27" t="n">
        <f aca="false">SUMIFS(super1[Qtde],super1[Item],tab_alimentos[[#This Row],[Item]],super1[Bairro],mercado17)+SUMIFS(supercb[Qtde],supercb[Item],tab_alimentos[[#This Row],[Item]],supercb[Bairro],mercado17)</f>
        <v>0</v>
      </c>
      <c r="AC252" s="27" t="n">
        <f aca="false">SUMIFS(super1[Qtde],super1[Item],tab_alimentos[[#This Row],[Item]],super1[Bairro],mercado18)+SUMIFS(supercb[Qtde],supercb[Item],tab_alimentos[[#This Row],[Item]],supercb[Bairro],mercado18)</f>
        <v>0</v>
      </c>
      <c r="AD252" s="27" t="n">
        <f aca="false">SUMIFS(super1[Qtde],super1[Item],tab_alimentos[[#This Row],[Item]],super1[Bairro],extras)+SUMIFS(supercb[Qtde],supercb[Item],tab_alimentos[[#This Row],[Item]],supercb[Bairro],extras)</f>
        <v>0</v>
      </c>
      <c r="AE252" s="27" t="n">
        <f aca="false">SUM(L252:AC252)</f>
        <v>0</v>
      </c>
      <c r="AF252" s="27" t="n">
        <f aca="false">IFERROR(AE252*K252,0)</f>
        <v>0</v>
      </c>
      <c r="AG252" s="28" t="n">
        <f aca="false">IFERROR(J252*AE252,0)</f>
        <v>0</v>
      </c>
      <c r="AH252" s="37" t="e">
        <f aca="false">higiene[[#This Row],[Item]]</f>
        <v>#VALUE!</v>
      </c>
      <c r="AI252" s="38" t="n">
        <f aca="false">IFERROR(higiene[[#This Row],[Kg equivalente]],0)</f>
        <v>0</v>
      </c>
      <c r="AJ252" s="38" t="n">
        <f aca="false">IFERROR(higiene[[#This Row],[Preço por produto]],0)</f>
        <v>0</v>
      </c>
      <c r="AK252" s="27" t="n">
        <f aca="false">SUMIFS(super1[Qtde],super1[Item],tab_higiene[[#This Row],[Item]],super1[Bairro],mercado1)+SUMIFS(supercb[Qtde],supercb[Item],tab_higiene[[#This Row],[Item]],supercb[Bairro],mercado1)</f>
        <v>0</v>
      </c>
      <c r="AL252" s="27" t="n">
        <f aca="false">SUMIFS(super1[Qtde],super1[Item],tab_higiene[[#This Row],[Item]],super1[Bairro],mercado2)+SUMIFS(supercb[Qtde],supercb[Item],tab_higiene[[#This Row],[Item]],supercb[Bairro],mercado2)</f>
        <v>0</v>
      </c>
      <c r="AM252" s="27" t="n">
        <f aca="false">SUMIFS(super1[Qtde],super1[Item],tab_higiene[[#This Row],[Item]],super1[Bairro],mercado3)+SUMIFS(supercb[Qtde],supercb[Item],tab_higiene[[#This Row],[Item]],supercb[Bairro],mercado3)</f>
        <v>0</v>
      </c>
      <c r="AN252" s="27" t="n">
        <f aca="false">SUMIFS(super1[Qtde],super1[Item],tab_higiene[[#This Row],[Item]],super1[Bairro],mercado4)+SUMIFS(supercb[Qtde],supercb[Item],tab_higiene[[#This Row],[Item]],supercb[Bairro],mercado4)</f>
        <v>0</v>
      </c>
      <c r="AO252" s="27" t="n">
        <f aca="false">SUMIFS(super1[Qtde],super1[Item],tab_higiene[[#This Row],[Item]],super1[Bairro],mercado5)+SUMIFS(supercb[Qtde],supercb[Item],tab_higiene[[#This Row],[Item]],supercb[Bairro],mercado5)</f>
        <v>0</v>
      </c>
      <c r="AP252" s="27" t="n">
        <f aca="false">SUMIFS(super1[Qtde],super1[Item],tab_higiene[[#This Row],[Item]],super1[Bairro],mercado6)+SUMIFS(supercb[Qtde],supercb[Item],tab_higiene[[#This Row],[Item]],supercb[Bairro],mercado6)</f>
        <v>0</v>
      </c>
      <c r="AQ252" s="27" t="n">
        <f aca="false">SUMIFS(super1[Qtde],super1[Item],tab_higiene[[#This Row],[Item]],super1[Bairro],mercado7)+SUMIFS(supercb[Qtde],supercb[Item],tab_higiene[[#This Row],[Item]],supercb[Bairro],mercado7)</f>
        <v>0</v>
      </c>
      <c r="AR252" s="27" t="n">
        <f aca="false">SUMIFS(super1[Qtde],super1[Item],tab_higiene[[#This Row],[Item]],super1[Bairro],mercado8)+SUMIFS(supercb[Qtde],supercb[Item],tab_higiene[[#This Row],[Item]],supercb[Bairro],mercado8)</f>
        <v>0</v>
      </c>
      <c r="AS252" s="27" t="n">
        <f aca="false">SUMIFS(super1[Qtde],super1[Item],tab_higiene[[#This Row],[Item]],super1[Bairro],mercado9)+SUMIFS(supercb[Qtde],supercb[Item],tab_higiene[[#This Row],[Item]],supercb[Bairro],mercado9)</f>
        <v>0</v>
      </c>
      <c r="AT252" s="27" t="n">
        <f aca="false">SUMIFS(super1[Qtde],super1[Item],tab_higiene[[#This Row],[Item]],super1[Bairro],mercado10)+SUMIFS(supercb[Qtde],supercb[Item],tab_higiene[[#This Row],[Item]],supercb[Bairro],mercado10)</f>
        <v>0</v>
      </c>
      <c r="AU252" s="27" t="n">
        <f aca="false">SUMIFS(super1[Qtde],super1[Item],tab_higiene[[#This Row],[Item]],super1[Bairro],mercado11)+SUMIFS(supercb[Qtde],supercb[Item],tab_higiene[[#This Row],[Item]],supercb[Bairro],mercado11)</f>
        <v>0</v>
      </c>
      <c r="AV252" s="27" t="n">
        <f aca="false">SUMIFS(super1[Qtde],super1[Item],tab_higiene[[#This Row],[Item]],super1[Bairro],mercado12)+SUMIFS(supercb[Qtde],supercb[Item],tab_higiene[[#This Row],[Item]],supercb[Bairro],mercado12)</f>
        <v>0</v>
      </c>
      <c r="AW252" s="27" t="n">
        <f aca="false">SUMIFS(super1[Qtde],super1[Item],tab_higiene[[#This Row],[Item]],super1[Bairro],mercado13)+SUMIFS(supercb[Qtde],supercb[Item],tab_higiene[[#This Row],[Item]],supercb[Bairro],mercado13)</f>
        <v>0</v>
      </c>
      <c r="AX252" s="27" t="n">
        <f aca="false">SUMIFS(super1[Qtde],super1[Item],tab_higiene[[#This Row],[Item]],super1[Bairro],mercado14)+SUMIFS(supercb[Qtde],supercb[Item],tab_higiene[[#This Row],[Item]],supercb[Bairro],mercado14)</f>
        <v>0</v>
      </c>
      <c r="AY252" s="27" t="n">
        <f aca="false">SUMIFS(super1[Qtde],super1[Item],tab_higiene[[#This Row],[Item]],super1[Bairro],mercado15)+SUMIFS(supercb[Qtde],supercb[Item],tab_higiene[[#This Row],[Item]],supercb[Bairro],mercado15)</f>
        <v>0</v>
      </c>
      <c r="AZ252" s="27" t="n">
        <f aca="false">SUMIFS(super1[Qtde],super1[Item],tab_higiene[[#This Row],[Item]],super1[Bairro],mercado16)+SUMIFS(supercb[Qtde],supercb[Item],tab_higiene[[#This Row],[Item]],supercb[Bairro],mercado16)</f>
        <v>0</v>
      </c>
      <c r="BA252" s="27" t="n">
        <f aca="false">SUMIFS(super1[Qtde],super1[Item],tab_higiene[[#This Row],[Item]],super1[Bairro],mercado17)+SUMIFS(supercb[Qtde],supercb[Item],tab_higiene[[#This Row],[Item]],supercb[Bairro],mercado17)</f>
        <v>0</v>
      </c>
      <c r="BB252" s="27" t="n">
        <f aca="false">SUMIFS(super1[Qtde],super1[Item],tab_higiene[[#This Row],[Item]],super1[Bairro],mercado18)+SUMIFS(supercb[Qtde],supercb[Item],tab_higiene[[#This Row],[Item]],supercb[Bairro],mercado18)</f>
        <v>0</v>
      </c>
      <c r="BC252" s="39" t="n">
        <f aca="false">SUMIFS(super1[Qtde],super1[Item],tab_higiene[[#This Row],[Item]],super1[Bairro],extras)+SUMIFS(supercb[Qtde],supercb[Item],tab_higiene[[#This Row],[Item]],supercb[Bairro],extras)</f>
        <v>0</v>
      </c>
      <c r="BD252" s="38" t="n">
        <f aca="false">SUM(AK252:BB252)</f>
        <v>0</v>
      </c>
      <c r="BE252" s="38" t="n">
        <f aca="false">IFERROR(BD252*AJ252,0)</f>
        <v>0</v>
      </c>
      <c r="BF252" s="40" t="n">
        <f aca="false">IFERROR(AI252*BD252,0)</f>
        <v>0</v>
      </c>
    </row>
    <row r="253" customFormat="false" ht="15.75" hidden="false" customHeight="false" outlineLevel="0" collapsed="false">
      <c r="I253" s="26" t="str">
        <f aca="false">alimentos[[#This Row],[Item]]</f>
        <v>Suco em Pó (450g)</v>
      </c>
      <c r="J253" s="27" t="n">
        <f aca="false">IFERROR(alimentos[[#This Row],[kg/embalagem]],0)</f>
        <v>0.45</v>
      </c>
      <c r="K253" s="27" t="n">
        <f aca="false">IFERROR(alimentos[[#This Row],[Preço]],0)</f>
        <v>6.85</v>
      </c>
      <c r="L253" s="27" t="n">
        <f aca="false">SUMIFS(super1[Qtde],super1[Item],tab_alimentos[[#This Row],[Item]],super1[Bairro],mercado1)+SUMIFS(supercb[Qtde],supercb[Item],tab_alimentos[[#This Row],[Item]],supercb[Bairro],mercado1)</f>
        <v>0</v>
      </c>
      <c r="M253" s="27" t="n">
        <f aca="false">SUMIFS(super1[Qtde],super1[Item],tab_alimentos[[#This Row],[Item]],super1[Bairro],mercado2)+SUMIFS(supercb[Qtde],supercb[Item],tab_alimentos[[#This Row],[Item]],supercb[Bairro],mercado2)</f>
        <v>0</v>
      </c>
      <c r="N253" s="27" t="n">
        <f aca="false">SUMIFS(super1[Qtde],super1[Item],tab_alimentos[[#This Row],[Item]],super1[Bairro],mercado3)+SUMIFS(supercb[Qtde],supercb[Item],tab_alimentos[[#This Row],[Item]],supercb[Bairro],mercado3)</f>
        <v>0</v>
      </c>
      <c r="O253" s="27" t="n">
        <f aca="false">SUMIFS(super1[Qtde],super1[Item],tab_alimentos[[#This Row],[Item]],super1[Bairro],mercado4)+SUMIFS(supercb[Qtde],supercb[Item],tab_alimentos[[#This Row],[Item]],supercb[Bairro],mercado4)</f>
        <v>0</v>
      </c>
      <c r="P253" s="27" t="n">
        <f aca="false">SUMIFS(super1[Qtde],super1[Item],tab_alimentos[[#This Row],[Item]],super1[Bairro],mercado5)+SUMIFS(supercb[Qtde],supercb[Item],tab_alimentos[[#This Row],[Item]],supercb[Bairro],mercado5)</f>
        <v>0</v>
      </c>
      <c r="Q253" s="27" t="n">
        <f aca="false">SUMIFS(super1[Qtde],super1[Item],tab_alimentos[[#This Row],[Item]],super1[Bairro],mercado6)+SUMIFS(supercb[Qtde],supercb[Item],tab_alimentos[[#This Row],[Item]],supercb[Bairro],mercado6)</f>
        <v>0</v>
      </c>
      <c r="R253" s="27" t="n">
        <f aca="false">SUMIFS(super1[Qtde],super1[Item],tab_alimentos[[#This Row],[Item]],super1[Bairro],mercado7)+SUMIFS(supercb[Qtde],supercb[Item],tab_alimentos[[#This Row],[Item]],supercb[Bairro],mercado7)</f>
        <v>0</v>
      </c>
      <c r="S253" s="27" t="n">
        <f aca="false">SUMIFS(super1[Qtde],super1[Item],tab_alimentos[[#This Row],[Item]],super1[Bairro],mercado8)+SUMIFS(supercb[Qtde],supercb[Item],tab_alimentos[[#This Row],[Item]],supercb[Bairro],mercado8)</f>
        <v>0</v>
      </c>
      <c r="T253" s="27" t="n">
        <f aca="false">SUMIFS(super1[Qtde],super1[Item],tab_alimentos[[#This Row],[Item]],super1[Bairro],mercado9)+SUMIFS(supercb[Qtde],supercb[Item],tab_alimentos[[#This Row],[Item]],supercb[Bairro],mercado9)</f>
        <v>0</v>
      </c>
      <c r="U253" s="27" t="n">
        <f aca="false">SUMIFS(super1[Qtde],super1[Item],tab_alimentos[[#This Row],[Item]],super1[Bairro],mercado10)+SUMIFS(supercb[Qtde],supercb[Item],tab_alimentos[[#This Row],[Item]],supercb[Bairro],mercado10)</f>
        <v>0</v>
      </c>
      <c r="V253" s="27" t="n">
        <f aca="false">SUMIFS(super1[Qtde],super1[Item],tab_alimentos[[#This Row],[Item]],super1[Bairro],mercado11)+SUMIFS(supercb[Qtde],supercb[Item],tab_alimentos[[#This Row],[Item]],supercb[Bairro],mercado11)</f>
        <v>0</v>
      </c>
      <c r="W253" s="27" t="n">
        <f aca="false">SUMIFS(super1[Qtde],super1[Item],tab_alimentos[[#This Row],[Item]],super1[Bairro],mercado12)+SUMIFS(supercb[Qtde],supercb[Item],tab_alimentos[[#This Row],[Item]],supercb[Bairro],mercado12)</f>
        <v>0</v>
      </c>
      <c r="X253" s="27" t="n">
        <f aca="false">SUMIFS(super1[Qtde],super1[Item],tab_alimentos[[#This Row],[Item]],super1[Bairro],mercado13)+SUMIFS(supercb[Qtde],supercb[Item],tab_alimentos[[#This Row],[Item]],supercb[Bairro],mercado13)</f>
        <v>0</v>
      </c>
      <c r="Y253" s="27" t="n">
        <f aca="false">SUMIFS(super1[Qtde],super1[Item],tab_alimentos[[#This Row],[Item]],super1[Bairro],mercado14)+SUMIFS(supercb[Qtde],supercb[Item],tab_alimentos[[#This Row],[Item]],supercb[Bairro],mercado14)</f>
        <v>0</v>
      </c>
      <c r="Z253" s="27" t="n">
        <f aca="false">SUMIFS(super1[Qtde],super1[Item],tab_alimentos[[#This Row],[Item]],super1[Bairro],mercado15)+SUMIFS(supercb[Qtde],supercb[Item],tab_alimentos[[#This Row],[Item]],supercb[Bairro],mercado15)</f>
        <v>0</v>
      </c>
      <c r="AA253" s="27" t="n">
        <f aca="false">SUMIFS(super1[Qtde],super1[Item],tab_alimentos[[#This Row],[Item]],super1[Bairro],mercado16)+SUMIFS(supercb[Qtde],supercb[Item],tab_alimentos[[#This Row],[Item]],supercb[Bairro],mercado16)</f>
        <v>0</v>
      </c>
      <c r="AB253" s="27" t="n">
        <f aca="false">SUMIFS(super1[Qtde],super1[Item],tab_alimentos[[#This Row],[Item]],super1[Bairro],mercado17)+SUMIFS(supercb[Qtde],supercb[Item],tab_alimentos[[#This Row],[Item]],supercb[Bairro],mercado17)</f>
        <v>0</v>
      </c>
      <c r="AC253" s="27" t="n">
        <f aca="false">SUMIFS(super1[Qtde],super1[Item],tab_alimentos[[#This Row],[Item]],super1[Bairro],mercado18)+SUMIFS(supercb[Qtde],supercb[Item],tab_alimentos[[#This Row],[Item]],supercb[Bairro],mercado18)</f>
        <v>0</v>
      </c>
      <c r="AD253" s="27" t="n">
        <f aca="false">SUMIFS(super1[Qtde],super1[Item],tab_alimentos[[#This Row],[Item]],super1[Bairro],extras)+SUMIFS(supercb[Qtde],supercb[Item],tab_alimentos[[#This Row],[Item]],supercb[Bairro],extras)</f>
        <v>0</v>
      </c>
      <c r="AE253" s="27" t="n">
        <f aca="false">SUM(L253:AC253)</f>
        <v>0</v>
      </c>
      <c r="AF253" s="27" t="n">
        <f aca="false">IFERROR(AE253*K253,0)</f>
        <v>0</v>
      </c>
      <c r="AG253" s="28" t="n">
        <f aca="false">IFERROR(J253*AE253,0)</f>
        <v>0</v>
      </c>
      <c r="AH253" s="37" t="e">
        <f aca="false">higiene[[#This Row],[Item]]</f>
        <v>#VALUE!</v>
      </c>
      <c r="AI253" s="38" t="n">
        <f aca="false">IFERROR(higiene[[#This Row],[Kg equivalente]],0)</f>
        <v>0</v>
      </c>
      <c r="AJ253" s="38" t="n">
        <f aca="false">IFERROR(higiene[[#This Row],[Preço por produto]],0)</f>
        <v>0</v>
      </c>
      <c r="AK253" s="27" t="n">
        <f aca="false">SUMIFS(super1[Qtde],super1[Item],tab_higiene[[#This Row],[Item]],super1[Bairro],mercado1)+SUMIFS(supercb[Qtde],supercb[Item],tab_higiene[[#This Row],[Item]],supercb[Bairro],mercado1)</f>
        <v>0</v>
      </c>
      <c r="AL253" s="27" t="n">
        <f aca="false">SUMIFS(super1[Qtde],super1[Item],tab_higiene[[#This Row],[Item]],super1[Bairro],mercado2)+SUMIFS(supercb[Qtde],supercb[Item],tab_higiene[[#This Row],[Item]],supercb[Bairro],mercado2)</f>
        <v>0</v>
      </c>
      <c r="AM253" s="27" t="n">
        <f aca="false">SUMIFS(super1[Qtde],super1[Item],tab_higiene[[#This Row],[Item]],super1[Bairro],mercado3)+SUMIFS(supercb[Qtde],supercb[Item],tab_higiene[[#This Row],[Item]],supercb[Bairro],mercado3)</f>
        <v>0</v>
      </c>
      <c r="AN253" s="27" t="n">
        <f aca="false">SUMIFS(super1[Qtde],super1[Item],tab_higiene[[#This Row],[Item]],super1[Bairro],mercado4)+SUMIFS(supercb[Qtde],supercb[Item],tab_higiene[[#This Row],[Item]],supercb[Bairro],mercado4)</f>
        <v>0</v>
      </c>
      <c r="AO253" s="27" t="n">
        <f aca="false">SUMIFS(super1[Qtde],super1[Item],tab_higiene[[#This Row],[Item]],super1[Bairro],mercado5)+SUMIFS(supercb[Qtde],supercb[Item],tab_higiene[[#This Row],[Item]],supercb[Bairro],mercado5)</f>
        <v>0</v>
      </c>
      <c r="AP253" s="27" t="n">
        <f aca="false">SUMIFS(super1[Qtde],super1[Item],tab_higiene[[#This Row],[Item]],super1[Bairro],mercado6)+SUMIFS(supercb[Qtde],supercb[Item],tab_higiene[[#This Row],[Item]],supercb[Bairro],mercado6)</f>
        <v>0</v>
      </c>
      <c r="AQ253" s="27" t="n">
        <f aca="false">SUMIFS(super1[Qtde],super1[Item],tab_higiene[[#This Row],[Item]],super1[Bairro],mercado7)+SUMIFS(supercb[Qtde],supercb[Item],tab_higiene[[#This Row],[Item]],supercb[Bairro],mercado7)</f>
        <v>0</v>
      </c>
      <c r="AR253" s="27" t="n">
        <f aca="false">SUMIFS(super1[Qtde],super1[Item],tab_higiene[[#This Row],[Item]],super1[Bairro],mercado8)+SUMIFS(supercb[Qtde],supercb[Item],tab_higiene[[#This Row],[Item]],supercb[Bairro],mercado8)</f>
        <v>0</v>
      </c>
      <c r="AS253" s="27" t="n">
        <f aca="false">SUMIFS(super1[Qtde],super1[Item],tab_higiene[[#This Row],[Item]],super1[Bairro],mercado9)+SUMIFS(supercb[Qtde],supercb[Item],tab_higiene[[#This Row],[Item]],supercb[Bairro],mercado9)</f>
        <v>0</v>
      </c>
      <c r="AT253" s="27" t="n">
        <f aca="false">SUMIFS(super1[Qtde],super1[Item],tab_higiene[[#This Row],[Item]],super1[Bairro],mercado10)+SUMIFS(supercb[Qtde],supercb[Item],tab_higiene[[#This Row],[Item]],supercb[Bairro],mercado10)</f>
        <v>0</v>
      </c>
      <c r="AU253" s="27" t="n">
        <f aca="false">SUMIFS(super1[Qtde],super1[Item],tab_higiene[[#This Row],[Item]],super1[Bairro],mercado11)+SUMIFS(supercb[Qtde],supercb[Item],tab_higiene[[#This Row],[Item]],supercb[Bairro],mercado11)</f>
        <v>0</v>
      </c>
      <c r="AV253" s="27" t="n">
        <f aca="false">SUMIFS(super1[Qtde],super1[Item],tab_higiene[[#This Row],[Item]],super1[Bairro],mercado12)+SUMIFS(supercb[Qtde],supercb[Item],tab_higiene[[#This Row],[Item]],supercb[Bairro],mercado12)</f>
        <v>0</v>
      </c>
      <c r="AW253" s="27" t="n">
        <f aca="false">SUMIFS(super1[Qtde],super1[Item],tab_higiene[[#This Row],[Item]],super1[Bairro],mercado13)+SUMIFS(supercb[Qtde],supercb[Item],tab_higiene[[#This Row],[Item]],supercb[Bairro],mercado13)</f>
        <v>0</v>
      </c>
      <c r="AX253" s="27" t="n">
        <f aca="false">SUMIFS(super1[Qtde],super1[Item],tab_higiene[[#This Row],[Item]],super1[Bairro],mercado14)+SUMIFS(supercb[Qtde],supercb[Item],tab_higiene[[#This Row],[Item]],supercb[Bairro],mercado14)</f>
        <v>0</v>
      </c>
      <c r="AY253" s="27" t="n">
        <f aca="false">SUMIFS(super1[Qtde],super1[Item],tab_higiene[[#This Row],[Item]],super1[Bairro],mercado15)+SUMIFS(supercb[Qtde],supercb[Item],tab_higiene[[#This Row],[Item]],supercb[Bairro],mercado15)</f>
        <v>0</v>
      </c>
      <c r="AZ253" s="27" t="n">
        <f aca="false">SUMIFS(super1[Qtde],super1[Item],tab_higiene[[#This Row],[Item]],super1[Bairro],mercado16)+SUMIFS(supercb[Qtde],supercb[Item],tab_higiene[[#This Row],[Item]],supercb[Bairro],mercado16)</f>
        <v>0</v>
      </c>
      <c r="BA253" s="27" t="n">
        <f aca="false">SUMIFS(super1[Qtde],super1[Item],tab_higiene[[#This Row],[Item]],super1[Bairro],mercado17)+SUMIFS(supercb[Qtde],supercb[Item],tab_higiene[[#This Row],[Item]],supercb[Bairro],mercado17)</f>
        <v>0</v>
      </c>
      <c r="BB253" s="27" t="n">
        <f aca="false">SUMIFS(super1[Qtde],super1[Item],tab_higiene[[#This Row],[Item]],super1[Bairro],mercado18)+SUMIFS(supercb[Qtde],supercb[Item],tab_higiene[[#This Row],[Item]],supercb[Bairro],mercado18)</f>
        <v>0</v>
      </c>
      <c r="BC253" s="39" t="n">
        <f aca="false">SUMIFS(super1[Qtde],super1[Item],tab_higiene[[#This Row],[Item]],super1[Bairro],extras)+SUMIFS(supercb[Qtde],supercb[Item],tab_higiene[[#This Row],[Item]],supercb[Bairro],extras)</f>
        <v>0</v>
      </c>
      <c r="BD253" s="38" t="n">
        <f aca="false">SUM(AK253:BB253)</f>
        <v>0</v>
      </c>
      <c r="BE253" s="38" t="n">
        <f aca="false">IFERROR(BD253*AJ253,0)</f>
        <v>0</v>
      </c>
      <c r="BF253" s="40" t="n">
        <f aca="false">IFERROR(AI253*BD253,0)</f>
        <v>0</v>
      </c>
    </row>
    <row r="254" customFormat="false" ht="15.75" hidden="false" customHeight="false" outlineLevel="0" collapsed="false">
      <c r="I254" s="26" t="str">
        <f aca="false">alimentos[[#This Row],[Item]]</f>
        <v>T</v>
      </c>
      <c r="J254" s="27" t="n">
        <f aca="false">IFERROR(alimentos[[#This Row],[kg/embalagem]],0)</f>
        <v>0</v>
      </c>
      <c r="K254" s="27" t="n">
        <f aca="false">IFERROR(alimentos[[#This Row],[Preço]],0)</f>
        <v>0</v>
      </c>
      <c r="L254" s="27" t="n">
        <f aca="false">SUMIFS(super1[Qtde],super1[Item],tab_alimentos[[#This Row],[Item]],super1[Bairro],mercado1)+SUMIFS(supercb[Qtde],supercb[Item],tab_alimentos[[#This Row],[Item]],supercb[Bairro],mercado1)</f>
        <v>0</v>
      </c>
      <c r="M254" s="27" t="n">
        <f aca="false">SUMIFS(super1[Qtde],super1[Item],tab_alimentos[[#This Row],[Item]],super1[Bairro],mercado2)+SUMIFS(supercb[Qtde],supercb[Item],tab_alimentos[[#This Row],[Item]],supercb[Bairro],mercado2)</f>
        <v>0</v>
      </c>
      <c r="N254" s="27" t="n">
        <f aca="false">SUMIFS(super1[Qtde],super1[Item],tab_alimentos[[#This Row],[Item]],super1[Bairro],mercado3)+SUMIFS(supercb[Qtde],supercb[Item],tab_alimentos[[#This Row],[Item]],supercb[Bairro],mercado3)</f>
        <v>0</v>
      </c>
      <c r="O254" s="27" t="n">
        <f aca="false">SUMIFS(super1[Qtde],super1[Item],tab_alimentos[[#This Row],[Item]],super1[Bairro],mercado4)+SUMIFS(supercb[Qtde],supercb[Item],tab_alimentos[[#This Row],[Item]],supercb[Bairro],mercado4)</f>
        <v>0</v>
      </c>
      <c r="P254" s="27" t="n">
        <f aca="false">SUMIFS(super1[Qtde],super1[Item],tab_alimentos[[#This Row],[Item]],super1[Bairro],mercado5)+SUMIFS(supercb[Qtde],supercb[Item],tab_alimentos[[#This Row],[Item]],supercb[Bairro],mercado5)</f>
        <v>0</v>
      </c>
      <c r="Q254" s="27" t="n">
        <f aca="false">SUMIFS(super1[Qtde],super1[Item],tab_alimentos[[#This Row],[Item]],super1[Bairro],mercado6)+SUMIFS(supercb[Qtde],supercb[Item],tab_alimentos[[#This Row],[Item]],supercb[Bairro],mercado6)</f>
        <v>0</v>
      </c>
      <c r="R254" s="27" t="n">
        <f aca="false">SUMIFS(super1[Qtde],super1[Item],tab_alimentos[[#This Row],[Item]],super1[Bairro],mercado7)+SUMIFS(supercb[Qtde],supercb[Item],tab_alimentos[[#This Row],[Item]],supercb[Bairro],mercado7)</f>
        <v>0</v>
      </c>
      <c r="S254" s="27" t="n">
        <f aca="false">SUMIFS(super1[Qtde],super1[Item],tab_alimentos[[#This Row],[Item]],super1[Bairro],mercado8)+SUMIFS(supercb[Qtde],supercb[Item],tab_alimentos[[#This Row],[Item]],supercb[Bairro],mercado8)</f>
        <v>0</v>
      </c>
      <c r="T254" s="27" t="n">
        <f aca="false">SUMIFS(super1[Qtde],super1[Item],tab_alimentos[[#This Row],[Item]],super1[Bairro],mercado9)+SUMIFS(supercb[Qtde],supercb[Item],tab_alimentos[[#This Row],[Item]],supercb[Bairro],mercado9)</f>
        <v>0</v>
      </c>
      <c r="U254" s="27" t="n">
        <f aca="false">SUMIFS(super1[Qtde],super1[Item],tab_alimentos[[#This Row],[Item]],super1[Bairro],mercado10)+SUMIFS(supercb[Qtde],supercb[Item],tab_alimentos[[#This Row],[Item]],supercb[Bairro],mercado10)</f>
        <v>0</v>
      </c>
      <c r="V254" s="27" t="n">
        <f aca="false">SUMIFS(super1[Qtde],super1[Item],tab_alimentos[[#This Row],[Item]],super1[Bairro],mercado11)+SUMIFS(supercb[Qtde],supercb[Item],tab_alimentos[[#This Row],[Item]],supercb[Bairro],mercado11)</f>
        <v>0</v>
      </c>
      <c r="W254" s="27" t="n">
        <f aca="false">SUMIFS(super1[Qtde],super1[Item],tab_alimentos[[#This Row],[Item]],super1[Bairro],mercado12)+SUMIFS(supercb[Qtde],supercb[Item],tab_alimentos[[#This Row],[Item]],supercb[Bairro],mercado12)</f>
        <v>0</v>
      </c>
      <c r="X254" s="27" t="n">
        <f aca="false">SUMIFS(super1[Qtde],super1[Item],tab_alimentos[[#This Row],[Item]],super1[Bairro],mercado13)+SUMIFS(supercb[Qtde],supercb[Item],tab_alimentos[[#This Row],[Item]],supercb[Bairro],mercado13)</f>
        <v>0</v>
      </c>
      <c r="Y254" s="27" t="n">
        <f aca="false">SUMIFS(super1[Qtde],super1[Item],tab_alimentos[[#This Row],[Item]],super1[Bairro],mercado14)+SUMIFS(supercb[Qtde],supercb[Item],tab_alimentos[[#This Row],[Item]],supercb[Bairro],mercado14)</f>
        <v>0</v>
      </c>
      <c r="Z254" s="27" t="n">
        <f aca="false">SUMIFS(super1[Qtde],super1[Item],tab_alimentos[[#This Row],[Item]],super1[Bairro],mercado15)+SUMIFS(supercb[Qtde],supercb[Item],tab_alimentos[[#This Row],[Item]],supercb[Bairro],mercado15)</f>
        <v>0</v>
      </c>
      <c r="AA254" s="27" t="n">
        <f aca="false">SUMIFS(super1[Qtde],super1[Item],tab_alimentos[[#This Row],[Item]],super1[Bairro],mercado16)+SUMIFS(supercb[Qtde],supercb[Item],tab_alimentos[[#This Row],[Item]],supercb[Bairro],mercado16)</f>
        <v>0</v>
      </c>
      <c r="AB254" s="27" t="n">
        <f aca="false">SUMIFS(super1[Qtde],super1[Item],tab_alimentos[[#This Row],[Item]],super1[Bairro],mercado17)+SUMIFS(supercb[Qtde],supercb[Item],tab_alimentos[[#This Row],[Item]],supercb[Bairro],mercado17)</f>
        <v>0</v>
      </c>
      <c r="AC254" s="27" t="n">
        <f aca="false">SUMIFS(super1[Qtde],super1[Item],tab_alimentos[[#This Row],[Item]],super1[Bairro],mercado18)+SUMIFS(supercb[Qtde],supercb[Item],tab_alimentos[[#This Row],[Item]],supercb[Bairro],mercado18)</f>
        <v>0</v>
      </c>
      <c r="AD254" s="27" t="n">
        <f aca="false">SUMIFS(super1[Qtde],super1[Item],tab_alimentos[[#This Row],[Item]],super1[Bairro],extras)+SUMIFS(supercb[Qtde],supercb[Item],tab_alimentos[[#This Row],[Item]],supercb[Bairro],extras)</f>
        <v>0</v>
      </c>
      <c r="AE254" s="27" t="n">
        <f aca="false">SUM(L254:AC254)</f>
        <v>0</v>
      </c>
      <c r="AF254" s="27" t="n">
        <f aca="false">IFERROR(AE254*K254,0)</f>
        <v>0</v>
      </c>
      <c r="AG254" s="28" t="n">
        <f aca="false">IFERROR(J254*AE254,0)</f>
        <v>0</v>
      </c>
      <c r="AH254" s="37" t="e">
        <f aca="false">higiene[[#This Row],[Item]]</f>
        <v>#VALUE!</v>
      </c>
      <c r="AI254" s="38" t="n">
        <f aca="false">IFERROR(higiene[[#This Row],[Kg equivalente]],0)</f>
        <v>0</v>
      </c>
      <c r="AJ254" s="38" t="n">
        <f aca="false">IFERROR(higiene[[#This Row],[Preço por produto]],0)</f>
        <v>0</v>
      </c>
      <c r="AK254" s="27" t="n">
        <f aca="false">SUMIFS(super1[Qtde],super1[Item],tab_higiene[[#This Row],[Item]],super1[Bairro],mercado1)+SUMIFS(supercb[Qtde],supercb[Item],tab_higiene[[#This Row],[Item]],supercb[Bairro],mercado1)</f>
        <v>0</v>
      </c>
      <c r="AL254" s="27" t="n">
        <f aca="false">SUMIFS(super1[Qtde],super1[Item],tab_higiene[[#This Row],[Item]],super1[Bairro],mercado2)+SUMIFS(supercb[Qtde],supercb[Item],tab_higiene[[#This Row],[Item]],supercb[Bairro],mercado2)</f>
        <v>0</v>
      </c>
      <c r="AM254" s="27" t="n">
        <f aca="false">SUMIFS(super1[Qtde],super1[Item],tab_higiene[[#This Row],[Item]],super1[Bairro],mercado3)+SUMIFS(supercb[Qtde],supercb[Item],tab_higiene[[#This Row],[Item]],supercb[Bairro],mercado3)</f>
        <v>0</v>
      </c>
      <c r="AN254" s="27" t="n">
        <f aca="false">SUMIFS(super1[Qtde],super1[Item],tab_higiene[[#This Row],[Item]],super1[Bairro],mercado4)+SUMIFS(supercb[Qtde],supercb[Item],tab_higiene[[#This Row],[Item]],supercb[Bairro],mercado4)</f>
        <v>0</v>
      </c>
      <c r="AO254" s="27" t="n">
        <f aca="false">SUMIFS(super1[Qtde],super1[Item],tab_higiene[[#This Row],[Item]],super1[Bairro],mercado5)+SUMIFS(supercb[Qtde],supercb[Item],tab_higiene[[#This Row],[Item]],supercb[Bairro],mercado5)</f>
        <v>0</v>
      </c>
      <c r="AP254" s="27" t="n">
        <f aca="false">SUMIFS(super1[Qtde],super1[Item],tab_higiene[[#This Row],[Item]],super1[Bairro],mercado6)+SUMIFS(supercb[Qtde],supercb[Item],tab_higiene[[#This Row],[Item]],supercb[Bairro],mercado6)</f>
        <v>0</v>
      </c>
      <c r="AQ254" s="27" t="n">
        <f aca="false">SUMIFS(super1[Qtde],super1[Item],tab_higiene[[#This Row],[Item]],super1[Bairro],mercado7)+SUMIFS(supercb[Qtde],supercb[Item],tab_higiene[[#This Row],[Item]],supercb[Bairro],mercado7)</f>
        <v>0</v>
      </c>
      <c r="AR254" s="27" t="n">
        <f aca="false">SUMIFS(super1[Qtde],super1[Item],tab_higiene[[#This Row],[Item]],super1[Bairro],mercado8)+SUMIFS(supercb[Qtde],supercb[Item],tab_higiene[[#This Row],[Item]],supercb[Bairro],mercado8)</f>
        <v>0</v>
      </c>
      <c r="AS254" s="27" t="n">
        <f aca="false">SUMIFS(super1[Qtde],super1[Item],tab_higiene[[#This Row],[Item]],super1[Bairro],mercado9)+SUMIFS(supercb[Qtde],supercb[Item],tab_higiene[[#This Row],[Item]],supercb[Bairro],mercado9)</f>
        <v>0</v>
      </c>
      <c r="AT254" s="27" t="n">
        <f aca="false">SUMIFS(super1[Qtde],super1[Item],tab_higiene[[#This Row],[Item]],super1[Bairro],mercado10)+SUMIFS(supercb[Qtde],supercb[Item],tab_higiene[[#This Row],[Item]],supercb[Bairro],mercado10)</f>
        <v>0</v>
      </c>
      <c r="AU254" s="27" t="n">
        <f aca="false">SUMIFS(super1[Qtde],super1[Item],tab_higiene[[#This Row],[Item]],super1[Bairro],mercado11)+SUMIFS(supercb[Qtde],supercb[Item],tab_higiene[[#This Row],[Item]],supercb[Bairro],mercado11)</f>
        <v>0</v>
      </c>
      <c r="AV254" s="27" t="n">
        <f aca="false">SUMIFS(super1[Qtde],super1[Item],tab_higiene[[#This Row],[Item]],super1[Bairro],mercado12)+SUMIFS(supercb[Qtde],supercb[Item],tab_higiene[[#This Row],[Item]],supercb[Bairro],mercado12)</f>
        <v>0</v>
      </c>
      <c r="AW254" s="27" t="n">
        <f aca="false">SUMIFS(super1[Qtde],super1[Item],tab_higiene[[#This Row],[Item]],super1[Bairro],mercado13)+SUMIFS(supercb[Qtde],supercb[Item],tab_higiene[[#This Row],[Item]],supercb[Bairro],mercado13)</f>
        <v>0</v>
      </c>
      <c r="AX254" s="27" t="n">
        <f aca="false">SUMIFS(super1[Qtde],super1[Item],tab_higiene[[#This Row],[Item]],super1[Bairro],mercado14)+SUMIFS(supercb[Qtde],supercb[Item],tab_higiene[[#This Row],[Item]],supercb[Bairro],mercado14)</f>
        <v>0</v>
      </c>
      <c r="AY254" s="27" t="n">
        <f aca="false">SUMIFS(super1[Qtde],super1[Item],tab_higiene[[#This Row],[Item]],super1[Bairro],mercado15)+SUMIFS(supercb[Qtde],supercb[Item],tab_higiene[[#This Row],[Item]],supercb[Bairro],mercado15)</f>
        <v>0</v>
      </c>
      <c r="AZ254" s="27" t="n">
        <f aca="false">SUMIFS(super1[Qtde],super1[Item],tab_higiene[[#This Row],[Item]],super1[Bairro],mercado16)+SUMIFS(supercb[Qtde],supercb[Item],tab_higiene[[#This Row],[Item]],supercb[Bairro],mercado16)</f>
        <v>0</v>
      </c>
      <c r="BA254" s="27" t="n">
        <f aca="false">SUMIFS(super1[Qtde],super1[Item],tab_higiene[[#This Row],[Item]],super1[Bairro],mercado17)+SUMIFS(supercb[Qtde],supercb[Item],tab_higiene[[#This Row],[Item]],supercb[Bairro],mercado17)</f>
        <v>0</v>
      </c>
      <c r="BB254" s="27" t="n">
        <f aca="false">SUMIFS(super1[Qtde],super1[Item],tab_higiene[[#This Row],[Item]],super1[Bairro],mercado18)+SUMIFS(supercb[Qtde],supercb[Item],tab_higiene[[#This Row],[Item]],supercb[Bairro],mercado18)</f>
        <v>0</v>
      </c>
      <c r="BC254" s="39" t="n">
        <f aca="false">SUMIFS(super1[Qtde],super1[Item],tab_higiene[[#This Row],[Item]],super1[Bairro],extras)+SUMIFS(supercb[Qtde],supercb[Item],tab_higiene[[#This Row],[Item]],supercb[Bairro],extras)</f>
        <v>0</v>
      </c>
      <c r="BD254" s="38" t="n">
        <f aca="false">SUM(AK254:BB254)</f>
        <v>0</v>
      </c>
      <c r="BE254" s="38" t="n">
        <f aca="false">IFERROR(BD254*AJ254,0)</f>
        <v>0</v>
      </c>
      <c r="BF254" s="40" t="n">
        <f aca="false">IFERROR(AI254*BD254,0)</f>
        <v>0</v>
      </c>
    </row>
    <row r="255" customFormat="false" ht="15.75" hidden="false" customHeight="false" outlineLevel="0" collapsed="false">
      <c r="I255" s="26" t="str">
        <f aca="false">alimentos[[#This Row],[Item]]</f>
        <v>Tapioca (1kg)</v>
      </c>
      <c r="J255" s="27" t="n">
        <f aca="false">IFERROR(alimentos[[#This Row],[kg/embalagem]],0)</f>
        <v>1</v>
      </c>
      <c r="K255" s="27" t="n">
        <f aca="false">IFERROR(alimentos[[#This Row],[Preço]],0)</f>
        <v>9.735</v>
      </c>
      <c r="L255" s="27" t="n">
        <f aca="false">SUMIFS(super1[Qtde],super1[Item],tab_alimentos[[#This Row],[Item]],super1[Bairro],mercado1)+SUMIFS(supercb[Qtde],supercb[Item],tab_alimentos[[#This Row],[Item]],supercb[Bairro],mercado1)</f>
        <v>0</v>
      </c>
      <c r="M255" s="27" t="n">
        <f aca="false">SUMIFS(super1[Qtde],super1[Item],tab_alimentos[[#This Row],[Item]],super1[Bairro],mercado2)+SUMIFS(supercb[Qtde],supercb[Item],tab_alimentos[[#This Row],[Item]],supercb[Bairro],mercado2)</f>
        <v>0</v>
      </c>
      <c r="N255" s="27" t="n">
        <f aca="false">SUMIFS(super1[Qtde],super1[Item],tab_alimentos[[#This Row],[Item]],super1[Bairro],mercado3)+SUMIFS(supercb[Qtde],supercb[Item],tab_alimentos[[#This Row],[Item]],supercb[Bairro],mercado3)</f>
        <v>0</v>
      </c>
      <c r="O255" s="27" t="n">
        <f aca="false">SUMIFS(super1[Qtde],super1[Item],tab_alimentos[[#This Row],[Item]],super1[Bairro],mercado4)+SUMIFS(supercb[Qtde],supercb[Item],tab_alimentos[[#This Row],[Item]],supercb[Bairro],mercado4)</f>
        <v>0</v>
      </c>
      <c r="P255" s="27" t="n">
        <f aca="false">SUMIFS(super1[Qtde],super1[Item],tab_alimentos[[#This Row],[Item]],super1[Bairro],mercado5)+SUMIFS(supercb[Qtde],supercb[Item],tab_alimentos[[#This Row],[Item]],supercb[Bairro],mercado5)</f>
        <v>0</v>
      </c>
      <c r="Q255" s="27" t="n">
        <f aca="false">SUMIFS(super1[Qtde],super1[Item],tab_alimentos[[#This Row],[Item]],super1[Bairro],mercado6)+SUMIFS(supercb[Qtde],supercb[Item],tab_alimentos[[#This Row],[Item]],supercb[Bairro],mercado6)</f>
        <v>0</v>
      </c>
      <c r="R255" s="27" t="n">
        <f aca="false">SUMIFS(super1[Qtde],super1[Item],tab_alimentos[[#This Row],[Item]],super1[Bairro],mercado7)+SUMIFS(supercb[Qtde],supercb[Item],tab_alimentos[[#This Row],[Item]],supercb[Bairro],mercado7)</f>
        <v>0</v>
      </c>
      <c r="S255" s="27" t="n">
        <f aca="false">SUMIFS(super1[Qtde],super1[Item],tab_alimentos[[#This Row],[Item]],super1[Bairro],mercado8)+SUMIFS(supercb[Qtde],supercb[Item],tab_alimentos[[#This Row],[Item]],supercb[Bairro],mercado8)</f>
        <v>0</v>
      </c>
      <c r="T255" s="27" t="n">
        <f aca="false">SUMIFS(super1[Qtde],super1[Item],tab_alimentos[[#This Row],[Item]],super1[Bairro],mercado9)+SUMIFS(supercb[Qtde],supercb[Item],tab_alimentos[[#This Row],[Item]],supercb[Bairro],mercado9)</f>
        <v>0</v>
      </c>
      <c r="U255" s="27" t="n">
        <f aca="false">SUMIFS(super1[Qtde],super1[Item],tab_alimentos[[#This Row],[Item]],super1[Bairro],mercado10)+SUMIFS(supercb[Qtde],supercb[Item],tab_alimentos[[#This Row],[Item]],supercb[Bairro],mercado10)</f>
        <v>0</v>
      </c>
      <c r="V255" s="27" t="n">
        <f aca="false">SUMIFS(super1[Qtde],super1[Item],tab_alimentos[[#This Row],[Item]],super1[Bairro],mercado11)+SUMIFS(supercb[Qtde],supercb[Item],tab_alimentos[[#This Row],[Item]],supercb[Bairro],mercado11)</f>
        <v>0</v>
      </c>
      <c r="W255" s="27" t="n">
        <f aca="false">SUMIFS(super1[Qtde],super1[Item],tab_alimentos[[#This Row],[Item]],super1[Bairro],mercado12)+SUMIFS(supercb[Qtde],supercb[Item],tab_alimentos[[#This Row],[Item]],supercb[Bairro],mercado12)</f>
        <v>0</v>
      </c>
      <c r="X255" s="27" t="n">
        <f aca="false">SUMIFS(super1[Qtde],super1[Item],tab_alimentos[[#This Row],[Item]],super1[Bairro],mercado13)+SUMIFS(supercb[Qtde],supercb[Item],tab_alimentos[[#This Row],[Item]],supercb[Bairro],mercado13)</f>
        <v>0</v>
      </c>
      <c r="Y255" s="27" t="n">
        <f aca="false">SUMIFS(super1[Qtde],super1[Item],tab_alimentos[[#This Row],[Item]],super1[Bairro],mercado14)+SUMIFS(supercb[Qtde],supercb[Item],tab_alimentos[[#This Row],[Item]],supercb[Bairro],mercado14)</f>
        <v>0</v>
      </c>
      <c r="Z255" s="27" t="n">
        <f aca="false">SUMIFS(super1[Qtde],super1[Item],tab_alimentos[[#This Row],[Item]],super1[Bairro],mercado15)+SUMIFS(supercb[Qtde],supercb[Item],tab_alimentos[[#This Row],[Item]],supercb[Bairro],mercado15)</f>
        <v>0</v>
      </c>
      <c r="AA255" s="27" t="n">
        <f aca="false">SUMIFS(super1[Qtde],super1[Item],tab_alimentos[[#This Row],[Item]],super1[Bairro],mercado16)+SUMIFS(supercb[Qtde],supercb[Item],tab_alimentos[[#This Row],[Item]],supercb[Bairro],mercado16)</f>
        <v>0</v>
      </c>
      <c r="AB255" s="27" t="n">
        <f aca="false">SUMIFS(super1[Qtde],super1[Item],tab_alimentos[[#This Row],[Item]],super1[Bairro],mercado17)+SUMIFS(supercb[Qtde],supercb[Item],tab_alimentos[[#This Row],[Item]],supercb[Bairro],mercado17)</f>
        <v>0</v>
      </c>
      <c r="AC255" s="27" t="n">
        <f aca="false">SUMIFS(super1[Qtde],super1[Item],tab_alimentos[[#This Row],[Item]],super1[Bairro],mercado18)+SUMIFS(supercb[Qtde],supercb[Item],tab_alimentos[[#This Row],[Item]],supercb[Bairro],mercado18)</f>
        <v>0</v>
      </c>
      <c r="AD255" s="27" t="n">
        <f aca="false">SUMIFS(super1[Qtde],super1[Item],tab_alimentos[[#This Row],[Item]],super1[Bairro],extras)+SUMIFS(supercb[Qtde],supercb[Item],tab_alimentos[[#This Row],[Item]],supercb[Bairro],extras)</f>
        <v>0</v>
      </c>
      <c r="AE255" s="27" t="n">
        <f aca="false">SUM(L255:AC255)</f>
        <v>0</v>
      </c>
      <c r="AF255" s="27" t="n">
        <f aca="false">IFERROR(AE255*K255,0)</f>
        <v>0</v>
      </c>
      <c r="AG255" s="28" t="n">
        <f aca="false">IFERROR(J255*AE255,0)</f>
        <v>0</v>
      </c>
      <c r="AH255" s="37" t="e">
        <f aca="false">higiene[[#This Row],[Item]]</f>
        <v>#VALUE!</v>
      </c>
      <c r="AI255" s="38" t="n">
        <f aca="false">IFERROR(higiene[[#This Row],[Kg equivalente]],0)</f>
        <v>0</v>
      </c>
      <c r="AJ255" s="38" t="n">
        <f aca="false">IFERROR(higiene[[#This Row],[Preço por produto]],0)</f>
        <v>0</v>
      </c>
      <c r="AK255" s="27" t="n">
        <f aca="false">SUMIFS(super1[Qtde],super1[Item],tab_higiene[[#This Row],[Item]],super1[Bairro],mercado1)+SUMIFS(supercb[Qtde],supercb[Item],tab_higiene[[#This Row],[Item]],supercb[Bairro],mercado1)</f>
        <v>0</v>
      </c>
      <c r="AL255" s="27" t="n">
        <f aca="false">SUMIFS(super1[Qtde],super1[Item],tab_higiene[[#This Row],[Item]],super1[Bairro],mercado2)+SUMIFS(supercb[Qtde],supercb[Item],tab_higiene[[#This Row],[Item]],supercb[Bairro],mercado2)</f>
        <v>0</v>
      </c>
      <c r="AM255" s="27" t="n">
        <f aca="false">SUMIFS(super1[Qtde],super1[Item],tab_higiene[[#This Row],[Item]],super1[Bairro],mercado3)+SUMIFS(supercb[Qtde],supercb[Item],tab_higiene[[#This Row],[Item]],supercb[Bairro],mercado3)</f>
        <v>0</v>
      </c>
      <c r="AN255" s="27" t="n">
        <f aca="false">SUMIFS(super1[Qtde],super1[Item],tab_higiene[[#This Row],[Item]],super1[Bairro],mercado4)+SUMIFS(supercb[Qtde],supercb[Item],tab_higiene[[#This Row],[Item]],supercb[Bairro],mercado4)</f>
        <v>0</v>
      </c>
      <c r="AO255" s="27" t="n">
        <f aca="false">SUMIFS(super1[Qtde],super1[Item],tab_higiene[[#This Row],[Item]],super1[Bairro],mercado5)+SUMIFS(supercb[Qtde],supercb[Item],tab_higiene[[#This Row],[Item]],supercb[Bairro],mercado5)</f>
        <v>0</v>
      </c>
      <c r="AP255" s="27" t="n">
        <f aca="false">SUMIFS(super1[Qtde],super1[Item],tab_higiene[[#This Row],[Item]],super1[Bairro],mercado6)+SUMIFS(supercb[Qtde],supercb[Item],tab_higiene[[#This Row],[Item]],supercb[Bairro],mercado6)</f>
        <v>0</v>
      </c>
      <c r="AQ255" s="27" t="n">
        <f aca="false">SUMIFS(super1[Qtde],super1[Item],tab_higiene[[#This Row],[Item]],super1[Bairro],mercado7)+SUMIFS(supercb[Qtde],supercb[Item],tab_higiene[[#This Row],[Item]],supercb[Bairro],mercado7)</f>
        <v>0</v>
      </c>
      <c r="AR255" s="27" t="n">
        <f aca="false">SUMIFS(super1[Qtde],super1[Item],tab_higiene[[#This Row],[Item]],super1[Bairro],mercado8)+SUMIFS(supercb[Qtde],supercb[Item],tab_higiene[[#This Row],[Item]],supercb[Bairro],mercado8)</f>
        <v>0</v>
      </c>
      <c r="AS255" s="27" t="n">
        <f aca="false">SUMIFS(super1[Qtde],super1[Item],tab_higiene[[#This Row],[Item]],super1[Bairro],mercado9)+SUMIFS(supercb[Qtde],supercb[Item],tab_higiene[[#This Row],[Item]],supercb[Bairro],mercado9)</f>
        <v>0</v>
      </c>
      <c r="AT255" s="27" t="n">
        <f aca="false">SUMIFS(super1[Qtde],super1[Item],tab_higiene[[#This Row],[Item]],super1[Bairro],mercado10)+SUMIFS(supercb[Qtde],supercb[Item],tab_higiene[[#This Row],[Item]],supercb[Bairro],mercado10)</f>
        <v>0</v>
      </c>
      <c r="AU255" s="27" t="n">
        <f aca="false">SUMIFS(super1[Qtde],super1[Item],tab_higiene[[#This Row],[Item]],super1[Bairro],mercado11)+SUMIFS(supercb[Qtde],supercb[Item],tab_higiene[[#This Row],[Item]],supercb[Bairro],mercado11)</f>
        <v>0</v>
      </c>
      <c r="AV255" s="27" t="n">
        <f aca="false">SUMIFS(super1[Qtde],super1[Item],tab_higiene[[#This Row],[Item]],super1[Bairro],mercado12)+SUMIFS(supercb[Qtde],supercb[Item],tab_higiene[[#This Row],[Item]],supercb[Bairro],mercado12)</f>
        <v>0</v>
      </c>
      <c r="AW255" s="27" t="n">
        <f aca="false">SUMIFS(super1[Qtde],super1[Item],tab_higiene[[#This Row],[Item]],super1[Bairro],mercado13)+SUMIFS(supercb[Qtde],supercb[Item],tab_higiene[[#This Row],[Item]],supercb[Bairro],mercado13)</f>
        <v>0</v>
      </c>
      <c r="AX255" s="27" t="n">
        <f aca="false">SUMIFS(super1[Qtde],super1[Item],tab_higiene[[#This Row],[Item]],super1[Bairro],mercado14)+SUMIFS(supercb[Qtde],supercb[Item],tab_higiene[[#This Row],[Item]],supercb[Bairro],mercado14)</f>
        <v>0</v>
      </c>
      <c r="AY255" s="27" t="n">
        <f aca="false">SUMIFS(super1[Qtde],super1[Item],tab_higiene[[#This Row],[Item]],super1[Bairro],mercado15)+SUMIFS(supercb[Qtde],supercb[Item],tab_higiene[[#This Row],[Item]],supercb[Bairro],mercado15)</f>
        <v>0</v>
      </c>
      <c r="AZ255" s="27" t="n">
        <f aca="false">SUMIFS(super1[Qtde],super1[Item],tab_higiene[[#This Row],[Item]],super1[Bairro],mercado16)+SUMIFS(supercb[Qtde],supercb[Item],tab_higiene[[#This Row],[Item]],supercb[Bairro],mercado16)</f>
        <v>0</v>
      </c>
      <c r="BA255" s="27" t="n">
        <f aca="false">SUMIFS(super1[Qtde],super1[Item],tab_higiene[[#This Row],[Item]],super1[Bairro],mercado17)+SUMIFS(supercb[Qtde],supercb[Item],tab_higiene[[#This Row],[Item]],supercb[Bairro],mercado17)</f>
        <v>0</v>
      </c>
      <c r="BB255" s="27" t="n">
        <f aca="false">SUMIFS(super1[Qtde],super1[Item],tab_higiene[[#This Row],[Item]],super1[Bairro],mercado18)+SUMIFS(supercb[Qtde],supercb[Item],tab_higiene[[#This Row],[Item]],supercb[Bairro],mercado18)</f>
        <v>0</v>
      </c>
      <c r="BC255" s="39" t="n">
        <f aca="false">SUMIFS(super1[Qtde],super1[Item],tab_higiene[[#This Row],[Item]],super1[Bairro],extras)+SUMIFS(supercb[Qtde],supercb[Item],tab_higiene[[#This Row],[Item]],supercb[Bairro],extras)</f>
        <v>0</v>
      </c>
      <c r="BD255" s="38" t="n">
        <f aca="false">SUM(AK255:BB255)</f>
        <v>0</v>
      </c>
      <c r="BE255" s="38" t="n">
        <f aca="false">IFERROR(BD255*AJ255,0)</f>
        <v>0</v>
      </c>
      <c r="BF255" s="40" t="n">
        <f aca="false">IFERROR(AI255*BD255,0)</f>
        <v>0</v>
      </c>
    </row>
    <row r="256" customFormat="false" ht="15.75" hidden="false" customHeight="false" outlineLevel="0" collapsed="false">
      <c r="I256" s="26" t="str">
        <f aca="false">alimentos[[#This Row],[Item]]</f>
        <v>Tapioca (500g)</v>
      </c>
      <c r="J256" s="27" t="n">
        <f aca="false">IFERROR(alimentos[[#This Row],[kg/embalagem]],0)</f>
        <v>0.5</v>
      </c>
      <c r="K256" s="27" t="n">
        <f aca="false">IFERROR(alimentos[[#This Row],[Preço]],0)</f>
        <v>5.824</v>
      </c>
      <c r="L256" s="27" t="n">
        <f aca="false">SUMIFS(super1[Qtde],super1[Item],tab_alimentos[[#This Row],[Item]],super1[Bairro],mercado1)+SUMIFS(supercb[Qtde],supercb[Item],tab_alimentos[[#This Row],[Item]],supercb[Bairro],mercado1)</f>
        <v>0</v>
      </c>
      <c r="M256" s="27" t="n">
        <f aca="false">SUMIFS(super1[Qtde],super1[Item],tab_alimentos[[#This Row],[Item]],super1[Bairro],mercado2)+SUMIFS(supercb[Qtde],supercb[Item],tab_alimentos[[#This Row],[Item]],supercb[Bairro],mercado2)</f>
        <v>0</v>
      </c>
      <c r="N256" s="27" t="n">
        <f aca="false">SUMIFS(super1[Qtde],super1[Item],tab_alimentos[[#This Row],[Item]],super1[Bairro],mercado3)+SUMIFS(supercb[Qtde],supercb[Item],tab_alimentos[[#This Row],[Item]],supercb[Bairro],mercado3)</f>
        <v>0</v>
      </c>
      <c r="O256" s="27" t="n">
        <f aca="false">SUMIFS(super1[Qtde],super1[Item],tab_alimentos[[#This Row],[Item]],super1[Bairro],mercado4)+SUMIFS(supercb[Qtde],supercb[Item],tab_alimentos[[#This Row],[Item]],supercb[Bairro],mercado4)</f>
        <v>0</v>
      </c>
      <c r="P256" s="27" t="n">
        <f aca="false">SUMIFS(super1[Qtde],super1[Item],tab_alimentos[[#This Row],[Item]],super1[Bairro],mercado5)+SUMIFS(supercb[Qtde],supercb[Item],tab_alimentos[[#This Row],[Item]],supercb[Bairro],mercado5)</f>
        <v>0</v>
      </c>
      <c r="Q256" s="27" t="n">
        <f aca="false">SUMIFS(super1[Qtde],super1[Item],tab_alimentos[[#This Row],[Item]],super1[Bairro],mercado6)+SUMIFS(supercb[Qtde],supercb[Item],tab_alimentos[[#This Row],[Item]],supercb[Bairro],mercado6)</f>
        <v>0</v>
      </c>
      <c r="R256" s="27" t="n">
        <f aca="false">SUMIFS(super1[Qtde],super1[Item],tab_alimentos[[#This Row],[Item]],super1[Bairro],mercado7)+SUMIFS(supercb[Qtde],supercb[Item],tab_alimentos[[#This Row],[Item]],supercb[Bairro],mercado7)</f>
        <v>0</v>
      </c>
      <c r="S256" s="27" t="n">
        <f aca="false">SUMIFS(super1[Qtde],super1[Item],tab_alimentos[[#This Row],[Item]],super1[Bairro],mercado8)+SUMIFS(supercb[Qtde],supercb[Item],tab_alimentos[[#This Row],[Item]],supercb[Bairro],mercado8)</f>
        <v>0</v>
      </c>
      <c r="T256" s="27" t="n">
        <f aca="false">SUMIFS(super1[Qtde],super1[Item],tab_alimentos[[#This Row],[Item]],super1[Bairro],mercado9)+SUMIFS(supercb[Qtde],supercb[Item],tab_alimentos[[#This Row],[Item]],supercb[Bairro],mercado9)</f>
        <v>0</v>
      </c>
      <c r="U256" s="27" t="n">
        <f aca="false">SUMIFS(super1[Qtde],super1[Item],tab_alimentos[[#This Row],[Item]],super1[Bairro],mercado10)+SUMIFS(supercb[Qtde],supercb[Item],tab_alimentos[[#This Row],[Item]],supercb[Bairro],mercado10)</f>
        <v>0</v>
      </c>
      <c r="V256" s="27" t="n">
        <f aca="false">SUMIFS(super1[Qtde],super1[Item],tab_alimentos[[#This Row],[Item]],super1[Bairro],mercado11)+SUMIFS(supercb[Qtde],supercb[Item],tab_alimentos[[#This Row],[Item]],supercb[Bairro],mercado11)</f>
        <v>0</v>
      </c>
      <c r="W256" s="27" t="n">
        <f aca="false">SUMIFS(super1[Qtde],super1[Item],tab_alimentos[[#This Row],[Item]],super1[Bairro],mercado12)+SUMIFS(supercb[Qtde],supercb[Item],tab_alimentos[[#This Row],[Item]],supercb[Bairro],mercado12)</f>
        <v>0</v>
      </c>
      <c r="X256" s="27" t="n">
        <f aca="false">SUMIFS(super1[Qtde],super1[Item],tab_alimentos[[#This Row],[Item]],super1[Bairro],mercado13)+SUMIFS(supercb[Qtde],supercb[Item],tab_alimentos[[#This Row],[Item]],supercb[Bairro],mercado13)</f>
        <v>0</v>
      </c>
      <c r="Y256" s="27" t="n">
        <f aca="false">SUMIFS(super1[Qtde],super1[Item],tab_alimentos[[#This Row],[Item]],super1[Bairro],mercado14)+SUMIFS(supercb[Qtde],supercb[Item],tab_alimentos[[#This Row],[Item]],supercb[Bairro],mercado14)</f>
        <v>0</v>
      </c>
      <c r="Z256" s="27" t="n">
        <f aca="false">SUMIFS(super1[Qtde],super1[Item],tab_alimentos[[#This Row],[Item]],super1[Bairro],mercado15)+SUMIFS(supercb[Qtde],supercb[Item],tab_alimentos[[#This Row],[Item]],supercb[Bairro],mercado15)</f>
        <v>0</v>
      </c>
      <c r="AA256" s="27" t="n">
        <f aca="false">SUMIFS(super1[Qtde],super1[Item],tab_alimentos[[#This Row],[Item]],super1[Bairro],mercado16)+SUMIFS(supercb[Qtde],supercb[Item],tab_alimentos[[#This Row],[Item]],supercb[Bairro],mercado16)</f>
        <v>0</v>
      </c>
      <c r="AB256" s="27" t="n">
        <f aca="false">SUMIFS(super1[Qtde],super1[Item],tab_alimentos[[#This Row],[Item]],super1[Bairro],mercado17)+SUMIFS(supercb[Qtde],supercb[Item],tab_alimentos[[#This Row],[Item]],supercb[Bairro],mercado17)</f>
        <v>0</v>
      </c>
      <c r="AC256" s="27" t="n">
        <f aca="false">SUMIFS(super1[Qtde],super1[Item],tab_alimentos[[#This Row],[Item]],super1[Bairro],mercado18)+SUMIFS(supercb[Qtde],supercb[Item],tab_alimentos[[#This Row],[Item]],supercb[Bairro],mercado18)</f>
        <v>0</v>
      </c>
      <c r="AD256" s="27" t="n">
        <f aca="false">SUMIFS(super1[Qtde],super1[Item],tab_alimentos[[#This Row],[Item]],super1[Bairro],extras)+SUMIFS(supercb[Qtde],supercb[Item],tab_alimentos[[#This Row],[Item]],supercb[Bairro],extras)</f>
        <v>0</v>
      </c>
      <c r="AE256" s="27" t="n">
        <f aca="false">SUM(L256:AC256)</f>
        <v>0</v>
      </c>
      <c r="AF256" s="27" t="n">
        <f aca="false">IFERROR(AE256*K256,0)</f>
        <v>0</v>
      </c>
      <c r="AG256" s="28" t="n">
        <f aca="false">IFERROR(J256*AE256,0)</f>
        <v>0</v>
      </c>
      <c r="AH256" s="37" t="e">
        <f aca="false">higiene[[#This Row],[Item]]</f>
        <v>#VALUE!</v>
      </c>
      <c r="AI256" s="38" t="n">
        <f aca="false">IFERROR(higiene[[#This Row],[Kg equivalente]],0)</f>
        <v>0</v>
      </c>
      <c r="AJ256" s="38" t="n">
        <f aca="false">IFERROR(higiene[[#This Row],[Preço por produto]],0)</f>
        <v>0</v>
      </c>
      <c r="AK256" s="27" t="n">
        <f aca="false">SUMIFS(super1[Qtde],super1[Item],tab_higiene[[#This Row],[Item]],super1[Bairro],mercado1)+SUMIFS(supercb[Qtde],supercb[Item],tab_higiene[[#This Row],[Item]],supercb[Bairro],mercado1)</f>
        <v>0</v>
      </c>
      <c r="AL256" s="27" t="n">
        <f aca="false">SUMIFS(super1[Qtde],super1[Item],tab_higiene[[#This Row],[Item]],super1[Bairro],mercado2)+SUMIFS(supercb[Qtde],supercb[Item],tab_higiene[[#This Row],[Item]],supercb[Bairro],mercado2)</f>
        <v>0</v>
      </c>
      <c r="AM256" s="27" t="n">
        <f aca="false">SUMIFS(super1[Qtde],super1[Item],tab_higiene[[#This Row],[Item]],super1[Bairro],mercado3)+SUMIFS(supercb[Qtde],supercb[Item],tab_higiene[[#This Row],[Item]],supercb[Bairro],mercado3)</f>
        <v>0</v>
      </c>
      <c r="AN256" s="27" t="n">
        <f aca="false">SUMIFS(super1[Qtde],super1[Item],tab_higiene[[#This Row],[Item]],super1[Bairro],mercado4)+SUMIFS(supercb[Qtde],supercb[Item],tab_higiene[[#This Row],[Item]],supercb[Bairro],mercado4)</f>
        <v>0</v>
      </c>
      <c r="AO256" s="27" t="n">
        <f aca="false">SUMIFS(super1[Qtde],super1[Item],tab_higiene[[#This Row],[Item]],super1[Bairro],mercado5)+SUMIFS(supercb[Qtde],supercb[Item],tab_higiene[[#This Row],[Item]],supercb[Bairro],mercado5)</f>
        <v>0</v>
      </c>
      <c r="AP256" s="27" t="n">
        <f aca="false">SUMIFS(super1[Qtde],super1[Item],tab_higiene[[#This Row],[Item]],super1[Bairro],mercado6)+SUMIFS(supercb[Qtde],supercb[Item],tab_higiene[[#This Row],[Item]],supercb[Bairro],mercado6)</f>
        <v>0</v>
      </c>
      <c r="AQ256" s="27" t="n">
        <f aca="false">SUMIFS(super1[Qtde],super1[Item],tab_higiene[[#This Row],[Item]],super1[Bairro],mercado7)+SUMIFS(supercb[Qtde],supercb[Item],tab_higiene[[#This Row],[Item]],supercb[Bairro],mercado7)</f>
        <v>0</v>
      </c>
      <c r="AR256" s="27" t="n">
        <f aca="false">SUMIFS(super1[Qtde],super1[Item],tab_higiene[[#This Row],[Item]],super1[Bairro],mercado8)+SUMIFS(supercb[Qtde],supercb[Item],tab_higiene[[#This Row],[Item]],supercb[Bairro],mercado8)</f>
        <v>0</v>
      </c>
      <c r="AS256" s="27" t="n">
        <f aca="false">SUMIFS(super1[Qtde],super1[Item],tab_higiene[[#This Row],[Item]],super1[Bairro],mercado9)+SUMIFS(supercb[Qtde],supercb[Item],tab_higiene[[#This Row],[Item]],supercb[Bairro],mercado9)</f>
        <v>0</v>
      </c>
      <c r="AT256" s="27" t="n">
        <f aca="false">SUMIFS(super1[Qtde],super1[Item],tab_higiene[[#This Row],[Item]],super1[Bairro],mercado10)+SUMIFS(supercb[Qtde],supercb[Item],tab_higiene[[#This Row],[Item]],supercb[Bairro],mercado10)</f>
        <v>0</v>
      </c>
      <c r="AU256" s="27" t="n">
        <f aca="false">SUMIFS(super1[Qtde],super1[Item],tab_higiene[[#This Row],[Item]],super1[Bairro],mercado11)+SUMIFS(supercb[Qtde],supercb[Item],tab_higiene[[#This Row],[Item]],supercb[Bairro],mercado11)</f>
        <v>0</v>
      </c>
      <c r="AV256" s="27" t="n">
        <f aca="false">SUMIFS(super1[Qtde],super1[Item],tab_higiene[[#This Row],[Item]],super1[Bairro],mercado12)+SUMIFS(supercb[Qtde],supercb[Item],tab_higiene[[#This Row],[Item]],supercb[Bairro],mercado12)</f>
        <v>0</v>
      </c>
      <c r="AW256" s="27" t="n">
        <f aca="false">SUMIFS(super1[Qtde],super1[Item],tab_higiene[[#This Row],[Item]],super1[Bairro],mercado13)+SUMIFS(supercb[Qtde],supercb[Item],tab_higiene[[#This Row],[Item]],supercb[Bairro],mercado13)</f>
        <v>0</v>
      </c>
      <c r="AX256" s="27" t="n">
        <f aca="false">SUMIFS(super1[Qtde],super1[Item],tab_higiene[[#This Row],[Item]],super1[Bairro],mercado14)+SUMIFS(supercb[Qtde],supercb[Item],tab_higiene[[#This Row],[Item]],supercb[Bairro],mercado14)</f>
        <v>0</v>
      </c>
      <c r="AY256" s="27" t="n">
        <f aca="false">SUMIFS(super1[Qtde],super1[Item],tab_higiene[[#This Row],[Item]],super1[Bairro],mercado15)+SUMIFS(supercb[Qtde],supercb[Item],tab_higiene[[#This Row],[Item]],supercb[Bairro],mercado15)</f>
        <v>0</v>
      </c>
      <c r="AZ256" s="27" t="n">
        <f aca="false">SUMIFS(super1[Qtde],super1[Item],tab_higiene[[#This Row],[Item]],super1[Bairro],mercado16)+SUMIFS(supercb[Qtde],supercb[Item],tab_higiene[[#This Row],[Item]],supercb[Bairro],mercado16)</f>
        <v>0</v>
      </c>
      <c r="BA256" s="27" t="n">
        <f aca="false">SUMIFS(super1[Qtde],super1[Item],tab_higiene[[#This Row],[Item]],super1[Bairro],mercado17)+SUMIFS(supercb[Qtde],supercb[Item],tab_higiene[[#This Row],[Item]],supercb[Bairro],mercado17)</f>
        <v>0</v>
      </c>
      <c r="BB256" s="27" t="n">
        <f aca="false">SUMIFS(super1[Qtde],super1[Item],tab_higiene[[#This Row],[Item]],super1[Bairro],mercado18)+SUMIFS(supercb[Qtde],supercb[Item],tab_higiene[[#This Row],[Item]],supercb[Bairro],mercado18)</f>
        <v>0</v>
      </c>
      <c r="BC256" s="39" t="n">
        <f aca="false">SUMIFS(super1[Qtde],super1[Item],tab_higiene[[#This Row],[Item]],super1[Bairro],extras)+SUMIFS(supercb[Qtde],supercb[Item],tab_higiene[[#This Row],[Item]],supercb[Bairro],extras)</f>
        <v>0</v>
      </c>
      <c r="BD256" s="38" t="n">
        <f aca="false">SUM(AK256:BB256)</f>
        <v>0</v>
      </c>
      <c r="BE256" s="38" t="n">
        <f aca="false">IFERROR(BD256*AJ256,0)</f>
        <v>0</v>
      </c>
      <c r="BF256" s="40" t="n">
        <f aca="false">IFERROR(AI256*BD256,0)</f>
        <v>0</v>
      </c>
    </row>
    <row r="257" customFormat="false" ht="15.75" hidden="false" customHeight="false" outlineLevel="0" collapsed="false">
      <c r="I257" s="26" t="str">
        <f aca="false">alimentos[[#This Row],[Item]]</f>
        <v>Tempero pronto (500g)</v>
      </c>
      <c r="J257" s="27" t="n">
        <f aca="false">IFERROR(alimentos[[#This Row],[kg/embalagem]],0)</f>
        <v>0.5</v>
      </c>
      <c r="K257" s="27" t="n">
        <f aca="false">IFERROR(alimentos[[#This Row],[Preço]],0)</f>
        <v>3.7</v>
      </c>
      <c r="L257" s="27" t="n">
        <f aca="false">SUMIFS(super1[Qtde],super1[Item],tab_alimentos[[#This Row],[Item]],super1[Bairro],mercado1)+SUMIFS(supercb[Qtde],supercb[Item],tab_alimentos[[#This Row],[Item]],supercb[Bairro],mercado1)</f>
        <v>0</v>
      </c>
      <c r="M257" s="27" t="n">
        <f aca="false">SUMIFS(super1[Qtde],super1[Item],tab_alimentos[[#This Row],[Item]],super1[Bairro],mercado2)+SUMIFS(supercb[Qtde],supercb[Item],tab_alimentos[[#This Row],[Item]],supercb[Bairro],mercado2)</f>
        <v>0</v>
      </c>
      <c r="N257" s="27" t="n">
        <f aca="false">SUMIFS(super1[Qtde],super1[Item],tab_alimentos[[#This Row],[Item]],super1[Bairro],mercado3)+SUMIFS(supercb[Qtde],supercb[Item],tab_alimentos[[#This Row],[Item]],supercb[Bairro],mercado3)</f>
        <v>0</v>
      </c>
      <c r="O257" s="27" t="n">
        <f aca="false">SUMIFS(super1[Qtde],super1[Item],tab_alimentos[[#This Row],[Item]],super1[Bairro],mercado4)+SUMIFS(supercb[Qtde],supercb[Item],tab_alimentos[[#This Row],[Item]],supercb[Bairro],mercado4)</f>
        <v>0</v>
      </c>
      <c r="P257" s="27" t="n">
        <f aca="false">SUMIFS(super1[Qtde],super1[Item],tab_alimentos[[#This Row],[Item]],super1[Bairro],mercado5)+SUMIFS(supercb[Qtde],supercb[Item],tab_alimentos[[#This Row],[Item]],supercb[Bairro],mercado5)</f>
        <v>0</v>
      </c>
      <c r="Q257" s="27" t="n">
        <f aca="false">SUMIFS(super1[Qtde],super1[Item],tab_alimentos[[#This Row],[Item]],super1[Bairro],mercado6)+SUMIFS(supercb[Qtde],supercb[Item],tab_alimentos[[#This Row],[Item]],supercb[Bairro],mercado6)</f>
        <v>0</v>
      </c>
      <c r="R257" s="27" t="n">
        <f aca="false">SUMIFS(super1[Qtde],super1[Item],tab_alimentos[[#This Row],[Item]],super1[Bairro],mercado7)+SUMIFS(supercb[Qtde],supercb[Item],tab_alimentos[[#This Row],[Item]],supercb[Bairro],mercado7)</f>
        <v>0</v>
      </c>
      <c r="S257" s="27" t="n">
        <f aca="false">SUMIFS(super1[Qtde],super1[Item],tab_alimentos[[#This Row],[Item]],super1[Bairro],mercado8)+SUMIFS(supercb[Qtde],supercb[Item],tab_alimentos[[#This Row],[Item]],supercb[Bairro],mercado8)</f>
        <v>0</v>
      </c>
      <c r="T257" s="27" t="n">
        <f aca="false">SUMIFS(super1[Qtde],super1[Item],tab_alimentos[[#This Row],[Item]],super1[Bairro],mercado9)+SUMIFS(supercb[Qtde],supercb[Item],tab_alimentos[[#This Row],[Item]],supercb[Bairro],mercado9)</f>
        <v>0</v>
      </c>
      <c r="U257" s="27" t="n">
        <f aca="false">SUMIFS(super1[Qtde],super1[Item],tab_alimentos[[#This Row],[Item]],super1[Bairro],mercado10)+SUMIFS(supercb[Qtde],supercb[Item],tab_alimentos[[#This Row],[Item]],supercb[Bairro],mercado10)</f>
        <v>0</v>
      </c>
      <c r="V257" s="27" t="n">
        <f aca="false">SUMIFS(super1[Qtde],super1[Item],tab_alimentos[[#This Row],[Item]],super1[Bairro],mercado11)+SUMIFS(supercb[Qtde],supercb[Item],tab_alimentos[[#This Row],[Item]],supercb[Bairro],mercado11)</f>
        <v>0</v>
      </c>
      <c r="W257" s="27" t="n">
        <f aca="false">SUMIFS(super1[Qtde],super1[Item],tab_alimentos[[#This Row],[Item]],super1[Bairro],mercado12)+SUMIFS(supercb[Qtde],supercb[Item],tab_alimentos[[#This Row],[Item]],supercb[Bairro],mercado12)</f>
        <v>0</v>
      </c>
      <c r="X257" s="27" t="n">
        <f aca="false">SUMIFS(super1[Qtde],super1[Item],tab_alimentos[[#This Row],[Item]],super1[Bairro],mercado13)+SUMIFS(supercb[Qtde],supercb[Item],tab_alimentos[[#This Row],[Item]],supercb[Bairro],mercado13)</f>
        <v>0</v>
      </c>
      <c r="Y257" s="27" t="n">
        <f aca="false">SUMIFS(super1[Qtde],super1[Item],tab_alimentos[[#This Row],[Item]],super1[Bairro],mercado14)+SUMIFS(supercb[Qtde],supercb[Item],tab_alimentos[[#This Row],[Item]],supercb[Bairro],mercado14)</f>
        <v>0</v>
      </c>
      <c r="Z257" s="27" t="n">
        <f aca="false">SUMIFS(super1[Qtde],super1[Item],tab_alimentos[[#This Row],[Item]],super1[Bairro],mercado15)+SUMIFS(supercb[Qtde],supercb[Item],tab_alimentos[[#This Row],[Item]],supercb[Bairro],mercado15)</f>
        <v>0</v>
      </c>
      <c r="AA257" s="27" t="n">
        <f aca="false">SUMIFS(super1[Qtde],super1[Item],tab_alimentos[[#This Row],[Item]],super1[Bairro],mercado16)+SUMIFS(supercb[Qtde],supercb[Item],tab_alimentos[[#This Row],[Item]],supercb[Bairro],mercado16)</f>
        <v>0</v>
      </c>
      <c r="AB257" s="27" t="n">
        <f aca="false">SUMIFS(super1[Qtde],super1[Item],tab_alimentos[[#This Row],[Item]],super1[Bairro],mercado17)+SUMIFS(supercb[Qtde],supercb[Item],tab_alimentos[[#This Row],[Item]],supercb[Bairro],mercado17)</f>
        <v>0</v>
      </c>
      <c r="AC257" s="27" t="n">
        <f aca="false">SUMIFS(super1[Qtde],super1[Item],tab_alimentos[[#This Row],[Item]],super1[Bairro],mercado18)+SUMIFS(supercb[Qtde],supercb[Item],tab_alimentos[[#This Row],[Item]],supercb[Bairro],mercado18)</f>
        <v>0</v>
      </c>
      <c r="AD257" s="27" t="n">
        <f aca="false">SUMIFS(super1[Qtde],super1[Item],tab_alimentos[[#This Row],[Item]],super1[Bairro],extras)+SUMIFS(supercb[Qtde],supercb[Item],tab_alimentos[[#This Row],[Item]],supercb[Bairro],extras)</f>
        <v>0</v>
      </c>
      <c r="AE257" s="27" t="n">
        <f aca="false">SUM(L257:AC257)</f>
        <v>0</v>
      </c>
      <c r="AF257" s="27" t="n">
        <f aca="false">IFERROR(AE257*K257,0)</f>
        <v>0</v>
      </c>
      <c r="AG257" s="28" t="n">
        <f aca="false">IFERROR(J257*AE257,0)</f>
        <v>0</v>
      </c>
      <c r="AH257" s="37" t="e">
        <f aca="false">higiene[[#This Row],[Item]]</f>
        <v>#VALUE!</v>
      </c>
      <c r="AI257" s="38" t="n">
        <f aca="false">IFERROR(higiene[[#This Row],[Kg equivalente]],0)</f>
        <v>0</v>
      </c>
      <c r="AJ257" s="38" t="n">
        <f aca="false">IFERROR(higiene[[#This Row],[Preço por produto]],0)</f>
        <v>0</v>
      </c>
      <c r="AK257" s="27" t="n">
        <f aca="false">SUMIFS(super1[Qtde],super1[Item],tab_higiene[[#This Row],[Item]],super1[Bairro],mercado1)+SUMIFS(supercb[Qtde],supercb[Item],tab_higiene[[#This Row],[Item]],supercb[Bairro],mercado1)</f>
        <v>0</v>
      </c>
      <c r="AL257" s="27" t="n">
        <f aca="false">SUMIFS(super1[Qtde],super1[Item],tab_higiene[[#This Row],[Item]],super1[Bairro],mercado2)+SUMIFS(supercb[Qtde],supercb[Item],tab_higiene[[#This Row],[Item]],supercb[Bairro],mercado2)</f>
        <v>0</v>
      </c>
      <c r="AM257" s="27" t="n">
        <f aca="false">SUMIFS(super1[Qtde],super1[Item],tab_higiene[[#This Row],[Item]],super1[Bairro],mercado3)+SUMIFS(supercb[Qtde],supercb[Item],tab_higiene[[#This Row],[Item]],supercb[Bairro],mercado3)</f>
        <v>0</v>
      </c>
      <c r="AN257" s="27" t="n">
        <f aca="false">SUMIFS(super1[Qtde],super1[Item],tab_higiene[[#This Row],[Item]],super1[Bairro],mercado4)+SUMIFS(supercb[Qtde],supercb[Item],tab_higiene[[#This Row],[Item]],supercb[Bairro],mercado4)</f>
        <v>0</v>
      </c>
      <c r="AO257" s="27" t="n">
        <f aca="false">SUMIFS(super1[Qtde],super1[Item],tab_higiene[[#This Row],[Item]],super1[Bairro],mercado5)+SUMIFS(supercb[Qtde],supercb[Item],tab_higiene[[#This Row],[Item]],supercb[Bairro],mercado5)</f>
        <v>0</v>
      </c>
      <c r="AP257" s="27" t="n">
        <f aca="false">SUMIFS(super1[Qtde],super1[Item],tab_higiene[[#This Row],[Item]],super1[Bairro],mercado6)+SUMIFS(supercb[Qtde],supercb[Item],tab_higiene[[#This Row],[Item]],supercb[Bairro],mercado6)</f>
        <v>0</v>
      </c>
      <c r="AQ257" s="27" t="n">
        <f aca="false">SUMIFS(super1[Qtde],super1[Item],tab_higiene[[#This Row],[Item]],super1[Bairro],mercado7)+SUMIFS(supercb[Qtde],supercb[Item],tab_higiene[[#This Row],[Item]],supercb[Bairro],mercado7)</f>
        <v>0</v>
      </c>
      <c r="AR257" s="27" t="n">
        <f aca="false">SUMIFS(super1[Qtde],super1[Item],tab_higiene[[#This Row],[Item]],super1[Bairro],mercado8)+SUMIFS(supercb[Qtde],supercb[Item],tab_higiene[[#This Row],[Item]],supercb[Bairro],mercado8)</f>
        <v>0</v>
      </c>
      <c r="AS257" s="27" t="n">
        <f aca="false">SUMIFS(super1[Qtde],super1[Item],tab_higiene[[#This Row],[Item]],super1[Bairro],mercado9)+SUMIFS(supercb[Qtde],supercb[Item],tab_higiene[[#This Row],[Item]],supercb[Bairro],mercado9)</f>
        <v>0</v>
      </c>
      <c r="AT257" s="27" t="n">
        <f aca="false">SUMIFS(super1[Qtde],super1[Item],tab_higiene[[#This Row],[Item]],super1[Bairro],mercado10)+SUMIFS(supercb[Qtde],supercb[Item],tab_higiene[[#This Row],[Item]],supercb[Bairro],mercado10)</f>
        <v>0</v>
      </c>
      <c r="AU257" s="27" t="n">
        <f aca="false">SUMIFS(super1[Qtde],super1[Item],tab_higiene[[#This Row],[Item]],super1[Bairro],mercado11)+SUMIFS(supercb[Qtde],supercb[Item],tab_higiene[[#This Row],[Item]],supercb[Bairro],mercado11)</f>
        <v>0</v>
      </c>
      <c r="AV257" s="27" t="n">
        <f aca="false">SUMIFS(super1[Qtde],super1[Item],tab_higiene[[#This Row],[Item]],super1[Bairro],mercado12)+SUMIFS(supercb[Qtde],supercb[Item],tab_higiene[[#This Row],[Item]],supercb[Bairro],mercado12)</f>
        <v>0</v>
      </c>
      <c r="AW257" s="27" t="n">
        <f aca="false">SUMIFS(super1[Qtde],super1[Item],tab_higiene[[#This Row],[Item]],super1[Bairro],mercado13)+SUMIFS(supercb[Qtde],supercb[Item],tab_higiene[[#This Row],[Item]],supercb[Bairro],mercado13)</f>
        <v>0</v>
      </c>
      <c r="AX257" s="27" t="n">
        <f aca="false">SUMIFS(super1[Qtde],super1[Item],tab_higiene[[#This Row],[Item]],super1[Bairro],mercado14)+SUMIFS(supercb[Qtde],supercb[Item],tab_higiene[[#This Row],[Item]],supercb[Bairro],mercado14)</f>
        <v>0</v>
      </c>
      <c r="AY257" s="27" t="n">
        <f aca="false">SUMIFS(super1[Qtde],super1[Item],tab_higiene[[#This Row],[Item]],super1[Bairro],mercado15)+SUMIFS(supercb[Qtde],supercb[Item],tab_higiene[[#This Row],[Item]],supercb[Bairro],mercado15)</f>
        <v>0</v>
      </c>
      <c r="AZ257" s="27" t="n">
        <f aca="false">SUMIFS(super1[Qtde],super1[Item],tab_higiene[[#This Row],[Item]],super1[Bairro],mercado16)+SUMIFS(supercb[Qtde],supercb[Item],tab_higiene[[#This Row],[Item]],supercb[Bairro],mercado16)</f>
        <v>0</v>
      </c>
      <c r="BA257" s="27" t="n">
        <f aca="false">SUMIFS(super1[Qtde],super1[Item],tab_higiene[[#This Row],[Item]],super1[Bairro],mercado17)+SUMIFS(supercb[Qtde],supercb[Item],tab_higiene[[#This Row],[Item]],supercb[Bairro],mercado17)</f>
        <v>0</v>
      </c>
      <c r="BB257" s="27" t="n">
        <f aca="false">SUMIFS(super1[Qtde],super1[Item],tab_higiene[[#This Row],[Item]],super1[Bairro],mercado18)+SUMIFS(supercb[Qtde],supercb[Item],tab_higiene[[#This Row],[Item]],supercb[Bairro],mercado18)</f>
        <v>0</v>
      </c>
      <c r="BC257" s="39" t="n">
        <f aca="false">SUMIFS(super1[Qtde],super1[Item],tab_higiene[[#This Row],[Item]],super1[Bairro],extras)+SUMIFS(supercb[Qtde],supercb[Item],tab_higiene[[#This Row],[Item]],supercb[Bairro],extras)</f>
        <v>0</v>
      </c>
      <c r="BD257" s="38" t="n">
        <f aca="false">SUM(AK257:BB257)</f>
        <v>0</v>
      </c>
      <c r="BE257" s="38" t="n">
        <f aca="false">IFERROR(BD257*AJ257,0)</f>
        <v>0</v>
      </c>
      <c r="BF257" s="40" t="n">
        <f aca="false">IFERROR(AI257*BD257,0)</f>
        <v>0</v>
      </c>
    </row>
    <row r="258" customFormat="false" ht="15.75" hidden="false" customHeight="false" outlineLevel="0" collapsed="false">
      <c r="I258" s="26" t="str">
        <f aca="false">alimentos[[#This Row],[Item]]</f>
        <v>Tempero pronto(300g)</v>
      </c>
      <c r="J258" s="27" t="n">
        <f aca="false">IFERROR(alimentos[[#This Row],[kg/embalagem]],0)</f>
        <v>0.3</v>
      </c>
      <c r="K258" s="27" t="n">
        <f aca="false">IFERROR(alimentos[[#This Row],[Preço]],0)</f>
        <v>1.65</v>
      </c>
      <c r="L258" s="27" t="n">
        <f aca="false">SUMIFS(super1[Qtde],super1[Item],tab_alimentos[[#This Row],[Item]],super1[Bairro],mercado1)+SUMIFS(supercb[Qtde],supercb[Item],tab_alimentos[[#This Row],[Item]],supercb[Bairro],mercado1)</f>
        <v>0</v>
      </c>
      <c r="M258" s="27" t="n">
        <f aca="false">SUMIFS(super1[Qtde],super1[Item],tab_alimentos[[#This Row],[Item]],super1[Bairro],mercado2)+SUMIFS(supercb[Qtde],supercb[Item],tab_alimentos[[#This Row],[Item]],supercb[Bairro],mercado2)</f>
        <v>0</v>
      </c>
      <c r="N258" s="27" t="n">
        <f aca="false">SUMIFS(super1[Qtde],super1[Item],tab_alimentos[[#This Row],[Item]],super1[Bairro],mercado3)+SUMIFS(supercb[Qtde],supercb[Item],tab_alimentos[[#This Row],[Item]],supercb[Bairro],mercado3)</f>
        <v>2</v>
      </c>
      <c r="O258" s="27" t="n">
        <f aca="false">SUMIFS(super1[Qtde],super1[Item],tab_alimentos[[#This Row],[Item]],super1[Bairro],mercado4)+SUMIFS(supercb[Qtde],supercb[Item],tab_alimentos[[#This Row],[Item]],supercb[Bairro],mercado4)</f>
        <v>1</v>
      </c>
      <c r="P258" s="27" t="n">
        <f aca="false">SUMIFS(super1[Qtde],super1[Item],tab_alimentos[[#This Row],[Item]],super1[Bairro],mercado5)+SUMIFS(supercb[Qtde],supercb[Item],tab_alimentos[[#This Row],[Item]],supercb[Bairro],mercado5)</f>
        <v>0</v>
      </c>
      <c r="Q258" s="27" t="n">
        <f aca="false">SUMIFS(super1[Qtde],super1[Item],tab_alimentos[[#This Row],[Item]],super1[Bairro],mercado6)+SUMIFS(supercb[Qtde],supercb[Item],tab_alimentos[[#This Row],[Item]],supercb[Bairro],mercado6)</f>
        <v>0</v>
      </c>
      <c r="R258" s="27" t="n">
        <f aca="false">SUMIFS(super1[Qtde],super1[Item],tab_alimentos[[#This Row],[Item]],super1[Bairro],mercado7)+SUMIFS(supercb[Qtde],supercb[Item],tab_alimentos[[#This Row],[Item]],supercb[Bairro],mercado7)</f>
        <v>0</v>
      </c>
      <c r="S258" s="27" t="n">
        <f aca="false">SUMIFS(super1[Qtde],super1[Item],tab_alimentos[[#This Row],[Item]],super1[Bairro],mercado8)+SUMIFS(supercb[Qtde],supercb[Item],tab_alimentos[[#This Row],[Item]],supercb[Bairro],mercado8)</f>
        <v>0</v>
      </c>
      <c r="T258" s="27" t="n">
        <f aca="false">SUMIFS(super1[Qtde],super1[Item],tab_alimentos[[#This Row],[Item]],super1[Bairro],mercado9)+SUMIFS(supercb[Qtde],supercb[Item],tab_alimentos[[#This Row],[Item]],supercb[Bairro],mercado9)</f>
        <v>0</v>
      </c>
      <c r="U258" s="27" t="n">
        <f aca="false">SUMIFS(super1[Qtde],super1[Item],tab_alimentos[[#This Row],[Item]],super1[Bairro],mercado10)+SUMIFS(supercb[Qtde],supercb[Item],tab_alimentos[[#This Row],[Item]],supercb[Bairro],mercado10)</f>
        <v>1</v>
      </c>
      <c r="V258" s="27" t="n">
        <f aca="false">SUMIFS(super1[Qtde],super1[Item],tab_alimentos[[#This Row],[Item]],super1[Bairro],mercado11)+SUMIFS(supercb[Qtde],supercb[Item],tab_alimentos[[#This Row],[Item]],supercb[Bairro],mercado11)</f>
        <v>1</v>
      </c>
      <c r="W258" s="27" t="n">
        <f aca="false">SUMIFS(super1[Qtde],super1[Item],tab_alimentos[[#This Row],[Item]],super1[Bairro],mercado12)+SUMIFS(supercb[Qtde],supercb[Item],tab_alimentos[[#This Row],[Item]],supercb[Bairro],mercado12)</f>
        <v>0</v>
      </c>
      <c r="X258" s="27" t="n">
        <f aca="false">SUMIFS(super1[Qtde],super1[Item],tab_alimentos[[#This Row],[Item]],super1[Bairro],mercado13)+SUMIFS(supercb[Qtde],supercb[Item],tab_alimentos[[#This Row],[Item]],supercb[Bairro],mercado13)</f>
        <v>0</v>
      </c>
      <c r="Y258" s="27" t="n">
        <f aca="false">SUMIFS(super1[Qtde],super1[Item],tab_alimentos[[#This Row],[Item]],super1[Bairro],mercado14)+SUMIFS(supercb[Qtde],supercb[Item],tab_alimentos[[#This Row],[Item]],supercb[Bairro],mercado14)</f>
        <v>0</v>
      </c>
      <c r="Z258" s="27" t="n">
        <f aca="false">SUMIFS(super1[Qtde],super1[Item],tab_alimentos[[#This Row],[Item]],super1[Bairro],mercado15)+SUMIFS(supercb[Qtde],supercb[Item],tab_alimentos[[#This Row],[Item]],supercb[Bairro],mercado15)</f>
        <v>0</v>
      </c>
      <c r="AA258" s="27" t="n">
        <f aca="false">SUMIFS(super1[Qtde],super1[Item],tab_alimentos[[#This Row],[Item]],super1[Bairro],mercado16)+SUMIFS(supercb[Qtde],supercb[Item],tab_alimentos[[#This Row],[Item]],supercb[Bairro],mercado16)</f>
        <v>0</v>
      </c>
      <c r="AB258" s="27" t="n">
        <f aca="false">SUMIFS(super1[Qtde],super1[Item],tab_alimentos[[#This Row],[Item]],super1[Bairro],mercado17)+SUMIFS(supercb[Qtde],supercb[Item],tab_alimentos[[#This Row],[Item]],supercb[Bairro],mercado17)</f>
        <v>0</v>
      </c>
      <c r="AC258" s="27" t="n">
        <f aca="false">SUMIFS(super1[Qtde],super1[Item],tab_alimentos[[#This Row],[Item]],super1[Bairro],mercado18)+SUMIFS(supercb[Qtde],supercb[Item],tab_alimentos[[#This Row],[Item]],supercb[Bairro],mercado18)</f>
        <v>0</v>
      </c>
      <c r="AD258" s="27" t="n">
        <f aca="false">SUMIFS(super1[Qtde],super1[Item],tab_alimentos[[#This Row],[Item]],super1[Bairro],extras)+SUMIFS(supercb[Qtde],supercb[Item],tab_alimentos[[#This Row],[Item]],supercb[Bairro],extras)</f>
        <v>0</v>
      </c>
      <c r="AE258" s="27" t="n">
        <f aca="false">SUM(L258:AC258)</f>
        <v>5</v>
      </c>
      <c r="AF258" s="27" t="n">
        <f aca="false">IFERROR(AE258*K258,0)</f>
        <v>8.25</v>
      </c>
      <c r="AG258" s="28" t="n">
        <f aca="false">IFERROR(J258*AE258,0)</f>
        <v>1.5</v>
      </c>
      <c r="AH258" s="37" t="e">
        <f aca="false">higiene[[#This Row],[Item]]</f>
        <v>#VALUE!</v>
      </c>
      <c r="AI258" s="38" t="n">
        <f aca="false">IFERROR(higiene[[#This Row],[Kg equivalente]],0)</f>
        <v>0</v>
      </c>
      <c r="AJ258" s="38" t="n">
        <f aca="false">IFERROR(higiene[[#This Row],[Preço por produto]],0)</f>
        <v>0</v>
      </c>
      <c r="AK258" s="27" t="n">
        <f aca="false">SUMIFS(super1[Qtde],super1[Item],tab_higiene[[#This Row],[Item]],super1[Bairro],mercado1)+SUMIFS(supercb[Qtde],supercb[Item],tab_higiene[[#This Row],[Item]],supercb[Bairro],mercado1)</f>
        <v>0</v>
      </c>
      <c r="AL258" s="27" t="n">
        <f aca="false">SUMIFS(super1[Qtde],super1[Item],tab_higiene[[#This Row],[Item]],super1[Bairro],mercado2)+SUMIFS(supercb[Qtde],supercb[Item],tab_higiene[[#This Row],[Item]],supercb[Bairro],mercado2)</f>
        <v>0</v>
      </c>
      <c r="AM258" s="27" t="n">
        <f aca="false">SUMIFS(super1[Qtde],super1[Item],tab_higiene[[#This Row],[Item]],super1[Bairro],mercado3)+SUMIFS(supercb[Qtde],supercb[Item],tab_higiene[[#This Row],[Item]],supercb[Bairro],mercado3)</f>
        <v>0</v>
      </c>
      <c r="AN258" s="27" t="n">
        <f aca="false">SUMIFS(super1[Qtde],super1[Item],tab_higiene[[#This Row],[Item]],super1[Bairro],mercado4)+SUMIFS(supercb[Qtde],supercb[Item],tab_higiene[[#This Row],[Item]],supercb[Bairro],mercado4)</f>
        <v>0</v>
      </c>
      <c r="AO258" s="27" t="n">
        <f aca="false">SUMIFS(super1[Qtde],super1[Item],tab_higiene[[#This Row],[Item]],super1[Bairro],mercado5)+SUMIFS(supercb[Qtde],supercb[Item],tab_higiene[[#This Row],[Item]],supercb[Bairro],mercado5)</f>
        <v>0</v>
      </c>
      <c r="AP258" s="27" t="n">
        <f aca="false">SUMIFS(super1[Qtde],super1[Item],tab_higiene[[#This Row],[Item]],super1[Bairro],mercado6)+SUMIFS(supercb[Qtde],supercb[Item],tab_higiene[[#This Row],[Item]],supercb[Bairro],mercado6)</f>
        <v>0</v>
      </c>
      <c r="AQ258" s="27" t="n">
        <f aca="false">SUMIFS(super1[Qtde],super1[Item],tab_higiene[[#This Row],[Item]],super1[Bairro],mercado7)+SUMIFS(supercb[Qtde],supercb[Item],tab_higiene[[#This Row],[Item]],supercb[Bairro],mercado7)</f>
        <v>0</v>
      </c>
      <c r="AR258" s="27" t="n">
        <f aca="false">SUMIFS(super1[Qtde],super1[Item],tab_higiene[[#This Row],[Item]],super1[Bairro],mercado8)+SUMIFS(supercb[Qtde],supercb[Item],tab_higiene[[#This Row],[Item]],supercb[Bairro],mercado8)</f>
        <v>0</v>
      </c>
      <c r="AS258" s="27" t="n">
        <f aca="false">SUMIFS(super1[Qtde],super1[Item],tab_higiene[[#This Row],[Item]],super1[Bairro],mercado9)+SUMIFS(supercb[Qtde],supercb[Item],tab_higiene[[#This Row],[Item]],supercb[Bairro],mercado9)</f>
        <v>0</v>
      </c>
      <c r="AT258" s="27" t="n">
        <f aca="false">SUMIFS(super1[Qtde],super1[Item],tab_higiene[[#This Row],[Item]],super1[Bairro],mercado10)+SUMIFS(supercb[Qtde],supercb[Item],tab_higiene[[#This Row],[Item]],supercb[Bairro],mercado10)</f>
        <v>0</v>
      </c>
      <c r="AU258" s="27" t="n">
        <f aca="false">SUMIFS(super1[Qtde],super1[Item],tab_higiene[[#This Row],[Item]],super1[Bairro],mercado11)+SUMIFS(supercb[Qtde],supercb[Item],tab_higiene[[#This Row],[Item]],supercb[Bairro],mercado11)</f>
        <v>0</v>
      </c>
      <c r="AV258" s="27" t="n">
        <f aca="false">SUMIFS(super1[Qtde],super1[Item],tab_higiene[[#This Row],[Item]],super1[Bairro],mercado12)+SUMIFS(supercb[Qtde],supercb[Item],tab_higiene[[#This Row],[Item]],supercb[Bairro],mercado12)</f>
        <v>0</v>
      </c>
      <c r="AW258" s="27" t="n">
        <f aca="false">SUMIFS(super1[Qtde],super1[Item],tab_higiene[[#This Row],[Item]],super1[Bairro],mercado13)+SUMIFS(supercb[Qtde],supercb[Item],tab_higiene[[#This Row],[Item]],supercb[Bairro],mercado13)</f>
        <v>0</v>
      </c>
      <c r="AX258" s="27" t="n">
        <f aca="false">SUMIFS(super1[Qtde],super1[Item],tab_higiene[[#This Row],[Item]],super1[Bairro],mercado14)+SUMIFS(supercb[Qtde],supercb[Item],tab_higiene[[#This Row],[Item]],supercb[Bairro],mercado14)</f>
        <v>0</v>
      </c>
      <c r="AY258" s="27" t="n">
        <f aca="false">SUMIFS(super1[Qtde],super1[Item],tab_higiene[[#This Row],[Item]],super1[Bairro],mercado15)+SUMIFS(supercb[Qtde],supercb[Item],tab_higiene[[#This Row],[Item]],supercb[Bairro],mercado15)</f>
        <v>0</v>
      </c>
      <c r="AZ258" s="27" t="n">
        <f aca="false">SUMIFS(super1[Qtde],super1[Item],tab_higiene[[#This Row],[Item]],super1[Bairro],mercado16)+SUMIFS(supercb[Qtde],supercb[Item],tab_higiene[[#This Row],[Item]],supercb[Bairro],mercado16)</f>
        <v>0</v>
      </c>
      <c r="BA258" s="27" t="n">
        <f aca="false">SUMIFS(super1[Qtde],super1[Item],tab_higiene[[#This Row],[Item]],super1[Bairro],mercado17)+SUMIFS(supercb[Qtde],supercb[Item],tab_higiene[[#This Row],[Item]],supercb[Bairro],mercado17)</f>
        <v>0</v>
      </c>
      <c r="BB258" s="27" t="n">
        <f aca="false">SUMIFS(super1[Qtde],super1[Item],tab_higiene[[#This Row],[Item]],super1[Bairro],mercado18)+SUMIFS(supercb[Qtde],supercb[Item],tab_higiene[[#This Row],[Item]],supercb[Bairro],mercado18)</f>
        <v>0</v>
      </c>
      <c r="BC258" s="39" t="n">
        <f aca="false">SUMIFS(super1[Qtde],super1[Item],tab_higiene[[#This Row],[Item]],super1[Bairro],extras)+SUMIFS(supercb[Qtde],supercb[Item],tab_higiene[[#This Row],[Item]],supercb[Bairro],extras)</f>
        <v>0</v>
      </c>
      <c r="BD258" s="38" t="n">
        <f aca="false">SUM(AK258:BB258)</f>
        <v>0</v>
      </c>
      <c r="BE258" s="38" t="n">
        <f aca="false">IFERROR(BD258*AJ258,0)</f>
        <v>0</v>
      </c>
      <c r="BF258" s="40" t="n">
        <f aca="false">IFERROR(AI258*BD258,0)</f>
        <v>0</v>
      </c>
    </row>
    <row r="259" customFormat="false" ht="15.75" hidden="false" customHeight="false" outlineLevel="0" collapsed="false">
      <c r="I259" s="26" t="str">
        <f aca="false">alimentos[[#This Row],[Item]]</f>
        <v>Tomate Pelado (400g)</v>
      </c>
      <c r="J259" s="27" t="n">
        <f aca="false">IFERROR(alimentos[[#This Row],[kg/embalagem]],0)</f>
        <v>0.4</v>
      </c>
      <c r="K259" s="27" t="n">
        <f aca="false">IFERROR(alimentos[[#This Row],[Preço]],0)</f>
        <v>3.435</v>
      </c>
      <c r="L259" s="27" t="n">
        <f aca="false">SUMIFS(super1[Qtde],super1[Item],tab_alimentos[[#This Row],[Item]],super1[Bairro],mercado1)+SUMIFS(supercb[Qtde],supercb[Item],tab_alimentos[[#This Row],[Item]],supercb[Bairro],mercado1)</f>
        <v>0</v>
      </c>
      <c r="M259" s="27" t="n">
        <f aca="false">SUMIFS(super1[Qtde],super1[Item],tab_alimentos[[#This Row],[Item]],super1[Bairro],mercado2)+SUMIFS(supercb[Qtde],supercb[Item],tab_alimentos[[#This Row],[Item]],supercb[Bairro],mercado2)</f>
        <v>0</v>
      </c>
      <c r="N259" s="27" t="n">
        <f aca="false">SUMIFS(super1[Qtde],super1[Item],tab_alimentos[[#This Row],[Item]],super1[Bairro],mercado3)+SUMIFS(supercb[Qtde],supercb[Item],tab_alimentos[[#This Row],[Item]],supercb[Bairro],mercado3)</f>
        <v>0</v>
      </c>
      <c r="O259" s="27" t="n">
        <f aca="false">SUMIFS(super1[Qtde],super1[Item],tab_alimentos[[#This Row],[Item]],super1[Bairro],mercado4)+SUMIFS(supercb[Qtde],supercb[Item],tab_alimentos[[#This Row],[Item]],supercb[Bairro],mercado4)</f>
        <v>0</v>
      </c>
      <c r="P259" s="27" t="n">
        <f aca="false">SUMIFS(super1[Qtde],super1[Item],tab_alimentos[[#This Row],[Item]],super1[Bairro],mercado5)+SUMIFS(supercb[Qtde],supercb[Item],tab_alimentos[[#This Row],[Item]],supercb[Bairro],mercado5)</f>
        <v>0</v>
      </c>
      <c r="Q259" s="27" t="n">
        <f aca="false">SUMIFS(super1[Qtde],super1[Item],tab_alimentos[[#This Row],[Item]],super1[Bairro],mercado6)+SUMIFS(supercb[Qtde],supercb[Item],tab_alimentos[[#This Row],[Item]],supercb[Bairro],mercado6)</f>
        <v>0</v>
      </c>
      <c r="R259" s="27" t="n">
        <f aca="false">SUMIFS(super1[Qtde],super1[Item],tab_alimentos[[#This Row],[Item]],super1[Bairro],mercado7)+SUMIFS(supercb[Qtde],supercb[Item],tab_alimentos[[#This Row],[Item]],supercb[Bairro],mercado7)</f>
        <v>0</v>
      </c>
      <c r="S259" s="27" t="n">
        <f aca="false">SUMIFS(super1[Qtde],super1[Item],tab_alimentos[[#This Row],[Item]],super1[Bairro],mercado8)+SUMIFS(supercb[Qtde],supercb[Item],tab_alimentos[[#This Row],[Item]],supercb[Bairro],mercado8)</f>
        <v>0</v>
      </c>
      <c r="T259" s="27" t="n">
        <f aca="false">SUMIFS(super1[Qtde],super1[Item],tab_alimentos[[#This Row],[Item]],super1[Bairro],mercado9)+SUMIFS(supercb[Qtde],supercb[Item],tab_alimentos[[#This Row],[Item]],supercb[Bairro],mercado9)</f>
        <v>0</v>
      </c>
      <c r="U259" s="27" t="n">
        <f aca="false">SUMIFS(super1[Qtde],super1[Item],tab_alimentos[[#This Row],[Item]],super1[Bairro],mercado10)+SUMIFS(supercb[Qtde],supercb[Item],tab_alimentos[[#This Row],[Item]],supercb[Bairro],mercado10)</f>
        <v>0</v>
      </c>
      <c r="V259" s="27" t="n">
        <f aca="false">SUMIFS(super1[Qtde],super1[Item],tab_alimentos[[#This Row],[Item]],super1[Bairro],mercado11)+SUMIFS(supercb[Qtde],supercb[Item],tab_alimentos[[#This Row],[Item]],supercb[Bairro],mercado11)</f>
        <v>0</v>
      </c>
      <c r="W259" s="27" t="n">
        <f aca="false">SUMIFS(super1[Qtde],super1[Item],tab_alimentos[[#This Row],[Item]],super1[Bairro],mercado12)+SUMIFS(supercb[Qtde],supercb[Item],tab_alimentos[[#This Row],[Item]],supercb[Bairro],mercado12)</f>
        <v>0</v>
      </c>
      <c r="X259" s="27" t="n">
        <f aca="false">SUMIFS(super1[Qtde],super1[Item],tab_alimentos[[#This Row],[Item]],super1[Bairro],mercado13)+SUMIFS(supercb[Qtde],supercb[Item],tab_alimentos[[#This Row],[Item]],supercb[Bairro],mercado13)</f>
        <v>0</v>
      </c>
      <c r="Y259" s="27" t="n">
        <f aca="false">SUMIFS(super1[Qtde],super1[Item],tab_alimentos[[#This Row],[Item]],super1[Bairro],mercado14)+SUMIFS(supercb[Qtde],supercb[Item],tab_alimentos[[#This Row],[Item]],supercb[Bairro],mercado14)</f>
        <v>0</v>
      </c>
      <c r="Z259" s="27" t="n">
        <f aca="false">SUMIFS(super1[Qtde],super1[Item],tab_alimentos[[#This Row],[Item]],super1[Bairro],mercado15)+SUMIFS(supercb[Qtde],supercb[Item],tab_alimentos[[#This Row],[Item]],supercb[Bairro],mercado15)</f>
        <v>0</v>
      </c>
      <c r="AA259" s="27" t="n">
        <f aca="false">SUMIFS(super1[Qtde],super1[Item],tab_alimentos[[#This Row],[Item]],super1[Bairro],mercado16)+SUMIFS(supercb[Qtde],supercb[Item],tab_alimentos[[#This Row],[Item]],supercb[Bairro],mercado16)</f>
        <v>0</v>
      </c>
      <c r="AB259" s="27" t="n">
        <f aca="false">SUMIFS(super1[Qtde],super1[Item],tab_alimentos[[#This Row],[Item]],super1[Bairro],mercado17)+SUMIFS(supercb[Qtde],supercb[Item],tab_alimentos[[#This Row],[Item]],supercb[Bairro],mercado17)</f>
        <v>0</v>
      </c>
      <c r="AC259" s="27" t="n">
        <f aca="false">SUMIFS(super1[Qtde],super1[Item],tab_alimentos[[#This Row],[Item]],super1[Bairro],mercado18)+SUMIFS(supercb[Qtde],supercb[Item],tab_alimentos[[#This Row],[Item]],supercb[Bairro],mercado18)</f>
        <v>0</v>
      </c>
      <c r="AD259" s="27" t="n">
        <f aca="false">SUMIFS(super1[Qtde],super1[Item],tab_alimentos[[#This Row],[Item]],super1[Bairro],extras)+SUMIFS(supercb[Qtde],supercb[Item],tab_alimentos[[#This Row],[Item]],supercb[Bairro],extras)</f>
        <v>0</v>
      </c>
      <c r="AE259" s="27" t="n">
        <f aca="false">SUM(L259:AC259)</f>
        <v>0</v>
      </c>
      <c r="AF259" s="27" t="n">
        <f aca="false">IFERROR(AE259*K259,0)</f>
        <v>0</v>
      </c>
      <c r="AG259" s="28" t="n">
        <f aca="false">IFERROR(J259*AE259,0)</f>
        <v>0</v>
      </c>
      <c r="AH259" s="37" t="e">
        <f aca="false">higiene[[#This Row],[Item]]</f>
        <v>#VALUE!</v>
      </c>
      <c r="AI259" s="38" t="n">
        <f aca="false">IFERROR(higiene[[#This Row],[Kg equivalente]],0)</f>
        <v>0</v>
      </c>
      <c r="AJ259" s="38" t="n">
        <f aca="false">IFERROR(higiene[[#This Row],[Preço por produto]],0)</f>
        <v>0</v>
      </c>
      <c r="AK259" s="27" t="n">
        <f aca="false">SUMIFS(super1[Qtde],super1[Item],tab_higiene[[#This Row],[Item]],super1[Bairro],mercado1)+SUMIFS(supercb[Qtde],supercb[Item],tab_higiene[[#This Row],[Item]],supercb[Bairro],mercado1)</f>
        <v>0</v>
      </c>
      <c r="AL259" s="27" t="n">
        <f aca="false">SUMIFS(super1[Qtde],super1[Item],tab_higiene[[#This Row],[Item]],super1[Bairro],mercado2)+SUMIFS(supercb[Qtde],supercb[Item],tab_higiene[[#This Row],[Item]],supercb[Bairro],mercado2)</f>
        <v>0</v>
      </c>
      <c r="AM259" s="27" t="n">
        <f aca="false">SUMIFS(super1[Qtde],super1[Item],tab_higiene[[#This Row],[Item]],super1[Bairro],mercado3)+SUMIFS(supercb[Qtde],supercb[Item],tab_higiene[[#This Row],[Item]],supercb[Bairro],mercado3)</f>
        <v>0</v>
      </c>
      <c r="AN259" s="27" t="n">
        <f aca="false">SUMIFS(super1[Qtde],super1[Item],tab_higiene[[#This Row],[Item]],super1[Bairro],mercado4)+SUMIFS(supercb[Qtde],supercb[Item],tab_higiene[[#This Row],[Item]],supercb[Bairro],mercado4)</f>
        <v>0</v>
      </c>
      <c r="AO259" s="27" t="n">
        <f aca="false">SUMIFS(super1[Qtde],super1[Item],tab_higiene[[#This Row],[Item]],super1[Bairro],mercado5)+SUMIFS(supercb[Qtde],supercb[Item],tab_higiene[[#This Row],[Item]],supercb[Bairro],mercado5)</f>
        <v>0</v>
      </c>
      <c r="AP259" s="27" t="n">
        <f aca="false">SUMIFS(super1[Qtde],super1[Item],tab_higiene[[#This Row],[Item]],super1[Bairro],mercado6)+SUMIFS(supercb[Qtde],supercb[Item],tab_higiene[[#This Row],[Item]],supercb[Bairro],mercado6)</f>
        <v>0</v>
      </c>
      <c r="AQ259" s="27" t="n">
        <f aca="false">SUMIFS(super1[Qtde],super1[Item],tab_higiene[[#This Row],[Item]],super1[Bairro],mercado7)+SUMIFS(supercb[Qtde],supercb[Item],tab_higiene[[#This Row],[Item]],supercb[Bairro],mercado7)</f>
        <v>0</v>
      </c>
      <c r="AR259" s="27" t="n">
        <f aca="false">SUMIFS(super1[Qtde],super1[Item],tab_higiene[[#This Row],[Item]],super1[Bairro],mercado8)+SUMIFS(supercb[Qtde],supercb[Item],tab_higiene[[#This Row],[Item]],supercb[Bairro],mercado8)</f>
        <v>0</v>
      </c>
      <c r="AS259" s="27" t="n">
        <f aca="false">SUMIFS(super1[Qtde],super1[Item],tab_higiene[[#This Row],[Item]],super1[Bairro],mercado9)+SUMIFS(supercb[Qtde],supercb[Item],tab_higiene[[#This Row],[Item]],supercb[Bairro],mercado9)</f>
        <v>0</v>
      </c>
      <c r="AT259" s="27" t="n">
        <f aca="false">SUMIFS(super1[Qtde],super1[Item],tab_higiene[[#This Row],[Item]],super1[Bairro],mercado10)+SUMIFS(supercb[Qtde],supercb[Item],tab_higiene[[#This Row],[Item]],supercb[Bairro],mercado10)</f>
        <v>0</v>
      </c>
      <c r="AU259" s="27" t="n">
        <f aca="false">SUMIFS(super1[Qtde],super1[Item],tab_higiene[[#This Row],[Item]],super1[Bairro],mercado11)+SUMIFS(supercb[Qtde],supercb[Item],tab_higiene[[#This Row],[Item]],supercb[Bairro],mercado11)</f>
        <v>0</v>
      </c>
      <c r="AV259" s="27" t="n">
        <f aca="false">SUMIFS(super1[Qtde],super1[Item],tab_higiene[[#This Row],[Item]],super1[Bairro],mercado12)+SUMIFS(supercb[Qtde],supercb[Item],tab_higiene[[#This Row],[Item]],supercb[Bairro],mercado12)</f>
        <v>0</v>
      </c>
      <c r="AW259" s="27" t="n">
        <f aca="false">SUMIFS(super1[Qtde],super1[Item],tab_higiene[[#This Row],[Item]],super1[Bairro],mercado13)+SUMIFS(supercb[Qtde],supercb[Item],tab_higiene[[#This Row],[Item]],supercb[Bairro],mercado13)</f>
        <v>0</v>
      </c>
      <c r="AX259" s="27" t="n">
        <f aca="false">SUMIFS(super1[Qtde],super1[Item],tab_higiene[[#This Row],[Item]],super1[Bairro],mercado14)+SUMIFS(supercb[Qtde],supercb[Item],tab_higiene[[#This Row],[Item]],supercb[Bairro],mercado14)</f>
        <v>0</v>
      </c>
      <c r="AY259" s="27" t="n">
        <f aca="false">SUMIFS(super1[Qtde],super1[Item],tab_higiene[[#This Row],[Item]],super1[Bairro],mercado15)+SUMIFS(supercb[Qtde],supercb[Item],tab_higiene[[#This Row],[Item]],supercb[Bairro],mercado15)</f>
        <v>0</v>
      </c>
      <c r="AZ259" s="27" t="n">
        <f aca="false">SUMIFS(super1[Qtde],super1[Item],tab_higiene[[#This Row],[Item]],super1[Bairro],mercado16)+SUMIFS(supercb[Qtde],supercb[Item],tab_higiene[[#This Row],[Item]],supercb[Bairro],mercado16)</f>
        <v>0</v>
      </c>
      <c r="BA259" s="27" t="n">
        <f aca="false">SUMIFS(super1[Qtde],super1[Item],tab_higiene[[#This Row],[Item]],super1[Bairro],mercado17)+SUMIFS(supercb[Qtde],supercb[Item],tab_higiene[[#This Row],[Item]],supercb[Bairro],mercado17)</f>
        <v>0</v>
      </c>
      <c r="BB259" s="27" t="n">
        <f aca="false">SUMIFS(super1[Qtde],super1[Item],tab_higiene[[#This Row],[Item]],super1[Bairro],mercado18)+SUMIFS(supercb[Qtde],supercb[Item],tab_higiene[[#This Row],[Item]],supercb[Bairro],mercado18)</f>
        <v>0</v>
      </c>
      <c r="BC259" s="39" t="n">
        <f aca="false">SUMIFS(super1[Qtde],super1[Item],tab_higiene[[#This Row],[Item]],super1[Bairro],extras)+SUMIFS(supercb[Qtde],supercb[Item],tab_higiene[[#This Row],[Item]],supercb[Bairro],extras)</f>
        <v>0</v>
      </c>
      <c r="BD259" s="38" t="n">
        <f aca="false">SUM(AK259:BB259)</f>
        <v>0</v>
      </c>
      <c r="BE259" s="38" t="n">
        <f aca="false">IFERROR(BD259*AJ259,0)</f>
        <v>0</v>
      </c>
      <c r="BF259" s="40" t="n">
        <f aca="false">IFERROR(AI259*BD259,0)</f>
        <v>0</v>
      </c>
    </row>
    <row r="260" customFormat="false" ht="15.75" hidden="false" customHeight="false" outlineLevel="0" collapsed="false">
      <c r="I260" s="26" t="str">
        <f aca="false">alimentos[[#This Row],[Item]]</f>
        <v>Torrada</v>
      </c>
      <c r="J260" s="27" t="n">
        <f aca="false">IFERROR(alimentos[[#This Row],[kg/embalagem]],0)</f>
        <v>0.14</v>
      </c>
      <c r="K260" s="27" t="n">
        <f aca="false">IFERROR(alimentos[[#This Row],[Preço]],0)</f>
        <v>2.44833333333333</v>
      </c>
      <c r="L260" s="27" t="n">
        <f aca="false">SUMIFS(super1[Qtde],super1[Item],tab_alimentos[[#This Row],[Item]],super1[Bairro],mercado1)+SUMIFS(supercb[Qtde],supercb[Item],tab_alimentos[[#This Row],[Item]],supercb[Bairro],mercado1)</f>
        <v>0</v>
      </c>
      <c r="M260" s="27" t="n">
        <f aca="false">SUMIFS(super1[Qtde],super1[Item],tab_alimentos[[#This Row],[Item]],super1[Bairro],mercado2)+SUMIFS(supercb[Qtde],supercb[Item],tab_alimentos[[#This Row],[Item]],supercb[Bairro],mercado2)</f>
        <v>0</v>
      </c>
      <c r="N260" s="27" t="n">
        <f aca="false">SUMIFS(super1[Qtde],super1[Item],tab_alimentos[[#This Row],[Item]],super1[Bairro],mercado3)+SUMIFS(supercb[Qtde],supercb[Item],tab_alimentos[[#This Row],[Item]],supercb[Bairro],mercado3)</f>
        <v>0</v>
      </c>
      <c r="O260" s="27" t="n">
        <f aca="false">SUMIFS(super1[Qtde],super1[Item],tab_alimentos[[#This Row],[Item]],super1[Bairro],mercado4)+SUMIFS(supercb[Qtde],supercb[Item],tab_alimentos[[#This Row],[Item]],supercb[Bairro],mercado4)</f>
        <v>0</v>
      </c>
      <c r="P260" s="27" t="n">
        <f aca="false">SUMIFS(super1[Qtde],super1[Item],tab_alimentos[[#This Row],[Item]],super1[Bairro],mercado5)+SUMIFS(supercb[Qtde],supercb[Item],tab_alimentos[[#This Row],[Item]],supercb[Bairro],mercado5)</f>
        <v>0</v>
      </c>
      <c r="Q260" s="27" t="n">
        <f aca="false">SUMIFS(super1[Qtde],super1[Item],tab_alimentos[[#This Row],[Item]],super1[Bairro],mercado6)+SUMIFS(supercb[Qtde],supercb[Item],tab_alimentos[[#This Row],[Item]],supercb[Bairro],mercado6)</f>
        <v>0</v>
      </c>
      <c r="R260" s="27" t="n">
        <f aca="false">SUMIFS(super1[Qtde],super1[Item],tab_alimentos[[#This Row],[Item]],super1[Bairro],mercado7)+SUMIFS(supercb[Qtde],supercb[Item],tab_alimentos[[#This Row],[Item]],supercb[Bairro],mercado7)</f>
        <v>0</v>
      </c>
      <c r="S260" s="27" t="n">
        <f aca="false">SUMIFS(super1[Qtde],super1[Item],tab_alimentos[[#This Row],[Item]],super1[Bairro],mercado8)+SUMIFS(supercb[Qtde],supercb[Item],tab_alimentos[[#This Row],[Item]],supercb[Bairro],mercado8)</f>
        <v>0</v>
      </c>
      <c r="T260" s="27" t="n">
        <f aca="false">SUMIFS(super1[Qtde],super1[Item],tab_alimentos[[#This Row],[Item]],super1[Bairro],mercado9)+SUMIFS(supercb[Qtde],supercb[Item],tab_alimentos[[#This Row],[Item]],supercb[Bairro],mercado9)</f>
        <v>0</v>
      </c>
      <c r="U260" s="27" t="n">
        <f aca="false">SUMIFS(super1[Qtde],super1[Item],tab_alimentos[[#This Row],[Item]],super1[Bairro],mercado10)+SUMIFS(supercb[Qtde],supercb[Item],tab_alimentos[[#This Row],[Item]],supercb[Bairro],mercado10)</f>
        <v>1</v>
      </c>
      <c r="V260" s="27" t="n">
        <f aca="false">SUMIFS(super1[Qtde],super1[Item],tab_alimentos[[#This Row],[Item]],super1[Bairro],mercado11)+SUMIFS(supercb[Qtde],supercb[Item],tab_alimentos[[#This Row],[Item]],supercb[Bairro],mercado11)</f>
        <v>0</v>
      </c>
      <c r="W260" s="27" t="n">
        <f aca="false">SUMIFS(super1[Qtde],super1[Item],tab_alimentos[[#This Row],[Item]],super1[Bairro],mercado12)+SUMIFS(supercb[Qtde],supercb[Item],tab_alimentos[[#This Row],[Item]],supercb[Bairro],mercado12)</f>
        <v>0</v>
      </c>
      <c r="X260" s="27" t="n">
        <f aca="false">SUMIFS(super1[Qtde],super1[Item],tab_alimentos[[#This Row],[Item]],super1[Bairro],mercado13)+SUMIFS(supercb[Qtde],supercb[Item],tab_alimentos[[#This Row],[Item]],supercb[Bairro],mercado13)</f>
        <v>1</v>
      </c>
      <c r="Y260" s="27" t="n">
        <f aca="false">SUMIFS(super1[Qtde],super1[Item],tab_alimentos[[#This Row],[Item]],super1[Bairro],mercado14)+SUMIFS(supercb[Qtde],supercb[Item],tab_alimentos[[#This Row],[Item]],supercb[Bairro],mercado14)</f>
        <v>0</v>
      </c>
      <c r="Z260" s="27" t="n">
        <f aca="false">SUMIFS(super1[Qtde],super1[Item],tab_alimentos[[#This Row],[Item]],super1[Bairro],mercado15)+SUMIFS(supercb[Qtde],supercb[Item],tab_alimentos[[#This Row],[Item]],supercb[Bairro],mercado15)</f>
        <v>0</v>
      </c>
      <c r="AA260" s="27" t="n">
        <f aca="false">SUMIFS(super1[Qtde],super1[Item],tab_alimentos[[#This Row],[Item]],super1[Bairro],mercado16)+SUMIFS(supercb[Qtde],supercb[Item],tab_alimentos[[#This Row],[Item]],supercb[Bairro],mercado16)</f>
        <v>0</v>
      </c>
      <c r="AB260" s="27" t="n">
        <f aca="false">SUMIFS(super1[Qtde],super1[Item],tab_alimentos[[#This Row],[Item]],super1[Bairro],mercado17)+SUMIFS(supercb[Qtde],supercb[Item],tab_alimentos[[#This Row],[Item]],supercb[Bairro],mercado17)</f>
        <v>0</v>
      </c>
      <c r="AC260" s="27" t="n">
        <f aca="false">SUMIFS(super1[Qtde],super1[Item],tab_alimentos[[#This Row],[Item]],super1[Bairro],mercado18)+SUMIFS(supercb[Qtde],supercb[Item],tab_alimentos[[#This Row],[Item]],supercb[Bairro],mercado18)</f>
        <v>0</v>
      </c>
      <c r="AD260" s="27" t="n">
        <f aca="false">SUMIFS(super1[Qtde],super1[Item],tab_alimentos[[#This Row],[Item]],super1[Bairro],extras)+SUMIFS(supercb[Qtde],supercb[Item],tab_alimentos[[#This Row],[Item]],supercb[Bairro],extras)</f>
        <v>0</v>
      </c>
      <c r="AE260" s="27" t="n">
        <f aca="false">SUM(L260:AC260)</f>
        <v>2</v>
      </c>
      <c r="AF260" s="27" t="n">
        <f aca="false">IFERROR(AE260*K260,0)</f>
        <v>4.89666666666667</v>
      </c>
      <c r="AG260" s="28" t="n">
        <f aca="false">IFERROR(J260*AE260,0)</f>
        <v>0.28</v>
      </c>
      <c r="AH260" s="37" t="e">
        <f aca="false">higiene[[#This Row],[Item]]</f>
        <v>#VALUE!</v>
      </c>
      <c r="AI260" s="38" t="n">
        <f aca="false">IFERROR(higiene[[#This Row],[Kg equivalente]],0)</f>
        <v>0</v>
      </c>
      <c r="AJ260" s="38" t="n">
        <f aca="false">IFERROR(higiene[[#This Row],[Preço por produto]],0)</f>
        <v>0</v>
      </c>
      <c r="AK260" s="27" t="n">
        <f aca="false">SUMIFS(super1[Qtde],super1[Item],tab_higiene[[#This Row],[Item]],super1[Bairro],mercado1)+SUMIFS(supercb[Qtde],supercb[Item],tab_higiene[[#This Row],[Item]],supercb[Bairro],mercado1)</f>
        <v>0</v>
      </c>
      <c r="AL260" s="27" t="n">
        <f aca="false">SUMIFS(super1[Qtde],super1[Item],tab_higiene[[#This Row],[Item]],super1[Bairro],mercado2)+SUMIFS(supercb[Qtde],supercb[Item],tab_higiene[[#This Row],[Item]],supercb[Bairro],mercado2)</f>
        <v>0</v>
      </c>
      <c r="AM260" s="27" t="n">
        <f aca="false">SUMIFS(super1[Qtde],super1[Item],tab_higiene[[#This Row],[Item]],super1[Bairro],mercado3)+SUMIFS(supercb[Qtde],supercb[Item],tab_higiene[[#This Row],[Item]],supercb[Bairro],mercado3)</f>
        <v>0</v>
      </c>
      <c r="AN260" s="27" t="n">
        <f aca="false">SUMIFS(super1[Qtde],super1[Item],tab_higiene[[#This Row],[Item]],super1[Bairro],mercado4)+SUMIFS(supercb[Qtde],supercb[Item],tab_higiene[[#This Row],[Item]],supercb[Bairro],mercado4)</f>
        <v>0</v>
      </c>
      <c r="AO260" s="27" t="n">
        <f aca="false">SUMIFS(super1[Qtde],super1[Item],tab_higiene[[#This Row],[Item]],super1[Bairro],mercado5)+SUMIFS(supercb[Qtde],supercb[Item],tab_higiene[[#This Row],[Item]],supercb[Bairro],mercado5)</f>
        <v>0</v>
      </c>
      <c r="AP260" s="27" t="n">
        <f aca="false">SUMIFS(super1[Qtde],super1[Item],tab_higiene[[#This Row],[Item]],super1[Bairro],mercado6)+SUMIFS(supercb[Qtde],supercb[Item],tab_higiene[[#This Row],[Item]],supercb[Bairro],mercado6)</f>
        <v>0</v>
      </c>
      <c r="AQ260" s="27" t="n">
        <f aca="false">SUMIFS(super1[Qtde],super1[Item],tab_higiene[[#This Row],[Item]],super1[Bairro],mercado7)+SUMIFS(supercb[Qtde],supercb[Item],tab_higiene[[#This Row],[Item]],supercb[Bairro],mercado7)</f>
        <v>0</v>
      </c>
      <c r="AR260" s="27" t="n">
        <f aca="false">SUMIFS(super1[Qtde],super1[Item],tab_higiene[[#This Row],[Item]],super1[Bairro],mercado8)+SUMIFS(supercb[Qtde],supercb[Item],tab_higiene[[#This Row],[Item]],supercb[Bairro],mercado8)</f>
        <v>0</v>
      </c>
      <c r="AS260" s="27" t="n">
        <f aca="false">SUMIFS(super1[Qtde],super1[Item],tab_higiene[[#This Row],[Item]],super1[Bairro],mercado9)+SUMIFS(supercb[Qtde],supercb[Item],tab_higiene[[#This Row],[Item]],supercb[Bairro],mercado9)</f>
        <v>0</v>
      </c>
      <c r="AT260" s="27" t="n">
        <f aca="false">SUMIFS(super1[Qtde],super1[Item],tab_higiene[[#This Row],[Item]],super1[Bairro],mercado10)+SUMIFS(supercb[Qtde],supercb[Item],tab_higiene[[#This Row],[Item]],supercb[Bairro],mercado10)</f>
        <v>0</v>
      </c>
      <c r="AU260" s="27" t="n">
        <f aca="false">SUMIFS(super1[Qtde],super1[Item],tab_higiene[[#This Row],[Item]],super1[Bairro],mercado11)+SUMIFS(supercb[Qtde],supercb[Item],tab_higiene[[#This Row],[Item]],supercb[Bairro],mercado11)</f>
        <v>0</v>
      </c>
      <c r="AV260" s="27" t="n">
        <f aca="false">SUMIFS(super1[Qtde],super1[Item],tab_higiene[[#This Row],[Item]],super1[Bairro],mercado12)+SUMIFS(supercb[Qtde],supercb[Item],tab_higiene[[#This Row],[Item]],supercb[Bairro],mercado12)</f>
        <v>0</v>
      </c>
      <c r="AW260" s="27" t="n">
        <f aca="false">SUMIFS(super1[Qtde],super1[Item],tab_higiene[[#This Row],[Item]],super1[Bairro],mercado13)+SUMIFS(supercb[Qtde],supercb[Item],tab_higiene[[#This Row],[Item]],supercb[Bairro],mercado13)</f>
        <v>0</v>
      </c>
      <c r="AX260" s="27" t="n">
        <f aca="false">SUMIFS(super1[Qtde],super1[Item],tab_higiene[[#This Row],[Item]],super1[Bairro],mercado14)+SUMIFS(supercb[Qtde],supercb[Item],tab_higiene[[#This Row],[Item]],supercb[Bairro],mercado14)</f>
        <v>0</v>
      </c>
      <c r="AY260" s="27" t="n">
        <f aca="false">SUMIFS(super1[Qtde],super1[Item],tab_higiene[[#This Row],[Item]],super1[Bairro],mercado15)+SUMIFS(supercb[Qtde],supercb[Item],tab_higiene[[#This Row],[Item]],supercb[Bairro],mercado15)</f>
        <v>0</v>
      </c>
      <c r="AZ260" s="27" t="n">
        <f aca="false">SUMIFS(super1[Qtde],super1[Item],tab_higiene[[#This Row],[Item]],super1[Bairro],mercado16)+SUMIFS(supercb[Qtde],supercb[Item],tab_higiene[[#This Row],[Item]],supercb[Bairro],mercado16)</f>
        <v>0</v>
      </c>
      <c r="BA260" s="27" t="n">
        <f aca="false">SUMIFS(super1[Qtde],super1[Item],tab_higiene[[#This Row],[Item]],super1[Bairro],mercado17)+SUMIFS(supercb[Qtde],supercb[Item],tab_higiene[[#This Row],[Item]],supercb[Bairro],mercado17)</f>
        <v>0</v>
      </c>
      <c r="BB260" s="27" t="n">
        <f aca="false">SUMIFS(super1[Qtde],super1[Item],tab_higiene[[#This Row],[Item]],super1[Bairro],mercado18)+SUMIFS(supercb[Qtde],supercb[Item],tab_higiene[[#This Row],[Item]],supercb[Bairro],mercado18)</f>
        <v>0</v>
      </c>
      <c r="BC260" s="39" t="n">
        <f aca="false">SUMIFS(super1[Qtde],super1[Item],tab_higiene[[#This Row],[Item]],super1[Bairro],extras)+SUMIFS(supercb[Qtde],supercb[Item],tab_higiene[[#This Row],[Item]],supercb[Bairro],extras)</f>
        <v>0</v>
      </c>
      <c r="BD260" s="38" t="n">
        <f aca="false">SUM(AK260:BB260)</f>
        <v>0</v>
      </c>
      <c r="BE260" s="38" t="n">
        <f aca="false">IFERROR(BD260*AJ260,0)</f>
        <v>0</v>
      </c>
      <c r="BF260" s="40" t="n">
        <f aca="false">IFERROR(AI260*BD260,0)</f>
        <v>0</v>
      </c>
    </row>
    <row r="261" customFormat="false" ht="15.75" hidden="false" customHeight="false" outlineLevel="0" collapsed="false">
      <c r="I261" s="26" t="str">
        <f aca="false">alimentos[[#This Row],[Item]]</f>
        <v>Trigo pra Kibe</v>
      </c>
      <c r="J261" s="27" t="n">
        <f aca="false">IFERROR(alimentos[[#This Row],[kg/embalagem]],0)</f>
        <v>0.5</v>
      </c>
      <c r="K261" s="27" t="n">
        <f aca="false">IFERROR(alimentos[[#This Row],[Preço]],0)</f>
        <v>4.0125</v>
      </c>
      <c r="L261" s="27" t="n">
        <f aca="false">SUMIFS(super1[Qtde],super1[Item],tab_alimentos[[#This Row],[Item]],super1[Bairro],mercado1)+SUMIFS(supercb[Qtde],supercb[Item],tab_alimentos[[#This Row],[Item]],supercb[Bairro],mercado1)</f>
        <v>0</v>
      </c>
      <c r="M261" s="27" t="n">
        <f aca="false">SUMIFS(super1[Qtde],super1[Item],tab_alimentos[[#This Row],[Item]],super1[Bairro],mercado2)+SUMIFS(supercb[Qtde],supercb[Item],tab_alimentos[[#This Row],[Item]],supercb[Bairro],mercado2)</f>
        <v>0</v>
      </c>
      <c r="N261" s="27" t="n">
        <f aca="false">SUMIFS(super1[Qtde],super1[Item],tab_alimentos[[#This Row],[Item]],super1[Bairro],mercado3)+SUMIFS(supercb[Qtde],supercb[Item],tab_alimentos[[#This Row],[Item]],supercb[Bairro],mercado3)</f>
        <v>0</v>
      </c>
      <c r="O261" s="27" t="n">
        <f aca="false">SUMIFS(super1[Qtde],super1[Item],tab_alimentos[[#This Row],[Item]],super1[Bairro],mercado4)+SUMIFS(supercb[Qtde],supercb[Item],tab_alimentos[[#This Row],[Item]],supercb[Bairro],mercado4)</f>
        <v>0</v>
      </c>
      <c r="P261" s="27" t="n">
        <f aca="false">SUMIFS(super1[Qtde],super1[Item],tab_alimentos[[#This Row],[Item]],super1[Bairro],mercado5)+SUMIFS(supercb[Qtde],supercb[Item],tab_alimentos[[#This Row],[Item]],supercb[Bairro],mercado5)</f>
        <v>0</v>
      </c>
      <c r="Q261" s="27" t="n">
        <f aca="false">SUMIFS(super1[Qtde],super1[Item],tab_alimentos[[#This Row],[Item]],super1[Bairro],mercado6)+SUMIFS(supercb[Qtde],supercb[Item],tab_alimentos[[#This Row],[Item]],supercb[Bairro],mercado6)</f>
        <v>0</v>
      </c>
      <c r="R261" s="27" t="n">
        <f aca="false">SUMIFS(super1[Qtde],super1[Item],tab_alimentos[[#This Row],[Item]],super1[Bairro],mercado7)+SUMIFS(supercb[Qtde],supercb[Item],tab_alimentos[[#This Row],[Item]],supercb[Bairro],mercado7)</f>
        <v>0</v>
      </c>
      <c r="S261" s="27" t="n">
        <f aca="false">SUMIFS(super1[Qtde],super1[Item],tab_alimentos[[#This Row],[Item]],super1[Bairro],mercado8)+SUMIFS(supercb[Qtde],supercb[Item],tab_alimentos[[#This Row],[Item]],supercb[Bairro],mercado8)</f>
        <v>0</v>
      </c>
      <c r="T261" s="27" t="n">
        <f aca="false">SUMIFS(super1[Qtde],super1[Item],tab_alimentos[[#This Row],[Item]],super1[Bairro],mercado9)+SUMIFS(supercb[Qtde],supercb[Item],tab_alimentos[[#This Row],[Item]],supercb[Bairro],mercado9)</f>
        <v>0</v>
      </c>
      <c r="U261" s="27" t="n">
        <f aca="false">SUMIFS(super1[Qtde],super1[Item],tab_alimentos[[#This Row],[Item]],super1[Bairro],mercado10)+SUMIFS(supercb[Qtde],supercb[Item],tab_alimentos[[#This Row],[Item]],supercb[Bairro],mercado10)</f>
        <v>0</v>
      </c>
      <c r="V261" s="27" t="n">
        <f aca="false">SUMIFS(super1[Qtde],super1[Item],tab_alimentos[[#This Row],[Item]],super1[Bairro],mercado11)+SUMIFS(supercb[Qtde],supercb[Item],tab_alimentos[[#This Row],[Item]],supercb[Bairro],mercado11)</f>
        <v>0</v>
      </c>
      <c r="W261" s="27" t="n">
        <f aca="false">SUMIFS(super1[Qtde],super1[Item],tab_alimentos[[#This Row],[Item]],super1[Bairro],mercado12)+SUMIFS(supercb[Qtde],supercb[Item],tab_alimentos[[#This Row],[Item]],supercb[Bairro],mercado12)</f>
        <v>0</v>
      </c>
      <c r="X261" s="27" t="n">
        <f aca="false">SUMIFS(super1[Qtde],super1[Item],tab_alimentos[[#This Row],[Item]],super1[Bairro],mercado13)+SUMIFS(supercb[Qtde],supercb[Item],tab_alimentos[[#This Row],[Item]],supercb[Bairro],mercado13)</f>
        <v>0</v>
      </c>
      <c r="Y261" s="27" t="n">
        <f aca="false">SUMIFS(super1[Qtde],super1[Item],tab_alimentos[[#This Row],[Item]],super1[Bairro],mercado14)+SUMIFS(supercb[Qtde],supercb[Item],tab_alimentos[[#This Row],[Item]],supercb[Bairro],mercado14)</f>
        <v>0</v>
      </c>
      <c r="Z261" s="27" t="n">
        <f aca="false">SUMIFS(super1[Qtde],super1[Item],tab_alimentos[[#This Row],[Item]],super1[Bairro],mercado15)+SUMIFS(supercb[Qtde],supercb[Item],tab_alimentos[[#This Row],[Item]],supercb[Bairro],mercado15)</f>
        <v>0</v>
      </c>
      <c r="AA261" s="27" t="n">
        <f aca="false">SUMIFS(super1[Qtde],super1[Item],tab_alimentos[[#This Row],[Item]],super1[Bairro],mercado16)+SUMIFS(supercb[Qtde],supercb[Item],tab_alimentos[[#This Row],[Item]],supercb[Bairro],mercado16)</f>
        <v>0</v>
      </c>
      <c r="AB261" s="27" t="n">
        <f aca="false">SUMIFS(super1[Qtde],super1[Item],tab_alimentos[[#This Row],[Item]],super1[Bairro],mercado17)+SUMIFS(supercb[Qtde],supercb[Item],tab_alimentos[[#This Row],[Item]],supercb[Bairro],mercado17)</f>
        <v>0</v>
      </c>
      <c r="AC261" s="27" t="n">
        <f aca="false">SUMIFS(super1[Qtde],super1[Item],tab_alimentos[[#This Row],[Item]],super1[Bairro],mercado18)+SUMIFS(supercb[Qtde],supercb[Item],tab_alimentos[[#This Row],[Item]],supercb[Bairro],mercado18)</f>
        <v>0</v>
      </c>
      <c r="AD261" s="27" t="n">
        <f aca="false">SUMIFS(super1[Qtde],super1[Item],tab_alimentos[[#This Row],[Item]],super1[Bairro],extras)+SUMIFS(supercb[Qtde],supercb[Item],tab_alimentos[[#This Row],[Item]],supercb[Bairro],extras)</f>
        <v>0</v>
      </c>
      <c r="AE261" s="27" t="n">
        <f aca="false">SUM(L261:AC261)</f>
        <v>0</v>
      </c>
      <c r="AF261" s="27" t="n">
        <f aca="false">IFERROR(AE261*K261,0)</f>
        <v>0</v>
      </c>
      <c r="AG261" s="28" t="n">
        <f aca="false">IFERROR(J261*AE261,0)</f>
        <v>0</v>
      </c>
      <c r="AH261" s="37" t="e">
        <f aca="false">higiene[[#This Row],[Item]]</f>
        <v>#VALUE!</v>
      </c>
      <c r="AI261" s="38" t="n">
        <f aca="false">IFERROR(higiene[[#This Row],[Kg equivalente]],0)</f>
        <v>0</v>
      </c>
      <c r="AJ261" s="38" t="n">
        <f aca="false">IFERROR(higiene[[#This Row],[Preço por produto]],0)</f>
        <v>0</v>
      </c>
      <c r="AK261" s="27" t="n">
        <f aca="false">SUMIFS(super1[Qtde],super1[Item],tab_higiene[[#This Row],[Item]],super1[Bairro],mercado1)+SUMIFS(supercb[Qtde],supercb[Item],tab_higiene[[#This Row],[Item]],supercb[Bairro],mercado1)</f>
        <v>0</v>
      </c>
      <c r="AL261" s="27" t="n">
        <f aca="false">SUMIFS(super1[Qtde],super1[Item],tab_higiene[[#This Row],[Item]],super1[Bairro],mercado2)+SUMIFS(supercb[Qtde],supercb[Item],tab_higiene[[#This Row],[Item]],supercb[Bairro],mercado2)</f>
        <v>0</v>
      </c>
      <c r="AM261" s="27" t="n">
        <f aca="false">SUMIFS(super1[Qtde],super1[Item],tab_higiene[[#This Row],[Item]],super1[Bairro],mercado3)+SUMIFS(supercb[Qtde],supercb[Item],tab_higiene[[#This Row],[Item]],supercb[Bairro],mercado3)</f>
        <v>0</v>
      </c>
      <c r="AN261" s="27" t="n">
        <f aca="false">SUMIFS(super1[Qtde],super1[Item],tab_higiene[[#This Row],[Item]],super1[Bairro],mercado4)+SUMIFS(supercb[Qtde],supercb[Item],tab_higiene[[#This Row],[Item]],supercb[Bairro],mercado4)</f>
        <v>0</v>
      </c>
      <c r="AO261" s="27" t="n">
        <f aca="false">SUMIFS(super1[Qtde],super1[Item],tab_higiene[[#This Row],[Item]],super1[Bairro],mercado5)+SUMIFS(supercb[Qtde],supercb[Item],tab_higiene[[#This Row],[Item]],supercb[Bairro],mercado5)</f>
        <v>0</v>
      </c>
      <c r="AP261" s="27" t="n">
        <f aca="false">SUMIFS(super1[Qtde],super1[Item],tab_higiene[[#This Row],[Item]],super1[Bairro],mercado6)+SUMIFS(supercb[Qtde],supercb[Item],tab_higiene[[#This Row],[Item]],supercb[Bairro],mercado6)</f>
        <v>0</v>
      </c>
      <c r="AQ261" s="27" t="n">
        <f aca="false">SUMIFS(super1[Qtde],super1[Item],tab_higiene[[#This Row],[Item]],super1[Bairro],mercado7)+SUMIFS(supercb[Qtde],supercb[Item],tab_higiene[[#This Row],[Item]],supercb[Bairro],mercado7)</f>
        <v>0</v>
      </c>
      <c r="AR261" s="27" t="n">
        <f aca="false">SUMIFS(super1[Qtde],super1[Item],tab_higiene[[#This Row],[Item]],super1[Bairro],mercado8)+SUMIFS(supercb[Qtde],supercb[Item],tab_higiene[[#This Row],[Item]],supercb[Bairro],mercado8)</f>
        <v>0</v>
      </c>
      <c r="AS261" s="27" t="n">
        <f aca="false">SUMIFS(super1[Qtde],super1[Item],tab_higiene[[#This Row],[Item]],super1[Bairro],mercado9)+SUMIFS(supercb[Qtde],supercb[Item],tab_higiene[[#This Row],[Item]],supercb[Bairro],mercado9)</f>
        <v>0</v>
      </c>
      <c r="AT261" s="27" t="n">
        <f aca="false">SUMIFS(super1[Qtde],super1[Item],tab_higiene[[#This Row],[Item]],super1[Bairro],mercado10)+SUMIFS(supercb[Qtde],supercb[Item],tab_higiene[[#This Row],[Item]],supercb[Bairro],mercado10)</f>
        <v>0</v>
      </c>
      <c r="AU261" s="27" t="n">
        <f aca="false">SUMIFS(super1[Qtde],super1[Item],tab_higiene[[#This Row],[Item]],super1[Bairro],mercado11)+SUMIFS(supercb[Qtde],supercb[Item],tab_higiene[[#This Row],[Item]],supercb[Bairro],mercado11)</f>
        <v>0</v>
      </c>
      <c r="AV261" s="27" t="n">
        <f aca="false">SUMIFS(super1[Qtde],super1[Item],tab_higiene[[#This Row],[Item]],super1[Bairro],mercado12)+SUMIFS(supercb[Qtde],supercb[Item],tab_higiene[[#This Row],[Item]],supercb[Bairro],mercado12)</f>
        <v>0</v>
      </c>
      <c r="AW261" s="27" t="n">
        <f aca="false">SUMIFS(super1[Qtde],super1[Item],tab_higiene[[#This Row],[Item]],super1[Bairro],mercado13)+SUMIFS(supercb[Qtde],supercb[Item],tab_higiene[[#This Row],[Item]],supercb[Bairro],mercado13)</f>
        <v>0</v>
      </c>
      <c r="AX261" s="27" t="n">
        <f aca="false">SUMIFS(super1[Qtde],super1[Item],tab_higiene[[#This Row],[Item]],super1[Bairro],mercado14)+SUMIFS(supercb[Qtde],supercb[Item],tab_higiene[[#This Row],[Item]],supercb[Bairro],mercado14)</f>
        <v>0</v>
      </c>
      <c r="AY261" s="27" t="n">
        <f aca="false">SUMIFS(super1[Qtde],super1[Item],tab_higiene[[#This Row],[Item]],super1[Bairro],mercado15)+SUMIFS(supercb[Qtde],supercb[Item],tab_higiene[[#This Row],[Item]],supercb[Bairro],mercado15)</f>
        <v>0</v>
      </c>
      <c r="AZ261" s="27" t="n">
        <f aca="false">SUMIFS(super1[Qtde],super1[Item],tab_higiene[[#This Row],[Item]],super1[Bairro],mercado16)+SUMIFS(supercb[Qtde],supercb[Item],tab_higiene[[#This Row],[Item]],supercb[Bairro],mercado16)</f>
        <v>0</v>
      </c>
      <c r="BA261" s="27" t="n">
        <f aca="false">SUMIFS(super1[Qtde],super1[Item],tab_higiene[[#This Row],[Item]],super1[Bairro],mercado17)+SUMIFS(supercb[Qtde],supercb[Item],tab_higiene[[#This Row],[Item]],supercb[Bairro],mercado17)</f>
        <v>0</v>
      </c>
      <c r="BB261" s="27" t="n">
        <f aca="false">SUMIFS(super1[Qtde],super1[Item],tab_higiene[[#This Row],[Item]],super1[Bairro],mercado18)+SUMIFS(supercb[Qtde],supercb[Item],tab_higiene[[#This Row],[Item]],supercb[Bairro],mercado18)</f>
        <v>0</v>
      </c>
      <c r="BC261" s="39" t="n">
        <f aca="false">SUMIFS(super1[Qtde],super1[Item],tab_higiene[[#This Row],[Item]],super1[Bairro],extras)+SUMIFS(supercb[Qtde],supercb[Item],tab_higiene[[#This Row],[Item]],supercb[Bairro],extras)</f>
        <v>0</v>
      </c>
      <c r="BD261" s="38" t="n">
        <f aca="false">SUM(AK261:BB261)</f>
        <v>0</v>
      </c>
      <c r="BE261" s="38" t="n">
        <f aca="false">IFERROR(BD261*AJ261,0)</f>
        <v>0</v>
      </c>
      <c r="BF261" s="40" t="n">
        <f aca="false">IFERROR(AI261*BD261,0)</f>
        <v>0</v>
      </c>
    </row>
    <row r="262" customFormat="false" ht="15.75" hidden="false" customHeight="false" outlineLevel="0" collapsed="false">
      <c r="I262" s="26" t="str">
        <f aca="false">alimentos[[#This Row],[Item]]</f>
        <v>U</v>
      </c>
      <c r="J262" s="27" t="n">
        <f aca="false">IFERROR(alimentos[[#This Row],[kg/embalagem]],0)</f>
        <v>0</v>
      </c>
      <c r="K262" s="27" t="n">
        <f aca="false">IFERROR(alimentos[[#This Row],[Preço]],0)</f>
        <v>0</v>
      </c>
      <c r="L262" s="27" t="n">
        <f aca="false">SUMIFS(super1[Qtde],super1[Item],tab_alimentos[[#This Row],[Item]],super1[Bairro],mercado1)+SUMIFS(supercb[Qtde],supercb[Item],tab_alimentos[[#This Row],[Item]],supercb[Bairro],mercado1)</f>
        <v>0</v>
      </c>
      <c r="M262" s="27" t="n">
        <f aca="false">SUMIFS(super1[Qtde],super1[Item],tab_alimentos[[#This Row],[Item]],super1[Bairro],mercado2)+SUMIFS(supercb[Qtde],supercb[Item],tab_alimentos[[#This Row],[Item]],supercb[Bairro],mercado2)</f>
        <v>0</v>
      </c>
      <c r="N262" s="27" t="n">
        <f aca="false">SUMIFS(super1[Qtde],super1[Item],tab_alimentos[[#This Row],[Item]],super1[Bairro],mercado3)+SUMIFS(supercb[Qtde],supercb[Item],tab_alimentos[[#This Row],[Item]],supercb[Bairro],mercado3)</f>
        <v>0</v>
      </c>
      <c r="O262" s="27" t="n">
        <f aca="false">SUMIFS(super1[Qtde],super1[Item],tab_alimentos[[#This Row],[Item]],super1[Bairro],mercado4)+SUMIFS(supercb[Qtde],supercb[Item],tab_alimentos[[#This Row],[Item]],supercb[Bairro],mercado4)</f>
        <v>0</v>
      </c>
      <c r="P262" s="27" t="n">
        <f aca="false">SUMIFS(super1[Qtde],super1[Item],tab_alimentos[[#This Row],[Item]],super1[Bairro],mercado5)+SUMIFS(supercb[Qtde],supercb[Item],tab_alimentos[[#This Row],[Item]],supercb[Bairro],mercado5)</f>
        <v>0</v>
      </c>
      <c r="Q262" s="27" t="n">
        <f aca="false">SUMIFS(super1[Qtde],super1[Item],tab_alimentos[[#This Row],[Item]],super1[Bairro],mercado6)+SUMIFS(supercb[Qtde],supercb[Item],tab_alimentos[[#This Row],[Item]],supercb[Bairro],mercado6)</f>
        <v>0</v>
      </c>
      <c r="R262" s="27" t="n">
        <f aca="false">SUMIFS(super1[Qtde],super1[Item],tab_alimentos[[#This Row],[Item]],super1[Bairro],mercado7)+SUMIFS(supercb[Qtde],supercb[Item],tab_alimentos[[#This Row],[Item]],supercb[Bairro],mercado7)</f>
        <v>0</v>
      </c>
      <c r="S262" s="27" t="n">
        <f aca="false">SUMIFS(super1[Qtde],super1[Item],tab_alimentos[[#This Row],[Item]],super1[Bairro],mercado8)+SUMIFS(supercb[Qtde],supercb[Item],tab_alimentos[[#This Row],[Item]],supercb[Bairro],mercado8)</f>
        <v>0</v>
      </c>
      <c r="T262" s="27" t="n">
        <f aca="false">SUMIFS(super1[Qtde],super1[Item],tab_alimentos[[#This Row],[Item]],super1[Bairro],mercado9)+SUMIFS(supercb[Qtde],supercb[Item],tab_alimentos[[#This Row],[Item]],supercb[Bairro],mercado9)</f>
        <v>0</v>
      </c>
      <c r="U262" s="27" t="n">
        <f aca="false">SUMIFS(super1[Qtde],super1[Item],tab_alimentos[[#This Row],[Item]],super1[Bairro],mercado10)+SUMIFS(supercb[Qtde],supercb[Item],tab_alimentos[[#This Row],[Item]],supercb[Bairro],mercado10)</f>
        <v>0</v>
      </c>
      <c r="V262" s="27" t="n">
        <f aca="false">SUMIFS(super1[Qtde],super1[Item],tab_alimentos[[#This Row],[Item]],super1[Bairro],mercado11)+SUMIFS(supercb[Qtde],supercb[Item],tab_alimentos[[#This Row],[Item]],supercb[Bairro],mercado11)</f>
        <v>0</v>
      </c>
      <c r="W262" s="27" t="n">
        <f aca="false">SUMIFS(super1[Qtde],super1[Item],tab_alimentos[[#This Row],[Item]],super1[Bairro],mercado12)+SUMIFS(supercb[Qtde],supercb[Item],tab_alimentos[[#This Row],[Item]],supercb[Bairro],mercado12)</f>
        <v>0</v>
      </c>
      <c r="X262" s="27" t="n">
        <f aca="false">SUMIFS(super1[Qtde],super1[Item],tab_alimentos[[#This Row],[Item]],super1[Bairro],mercado13)+SUMIFS(supercb[Qtde],supercb[Item],tab_alimentos[[#This Row],[Item]],supercb[Bairro],mercado13)</f>
        <v>0</v>
      </c>
      <c r="Y262" s="27" t="n">
        <f aca="false">SUMIFS(super1[Qtde],super1[Item],tab_alimentos[[#This Row],[Item]],super1[Bairro],mercado14)+SUMIFS(supercb[Qtde],supercb[Item],tab_alimentos[[#This Row],[Item]],supercb[Bairro],mercado14)</f>
        <v>0</v>
      </c>
      <c r="Z262" s="27" t="n">
        <f aca="false">SUMIFS(super1[Qtde],super1[Item],tab_alimentos[[#This Row],[Item]],super1[Bairro],mercado15)+SUMIFS(supercb[Qtde],supercb[Item],tab_alimentos[[#This Row],[Item]],supercb[Bairro],mercado15)</f>
        <v>0</v>
      </c>
      <c r="AA262" s="27" t="n">
        <f aca="false">SUMIFS(super1[Qtde],super1[Item],tab_alimentos[[#This Row],[Item]],super1[Bairro],mercado16)+SUMIFS(supercb[Qtde],supercb[Item],tab_alimentos[[#This Row],[Item]],supercb[Bairro],mercado16)</f>
        <v>0</v>
      </c>
      <c r="AB262" s="27" t="n">
        <f aca="false">SUMIFS(super1[Qtde],super1[Item],tab_alimentos[[#This Row],[Item]],super1[Bairro],mercado17)+SUMIFS(supercb[Qtde],supercb[Item],tab_alimentos[[#This Row],[Item]],supercb[Bairro],mercado17)</f>
        <v>0</v>
      </c>
      <c r="AC262" s="27" t="n">
        <f aca="false">SUMIFS(super1[Qtde],super1[Item],tab_alimentos[[#This Row],[Item]],super1[Bairro],mercado18)+SUMIFS(supercb[Qtde],supercb[Item],tab_alimentos[[#This Row],[Item]],supercb[Bairro],mercado18)</f>
        <v>0</v>
      </c>
      <c r="AD262" s="27" t="n">
        <f aca="false">SUMIFS(super1[Qtde],super1[Item],tab_alimentos[[#This Row],[Item]],super1[Bairro],extras)+SUMIFS(supercb[Qtde],supercb[Item],tab_alimentos[[#This Row],[Item]],supercb[Bairro],extras)</f>
        <v>0</v>
      </c>
      <c r="AE262" s="27" t="n">
        <f aca="false">SUM(L262:AC262)</f>
        <v>0</v>
      </c>
      <c r="AF262" s="27" t="n">
        <f aca="false">IFERROR(AE262*K262,0)</f>
        <v>0</v>
      </c>
      <c r="AG262" s="28" t="n">
        <f aca="false">IFERROR(J262*AE262,0)</f>
        <v>0</v>
      </c>
      <c r="AH262" s="37" t="e">
        <f aca="false">higiene[[#This Row],[Item]]</f>
        <v>#VALUE!</v>
      </c>
      <c r="AI262" s="38" t="n">
        <f aca="false">IFERROR(higiene[[#This Row],[Kg equivalente]],0)</f>
        <v>0</v>
      </c>
      <c r="AJ262" s="38" t="n">
        <f aca="false">IFERROR(higiene[[#This Row],[Preço por produto]],0)</f>
        <v>0</v>
      </c>
      <c r="AK262" s="27" t="n">
        <f aca="false">SUMIFS(super1[Qtde],super1[Item],tab_higiene[[#This Row],[Item]],super1[Bairro],mercado1)+SUMIFS(supercb[Qtde],supercb[Item],tab_higiene[[#This Row],[Item]],supercb[Bairro],mercado1)</f>
        <v>0</v>
      </c>
      <c r="AL262" s="27" t="n">
        <f aca="false">SUMIFS(super1[Qtde],super1[Item],tab_higiene[[#This Row],[Item]],super1[Bairro],mercado2)+SUMIFS(supercb[Qtde],supercb[Item],tab_higiene[[#This Row],[Item]],supercb[Bairro],mercado2)</f>
        <v>0</v>
      </c>
      <c r="AM262" s="27" t="n">
        <f aca="false">SUMIFS(super1[Qtde],super1[Item],tab_higiene[[#This Row],[Item]],super1[Bairro],mercado3)+SUMIFS(supercb[Qtde],supercb[Item],tab_higiene[[#This Row],[Item]],supercb[Bairro],mercado3)</f>
        <v>0</v>
      </c>
      <c r="AN262" s="27" t="n">
        <f aca="false">SUMIFS(super1[Qtde],super1[Item],tab_higiene[[#This Row],[Item]],super1[Bairro],mercado4)+SUMIFS(supercb[Qtde],supercb[Item],tab_higiene[[#This Row],[Item]],supercb[Bairro],mercado4)</f>
        <v>0</v>
      </c>
      <c r="AO262" s="27" t="n">
        <f aca="false">SUMIFS(super1[Qtde],super1[Item],tab_higiene[[#This Row],[Item]],super1[Bairro],mercado5)+SUMIFS(supercb[Qtde],supercb[Item],tab_higiene[[#This Row],[Item]],supercb[Bairro],mercado5)</f>
        <v>0</v>
      </c>
      <c r="AP262" s="27" t="n">
        <f aca="false">SUMIFS(super1[Qtde],super1[Item],tab_higiene[[#This Row],[Item]],super1[Bairro],mercado6)+SUMIFS(supercb[Qtde],supercb[Item],tab_higiene[[#This Row],[Item]],supercb[Bairro],mercado6)</f>
        <v>0</v>
      </c>
      <c r="AQ262" s="27" t="n">
        <f aca="false">SUMIFS(super1[Qtde],super1[Item],tab_higiene[[#This Row],[Item]],super1[Bairro],mercado7)+SUMIFS(supercb[Qtde],supercb[Item],tab_higiene[[#This Row],[Item]],supercb[Bairro],mercado7)</f>
        <v>0</v>
      </c>
      <c r="AR262" s="27" t="n">
        <f aca="false">SUMIFS(super1[Qtde],super1[Item],tab_higiene[[#This Row],[Item]],super1[Bairro],mercado8)+SUMIFS(supercb[Qtde],supercb[Item],tab_higiene[[#This Row],[Item]],supercb[Bairro],mercado8)</f>
        <v>0</v>
      </c>
      <c r="AS262" s="27" t="n">
        <f aca="false">SUMIFS(super1[Qtde],super1[Item],tab_higiene[[#This Row],[Item]],super1[Bairro],mercado9)+SUMIFS(supercb[Qtde],supercb[Item],tab_higiene[[#This Row],[Item]],supercb[Bairro],mercado9)</f>
        <v>0</v>
      </c>
      <c r="AT262" s="27" t="n">
        <f aca="false">SUMIFS(super1[Qtde],super1[Item],tab_higiene[[#This Row],[Item]],super1[Bairro],mercado10)+SUMIFS(supercb[Qtde],supercb[Item],tab_higiene[[#This Row],[Item]],supercb[Bairro],mercado10)</f>
        <v>0</v>
      </c>
      <c r="AU262" s="27" t="n">
        <f aca="false">SUMIFS(super1[Qtde],super1[Item],tab_higiene[[#This Row],[Item]],super1[Bairro],mercado11)+SUMIFS(supercb[Qtde],supercb[Item],tab_higiene[[#This Row],[Item]],supercb[Bairro],mercado11)</f>
        <v>0</v>
      </c>
      <c r="AV262" s="27" t="n">
        <f aca="false">SUMIFS(super1[Qtde],super1[Item],tab_higiene[[#This Row],[Item]],super1[Bairro],mercado12)+SUMIFS(supercb[Qtde],supercb[Item],tab_higiene[[#This Row],[Item]],supercb[Bairro],mercado12)</f>
        <v>0</v>
      </c>
      <c r="AW262" s="27" t="n">
        <f aca="false">SUMIFS(super1[Qtde],super1[Item],tab_higiene[[#This Row],[Item]],super1[Bairro],mercado13)+SUMIFS(supercb[Qtde],supercb[Item],tab_higiene[[#This Row],[Item]],supercb[Bairro],mercado13)</f>
        <v>0</v>
      </c>
      <c r="AX262" s="27" t="n">
        <f aca="false">SUMIFS(super1[Qtde],super1[Item],tab_higiene[[#This Row],[Item]],super1[Bairro],mercado14)+SUMIFS(supercb[Qtde],supercb[Item],tab_higiene[[#This Row],[Item]],supercb[Bairro],mercado14)</f>
        <v>0</v>
      </c>
      <c r="AY262" s="27" t="n">
        <f aca="false">SUMIFS(super1[Qtde],super1[Item],tab_higiene[[#This Row],[Item]],super1[Bairro],mercado15)+SUMIFS(supercb[Qtde],supercb[Item],tab_higiene[[#This Row],[Item]],supercb[Bairro],mercado15)</f>
        <v>0</v>
      </c>
      <c r="AZ262" s="27" t="n">
        <f aca="false">SUMIFS(super1[Qtde],super1[Item],tab_higiene[[#This Row],[Item]],super1[Bairro],mercado16)+SUMIFS(supercb[Qtde],supercb[Item],tab_higiene[[#This Row],[Item]],supercb[Bairro],mercado16)</f>
        <v>0</v>
      </c>
      <c r="BA262" s="27" t="n">
        <f aca="false">SUMIFS(super1[Qtde],super1[Item],tab_higiene[[#This Row],[Item]],super1[Bairro],mercado17)+SUMIFS(supercb[Qtde],supercb[Item],tab_higiene[[#This Row],[Item]],supercb[Bairro],mercado17)</f>
        <v>0</v>
      </c>
      <c r="BB262" s="27" t="n">
        <f aca="false">SUMIFS(super1[Qtde],super1[Item],tab_higiene[[#This Row],[Item]],super1[Bairro],mercado18)+SUMIFS(supercb[Qtde],supercb[Item],tab_higiene[[#This Row],[Item]],supercb[Bairro],mercado18)</f>
        <v>0</v>
      </c>
      <c r="BC262" s="39" t="n">
        <f aca="false">SUMIFS(super1[Qtde],super1[Item],tab_higiene[[#This Row],[Item]],super1[Bairro],extras)+SUMIFS(supercb[Qtde],supercb[Item],tab_higiene[[#This Row],[Item]],supercb[Bairro],extras)</f>
        <v>0</v>
      </c>
      <c r="BD262" s="38" t="n">
        <f aca="false">SUM(AK262:BB262)</f>
        <v>0</v>
      </c>
      <c r="BE262" s="38" t="n">
        <f aca="false">IFERROR(BD262*AJ262,0)</f>
        <v>0</v>
      </c>
      <c r="BF262" s="40" t="n">
        <f aca="false">IFERROR(AI262*BD262,0)</f>
        <v>0</v>
      </c>
    </row>
    <row r="263" customFormat="false" ht="15.75" hidden="false" customHeight="false" outlineLevel="0" collapsed="false">
      <c r="I263" s="26" t="str">
        <f aca="false">alimentos[[#This Row],[Item]]</f>
        <v>Uva Passa (100g)</v>
      </c>
      <c r="J263" s="27" t="n">
        <f aca="false">IFERROR(alimentos[[#This Row],[kg/embalagem]],0)</f>
        <v>0.1</v>
      </c>
      <c r="K263" s="27" t="n">
        <f aca="false">IFERROR(alimentos[[#This Row],[Preço]],0)</f>
        <v>2.99</v>
      </c>
      <c r="L263" s="27" t="n">
        <f aca="false">SUMIFS(super1[Qtde],super1[Item],tab_alimentos[[#This Row],[Item]],super1[Bairro],mercado1)+SUMIFS(supercb[Qtde],supercb[Item],tab_alimentos[[#This Row],[Item]],supercb[Bairro],mercado1)</f>
        <v>0</v>
      </c>
      <c r="M263" s="27" t="n">
        <f aca="false">SUMIFS(super1[Qtde],super1[Item],tab_alimentos[[#This Row],[Item]],super1[Bairro],mercado2)+SUMIFS(supercb[Qtde],supercb[Item],tab_alimentos[[#This Row],[Item]],supercb[Bairro],mercado2)</f>
        <v>0</v>
      </c>
      <c r="N263" s="27" t="n">
        <f aca="false">SUMIFS(super1[Qtde],super1[Item],tab_alimentos[[#This Row],[Item]],super1[Bairro],mercado3)+SUMIFS(supercb[Qtde],supercb[Item],tab_alimentos[[#This Row],[Item]],supercb[Bairro],mercado3)</f>
        <v>0</v>
      </c>
      <c r="O263" s="27" t="n">
        <f aca="false">SUMIFS(super1[Qtde],super1[Item],tab_alimentos[[#This Row],[Item]],super1[Bairro],mercado4)+SUMIFS(supercb[Qtde],supercb[Item],tab_alimentos[[#This Row],[Item]],supercb[Bairro],mercado4)</f>
        <v>0</v>
      </c>
      <c r="P263" s="27" t="n">
        <f aca="false">SUMIFS(super1[Qtde],super1[Item],tab_alimentos[[#This Row],[Item]],super1[Bairro],mercado5)+SUMIFS(supercb[Qtde],supercb[Item],tab_alimentos[[#This Row],[Item]],supercb[Bairro],mercado5)</f>
        <v>0</v>
      </c>
      <c r="Q263" s="27" t="n">
        <f aca="false">SUMIFS(super1[Qtde],super1[Item],tab_alimentos[[#This Row],[Item]],super1[Bairro],mercado6)+SUMIFS(supercb[Qtde],supercb[Item],tab_alimentos[[#This Row],[Item]],supercb[Bairro],mercado6)</f>
        <v>0</v>
      </c>
      <c r="R263" s="27" t="n">
        <f aca="false">SUMIFS(super1[Qtde],super1[Item],tab_alimentos[[#This Row],[Item]],super1[Bairro],mercado7)+SUMIFS(supercb[Qtde],supercb[Item],tab_alimentos[[#This Row],[Item]],supercb[Bairro],mercado7)</f>
        <v>0</v>
      </c>
      <c r="S263" s="27" t="n">
        <f aca="false">SUMIFS(super1[Qtde],super1[Item],tab_alimentos[[#This Row],[Item]],super1[Bairro],mercado8)+SUMIFS(supercb[Qtde],supercb[Item],tab_alimentos[[#This Row],[Item]],supercb[Bairro],mercado8)</f>
        <v>0</v>
      </c>
      <c r="T263" s="27" t="n">
        <f aca="false">SUMIFS(super1[Qtde],super1[Item],tab_alimentos[[#This Row],[Item]],super1[Bairro],mercado9)+SUMIFS(supercb[Qtde],supercb[Item],tab_alimentos[[#This Row],[Item]],supercb[Bairro],mercado9)</f>
        <v>0</v>
      </c>
      <c r="U263" s="27" t="n">
        <f aca="false">SUMIFS(super1[Qtde],super1[Item],tab_alimentos[[#This Row],[Item]],super1[Bairro],mercado10)+SUMIFS(supercb[Qtde],supercb[Item],tab_alimentos[[#This Row],[Item]],supercb[Bairro],mercado10)</f>
        <v>0</v>
      </c>
      <c r="V263" s="27" t="n">
        <f aca="false">SUMIFS(super1[Qtde],super1[Item],tab_alimentos[[#This Row],[Item]],super1[Bairro],mercado11)+SUMIFS(supercb[Qtde],supercb[Item],tab_alimentos[[#This Row],[Item]],supercb[Bairro],mercado11)</f>
        <v>0</v>
      </c>
      <c r="W263" s="27" t="n">
        <f aca="false">SUMIFS(super1[Qtde],super1[Item],tab_alimentos[[#This Row],[Item]],super1[Bairro],mercado12)+SUMIFS(supercb[Qtde],supercb[Item],tab_alimentos[[#This Row],[Item]],supercb[Bairro],mercado12)</f>
        <v>0</v>
      </c>
      <c r="X263" s="27" t="n">
        <f aca="false">SUMIFS(super1[Qtde],super1[Item],tab_alimentos[[#This Row],[Item]],super1[Bairro],mercado13)+SUMIFS(supercb[Qtde],supercb[Item],tab_alimentos[[#This Row],[Item]],supercb[Bairro],mercado13)</f>
        <v>0</v>
      </c>
      <c r="Y263" s="27" t="n">
        <f aca="false">SUMIFS(super1[Qtde],super1[Item],tab_alimentos[[#This Row],[Item]],super1[Bairro],mercado14)+SUMIFS(supercb[Qtde],supercb[Item],tab_alimentos[[#This Row],[Item]],supercb[Bairro],mercado14)</f>
        <v>0</v>
      </c>
      <c r="Z263" s="27" t="n">
        <f aca="false">SUMIFS(super1[Qtde],super1[Item],tab_alimentos[[#This Row],[Item]],super1[Bairro],mercado15)+SUMIFS(supercb[Qtde],supercb[Item],tab_alimentos[[#This Row],[Item]],supercb[Bairro],mercado15)</f>
        <v>0</v>
      </c>
      <c r="AA263" s="27" t="n">
        <f aca="false">SUMIFS(super1[Qtde],super1[Item],tab_alimentos[[#This Row],[Item]],super1[Bairro],mercado16)+SUMIFS(supercb[Qtde],supercb[Item],tab_alimentos[[#This Row],[Item]],supercb[Bairro],mercado16)</f>
        <v>0</v>
      </c>
      <c r="AB263" s="27" t="n">
        <f aca="false">SUMIFS(super1[Qtde],super1[Item],tab_alimentos[[#This Row],[Item]],super1[Bairro],mercado17)+SUMIFS(supercb[Qtde],supercb[Item],tab_alimentos[[#This Row],[Item]],supercb[Bairro],mercado17)</f>
        <v>0</v>
      </c>
      <c r="AC263" s="27" t="n">
        <f aca="false">SUMIFS(super1[Qtde],super1[Item],tab_alimentos[[#This Row],[Item]],super1[Bairro],mercado18)+SUMIFS(supercb[Qtde],supercb[Item],tab_alimentos[[#This Row],[Item]],supercb[Bairro],mercado18)</f>
        <v>0</v>
      </c>
      <c r="AD263" s="27" t="n">
        <f aca="false">SUMIFS(super1[Qtde],super1[Item],tab_alimentos[[#This Row],[Item]],super1[Bairro],extras)+SUMIFS(supercb[Qtde],supercb[Item],tab_alimentos[[#This Row],[Item]],supercb[Bairro],extras)</f>
        <v>0</v>
      </c>
      <c r="AE263" s="27" t="n">
        <f aca="false">SUM(L263:AC263)</f>
        <v>0</v>
      </c>
      <c r="AF263" s="27" t="n">
        <f aca="false">IFERROR(AE263*K263,0)</f>
        <v>0</v>
      </c>
      <c r="AG263" s="28" t="n">
        <f aca="false">IFERROR(J263*AE263,0)</f>
        <v>0</v>
      </c>
      <c r="AH263" s="37" t="e">
        <f aca="false">higiene[[#This Row],[Item]]</f>
        <v>#VALUE!</v>
      </c>
      <c r="AI263" s="38" t="n">
        <f aca="false">IFERROR(higiene[[#This Row],[Kg equivalente]],0)</f>
        <v>0</v>
      </c>
      <c r="AJ263" s="38" t="n">
        <f aca="false">IFERROR(higiene[[#This Row],[Preço por produto]],0)</f>
        <v>0</v>
      </c>
      <c r="AK263" s="27" t="n">
        <f aca="false">SUMIFS(super1[Qtde],super1[Item],tab_higiene[[#This Row],[Item]],super1[Bairro],mercado1)+SUMIFS(supercb[Qtde],supercb[Item],tab_higiene[[#This Row],[Item]],supercb[Bairro],mercado1)</f>
        <v>0</v>
      </c>
      <c r="AL263" s="27" t="n">
        <f aca="false">SUMIFS(super1[Qtde],super1[Item],tab_higiene[[#This Row],[Item]],super1[Bairro],mercado2)+SUMIFS(supercb[Qtde],supercb[Item],tab_higiene[[#This Row],[Item]],supercb[Bairro],mercado2)</f>
        <v>0</v>
      </c>
      <c r="AM263" s="27" t="n">
        <f aca="false">SUMIFS(super1[Qtde],super1[Item],tab_higiene[[#This Row],[Item]],super1[Bairro],mercado3)+SUMIFS(supercb[Qtde],supercb[Item],tab_higiene[[#This Row],[Item]],supercb[Bairro],mercado3)</f>
        <v>0</v>
      </c>
      <c r="AN263" s="27" t="n">
        <f aca="false">SUMIFS(super1[Qtde],super1[Item],tab_higiene[[#This Row],[Item]],super1[Bairro],mercado4)+SUMIFS(supercb[Qtde],supercb[Item],tab_higiene[[#This Row],[Item]],supercb[Bairro],mercado4)</f>
        <v>0</v>
      </c>
      <c r="AO263" s="27" t="n">
        <f aca="false">SUMIFS(super1[Qtde],super1[Item],tab_higiene[[#This Row],[Item]],super1[Bairro],mercado5)+SUMIFS(supercb[Qtde],supercb[Item],tab_higiene[[#This Row],[Item]],supercb[Bairro],mercado5)</f>
        <v>0</v>
      </c>
      <c r="AP263" s="27" t="n">
        <f aca="false">SUMIFS(super1[Qtde],super1[Item],tab_higiene[[#This Row],[Item]],super1[Bairro],mercado6)+SUMIFS(supercb[Qtde],supercb[Item],tab_higiene[[#This Row],[Item]],supercb[Bairro],mercado6)</f>
        <v>0</v>
      </c>
      <c r="AQ263" s="27" t="n">
        <f aca="false">SUMIFS(super1[Qtde],super1[Item],tab_higiene[[#This Row],[Item]],super1[Bairro],mercado7)+SUMIFS(supercb[Qtde],supercb[Item],tab_higiene[[#This Row],[Item]],supercb[Bairro],mercado7)</f>
        <v>0</v>
      </c>
      <c r="AR263" s="27" t="n">
        <f aca="false">SUMIFS(super1[Qtde],super1[Item],tab_higiene[[#This Row],[Item]],super1[Bairro],mercado8)+SUMIFS(supercb[Qtde],supercb[Item],tab_higiene[[#This Row],[Item]],supercb[Bairro],mercado8)</f>
        <v>0</v>
      </c>
      <c r="AS263" s="27" t="n">
        <f aca="false">SUMIFS(super1[Qtde],super1[Item],tab_higiene[[#This Row],[Item]],super1[Bairro],mercado9)+SUMIFS(supercb[Qtde],supercb[Item],tab_higiene[[#This Row],[Item]],supercb[Bairro],mercado9)</f>
        <v>0</v>
      </c>
      <c r="AT263" s="27" t="n">
        <f aca="false">SUMIFS(super1[Qtde],super1[Item],tab_higiene[[#This Row],[Item]],super1[Bairro],mercado10)+SUMIFS(supercb[Qtde],supercb[Item],tab_higiene[[#This Row],[Item]],supercb[Bairro],mercado10)</f>
        <v>0</v>
      </c>
      <c r="AU263" s="27" t="n">
        <f aca="false">SUMIFS(super1[Qtde],super1[Item],tab_higiene[[#This Row],[Item]],super1[Bairro],mercado11)+SUMIFS(supercb[Qtde],supercb[Item],tab_higiene[[#This Row],[Item]],supercb[Bairro],mercado11)</f>
        <v>0</v>
      </c>
      <c r="AV263" s="27" t="n">
        <f aca="false">SUMIFS(super1[Qtde],super1[Item],tab_higiene[[#This Row],[Item]],super1[Bairro],mercado12)+SUMIFS(supercb[Qtde],supercb[Item],tab_higiene[[#This Row],[Item]],supercb[Bairro],mercado12)</f>
        <v>0</v>
      </c>
      <c r="AW263" s="27" t="n">
        <f aca="false">SUMIFS(super1[Qtde],super1[Item],tab_higiene[[#This Row],[Item]],super1[Bairro],mercado13)+SUMIFS(supercb[Qtde],supercb[Item],tab_higiene[[#This Row],[Item]],supercb[Bairro],mercado13)</f>
        <v>0</v>
      </c>
      <c r="AX263" s="27" t="n">
        <f aca="false">SUMIFS(super1[Qtde],super1[Item],tab_higiene[[#This Row],[Item]],super1[Bairro],mercado14)+SUMIFS(supercb[Qtde],supercb[Item],tab_higiene[[#This Row],[Item]],supercb[Bairro],mercado14)</f>
        <v>0</v>
      </c>
      <c r="AY263" s="27" t="n">
        <f aca="false">SUMIFS(super1[Qtde],super1[Item],tab_higiene[[#This Row],[Item]],super1[Bairro],mercado15)+SUMIFS(supercb[Qtde],supercb[Item],tab_higiene[[#This Row],[Item]],supercb[Bairro],mercado15)</f>
        <v>0</v>
      </c>
      <c r="AZ263" s="27" t="n">
        <f aca="false">SUMIFS(super1[Qtde],super1[Item],tab_higiene[[#This Row],[Item]],super1[Bairro],mercado16)+SUMIFS(supercb[Qtde],supercb[Item],tab_higiene[[#This Row],[Item]],supercb[Bairro],mercado16)</f>
        <v>0</v>
      </c>
      <c r="BA263" s="27" t="n">
        <f aca="false">SUMIFS(super1[Qtde],super1[Item],tab_higiene[[#This Row],[Item]],super1[Bairro],mercado17)+SUMIFS(supercb[Qtde],supercb[Item],tab_higiene[[#This Row],[Item]],supercb[Bairro],mercado17)</f>
        <v>0</v>
      </c>
      <c r="BB263" s="27" t="n">
        <f aca="false">SUMIFS(super1[Qtde],super1[Item],tab_higiene[[#This Row],[Item]],super1[Bairro],mercado18)+SUMIFS(supercb[Qtde],supercb[Item],tab_higiene[[#This Row],[Item]],supercb[Bairro],mercado18)</f>
        <v>0</v>
      </c>
      <c r="BC263" s="39" t="n">
        <f aca="false">SUMIFS(super1[Qtde],super1[Item],tab_higiene[[#This Row],[Item]],super1[Bairro],extras)+SUMIFS(supercb[Qtde],supercb[Item],tab_higiene[[#This Row],[Item]],supercb[Bairro],extras)</f>
        <v>0</v>
      </c>
      <c r="BD263" s="38" t="n">
        <f aca="false">SUM(AK263:BB263)</f>
        <v>0</v>
      </c>
      <c r="BE263" s="38" t="n">
        <f aca="false">IFERROR(BD263*AJ263,0)</f>
        <v>0</v>
      </c>
      <c r="BF263" s="40" t="n">
        <f aca="false">IFERROR(AI263*BD263,0)</f>
        <v>0</v>
      </c>
    </row>
    <row r="264" customFormat="false" ht="15.75" hidden="false" customHeight="false" outlineLevel="0" collapsed="false">
      <c r="I264" s="26" t="str">
        <f aca="false">alimentos[[#This Row],[Item]]</f>
        <v>V</v>
      </c>
      <c r="J264" s="27" t="n">
        <f aca="false">IFERROR(alimentos[[#This Row],[kg/embalagem]],0)</f>
        <v>0</v>
      </c>
      <c r="K264" s="27" t="n">
        <f aca="false">IFERROR(alimentos[[#This Row],[Preço]],0)</f>
        <v>0</v>
      </c>
      <c r="L264" s="27" t="n">
        <f aca="false">SUMIFS(super1[Qtde],super1[Item],tab_alimentos[[#This Row],[Item]],super1[Bairro],mercado1)+SUMIFS(supercb[Qtde],supercb[Item],tab_alimentos[[#This Row],[Item]],supercb[Bairro],mercado1)</f>
        <v>0</v>
      </c>
      <c r="M264" s="27" t="n">
        <f aca="false">SUMIFS(super1[Qtde],super1[Item],tab_alimentos[[#This Row],[Item]],super1[Bairro],mercado2)+SUMIFS(supercb[Qtde],supercb[Item],tab_alimentos[[#This Row],[Item]],supercb[Bairro],mercado2)</f>
        <v>0</v>
      </c>
      <c r="N264" s="27" t="n">
        <f aca="false">SUMIFS(super1[Qtde],super1[Item],tab_alimentos[[#This Row],[Item]],super1[Bairro],mercado3)+SUMIFS(supercb[Qtde],supercb[Item],tab_alimentos[[#This Row],[Item]],supercb[Bairro],mercado3)</f>
        <v>0</v>
      </c>
      <c r="O264" s="27" t="n">
        <f aca="false">SUMIFS(super1[Qtde],super1[Item],tab_alimentos[[#This Row],[Item]],super1[Bairro],mercado4)+SUMIFS(supercb[Qtde],supercb[Item],tab_alimentos[[#This Row],[Item]],supercb[Bairro],mercado4)</f>
        <v>0</v>
      </c>
      <c r="P264" s="27" t="n">
        <f aca="false">SUMIFS(super1[Qtde],super1[Item],tab_alimentos[[#This Row],[Item]],super1[Bairro],mercado5)+SUMIFS(supercb[Qtde],supercb[Item],tab_alimentos[[#This Row],[Item]],supercb[Bairro],mercado5)</f>
        <v>0</v>
      </c>
      <c r="Q264" s="27" t="n">
        <f aca="false">SUMIFS(super1[Qtde],super1[Item],tab_alimentos[[#This Row],[Item]],super1[Bairro],mercado6)+SUMIFS(supercb[Qtde],supercb[Item],tab_alimentos[[#This Row],[Item]],supercb[Bairro],mercado6)</f>
        <v>0</v>
      </c>
      <c r="R264" s="27" t="n">
        <f aca="false">SUMIFS(super1[Qtde],super1[Item],tab_alimentos[[#This Row],[Item]],super1[Bairro],mercado7)+SUMIFS(supercb[Qtde],supercb[Item],tab_alimentos[[#This Row],[Item]],supercb[Bairro],mercado7)</f>
        <v>0</v>
      </c>
      <c r="S264" s="27" t="n">
        <f aca="false">SUMIFS(super1[Qtde],super1[Item],tab_alimentos[[#This Row],[Item]],super1[Bairro],mercado8)+SUMIFS(supercb[Qtde],supercb[Item],tab_alimentos[[#This Row],[Item]],supercb[Bairro],mercado8)</f>
        <v>0</v>
      </c>
      <c r="T264" s="27" t="n">
        <f aca="false">SUMIFS(super1[Qtde],super1[Item],tab_alimentos[[#This Row],[Item]],super1[Bairro],mercado9)+SUMIFS(supercb[Qtde],supercb[Item],tab_alimentos[[#This Row],[Item]],supercb[Bairro],mercado9)</f>
        <v>0</v>
      </c>
      <c r="U264" s="27" t="n">
        <f aca="false">SUMIFS(super1[Qtde],super1[Item],tab_alimentos[[#This Row],[Item]],super1[Bairro],mercado10)+SUMIFS(supercb[Qtde],supercb[Item],tab_alimentos[[#This Row],[Item]],supercb[Bairro],mercado10)</f>
        <v>0</v>
      </c>
      <c r="V264" s="27" t="n">
        <f aca="false">SUMIFS(super1[Qtde],super1[Item],tab_alimentos[[#This Row],[Item]],super1[Bairro],mercado11)+SUMIFS(supercb[Qtde],supercb[Item],tab_alimentos[[#This Row],[Item]],supercb[Bairro],mercado11)</f>
        <v>0</v>
      </c>
      <c r="W264" s="27" t="n">
        <f aca="false">SUMIFS(super1[Qtde],super1[Item],tab_alimentos[[#This Row],[Item]],super1[Bairro],mercado12)+SUMIFS(supercb[Qtde],supercb[Item],tab_alimentos[[#This Row],[Item]],supercb[Bairro],mercado12)</f>
        <v>0</v>
      </c>
      <c r="X264" s="27" t="n">
        <f aca="false">SUMIFS(super1[Qtde],super1[Item],tab_alimentos[[#This Row],[Item]],super1[Bairro],mercado13)+SUMIFS(supercb[Qtde],supercb[Item],tab_alimentos[[#This Row],[Item]],supercb[Bairro],mercado13)</f>
        <v>0</v>
      </c>
      <c r="Y264" s="27" t="n">
        <f aca="false">SUMIFS(super1[Qtde],super1[Item],tab_alimentos[[#This Row],[Item]],super1[Bairro],mercado14)+SUMIFS(supercb[Qtde],supercb[Item],tab_alimentos[[#This Row],[Item]],supercb[Bairro],mercado14)</f>
        <v>0</v>
      </c>
      <c r="Z264" s="27" t="n">
        <f aca="false">SUMIFS(super1[Qtde],super1[Item],tab_alimentos[[#This Row],[Item]],super1[Bairro],mercado15)+SUMIFS(supercb[Qtde],supercb[Item],tab_alimentos[[#This Row],[Item]],supercb[Bairro],mercado15)</f>
        <v>0</v>
      </c>
      <c r="AA264" s="27" t="n">
        <f aca="false">SUMIFS(super1[Qtde],super1[Item],tab_alimentos[[#This Row],[Item]],super1[Bairro],mercado16)+SUMIFS(supercb[Qtde],supercb[Item],tab_alimentos[[#This Row],[Item]],supercb[Bairro],mercado16)</f>
        <v>0</v>
      </c>
      <c r="AB264" s="27" t="n">
        <f aca="false">SUMIFS(super1[Qtde],super1[Item],tab_alimentos[[#This Row],[Item]],super1[Bairro],mercado17)+SUMIFS(supercb[Qtde],supercb[Item],tab_alimentos[[#This Row],[Item]],supercb[Bairro],mercado17)</f>
        <v>0</v>
      </c>
      <c r="AC264" s="27" t="n">
        <f aca="false">SUMIFS(super1[Qtde],super1[Item],tab_alimentos[[#This Row],[Item]],super1[Bairro],mercado18)+SUMIFS(supercb[Qtde],supercb[Item],tab_alimentos[[#This Row],[Item]],supercb[Bairro],mercado18)</f>
        <v>0</v>
      </c>
      <c r="AD264" s="27" t="n">
        <f aca="false">SUMIFS(super1[Qtde],super1[Item],tab_alimentos[[#This Row],[Item]],super1[Bairro],extras)+SUMIFS(supercb[Qtde],supercb[Item],tab_alimentos[[#This Row],[Item]],supercb[Bairro],extras)</f>
        <v>0</v>
      </c>
      <c r="AE264" s="27" t="n">
        <f aca="false">SUM(L264:AC264)</f>
        <v>0</v>
      </c>
      <c r="AF264" s="27" t="n">
        <f aca="false">IFERROR(AE264*K264,0)</f>
        <v>0</v>
      </c>
      <c r="AG264" s="28" t="n">
        <f aca="false">IFERROR(J264*AE264,0)</f>
        <v>0</v>
      </c>
      <c r="AH264" s="37" t="e">
        <f aca="false">higiene[[#This Row],[Item]]</f>
        <v>#VALUE!</v>
      </c>
      <c r="AI264" s="38" t="n">
        <f aca="false">IFERROR(higiene[[#This Row],[Kg equivalente]],0)</f>
        <v>0</v>
      </c>
      <c r="AJ264" s="38" t="n">
        <f aca="false">IFERROR(higiene[[#This Row],[Preço por produto]],0)</f>
        <v>0</v>
      </c>
      <c r="AK264" s="27" t="n">
        <f aca="false">SUMIFS(super1[Qtde],super1[Item],tab_higiene[[#This Row],[Item]],super1[Bairro],mercado1)+SUMIFS(supercb[Qtde],supercb[Item],tab_higiene[[#This Row],[Item]],supercb[Bairro],mercado1)</f>
        <v>0</v>
      </c>
      <c r="AL264" s="27" t="n">
        <f aca="false">SUMIFS(super1[Qtde],super1[Item],tab_higiene[[#This Row],[Item]],super1[Bairro],mercado2)+SUMIFS(supercb[Qtde],supercb[Item],tab_higiene[[#This Row],[Item]],supercb[Bairro],mercado2)</f>
        <v>0</v>
      </c>
      <c r="AM264" s="27" t="n">
        <f aca="false">SUMIFS(super1[Qtde],super1[Item],tab_higiene[[#This Row],[Item]],super1[Bairro],mercado3)+SUMIFS(supercb[Qtde],supercb[Item],tab_higiene[[#This Row],[Item]],supercb[Bairro],mercado3)</f>
        <v>0</v>
      </c>
      <c r="AN264" s="27" t="n">
        <f aca="false">SUMIFS(super1[Qtde],super1[Item],tab_higiene[[#This Row],[Item]],super1[Bairro],mercado4)+SUMIFS(supercb[Qtde],supercb[Item],tab_higiene[[#This Row],[Item]],supercb[Bairro],mercado4)</f>
        <v>0</v>
      </c>
      <c r="AO264" s="27" t="n">
        <f aca="false">SUMIFS(super1[Qtde],super1[Item],tab_higiene[[#This Row],[Item]],super1[Bairro],mercado5)+SUMIFS(supercb[Qtde],supercb[Item],tab_higiene[[#This Row],[Item]],supercb[Bairro],mercado5)</f>
        <v>0</v>
      </c>
      <c r="AP264" s="27" t="n">
        <f aca="false">SUMIFS(super1[Qtde],super1[Item],tab_higiene[[#This Row],[Item]],super1[Bairro],mercado6)+SUMIFS(supercb[Qtde],supercb[Item],tab_higiene[[#This Row],[Item]],supercb[Bairro],mercado6)</f>
        <v>0</v>
      </c>
      <c r="AQ264" s="27" t="n">
        <f aca="false">SUMIFS(super1[Qtde],super1[Item],tab_higiene[[#This Row],[Item]],super1[Bairro],mercado7)+SUMIFS(supercb[Qtde],supercb[Item],tab_higiene[[#This Row],[Item]],supercb[Bairro],mercado7)</f>
        <v>0</v>
      </c>
      <c r="AR264" s="27" t="n">
        <f aca="false">SUMIFS(super1[Qtde],super1[Item],tab_higiene[[#This Row],[Item]],super1[Bairro],mercado8)+SUMIFS(supercb[Qtde],supercb[Item],tab_higiene[[#This Row],[Item]],supercb[Bairro],mercado8)</f>
        <v>0</v>
      </c>
      <c r="AS264" s="27" t="n">
        <f aca="false">SUMIFS(super1[Qtde],super1[Item],tab_higiene[[#This Row],[Item]],super1[Bairro],mercado9)+SUMIFS(supercb[Qtde],supercb[Item],tab_higiene[[#This Row],[Item]],supercb[Bairro],mercado9)</f>
        <v>0</v>
      </c>
      <c r="AT264" s="27" t="n">
        <f aca="false">SUMIFS(super1[Qtde],super1[Item],tab_higiene[[#This Row],[Item]],super1[Bairro],mercado10)+SUMIFS(supercb[Qtde],supercb[Item],tab_higiene[[#This Row],[Item]],supercb[Bairro],mercado10)</f>
        <v>0</v>
      </c>
      <c r="AU264" s="27" t="n">
        <f aca="false">SUMIFS(super1[Qtde],super1[Item],tab_higiene[[#This Row],[Item]],super1[Bairro],mercado11)+SUMIFS(supercb[Qtde],supercb[Item],tab_higiene[[#This Row],[Item]],supercb[Bairro],mercado11)</f>
        <v>0</v>
      </c>
      <c r="AV264" s="27" t="n">
        <f aca="false">SUMIFS(super1[Qtde],super1[Item],tab_higiene[[#This Row],[Item]],super1[Bairro],mercado12)+SUMIFS(supercb[Qtde],supercb[Item],tab_higiene[[#This Row],[Item]],supercb[Bairro],mercado12)</f>
        <v>0</v>
      </c>
      <c r="AW264" s="27" t="n">
        <f aca="false">SUMIFS(super1[Qtde],super1[Item],tab_higiene[[#This Row],[Item]],super1[Bairro],mercado13)+SUMIFS(supercb[Qtde],supercb[Item],tab_higiene[[#This Row],[Item]],supercb[Bairro],mercado13)</f>
        <v>0</v>
      </c>
      <c r="AX264" s="27" t="n">
        <f aca="false">SUMIFS(super1[Qtde],super1[Item],tab_higiene[[#This Row],[Item]],super1[Bairro],mercado14)+SUMIFS(supercb[Qtde],supercb[Item],tab_higiene[[#This Row],[Item]],supercb[Bairro],mercado14)</f>
        <v>0</v>
      </c>
      <c r="AY264" s="27" t="n">
        <f aca="false">SUMIFS(super1[Qtde],super1[Item],tab_higiene[[#This Row],[Item]],super1[Bairro],mercado15)+SUMIFS(supercb[Qtde],supercb[Item],tab_higiene[[#This Row],[Item]],supercb[Bairro],mercado15)</f>
        <v>0</v>
      </c>
      <c r="AZ264" s="27" t="n">
        <f aca="false">SUMIFS(super1[Qtde],super1[Item],tab_higiene[[#This Row],[Item]],super1[Bairro],mercado16)+SUMIFS(supercb[Qtde],supercb[Item],tab_higiene[[#This Row],[Item]],supercb[Bairro],mercado16)</f>
        <v>0</v>
      </c>
      <c r="BA264" s="27" t="n">
        <f aca="false">SUMIFS(super1[Qtde],super1[Item],tab_higiene[[#This Row],[Item]],super1[Bairro],mercado17)+SUMIFS(supercb[Qtde],supercb[Item],tab_higiene[[#This Row],[Item]],supercb[Bairro],mercado17)</f>
        <v>0</v>
      </c>
      <c r="BB264" s="27" t="n">
        <f aca="false">SUMIFS(super1[Qtde],super1[Item],tab_higiene[[#This Row],[Item]],super1[Bairro],mercado18)+SUMIFS(supercb[Qtde],supercb[Item],tab_higiene[[#This Row],[Item]],supercb[Bairro],mercado18)</f>
        <v>0</v>
      </c>
      <c r="BC264" s="39" t="n">
        <f aca="false">SUMIFS(super1[Qtde],super1[Item],tab_higiene[[#This Row],[Item]],super1[Bairro],extras)+SUMIFS(supercb[Qtde],supercb[Item],tab_higiene[[#This Row],[Item]],supercb[Bairro],extras)</f>
        <v>0</v>
      </c>
      <c r="BD264" s="38" t="n">
        <f aca="false">SUM(AK264:BB264)</f>
        <v>0</v>
      </c>
      <c r="BE264" s="38" t="n">
        <f aca="false">IFERROR(BD264*AJ264,0)</f>
        <v>0</v>
      </c>
      <c r="BF264" s="40" t="n">
        <f aca="false">IFERROR(AI264*BD264,0)</f>
        <v>0</v>
      </c>
    </row>
    <row r="265" customFormat="false" ht="15.75" hidden="false" customHeight="false" outlineLevel="0" collapsed="false">
      <c r="I265" s="26" t="str">
        <f aca="false">alimentos[[#This Row],[Item]]</f>
        <v>Vinagre (750ml)</v>
      </c>
      <c r="J265" s="27" t="n">
        <f aca="false">IFERROR(alimentos[[#This Row],[kg/embalagem]],0)</f>
        <v>0.75</v>
      </c>
      <c r="K265" s="27" t="n">
        <f aca="false">IFERROR(alimentos[[#This Row],[Preço]],0)</f>
        <v>1.79666666666667</v>
      </c>
      <c r="L265" s="27" t="n">
        <f aca="false">SUMIFS(super1[Qtde],super1[Item],tab_alimentos[[#This Row],[Item]],super1[Bairro],mercado1)+SUMIFS(supercb[Qtde],supercb[Item],tab_alimentos[[#This Row],[Item]],supercb[Bairro],mercado1)</f>
        <v>0</v>
      </c>
      <c r="M265" s="27" t="n">
        <f aca="false">SUMIFS(super1[Qtde],super1[Item],tab_alimentos[[#This Row],[Item]],super1[Bairro],mercado2)+SUMIFS(supercb[Qtde],supercb[Item],tab_alimentos[[#This Row],[Item]],supercb[Bairro],mercado2)</f>
        <v>0</v>
      </c>
      <c r="N265" s="27" t="n">
        <f aca="false">SUMIFS(super1[Qtde],super1[Item],tab_alimentos[[#This Row],[Item]],super1[Bairro],mercado3)+SUMIFS(supercb[Qtde],supercb[Item],tab_alimentos[[#This Row],[Item]],supercb[Bairro],mercado3)</f>
        <v>0</v>
      </c>
      <c r="O265" s="27" t="n">
        <f aca="false">SUMIFS(super1[Qtde],super1[Item],tab_alimentos[[#This Row],[Item]],super1[Bairro],mercado4)+SUMIFS(supercb[Qtde],supercb[Item],tab_alimentos[[#This Row],[Item]],supercb[Bairro],mercado4)</f>
        <v>0</v>
      </c>
      <c r="P265" s="27" t="n">
        <f aca="false">SUMIFS(super1[Qtde],super1[Item],tab_alimentos[[#This Row],[Item]],super1[Bairro],mercado5)+SUMIFS(supercb[Qtde],supercb[Item],tab_alimentos[[#This Row],[Item]],supercb[Bairro],mercado5)</f>
        <v>2</v>
      </c>
      <c r="Q265" s="27" t="n">
        <f aca="false">SUMIFS(super1[Qtde],super1[Item],tab_alimentos[[#This Row],[Item]],super1[Bairro],mercado6)+SUMIFS(supercb[Qtde],supercb[Item],tab_alimentos[[#This Row],[Item]],supercb[Bairro],mercado6)</f>
        <v>0</v>
      </c>
      <c r="R265" s="27" t="n">
        <f aca="false">SUMIFS(super1[Qtde],super1[Item],tab_alimentos[[#This Row],[Item]],super1[Bairro],mercado7)+SUMIFS(supercb[Qtde],supercb[Item],tab_alimentos[[#This Row],[Item]],supercb[Bairro],mercado7)</f>
        <v>1</v>
      </c>
      <c r="S265" s="27" t="n">
        <f aca="false">SUMIFS(super1[Qtde],super1[Item],tab_alimentos[[#This Row],[Item]],super1[Bairro],mercado8)+SUMIFS(supercb[Qtde],supercb[Item],tab_alimentos[[#This Row],[Item]],supercb[Bairro],mercado8)</f>
        <v>1</v>
      </c>
      <c r="T265" s="27" t="n">
        <f aca="false">SUMIFS(super1[Qtde],super1[Item],tab_alimentos[[#This Row],[Item]],super1[Bairro],mercado9)+SUMIFS(supercb[Qtde],supercb[Item],tab_alimentos[[#This Row],[Item]],supercb[Bairro],mercado9)</f>
        <v>0</v>
      </c>
      <c r="U265" s="27" t="n">
        <f aca="false">SUMIFS(super1[Qtde],super1[Item],tab_alimentos[[#This Row],[Item]],super1[Bairro],mercado10)+SUMIFS(supercb[Qtde],supercb[Item],tab_alimentos[[#This Row],[Item]],supercb[Bairro],mercado10)</f>
        <v>1</v>
      </c>
      <c r="V265" s="27" t="n">
        <f aca="false">SUMIFS(super1[Qtde],super1[Item],tab_alimentos[[#This Row],[Item]],super1[Bairro],mercado11)+SUMIFS(supercb[Qtde],supercb[Item],tab_alimentos[[#This Row],[Item]],supercb[Bairro],mercado11)</f>
        <v>0</v>
      </c>
      <c r="W265" s="27" t="n">
        <f aca="false">SUMIFS(super1[Qtde],super1[Item],tab_alimentos[[#This Row],[Item]],super1[Bairro],mercado12)+SUMIFS(supercb[Qtde],supercb[Item],tab_alimentos[[#This Row],[Item]],supercb[Bairro],mercado12)</f>
        <v>0</v>
      </c>
      <c r="X265" s="27" t="n">
        <f aca="false">SUMIFS(super1[Qtde],super1[Item],tab_alimentos[[#This Row],[Item]],super1[Bairro],mercado13)+SUMIFS(supercb[Qtde],supercb[Item],tab_alimentos[[#This Row],[Item]],supercb[Bairro],mercado13)</f>
        <v>0</v>
      </c>
      <c r="Y265" s="27" t="n">
        <f aca="false">SUMIFS(super1[Qtde],super1[Item],tab_alimentos[[#This Row],[Item]],super1[Bairro],mercado14)+SUMIFS(supercb[Qtde],supercb[Item],tab_alimentos[[#This Row],[Item]],supercb[Bairro],mercado14)</f>
        <v>0</v>
      </c>
      <c r="Z265" s="27" t="n">
        <f aca="false">SUMIFS(super1[Qtde],super1[Item],tab_alimentos[[#This Row],[Item]],super1[Bairro],mercado15)+SUMIFS(supercb[Qtde],supercb[Item],tab_alimentos[[#This Row],[Item]],supercb[Bairro],mercado15)</f>
        <v>0</v>
      </c>
      <c r="AA265" s="27" t="n">
        <f aca="false">SUMIFS(super1[Qtde],super1[Item],tab_alimentos[[#This Row],[Item]],super1[Bairro],mercado16)+SUMIFS(supercb[Qtde],supercb[Item],tab_alimentos[[#This Row],[Item]],supercb[Bairro],mercado16)</f>
        <v>0</v>
      </c>
      <c r="AB265" s="27" t="n">
        <f aca="false">SUMIFS(super1[Qtde],super1[Item],tab_alimentos[[#This Row],[Item]],super1[Bairro],mercado17)+SUMIFS(supercb[Qtde],supercb[Item],tab_alimentos[[#This Row],[Item]],supercb[Bairro],mercado17)</f>
        <v>0</v>
      </c>
      <c r="AC265" s="27" t="n">
        <f aca="false">SUMIFS(super1[Qtde],super1[Item],tab_alimentos[[#This Row],[Item]],super1[Bairro],mercado18)+SUMIFS(supercb[Qtde],supercb[Item],tab_alimentos[[#This Row],[Item]],supercb[Bairro],mercado18)</f>
        <v>0</v>
      </c>
      <c r="AD265" s="27" t="n">
        <f aca="false">SUMIFS(super1[Qtde],super1[Item],tab_alimentos[[#This Row],[Item]],super1[Bairro],extras)+SUMIFS(supercb[Qtde],supercb[Item],tab_alimentos[[#This Row],[Item]],supercb[Bairro],extras)</f>
        <v>0</v>
      </c>
      <c r="AE265" s="27" t="n">
        <f aca="false">SUM(L265:AC265)</f>
        <v>5</v>
      </c>
      <c r="AF265" s="27" t="n">
        <f aca="false">IFERROR(AE265*K265,0)</f>
        <v>8.98333333333333</v>
      </c>
      <c r="AG265" s="28" t="n">
        <f aca="false">IFERROR(J265*AE265,0)</f>
        <v>3.75</v>
      </c>
      <c r="AH265" s="37" t="e">
        <f aca="false">higiene[[#This Row],[Item]]</f>
        <v>#VALUE!</v>
      </c>
      <c r="AI265" s="38" t="n">
        <f aca="false">IFERROR(higiene[[#This Row],[Kg equivalente]],0)</f>
        <v>0</v>
      </c>
      <c r="AJ265" s="38" t="n">
        <f aca="false">IFERROR(higiene[[#This Row],[Preço por produto]],0)</f>
        <v>0</v>
      </c>
      <c r="AK265" s="27" t="n">
        <f aca="false">SUMIFS(super1[Qtde],super1[Item],tab_higiene[[#This Row],[Item]],super1[Bairro],mercado1)+SUMIFS(supercb[Qtde],supercb[Item],tab_higiene[[#This Row],[Item]],supercb[Bairro],mercado1)</f>
        <v>0</v>
      </c>
      <c r="AL265" s="27" t="n">
        <f aca="false">SUMIFS(super1[Qtde],super1[Item],tab_higiene[[#This Row],[Item]],super1[Bairro],mercado2)+SUMIFS(supercb[Qtde],supercb[Item],tab_higiene[[#This Row],[Item]],supercb[Bairro],mercado2)</f>
        <v>0</v>
      </c>
      <c r="AM265" s="27" t="n">
        <f aca="false">SUMIFS(super1[Qtde],super1[Item],tab_higiene[[#This Row],[Item]],super1[Bairro],mercado3)+SUMIFS(supercb[Qtde],supercb[Item],tab_higiene[[#This Row],[Item]],supercb[Bairro],mercado3)</f>
        <v>0</v>
      </c>
      <c r="AN265" s="27" t="n">
        <f aca="false">SUMIFS(super1[Qtde],super1[Item],tab_higiene[[#This Row],[Item]],super1[Bairro],mercado4)+SUMIFS(supercb[Qtde],supercb[Item],tab_higiene[[#This Row],[Item]],supercb[Bairro],mercado4)</f>
        <v>0</v>
      </c>
      <c r="AO265" s="27" t="n">
        <f aca="false">SUMIFS(super1[Qtde],super1[Item],tab_higiene[[#This Row],[Item]],super1[Bairro],mercado5)+SUMIFS(supercb[Qtde],supercb[Item],tab_higiene[[#This Row],[Item]],supercb[Bairro],mercado5)</f>
        <v>0</v>
      </c>
      <c r="AP265" s="27" t="n">
        <f aca="false">SUMIFS(super1[Qtde],super1[Item],tab_higiene[[#This Row],[Item]],super1[Bairro],mercado6)+SUMIFS(supercb[Qtde],supercb[Item],tab_higiene[[#This Row],[Item]],supercb[Bairro],mercado6)</f>
        <v>0</v>
      </c>
      <c r="AQ265" s="27" t="n">
        <f aca="false">SUMIFS(super1[Qtde],super1[Item],tab_higiene[[#This Row],[Item]],super1[Bairro],mercado7)+SUMIFS(supercb[Qtde],supercb[Item],tab_higiene[[#This Row],[Item]],supercb[Bairro],mercado7)</f>
        <v>0</v>
      </c>
      <c r="AR265" s="27" t="n">
        <f aca="false">SUMIFS(super1[Qtde],super1[Item],tab_higiene[[#This Row],[Item]],super1[Bairro],mercado8)+SUMIFS(supercb[Qtde],supercb[Item],tab_higiene[[#This Row],[Item]],supercb[Bairro],mercado8)</f>
        <v>0</v>
      </c>
      <c r="AS265" s="27" t="n">
        <f aca="false">SUMIFS(super1[Qtde],super1[Item],tab_higiene[[#This Row],[Item]],super1[Bairro],mercado9)+SUMIFS(supercb[Qtde],supercb[Item],tab_higiene[[#This Row],[Item]],supercb[Bairro],mercado9)</f>
        <v>0</v>
      </c>
      <c r="AT265" s="27" t="n">
        <f aca="false">SUMIFS(super1[Qtde],super1[Item],tab_higiene[[#This Row],[Item]],super1[Bairro],mercado10)+SUMIFS(supercb[Qtde],supercb[Item],tab_higiene[[#This Row],[Item]],supercb[Bairro],mercado10)</f>
        <v>0</v>
      </c>
      <c r="AU265" s="27" t="n">
        <f aca="false">SUMIFS(super1[Qtde],super1[Item],tab_higiene[[#This Row],[Item]],super1[Bairro],mercado11)+SUMIFS(supercb[Qtde],supercb[Item],tab_higiene[[#This Row],[Item]],supercb[Bairro],mercado11)</f>
        <v>0</v>
      </c>
      <c r="AV265" s="27" t="n">
        <f aca="false">SUMIFS(super1[Qtde],super1[Item],tab_higiene[[#This Row],[Item]],super1[Bairro],mercado12)+SUMIFS(supercb[Qtde],supercb[Item],tab_higiene[[#This Row],[Item]],supercb[Bairro],mercado12)</f>
        <v>0</v>
      </c>
      <c r="AW265" s="27" t="n">
        <f aca="false">SUMIFS(super1[Qtde],super1[Item],tab_higiene[[#This Row],[Item]],super1[Bairro],mercado13)+SUMIFS(supercb[Qtde],supercb[Item],tab_higiene[[#This Row],[Item]],supercb[Bairro],mercado13)</f>
        <v>0</v>
      </c>
      <c r="AX265" s="27" t="n">
        <f aca="false">SUMIFS(super1[Qtde],super1[Item],tab_higiene[[#This Row],[Item]],super1[Bairro],mercado14)+SUMIFS(supercb[Qtde],supercb[Item],tab_higiene[[#This Row],[Item]],supercb[Bairro],mercado14)</f>
        <v>0</v>
      </c>
      <c r="AY265" s="27" t="n">
        <f aca="false">SUMIFS(super1[Qtde],super1[Item],tab_higiene[[#This Row],[Item]],super1[Bairro],mercado15)+SUMIFS(supercb[Qtde],supercb[Item],tab_higiene[[#This Row],[Item]],supercb[Bairro],mercado15)</f>
        <v>0</v>
      </c>
      <c r="AZ265" s="27" t="n">
        <f aca="false">SUMIFS(super1[Qtde],super1[Item],tab_higiene[[#This Row],[Item]],super1[Bairro],mercado16)+SUMIFS(supercb[Qtde],supercb[Item],tab_higiene[[#This Row],[Item]],supercb[Bairro],mercado16)</f>
        <v>0</v>
      </c>
      <c r="BA265" s="27" t="n">
        <f aca="false">SUMIFS(super1[Qtde],super1[Item],tab_higiene[[#This Row],[Item]],super1[Bairro],mercado17)+SUMIFS(supercb[Qtde],supercb[Item],tab_higiene[[#This Row],[Item]],supercb[Bairro],mercado17)</f>
        <v>0</v>
      </c>
      <c r="BB265" s="27" t="n">
        <f aca="false">SUMIFS(super1[Qtde],super1[Item],tab_higiene[[#This Row],[Item]],super1[Bairro],mercado18)+SUMIFS(supercb[Qtde],supercb[Item],tab_higiene[[#This Row],[Item]],supercb[Bairro],mercado18)</f>
        <v>0</v>
      </c>
      <c r="BC265" s="39" t="n">
        <f aca="false">SUMIFS(super1[Qtde],super1[Item],tab_higiene[[#This Row],[Item]],super1[Bairro],extras)+SUMIFS(supercb[Qtde],supercb[Item],tab_higiene[[#This Row],[Item]],supercb[Bairro],extras)</f>
        <v>0</v>
      </c>
      <c r="BD265" s="38" t="n">
        <f aca="false">SUM(AK265:BB265)</f>
        <v>0</v>
      </c>
      <c r="BE265" s="38" t="n">
        <f aca="false">IFERROR(BD265*AJ265,0)</f>
        <v>0</v>
      </c>
      <c r="BF265" s="40" t="n">
        <f aca="false">IFERROR(AI265*BD265,0)</f>
        <v>0</v>
      </c>
    </row>
    <row r="266" customFormat="false" ht="15.75" hidden="false" customHeight="false" outlineLevel="0" collapsed="false">
      <c r="I266" s="26" t="str">
        <f aca="false">alimentos[[#This Row],[Item]]</f>
        <v>Y</v>
      </c>
      <c r="J266" s="27" t="n">
        <f aca="false">IFERROR(alimentos[[#This Row],[kg/embalagem]],0)</f>
        <v>0</v>
      </c>
      <c r="K266" s="27" t="n">
        <f aca="false">IFERROR(alimentos[[#This Row],[Preço]],0)</f>
        <v>0</v>
      </c>
      <c r="L266" s="27" t="n">
        <f aca="false">SUMIFS(super1[Qtde],super1[Item],tab_alimentos[[#This Row],[Item]],super1[Bairro],mercado1)+SUMIFS(supercb[Qtde],supercb[Item],tab_alimentos[[#This Row],[Item]],supercb[Bairro],mercado1)</f>
        <v>0</v>
      </c>
      <c r="M266" s="27" t="n">
        <f aca="false">SUMIFS(super1[Qtde],super1[Item],tab_alimentos[[#This Row],[Item]],super1[Bairro],mercado2)+SUMIFS(supercb[Qtde],supercb[Item],tab_alimentos[[#This Row],[Item]],supercb[Bairro],mercado2)</f>
        <v>0</v>
      </c>
      <c r="N266" s="27" t="n">
        <f aca="false">SUMIFS(super1[Qtde],super1[Item],tab_alimentos[[#This Row],[Item]],super1[Bairro],mercado3)+SUMIFS(supercb[Qtde],supercb[Item],tab_alimentos[[#This Row],[Item]],supercb[Bairro],mercado3)</f>
        <v>0</v>
      </c>
      <c r="O266" s="27" t="n">
        <f aca="false">SUMIFS(super1[Qtde],super1[Item],tab_alimentos[[#This Row],[Item]],super1[Bairro],mercado4)+SUMIFS(supercb[Qtde],supercb[Item],tab_alimentos[[#This Row],[Item]],supercb[Bairro],mercado4)</f>
        <v>0</v>
      </c>
      <c r="P266" s="27" t="n">
        <f aca="false">SUMIFS(super1[Qtde],super1[Item],tab_alimentos[[#This Row],[Item]],super1[Bairro],mercado5)+SUMIFS(supercb[Qtde],supercb[Item],tab_alimentos[[#This Row],[Item]],supercb[Bairro],mercado5)</f>
        <v>0</v>
      </c>
      <c r="Q266" s="27" t="n">
        <f aca="false">SUMIFS(super1[Qtde],super1[Item],tab_alimentos[[#This Row],[Item]],super1[Bairro],mercado6)+SUMIFS(supercb[Qtde],supercb[Item],tab_alimentos[[#This Row],[Item]],supercb[Bairro],mercado6)</f>
        <v>0</v>
      </c>
      <c r="R266" s="27" t="n">
        <f aca="false">SUMIFS(super1[Qtde],super1[Item],tab_alimentos[[#This Row],[Item]],super1[Bairro],mercado7)+SUMIFS(supercb[Qtde],supercb[Item],tab_alimentos[[#This Row],[Item]],supercb[Bairro],mercado7)</f>
        <v>0</v>
      </c>
      <c r="S266" s="27" t="n">
        <f aca="false">SUMIFS(super1[Qtde],super1[Item],tab_alimentos[[#This Row],[Item]],super1[Bairro],mercado8)+SUMIFS(supercb[Qtde],supercb[Item],tab_alimentos[[#This Row],[Item]],supercb[Bairro],mercado8)</f>
        <v>0</v>
      </c>
      <c r="T266" s="27" t="n">
        <f aca="false">SUMIFS(super1[Qtde],super1[Item],tab_alimentos[[#This Row],[Item]],super1[Bairro],mercado9)+SUMIFS(supercb[Qtde],supercb[Item],tab_alimentos[[#This Row],[Item]],supercb[Bairro],mercado9)</f>
        <v>0</v>
      </c>
      <c r="U266" s="27" t="n">
        <f aca="false">SUMIFS(super1[Qtde],super1[Item],tab_alimentos[[#This Row],[Item]],super1[Bairro],mercado10)+SUMIFS(supercb[Qtde],supercb[Item],tab_alimentos[[#This Row],[Item]],supercb[Bairro],mercado10)</f>
        <v>0</v>
      </c>
      <c r="V266" s="27" t="n">
        <f aca="false">SUMIFS(super1[Qtde],super1[Item],tab_alimentos[[#This Row],[Item]],super1[Bairro],mercado11)+SUMIFS(supercb[Qtde],supercb[Item],tab_alimentos[[#This Row],[Item]],supercb[Bairro],mercado11)</f>
        <v>0</v>
      </c>
      <c r="W266" s="27" t="n">
        <f aca="false">SUMIFS(super1[Qtde],super1[Item],tab_alimentos[[#This Row],[Item]],super1[Bairro],mercado12)+SUMIFS(supercb[Qtde],supercb[Item],tab_alimentos[[#This Row],[Item]],supercb[Bairro],mercado12)</f>
        <v>0</v>
      </c>
      <c r="X266" s="27" t="n">
        <f aca="false">SUMIFS(super1[Qtde],super1[Item],tab_alimentos[[#This Row],[Item]],super1[Bairro],mercado13)+SUMIFS(supercb[Qtde],supercb[Item],tab_alimentos[[#This Row],[Item]],supercb[Bairro],mercado13)</f>
        <v>0</v>
      </c>
      <c r="Y266" s="27" t="n">
        <f aca="false">SUMIFS(super1[Qtde],super1[Item],tab_alimentos[[#This Row],[Item]],super1[Bairro],mercado14)+SUMIFS(supercb[Qtde],supercb[Item],tab_alimentos[[#This Row],[Item]],supercb[Bairro],mercado14)</f>
        <v>0</v>
      </c>
      <c r="Z266" s="27" t="n">
        <f aca="false">SUMIFS(super1[Qtde],super1[Item],tab_alimentos[[#This Row],[Item]],super1[Bairro],mercado15)+SUMIFS(supercb[Qtde],supercb[Item],tab_alimentos[[#This Row],[Item]],supercb[Bairro],mercado15)</f>
        <v>0</v>
      </c>
      <c r="AA266" s="27" t="n">
        <f aca="false">SUMIFS(super1[Qtde],super1[Item],tab_alimentos[[#This Row],[Item]],super1[Bairro],mercado16)+SUMIFS(supercb[Qtde],supercb[Item],tab_alimentos[[#This Row],[Item]],supercb[Bairro],mercado16)</f>
        <v>0</v>
      </c>
      <c r="AB266" s="27" t="n">
        <f aca="false">SUMIFS(super1[Qtde],super1[Item],tab_alimentos[[#This Row],[Item]],super1[Bairro],mercado17)+SUMIFS(supercb[Qtde],supercb[Item],tab_alimentos[[#This Row],[Item]],supercb[Bairro],mercado17)</f>
        <v>0</v>
      </c>
      <c r="AC266" s="27" t="n">
        <f aca="false">SUMIFS(super1[Qtde],super1[Item],tab_alimentos[[#This Row],[Item]],super1[Bairro],mercado18)+SUMIFS(supercb[Qtde],supercb[Item],tab_alimentos[[#This Row],[Item]],supercb[Bairro],mercado18)</f>
        <v>0</v>
      </c>
      <c r="AD266" s="27" t="n">
        <f aca="false">SUMIFS(super1[Qtde],super1[Item],tab_alimentos[[#This Row],[Item]],super1[Bairro],extras)+SUMIFS(supercb[Qtde],supercb[Item],tab_alimentos[[#This Row],[Item]],supercb[Bairro],extras)</f>
        <v>0</v>
      </c>
      <c r="AE266" s="27" t="n">
        <f aca="false">SUM(L266:AC266)</f>
        <v>0</v>
      </c>
      <c r="AF266" s="27" t="n">
        <f aca="false">IFERROR(AE266*K266,0)</f>
        <v>0</v>
      </c>
      <c r="AG266" s="28" t="n">
        <f aca="false">IFERROR(J266*AE266,0)</f>
        <v>0</v>
      </c>
      <c r="AH266" s="37" t="e">
        <f aca="false">higiene[[#This Row],[Item]]</f>
        <v>#VALUE!</v>
      </c>
      <c r="AI266" s="38" t="n">
        <f aca="false">IFERROR(higiene[[#This Row],[Kg equivalente]],0)</f>
        <v>0</v>
      </c>
      <c r="AJ266" s="38" t="n">
        <f aca="false">IFERROR(higiene[[#This Row],[Preço por produto]],0)</f>
        <v>0</v>
      </c>
      <c r="AK266" s="27" t="n">
        <f aca="false">SUMIFS(super1[Qtde],super1[Item],tab_higiene[[#This Row],[Item]],super1[Bairro],mercado1)+SUMIFS(supercb[Qtde],supercb[Item],tab_higiene[[#This Row],[Item]],supercb[Bairro],mercado1)</f>
        <v>0</v>
      </c>
      <c r="AL266" s="27" t="n">
        <f aca="false">SUMIFS(super1[Qtde],super1[Item],tab_higiene[[#This Row],[Item]],super1[Bairro],mercado2)+SUMIFS(supercb[Qtde],supercb[Item],tab_higiene[[#This Row],[Item]],supercb[Bairro],mercado2)</f>
        <v>0</v>
      </c>
      <c r="AM266" s="27" t="n">
        <f aca="false">SUMIFS(super1[Qtde],super1[Item],tab_higiene[[#This Row],[Item]],super1[Bairro],mercado3)+SUMIFS(supercb[Qtde],supercb[Item],tab_higiene[[#This Row],[Item]],supercb[Bairro],mercado3)</f>
        <v>0</v>
      </c>
      <c r="AN266" s="27" t="n">
        <f aca="false">SUMIFS(super1[Qtde],super1[Item],tab_higiene[[#This Row],[Item]],super1[Bairro],mercado4)+SUMIFS(supercb[Qtde],supercb[Item],tab_higiene[[#This Row],[Item]],supercb[Bairro],mercado4)</f>
        <v>0</v>
      </c>
      <c r="AO266" s="27" t="n">
        <f aca="false">SUMIFS(super1[Qtde],super1[Item],tab_higiene[[#This Row],[Item]],super1[Bairro],mercado5)+SUMIFS(supercb[Qtde],supercb[Item],tab_higiene[[#This Row],[Item]],supercb[Bairro],mercado5)</f>
        <v>0</v>
      </c>
      <c r="AP266" s="27" t="n">
        <f aca="false">SUMIFS(super1[Qtde],super1[Item],tab_higiene[[#This Row],[Item]],super1[Bairro],mercado6)+SUMIFS(supercb[Qtde],supercb[Item],tab_higiene[[#This Row],[Item]],supercb[Bairro],mercado6)</f>
        <v>0</v>
      </c>
      <c r="AQ266" s="27" t="n">
        <f aca="false">SUMIFS(super1[Qtde],super1[Item],tab_higiene[[#This Row],[Item]],super1[Bairro],mercado7)+SUMIFS(supercb[Qtde],supercb[Item],tab_higiene[[#This Row],[Item]],supercb[Bairro],mercado7)</f>
        <v>0</v>
      </c>
      <c r="AR266" s="27" t="n">
        <f aca="false">SUMIFS(super1[Qtde],super1[Item],tab_higiene[[#This Row],[Item]],super1[Bairro],mercado8)+SUMIFS(supercb[Qtde],supercb[Item],tab_higiene[[#This Row],[Item]],supercb[Bairro],mercado8)</f>
        <v>0</v>
      </c>
      <c r="AS266" s="27" t="n">
        <f aca="false">SUMIFS(super1[Qtde],super1[Item],tab_higiene[[#This Row],[Item]],super1[Bairro],mercado9)+SUMIFS(supercb[Qtde],supercb[Item],tab_higiene[[#This Row],[Item]],supercb[Bairro],mercado9)</f>
        <v>0</v>
      </c>
      <c r="AT266" s="27" t="n">
        <f aca="false">SUMIFS(super1[Qtde],super1[Item],tab_higiene[[#This Row],[Item]],super1[Bairro],mercado10)+SUMIFS(supercb[Qtde],supercb[Item],tab_higiene[[#This Row],[Item]],supercb[Bairro],mercado10)</f>
        <v>0</v>
      </c>
      <c r="AU266" s="27" t="n">
        <f aca="false">SUMIFS(super1[Qtde],super1[Item],tab_higiene[[#This Row],[Item]],super1[Bairro],mercado11)+SUMIFS(supercb[Qtde],supercb[Item],tab_higiene[[#This Row],[Item]],supercb[Bairro],mercado11)</f>
        <v>0</v>
      </c>
      <c r="AV266" s="27" t="n">
        <f aca="false">SUMIFS(super1[Qtde],super1[Item],tab_higiene[[#This Row],[Item]],super1[Bairro],mercado12)+SUMIFS(supercb[Qtde],supercb[Item],tab_higiene[[#This Row],[Item]],supercb[Bairro],mercado12)</f>
        <v>0</v>
      </c>
      <c r="AW266" s="27" t="n">
        <f aca="false">SUMIFS(super1[Qtde],super1[Item],tab_higiene[[#This Row],[Item]],super1[Bairro],mercado13)+SUMIFS(supercb[Qtde],supercb[Item],tab_higiene[[#This Row],[Item]],supercb[Bairro],mercado13)</f>
        <v>0</v>
      </c>
      <c r="AX266" s="27" t="n">
        <f aca="false">SUMIFS(super1[Qtde],super1[Item],tab_higiene[[#This Row],[Item]],super1[Bairro],mercado14)+SUMIFS(supercb[Qtde],supercb[Item],tab_higiene[[#This Row],[Item]],supercb[Bairro],mercado14)</f>
        <v>0</v>
      </c>
      <c r="AY266" s="27" t="n">
        <f aca="false">SUMIFS(super1[Qtde],super1[Item],tab_higiene[[#This Row],[Item]],super1[Bairro],mercado15)+SUMIFS(supercb[Qtde],supercb[Item],tab_higiene[[#This Row],[Item]],supercb[Bairro],mercado15)</f>
        <v>0</v>
      </c>
      <c r="AZ266" s="27" t="n">
        <f aca="false">SUMIFS(super1[Qtde],super1[Item],tab_higiene[[#This Row],[Item]],super1[Bairro],mercado16)+SUMIFS(supercb[Qtde],supercb[Item],tab_higiene[[#This Row],[Item]],supercb[Bairro],mercado16)</f>
        <v>0</v>
      </c>
      <c r="BA266" s="27" t="n">
        <f aca="false">SUMIFS(super1[Qtde],super1[Item],tab_higiene[[#This Row],[Item]],super1[Bairro],mercado17)+SUMIFS(supercb[Qtde],supercb[Item],tab_higiene[[#This Row],[Item]],supercb[Bairro],mercado17)</f>
        <v>0</v>
      </c>
      <c r="BB266" s="27" t="n">
        <f aca="false">SUMIFS(super1[Qtde],super1[Item],tab_higiene[[#This Row],[Item]],super1[Bairro],mercado18)+SUMIFS(supercb[Qtde],supercb[Item],tab_higiene[[#This Row],[Item]],supercb[Bairro],mercado18)</f>
        <v>0</v>
      </c>
      <c r="BC266" s="39" t="n">
        <f aca="false">SUMIFS(super1[Qtde],super1[Item],tab_higiene[[#This Row],[Item]],super1[Bairro],extras)+SUMIFS(supercb[Qtde],supercb[Item],tab_higiene[[#This Row],[Item]],supercb[Bairro],extras)</f>
        <v>0</v>
      </c>
      <c r="BD266" s="38" t="n">
        <f aca="false">SUM(AK266:BB266)</f>
        <v>0</v>
      </c>
      <c r="BE266" s="38" t="n">
        <f aca="false">IFERROR(BD266*AJ266,0)</f>
        <v>0</v>
      </c>
      <c r="BF266" s="40" t="n">
        <f aca="false">IFERROR(AI266*BD266,0)</f>
        <v>0</v>
      </c>
    </row>
    <row r="267" customFormat="false" ht="15.75" hidden="false" customHeight="false" outlineLevel="0" collapsed="false">
      <c r="I267" s="26" t="str">
        <f aca="false">alimentos[[#This Row],[Item]]</f>
        <v>Yakissoba (500g)</v>
      </c>
      <c r="J267" s="27" t="n">
        <f aca="false">IFERROR(alimentos[[#This Row],[kg/embalagem]],0)</f>
        <v>0.5</v>
      </c>
      <c r="K267" s="27" t="n">
        <f aca="false">IFERROR(alimentos[[#This Row],[Preço]],0)</f>
        <v>8.285</v>
      </c>
      <c r="L267" s="27" t="n">
        <f aca="false">SUMIFS(super1[Qtde],super1[Item],tab_alimentos[[#This Row],[Item]],super1[Bairro],mercado1)+SUMIFS(supercb[Qtde],supercb[Item],tab_alimentos[[#This Row],[Item]],supercb[Bairro],mercado1)</f>
        <v>0</v>
      </c>
      <c r="M267" s="27" t="n">
        <f aca="false">SUMIFS(super1[Qtde],super1[Item],tab_alimentos[[#This Row],[Item]],super1[Bairro],mercado2)+SUMIFS(supercb[Qtde],supercb[Item],tab_alimentos[[#This Row],[Item]],supercb[Bairro],mercado2)</f>
        <v>0</v>
      </c>
      <c r="N267" s="27" t="n">
        <f aca="false">SUMIFS(super1[Qtde],super1[Item],tab_alimentos[[#This Row],[Item]],super1[Bairro],mercado3)+SUMIFS(supercb[Qtde],supercb[Item],tab_alimentos[[#This Row],[Item]],supercb[Bairro],mercado3)</f>
        <v>0</v>
      </c>
      <c r="O267" s="27" t="n">
        <f aca="false">SUMIFS(super1[Qtde],super1[Item],tab_alimentos[[#This Row],[Item]],super1[Bairro],mercado4)+SUMIFS(supercb[Qtde],supercb[Item],tab_alimentos[[#This Row],[Item]],supercb[Bairro],mercado4)</f>
        <v>0</v>
      </c>
      <c r="P267" s="27" t="n">
        <f aca="false">SUMIFS(super1[Qtde],super1[Item],tab_alimentos[[#This Row],[Item]],super1[Bairro],mercado5)+SUMIFS(supercb[Qtde],supercb[Item],tab_alimentos[[#This Row],[Item]],supercb[Bairro],mercado5)</f>
        <v>0</v>
      </c>
      <c r="Q267" s="27" t="n">
        <f aca="false">SUMIFS(super1[Qtde],super1[Item],tab_alimentos[[#This Row],[Item]],super1[Bairro],mercado6)+SUMIFS(supercb[Qtde],supercb[Item],tab_alimentos[[#This Row],[Item]],supercb[Bairro],mercado6)</f>
        <v>0</v>
      </c>
      <c r="R267" s="27" t="n">
        <f aca="false">SUMIFS(super1[Qtde],super1[Item],tab_alimentos[[#This Row],[Item]],super1[Bairro],mercado7)+SUMIFS(supercb[Qtde],supercb[Item],tab_alimentos[[#This Row],[Item]],supercb[Bairro],mercado7)</f>
        <v>0</v>
      </c>
      <c r="S267" s="27" t="n">
        <f aca="false">SUMIFS(super1[Qtde],super1[Item],tab_alimentos[[#This Row],[Item]],super1[Bairro],mercado8)+SUMIFS(supercb[Qtde],supercb[Item],tab_alimentos[[#This Row],[Item]],supercb[Bairro],mercado8)</f>
        <v>0</v>
      </c>
      <c r="T267" s="27" t="n">
        <f aca="false">SUMIFS(super1[Qtde],super1[Item],tab_alimentos[[#This Row],[Item]],super1[Bairro],mercado9)+SUMIFS(supercb[Qtde],supercb[Item],tab_alimentos[[#This Row],[Item]],supercb[Bairro],mercado9)</f>
        <v>0</v>
      </c>
      <c r="U267" s="27" t="n">
        <f aca="false">SUMIFS(super1[Qtde],super1[Item],tab_alimentos[[#This Row],[Item]],super1[Bairro],mercado10)+SUMIFS(supercb[Qtde],supercb[Item],tab_alimentos[[#This Row],[Item]],supercb[Bairro],mercado10)</f>
        <v>0</v>
      </c>
      <c r="V267" s="27" t="n">
        <f aca="false">SUMIFS(super1[Qtde],super1[Item],tab_alimentos[[#This Row],[Item]],super1[Bairro],mercado11)+SUMIFS(supercb[Qtde],supercb[Item],tab_alimentos[[#This Row],[Item]],supercb[Bairro],mercado11)</f>
        <v>0</v>
      </c>
      <c r="W267" s="27" t="n">
        <f aca="false">SUMIFS(super1[Qtde],super1[Item],tab_alimentos[[#This Row],[Item]],super1[Bairro],mercado12)+SUMIFS(supercb[Qtde],supercb[Item],tab_alimentos[[#This Row],[Item]],supercb[Bairro],mercado12)</f>
        <v>0</v>
      </c>
      <c r="X267" s="27" t="n">
        <f aca="false">SUMIFS(super1[Qtde],super1[Item],tab_alimentos[[#This Row],[Item]],super1[Bairro],mercado13)+SUMIFS(supercb[Qtde],supercb[Item],tab_alimentos[[#This Row],[Item]],supercb[Bairro],mercado13)</f>
        <v>0</v>
      </c>
      <c r="Y267" s="27" t="n">
        <f aca="false">SUMIFS(super1[Qtde],super1[Item],tab_alimentos[[#This Row],[Item]],super1[Bairro],mercado14)+SUMIFS(supercb[Qtde],supercb[Item],tab_alimentos[[#This Row],[Item]],supercb[Bairro],mercado14)</f>
        <v>0</v>
      </c>
      <c r="Z267" s="27" t="n">
        <f aca="false">SUMIFS(super1[Qtde],super1[Item],tab_alimentos[[#This Row],[Item]],super1[Bairro],mercado15)+SUMIFS(supercb[Qtde],supercb[Item],tab_alimentos[[#This Row],[Item]],supercb[Bairro],mercado15)</f>
        <v>0</v>
      </c>
      <c r="AA267" s="27" t="n">
        <f aca="false">SUMIFS(super1[Qtde],super1[Item],tab_alimentos[[#This Row],[Item]],super1[Bairro],mercado16)+SUMIFS(supercb[Qtde],supercb[Item],tab_alimentos[[#This Row],[Item]],supercb[Bairro],mercado16)</f>
        <v>0</v>
      </c>
      <c r="AB267" s="27" t="n">
        <f aca="false">SUMIFS(super1[Qtde],super1[Item],tab_alimentos[[#This Row],[Item]],super1[Bairro],mercado17)+SUMIFS(supercb[Qtde],supercb[Item],tab_alimentos[[#This Row],[Item]],supercb[Bairro],mercado17)</f>
        <v>0</v>
      </c>
      <c r="AC267" s="27" t="n">
        <f aca="false">SUMIFS(super1[Qtde],super1[Item],tab_alimentos[[#This Row],[Item]],super1[Bairro],mercado18)+SUMIFS(supercb[Qtde],supercb[Item],tab_alimentos[[#This Row],[Item]],supercb[Bairro],mercado18)</f>
        <v>0</v>
      </c>
      <c r="AD267" s="27" t="n">
        <f aca="false">SUMIFS(super1[Qtde],super1[Item],tab_alimentos[[#This Row],[Item]],super1[Bairro],extras)+SUMIFS(supercb[Qtde],supercb[Item],tab_alimentos[[#This Row],[Item]],supercb[Bairro],extras)</f>
        <v>0</v>
      </c>
      <c r="AE267" s="27" t="n">
        <f aca="false">SUM(L267:AC267)</f>
        <v>0</v>
      </c>
      <c r="AF267" s="27" t="n">
        <f aca="false">IFERROR(AE267*K267,0)</f>
        <v>0</v>
      </c>
      <c r="AG267" s="28" t="n">
        <f aca="false">IFERROR(J267*AE267,0)</f>
        <v>0</v>
      </c>
      <c r="AH267" s="37" t="e">
        <f aca="false">higiene[[#This Row],[Item]]</f>
        <v>#VALUE!</v>
      </c>
      <c r="AI267" s="38" t="n">
        <f aca="false">IFERROR(higiene[[#This Row],[Kg equivalente]],0)</f>
        <v>0</v>
      </c>
      <c r="AJ267" s="38" t="n">
        <f aca="false">IFERROR(higiene[[#This Row],[Preço por produto]],0)</f>
        <v>0</v>
      </c>
      <c r="AK267" s="27" t="n">
        <f aca="false">SUMIFS(super1[Qtde],super1[Item],tab_higiene[[#This Row],[Item]],super1[Bairro],mercado1)+SUMIFS(supercb[Qtde],supercb[Item],tab_higiene[[#This Row],[Item]],supercb[Bairro],mercado1)</f>
        <v>0</v>
      </c>
      <c r="AL267" s="27" t="n">
        <f aca="false">SUMIFS(super1[Qtde],super1[Item],tab_higiene[[#This Row],[Item]],super1[Bairro],mercado2)+SUMIFS(supercb[Qtde],supercb[Item],tab_higiene[[#This Row],[Item]],supercb[Bairro],mercado2)</f>
        <v>0</v>
      </c>
      <c r="AM267" s="27" t="n">
        <f aca="false">SUMIFS(super1[Qtde],super1[Item],tab_higiene[[#This Row],[Item]],super1[Bairro],mercado3)+SUMIFS(supercb[Qtde],supercb[Item],tab_higiene[[#This Row],[Item]],supercb[Bairro],mercado3)</f>
        <v>0</v>
      </c>
      <c r="AN267" s="27" t="n">
        <f aca="false">SUMIFS(super1[Qtde],super1[Item],tab_higiene[[#This Row],[Item]],super1[Bairro],mercado4)+SUMIFS(supercb[Qtde],supercb[Item],tab_higiene[[#This Row],[Item]],supercb[Bairro],mercado4)</f>
        <v>0</v>
      </c>
      <c r="AO267" s="27" t="n">
        <f aca="false">SUMIFS(super1[Qtde],super1[Item],tab_higiene[[#This Row],[Item]],super1[Bairro],mercado5)+SUMIFS(supercb[Qtde],supercb[Item],tab_higiene[[#This Row],[Item]],supercb[Bairro],mercado5)</f>
        <v>0</v>
      </c>
      <c r="AP267" s="27" t="n">
        <f aca="false">SUMIFS(super1[Qtde],super1[Item],tab_higiene[[#This Row],[Item]],super1[Bairro],mercado6)+SUMIFS(supercb[Qtde],supercb[Item],tab_higiene[[#This Row],[Item]],supercb[Bairro],mercado6)</f>
        <v>0</v>
      </c>
      <c r="AQ267" s="27" t="n">
        <f aca="false">SUMIFS(super1[Qtde],super1[Item],tab_higiene[[#This Row],[Item]],super1[Bairro],mercado7)+SUMIFS(supercb[Qtde],supercb[Item],tab_higiene[[#This Row],[Item]],supercb[Bairro],mercado7)</f>
        <v>0</v>
      </c>
      <c r="AR267" s="27" t="n">
        <f aca="false">SUMIFS(super1[Qtde],super1[Item],tab_higiene[[#This Row],[Item]],super1[Bairro],mercado8)+SUMIFS(supercb[Qtde],supercb[Item],tab_higiene[[#This Row],[Item]],supercb[Bairro],mercado8)</f>
        <v>0</v>
      </c>
      <c r="AS267" s="27" t="n">
        <f aca="false">SUMIFS(super1[Qtde],super1[Item],tab_higiene[[#This Row],[Item]],super1[Bairro],mercado9)+SUMIFS(supercb[Qtde],supercb[Item],tab_higiene[[#This Row],[Item]],supercb[Bairro],mercado9)</f>
        <v>0</v>
      </c>
      <c r="AT267" s="27" t="n">
        <f aca="false">SUMIFS(super1[Qtde],super1[Item],tab_higiene[[#This Row],[Item]],super1[Bairro],mercado10)+SUMIFS(supercb[Qtde],supercb[Item],tab_higiene[[#This Row],[Item]],supercb[Bairro],mercado10)</f>
        <v>0</v>
      </c>
      <c r="AU267" s="27" t="n">
        <f aca="false">SUMIFS(super1[Qtde],super1[Item],tab_higiene[[#This Row],[Item]],super1[Bairro],mercado11)+SUMIFS(supercb[Qtde],supercb[Item],tab_higiene[[#This Row],[Item]],supercb[Bairro],mercado11)</f>
        <v>0</v>
      </c>
      <c r="AV267" s="27" t="n">
        <f aca="false">SUMIFS(super1[Qtde],super1[Item],tab_higiene[[#This Row],[Item]],super1[Bairro],mercado12)+SUMIFS(supercb[Qtde],supercb[Item],tab_higiene[[#This Row],[Item]],supercb[Bairro],mercado12)</f>
        <v>0</v>
      </c>
      <c r="AW267" s="27" t="n">
        <f aca="false">SUMIFS(super1[Qtde],super1[Item],tab_higiene[[#This Row],[Item]],super1[Bairro],mercado13)+SUMIFS(supercb[Qtde],supercb[Item],tab_higiene[[#This Row],[Item]],supercb[Bairro],mercado13)</f>
        <v>0</v>
      </c>
      <c r="AX267" s="27" t="n">
        <f aca="false">SUMIFS(super1[Qtde],super1[Item],tab_higiene[[#This Row],[Item]],super1[Bairro],mercado14)+SUMIFS(supercb[Qtde],supercb[Item],tab_higiene[[#This Row],[Item]],supercb[Bairro],mercado14)</f>
        <v>0</v>
      </c>
      <c r="AY267" s="27" t="n">
        <f aca="false">SUMIFS(super1[Qtde],super1[Item],tab_higiene[[#This Row],[Item]],super1[Bairro],mercado15)+SUMIFS(supercb[Qtde],supercb[Item],tab_higiene[[#This Row],[Item]],supercb[Bairro],mercado15)</f>
        <v>0</v>
      </c>
      <c r="AZ267" s="27" t="n">
        <f aca="false">SUMIFS(super1[Qtde],super1[Item],tab_higiene[[#This Row],[Item]],super1[Bairro],mercado16)+SUMIFS(supercb[Qtde],supercb[Item],tab_higiene[[#This Row],[Item]],supercb[Bairro],mercado16)</f>
        <v>0</v>
      </c>
      <c r="BA267" s="27" t="n">
        <f aca="false">SUMIFS(super1[Qtde],super1[Item],tab_higiene[[#This Row],[Item]],super1[Bairro],mercado17)+SUMIFS(supercb[Qtde],supercb[Item],tab_higiene[[#This Row],[Item]],supercb[Bairro],mercado17)</f>
        <v>0</v>
      </c>
      <c r="BB267" s="27" t="n">
        <f aca="false">SUMIFS(super1[Qtde],super1[Item],tab_higiene[[#This Row],[Item]],super1[Bairro],mercado18)+SUMIFS(supercb[Qtde],supercb[Item],tab_higiene[[#This Row],[Item]],supercb[Bairro],mercado18)</f>
        <v>0</v>
      </c>
      <c r="BC267" s="39" t="n">
        <f aca="false">SUMIFS(super1[Qtde],super1[Item],tab_higiene[[#This Row],[Item]],super1[Bairro],extras)+SUMIFS(supercb[Qtde],supercb[Item],tab_higiene[[#This Row],[Item]],supercb[Bairro],extras)</f>
        <v>0</v>
      </c>
      <c r="BD267" s="38" t="n">
        <f aca="false">SUM(AK267:BB267)</f>
        <v>0</v>
      </c>
      <c r="BE267" s="38" t="n">
        <f aca="false">IFERROR(BD267*AJ267,0)</f>
        <v>0</v>
      </c>
      <c r="BF267" s="40" t="n">
        <f aca="false">IFERROR(AI267*BD267,0)</f>
        <v>0</v>
      </c>
    </row>
    <row r="268" customFormat="false" ht="15.75" hidden="false" customHeight="false" outlineLevel="0" collapsed="false">
      <c r="I268" s="26" t="e">
        <f aca="false">alimentos[[#This Row],[Item]]</f>
        <v>#VALUE!</v>
      </c>
      <c r="J268" s="27" t="n">
        <f aca="false">IFERROR(alimentos[[#This Row],[kg/embalagem]],0)</f>
        <v>0</v>
      </c>
      <c r="K268" s="27" t="n">
        <f aca="false">IFERROR(alimentos[[#This Row],[Preço]],0)</f>
        <v>0</v>
      </c>
      <c r="L268" s="27" t="n">
        <f aca="false">SUMIFS(super1[Qtde],super1[Item],tab_alimentos[[#This Row],[Item]],super1[Bairro],mercado1)+SUMIFS(supercb[Qtde],supercb[Item],tab_alimentos[[#This Row],[Item]],supercb[Bairro],mercado1)</f>
        <v>0</v>
      </c>
      <c r="M268" s="27" t="n">
        <f aca="false">SUMIFS(super1[Qtde],super1[Item],tab_alimentos[[#This Row],[Item]],super1[Bairro],mercado2)+SUMIFS(supercb[Qtde],supercb[Item],tab_alimentos[[#This Row],[Item]],supercb[Bairro],mercado2)</f>
        <v>0</v>
      </c>
      <c r="N268" s="27" t="n">
        <f aca="false">SUMIFS(super1[Qtde],super1[Item],tab_alimentos[[#This Row],[Item]],super1[Bairro],mercado3)+SUMIFS(supercb[Qtde],supercb[Item],tab_alimentos[[#This Row],[Item]],supercb[Bairro],mercado3)</f>
        <v>0</v>
      </c>
      <c r="O268" s="27" t="n">
        <f aca="false">SUMIFS(super1[Qtde],super1[Item],tab_alimentos[[#This Row],[Item]],super1[Bairro],mercado4)+SUMIFS(supercb[Qtde],supercb[Item],tab_alimentos[[#This Row],[Item]],supercb[Bairro],mercado4)</f>
        <v>0</v>
      </c>
      <c r="P268" s="27" t="n">
        <f aca="false">SUMIFS(super1[Qtde],super1[Item],tab_alimentos[[#This Row],[Item]],super1[Bairro],mercado5)+SUMIFS(supercb[Qtde],supercb[Item],tab_alimentos[[#This Row],[Item]],supercb[Bairro],mercado5)</f>
        <v>0</v>
      </c>
      <c r="Q268" s="27" t="n">
        <f aca="false">SUMIFS(super1[Qtde],super1[Item],tab_alimentos[[#This Row],[Item]],super1[Bairro],mercado6)+SUMIFS(supercb[Qtde],supercb[Item],tab_alimentos[[#This Row],[Item]],supercb[Bairro],mercado6)</f>
        <v>0</v>
      </c>
      <c r="R268" s="27" t="n">
        <f aca="false">SUMIFS(super1[Qtde],super1[Item],tab_alimentos[[#This Row],[Item]],super1[Bairro],mercado7)+SUMIFS(supercb[Qtde],supercb[Item],tab_alimentos[[#This Row],[Item]],supercb[Bairro],mercado7)</f>
        <v>0</v>
      </c>
      <c r="S268" s="27" t="n">
        <f aca="false">SUMIFS(super1[Qtde],super1[Item],tab_alimentos[[#This Row],[Item]],super1[Bairro],mercado8)+SUMIFS(supercb[Qtde],supercb[Item],tab_alimentos[[#This Row],[Item]],supercb[Bairro],mercado8)</f>
        <v>0</v>
      </c>
      <c r="T268" s="27" t="n">
        <f aca="false">SUMIFS(super1[Qtde],super1[Item],tab_alimentos[[#This Row],[Item]],super1[Bairro],mercado9)+SUMIFS(supercb[Qtde],supercb[Item],tab_alimentos[[#This Row],[Item]],supercb[Bairro],mercado9)</f>
        <v>0</v>
      </c>
      <c r="U268" s="27" t="n">
        <f aca="false">SUMIFS(super1[Qtde],super1[Item],tab_alimentos[[#This Row],[Item]],super1[Bairro],mercado10)+SUMIFS(supercb[Qtde],supercb[Item],tab_alimentos[[#This Row],[Item]],supercb[Bairro],mercado10)</f>
        <v>0</v>
      </c>
      <c r="V268" s="27" t="n">
        <f aca="false">SUMIFS(super1[Qtde],super1[Item],tab_alimentos[[#This Row],[Item]],super1[Bairro],mercado11)+SUMIFS(supercb[Qtde],supercb[Item],tab_alimentos[[#This Row],[Item]],supercb[Bairro],mercado11)</f>
        <v>0</v>
      </c>
      <c r="W268" s="27" t="n">
        <f aca="false">SUMIFS(super1[Qtde],super1[Item],tab_alimentos[[#This Row],[Item]],super1[Bairro],mercado12)+SUMIFS(supercb[Qtde],supercb[Item],tab_alimentos[[#This Row],[Item]],supercb[Bairro],mercado12)</f>
        <v>0</v>
      </c>
      <c r="X268" s="27" t="n">
        <f aca="false">SUMIFS(super1[Qtde],super1[Item],tab_alimentos[[#This Row],[Item]],super1[Bairro],mercado13)+SUMIFS(supercb[Qtde],supercb[Item],tab_alimentos[[#This Row],[Item]],supercb[Bairro],mercado13)</f>
        <v>0</v>
      </c>
      <c r="Y268" s="27" t="n">
        <f aca="false">SUMIFS(super1[Qtde],super1[Item],tab_alimentos[[#This Row],[Item]],super1[Bairro],mercado14)+SUMIFS(supercb[Qtde],supercb[Item],tab_alimentos[[#This Row],[Item]],supercb[Bairro],mercado14)</f>
        <v>0</v>
      </c>
      <c r="Z268" s="27" t="n">
        <f aca="false">SUMIFS(super1[Qtde],super1[Item],tab_alimentos[[#This Row],[Item]],super1[Bairro],mercado15)+SUMIFS(supercb[Qtde],supercb[Item],tab_alimentos[[#This Row],[Item]],supercb[Bairro],mercado15)</f>
        <v>0</v>
      </c>
      <c r="AA268" s="27" t="n">
        <f aca="false">SUMIFS(super1[Qtde],super1[Item],tab_alimentos[[#This Row],[Item]],super1[Bairro],mercado16)+SUMIFS(supercb[Qtde],supercb[Item],tab_alimentos[[#This Row],[Item]],supercb[Bairro],mercado16)</f>
        <v>0</v>
      </c>
      <c r="AB268" s="27" t="n">
        <f aca="false">SUMIFS(super1[Qtde],super1[Item],tab_alimentos[[#This Row],[Item]],super1[Bairro],mercado17)+SUMIFS(supercb[Qtde],supercb[Item],tab_alimentos[[#This Row],[Item]],supercb[Bairro],mercado17)</f>
        <v>0</v>
      </c>
      <c r="AC268" s="27" t="n">
        <f aca="false">SUMIFS(super1[Qtde],super1[Item],tab_alimentos[[#This Row],[Item]],super1[Bairro],mercado18)+SUMIFS(supercb[Qtde],supercb[Item],tab_alimentos[[#This Row],[Item]],supercb[Bairro],mercado18)</f>
        <v>0</v>
      </c>
      <c r="AD268" s="27" t="n">
        <f aca="false">SUMIFS(super1[Qtde],super1[Item],tab_alimentos[[#This Row],[Item]],super1[Bairro],extras)+SUMIFS(supercb[Qtde],supercb[Item],tab_alimentos[[#This Row],[Item]],supercb[Bairro],extras)</f>
        <v>0</v>
      </c>
      <c r="AE268" s="27" t="n">
        <f aca="false">SUM(L268:AC268)</f>
        <v>0</v>
      </c>
      <c r="AF268" s="27" t="n">
        <f aca="false">IFERROR(AE268*K268,0)</f>
        <v>0</v>
      </c>
      <c r="AG268" s="28" t="n">
        <f aca="false">IFERROR(J268*AE268,0)</f>
        <v>0</v>
      </c>
      <c r="AH268" s="37" t="e">
        <f aca="false">higiene[[#This Row],[Item]]</f>
        <v>#VALUE!</v>
      </c>
      <c r="AI268" s="38" t="n">
        <f aca="false">IFERROR(higiene[[#This Row],[Kg equivalente]],0)</f>
        <v>0</v>
      </c>
      <c r="AJ268" s="38" t="n">
        <f aca="false">IFERROR(higiene[[#This Row],[Preço por produto]],0)</f>
        <v>0</v>
      </c>
      <c r="AK268" s="27" t="n">
        <f aca="false">SUMIFS(super1[Qtde],super1[Item],tab_higiene[[#This Row],[Item]],super1[Bairro],mercado1)+SUMIFS(supercb[Qtde],supercb[Item],tab_higiene[[#This Row],[Item]],supercb[Bairro],mercado1)</f>
        <v>0</v>
      </c>
      <c r="AL268" s="27" t="n">
        <f aca="false">SUMIFS(super1[Qtde],super1[Item],tab_higiene[[#This Row],[Item]],super1[Bairro],mercado2)+SUMIFS(supercb[Qtde],supercb[Item],tab_higiene[[#This Row],[Item]],supercb[Bairro],mercado2)</f>
        <v>0</v>
      </c>
      <c r="AM268" s="27" t="n">
        <f aca="false">SUMIFS(super1[Qtde],super1[Item],tab_higiene[[#This Row],[Item]],super1[Bairro],mercado3)+SUMIFS(supercb[Qtde],supercb[Item],tab_higiene[[#This Row],[Item]],supercb[Bairro],mercado3)</f>
        <v>0</v>
      </c>
      <c r="AN268" s="27" t="n">
        <f aca="false">SUMIFS(super1[Qtde],super1[Item],tab_higiene[[#This Row],[Item]],super1[Bairro],mercado4)+SUMIFS(supercb[Qtde],supercb[Item],tab_higiene[[#This Row],[Item]],supercb[Bairro],mercado4)</f>
        <v>0</v>
      </c>
      <c r="AO268" s="27" t="n">
        <f aca="false">SUMIFS(super1[Qtde],super1[Item],tab_higiene[[#This Row],[Item]],super1[Bairro],mercado5)+SUMIFS(supercb[Qtde],supercb[Item],tab_higiene[[#This Row],[Item]],supercb[Bairro],mercado5)</f>
        <v>0</v>
      </c>
      <c r="AP268" s="27" t="n">
        <f aca="false">SUMIFS(super1[Qtde],super1[Item],tab_higiene[[#This Row],[Item]],super1[Bairro],mercado6)+SUMIFS(supercb[Qtde],supercb[Item],tab_higiene[[#This Row],[Item]],supercb[Bairro],mercado6)</f>
        <v>0</v>
      </c>
      <c r="AQ268" s="27" t="n">
        <f aca="false">SUMIFS(super1[Qtde],super1[Item],tab_higiene[[#This Row],[Item]],super1[Bairro],mercado7)+SUMIFS(supercb[Qtde],supercb[Item],tab_higiene[[#This Row],[Item]],supercb[Bairro],mercado7)</f>
        <v>0</v>
      </c>
      <c r="AR268" s="27" t="n">
        <f aca="false">SUMIFS(super1[Qtde],super1[Item],tab_higiene[[#This Row],[Item]],super1[Bairro],mercado8)+SUMIFS(supercb[Qtde],supercb[Item],tab_higiene[[#This Row],[Item]],supercb[Bairro],mercado8)</f>
        <v>0</v>
      </c>
      <c r="AS268" s="27" t="n">
        <f aca="false">SUMIFS(super1[Qtde],super1[Item],tab_higiene[[#This Row],[Item]],super1[Bairro],mercado9)+SUMIFS(supercb[Qtde],supercb[Item],tab_higiene[[#This Row],[Item]],supercb[Bairro],mercado9)</f>
        <v>0</v>
      </c>
      <c r="AT268" s="27" t="n">
        <f aca="false">SUMIFS(super1[Qtde],super1[Item],tab_higiene[[#This Row],[Item]],super1[Bairro],mercado10)+SUMIFS(supercb[Qtde],supercb[Item],tab_higiene[[#This Row],[Item]],supercb[Bairro],mercado10)</f>
        <v>0</v>
      </c>
      <c r="AU268" s="27" t="n">
        <f aca="false">SUMIFS(super1[Qtde],super1[Item],tab_higiene[[#This Row],[Item]],super1[Bairro],mercado11)+SUMIFS(supercb[Qtde],supercb[Item],tab_higiene[[#This Row],[Item]],supercb[Bairro],mercado11)</f>
        <v>0</v>
      </c>
      <c r="AV268" s="27" t="n">
        <f aca="false">SUMIFS(super1[Qtde],super1[Item],tab_higiene[[#This Row],[Item]],super1[Bairro],mercado12)+SUMIFS(supercb[Qtde],supercb[Item],tab_higiene[[#This Row],[Item]],supercb[Bairro],mercado12)</f>
        <v>0</v>
      </c>
      <c r="AW268" s="27" t="n">
        <f aca="false">SUMIFS(super1[Qtde],super1[Item],tab_higiene[[#This Row],[Item]],super1[Bairro],mercado13)+SUMIFS(supercb[Qtde],supercb[Item],tab_higiene[[#This Row],[Item]],supercb[Bairro],mercado13)</f>
        <v>0</v>
      </c>
      <c r="AX268" s="27" t="n">
        <f aca="false">SUMIFS(super1[Qtde],super1[Item],tab_higiene[[#This Row],[Item]],super1[Bairro],mercado14)+SUMIFS(supercb[Qtde],supercb[Item],tab_higiene[[#This Row],[Item]],supercb[Bairro],mercado14)</f>
        <v>0</v>
      </c>
      <c r="AY268" s="27" t="n">
        <f aca="false">SUMIFS(super1[Qtde],super1[Item],tab_higiene[[#This Row],[Item]],super1[Bairro],mercado15)+SUMIFS(supercb[Qtde],supercb[Item],tab_higiene[[#This Row],[Item]],supercb[Bairro],mercado15)</f>
        <v>0</v>
      </c>
      <c r="AZ268" s="27" t="n">
        <f aca="false">SUMIFS(super1[Qtde],super1[Item],tab_higiene[[#This Row],[Item]],super1[Bairro],mercado16)+SUMIFS(supercb[Qtde],supercb[Item],tab_higiene[[#This Row],[Item]],supercb[Bairro],mercado16)</f>
        <v>0</v>
      </c>
      <c r="BA268" s="27" t="n">
        <f aca="false">SUMIFS(super1[Qtde],super1[Item],tab_higiene[[#This Row],[Item]],super1[Bairro],mercado17)+SUMIFS(supercb[Qtde],supercb[Item],tab_higiene[[#This Row],[Item]],supercb[Bairro],mercado17)</f>
        <v>0</v>
      </c>
      <c r="BB268" s="27" t="n">
        <f aca="false">SUMIFS(super1[Qtde],super1[Item],tab_higiene[[#This Row],[Item]],super1[Bairro],mercado18)+SUMIFS(supercb[Qtde],supercb[Item],tab_higiene[[#This Row],[Item]],supercb[Bairro],mercado18)</f>
        <v>0</v>
      </c>
      <c r="BC268" s="39" t="n">
        <f aca="false">SUMIFS(super1[Qtde],super1[Item],tab_higiene[[#This Row],[Item]],super1[Bairro],extras)+SUMIFS(supercb[Qtde],supercb[Item],tab_higiene[[#This Row],[Item]],supercb[Bairro],extras)</f>
        <v>0</v>
      </c>
      <c r="BD268" s="38" t="n">
        <f aca="false">SUM(AK268:BB268)</f>
        <v>0</v>
      </c>
      <c r="BE268" s="38" t="n">
        <f aca="false">IFERROR(BD268*AJ268,0)</f>
        <v>0</v>
      </c>
      <c r="BF268" s="40" t="n">
        <f aca="false">IFERROR(AI268*BD268,0)</f>
        <v>0</v>
      </c>
    </row>
    <row r="269" customFormat="false" ht="15.75" hidden="false" customHeight="false" outlineLevel="0" collapsed="false">
      <c r="I269" s="26" t="e">
        <f aca="false">alimentos[[#This Row],[Item]]</f>
        <v>#VALUE!</v>
      </c>
      <c r="J269" s="27" t="n">
        <f aca="false">IFERROR(alimentos[[#This Row],[kg/embalagem]],0)</f>
        <v>0</v>
      </c>
      <c r="K269" s="27" t="n">
        <f aca="false">IFERROR(alimentos[[#This Row],[Preço]],0)</f>
        <v>0</v>
      </c>
      <c r="L269" s="27" t="n">
        <f aca="false">SUMIFS(super1[Qtde],super1[Item],tab_alimentos[[#This Row],[Item]],super1[Bairro],mercado1)+SUMIFS(supercb[Qtde],supercb[Item],tab_alimentos[[#This Row],[Item]],supercb[Bairro],mercado1)</f>
        <v>0</v>
      </c>
      <c r="M269" s="27" t="n">
        <f aca="false">SUMIFS(super1[Qtde],super1[Item],tab_alimentos[[#This Row],[Item]],super1[Bairro],mercado2)+SUMIFS(supercb[Qtde],supercb[Item],tab_alimentos[[#This Row],[Item]],supercb[Bairro],mercado2)</f>
        <v>0</v>
      </c>
      <c r="N269" s="27" t="n">
        <f aca="false">SUMIFS(super1[Qtde],super1[Item],tab_alimentos[[#This Row],[Item]],super1[Bairro],mercado3)+SUMIFS(supercb[Qtde],supercb[Item],tab_alimentos[[#This Row],[Item]],supercb[Bairro],mercado3)</f>
        <v>0</v>
      </c>
      <c r="O269" s="27" t="n">
        <f aca="false">SUMIFS(super1[Qtde],super1[Item],tab_alimentos[[#This Row],[Item]],super1[Bairro],mercado4)+SUMIFS(supercb[Qtde],supercb[Item],tab_alimentos[[#This Row],[Item]],supercb[Bairro],mercado4)</f>
        <v>0</v>
      </c>
      <c r="P269" s="27" t="n">
        <f aca="false">SUMIFS(super1[Qtde],super1[Item],tab_alimentos[[#This Row],[Item]],super1[Bairro],mercado5)+SUMIFS(supercb[Qtde],supercb[Item],tab_alimentos[[#This Row],[Item]],supercb[Bairro],mercado5)</f>
        <v>0</v>
      </c>
      <c r="Q269" s="27" t="n">
        <f aca="false">SUMIFS(super1[Qtde],super1[Item],tab_alimentos[[#This Row],[Item]],super1[Bairro],mercado6)+SUMIFS(supercb[Qtde],supercb[Item],tab_alimentos[[#This Row],[Item]],supercb[Bairro],mercado6)</f>
        <v>0</v>
      </c>
      <c r="R269" s="27" t="n">
        <f aca="false">SUMIFS(super1[Qtde],super1[Item],tab_alimentos[[#This Row],[Item]],super1[Bairro],mercado7)+SUMIFS(supercb[Qtde],supercb[Item],tab_alimentos[[#This Row],[Item]],supercb[Bairro],mercado7)</f>
        <v>0</v>
      </c>
      <c r="S269" s="27" t="n">
        <f aca="false">SUMIFS(super1[Qtde],super1[Item],tab_alimentos[[#This Row],[Item]],super1[Bairro],mercado8)+SUMIFS(supercb[Qtde],supercb[Item],tab_alimentos[[#This Row],[Item]],supercb[Bairro],mercado8)</f>
        <v>0</v>
      </c>
      <c r="T269" s="27" t="n">
        <f aca="false">SUMIFS(super1[Qtde],super1[Item],tab_alimentos[[#This Row],[Item]],super1[Bairro],mercado9)+SUMIFS(supercb[Qtde],supercb[Item],tab_alimentos[[#This Row],[Item]],supercb[Bairro],mercado9)</f>
        <v>0</v>
      </c>
      <c r="U269" s="27" t="n">
        <f aca="false">SUMIFS(super1[Qtde],super1[Item],tab_alimentos[[#This Row],[Item]],super1[Bairro],mercado10)+SUMIFS(supercb[Qtde],supercb[Item],tab_alimentos[[#This Row],[Item]],supercb[Bairro],mercado10)</f>
        <v>0</v>
      </c>
      <c r="V269" s="27" t="n">
        <f aca="false">SUMIFS(super1[Qtde],super1[Item],tab_alimentos[[#This Row],[Item]],super1[Bairro],mercado11)+SUMIFS(supercb[Qtde],supercb[Item],tab_alimentos[[#This Row],[Item]],supercb[Bairro],mercado11)</f>
        <v>0</v>
      </c>
      <c r="W269" s="27" t="n">
        <f aca="false">SUMIFS(super1[Qtde],super1[Item],tab_alimentos[[#This Row],[Item]],super1[Bairro],mercado12)+SUMIFS(supercb[Qtde],supercb[Item],tab_alimentos[[#This Row],[Item]],supercb[Bairro],mercado12)</f>
        <v>0</v>
      </c>
      <c r="X269" s="27" t="n">
        <f aca="false">SUMIFS(super1[Qtde],super1[Item],tab_alimentos[[#This Row],[Item]],super1[Bairro],mercado13)+SUMIFS(supercb[Qtde],supercb[Item],tab_alimentos[[#This Row],[Item]],supercb[Bairro],mercado13)</f>
        <v>0</v>
      </c>
      <c r="Y269" s="27" t="n">
        <f aca="false">SUMIFS(super1[Qtde],super1[Item],tab_alimentos[[#This Row],[Item]],super1[Bairro],mercado14)+SUMIFS(supercb[Qtde],supercb[Item],tab_alimentos[[#This Row],[Item]],supercb[Bairro],mercado14)</f>
        <v>0</v>
      </c>
      <c r="Z269" s="27" t="n">
        <f aca="false">SUMIFS(super1[Qtde],super1[Item],tab_alimentos[[#This Row],[Item]],super1[Bairro],mercado15)+SUMIFS(supercb[Qtde],supercb[Item],tab_alimentos[[#This Row],[Item]],supercb[Bairro],mercado15)</f>
        <v>0</v>
      </c>
      <c r="AA269" s="27" t="n">
        <f aca="false">SUMIFS(super1[Qtde],super1[Item],tab_alimentos[[#This Row],[Item]],super1[Bairro],mercado16)+SUMIFS(supercb[Qtde],supercb[Item],tab_alimentos[[#This Row],[Item]],supercb[Bairro],mercado16)</f>
        <v>0</v>
      </c>
      <c r="AB269" s="27" t="n">
        <f aca="false">SUMIFS(super1[Qtde],super1[Item],tab_alimentos[[#This Row],[Item]],super1[Bairro],mercado17)+SUMIFS(supercb[Qtde],supercb[Item],tab_alimentos[[#This Row],[Item]],supercb[Bairro],mercado17)</f>
        <v>0</v>
      </c>
      <c r="AC269" s="27" t="n">
        <f aca="false">SUMIFS(super1[Qtde],super1[Item],tab_alimentos[[#This Row],[Item]],super1[Bairro],mercado18)+SUMIFS(supercb[Qtde],supercb[Item],tab_alimentos[[#This Row],[Item]],supercb[Bairro],mercado18)</f>
        <v>0</v>
      </c>
      <c r="AD269" s="27" t="n">
        <f aca="false">SUMIFS(super1[Qtde],super1[Item],tab_alimentos[[#This Row],[Item]],super1[Bairro],extras)+SUMIFS(supercb[Qtde],supercb[Item],tab_alimentos[[#This Row],[Item]],supercb[Bairro],extras)</f>
        <v>0</v>
      </c>
      <c r="AE269" s="27" t="n">
        <f aca="false">SUM(L269:AC269)</f>
        <v>0</v>
      </c>
      <c r="AF269" s="27" t="n">
        <f aca="false">IFERROR(AE269*K269,0)</f>
        <v>0</v>
      </c>
      <c r="AG269" s="28" t="n">
        <f aca="false">IFERROR(J269*AE269,0)</f>
        <v>0</v>
      </c>
      <c r="AH269" s="37" t="e">
        <f aca="false">higiene[[#This Row],[Item]]</f>
        <v>#VALUE!</v>
      </c>
      <c r="AI269" s="38" t="n">
        <f aca="false">IFERROR(higiene[[#This Row],[Kg equivalente]],0)</f>
        <v>0</v>
      </c>
      <c r="AJ269" s="38" t="n">
        <f aca="false">IFERROR(higiene[[#This Row],[Preço por produto]],0)</f>
        <v>0</v>
      </c>
      <c r="AK269" s="27" t="n">
        <f aca="false">SUMIFS(super1[Qtde],super1[Item],tab_higiene[[#This Row],[Item]],super1[Bairro],mercado1)+SUMIFS(supercb[Qtde],supercb[Item],tab_higiene[[#This Row],[Item]],supercb[Bairro],mercado1)</f>
        <v>0</v>
      </c>
      <c r="AL269" s="27" t="n">
        <f aca="false">SUMIFS(super1[Qtde],super1[Item],tab_higiene[[#This Row],[Item]],super1[Bairro],mercado2)+SUMIFS(supercb[Qtde],supercb[Item],tab_higiene[[#This Row],[Item]],supercb[Bairro],mercado2)</f>
        <v>0</v>
      </c>
      <c r="AM269" s="27" t="n">
        <f aca="false">SUMIFS(super1[Qtde],super1[Item],tab_higiene[[#This Row],[Item]],super1[Bairro],mercado3)+SUMIFS(supercb[Qtde],supercb[Item],tab_higiene[[#This Row],[Item]],supercb[Bairro],mercado3)</f>
        <v>0</v>
      </c>
      <c r="AN269" s="27" t="n">
        <f aca="false">SUMIFS(super1[Qtde],super1[Item],tab_higiene[[#This Row],[Item]],super1[Bairro],mercado4)+SUMIFS(supercb[Qtde],supercb[Item],tab_higiene[[#This Row],[Item]],supercb[Bairro],mercado4)</f>
        <v>0</v>
      </c>
      <c r="AO269" s="27" t="n">
        <f aca="false">SUMIFS(super1[Qtde],super1[Item],tab_higiene[[#This Row],[Item]],super1[Bairro],mercado5)+SUMIFS(supercb[Qtde],supercb[Item],tab_higiene[[#This Row],[Item]],supercb[Bairro],mercado5)</f>
        <v>0</v>
      </c>
      <c r="AP269" s="27" t="n">
        <f aca="false">SUMIFS(super1[Qtde],super1[Item],tab_higiene[[#This Row],[Item]],super1[Bairro],mercado6)+SUMIFS(supercb[Qtde],supercb[Item],tab_higiene[[#This Row],[Item]],supercb[Bairro],mercado6)</f>
        <v>0</v>
      </c>
      <c r="AQ269" s="27" t="n">
        <f aca="false">SUMIFS(super1[Qtde],super1[Item],tab_higiene[[#This Row],[Item]],super1[Bairro],mercado7)+SUMIFS(supercb[Qtde],supercb[Item],tab_higiene[[#This Row],[Item]],supercb[Bairro],mercado7)</f>
        <v>0</v>
      </c>
      <c r="AR269" s="27" t="n">
        <f aca="false">SUMIFS(super1[Qtde],super1[Item],tab_higiene[[#This Row],[Item]],super1[Bairro],mercado8)+SUMIFS(supercb[Qtde],supercb[Item],tab_higiene[[#This Row],[Item]],supercb[Bairro],mercado8)</f>
        <v>0</v>
      </c>
      <c r="AS269" s="27" t="n">
        <f aca="false">SUMIFS(super1[Qtde],super1[Item],tab_higiene[[#This Row],[Item]],super1[Bairro],mercado9)+SUMIFS(supercb[Qtde],supercb[Item],tab_higiene[[#This Row],[Item]],supercb[Bairro],mercado9)</f>
        <v>0</v>
      </c>
      <c r="AT269" s="27" t="n">
        <f aca="false">SUMIFS(super1[Qtde],super1[Item],tab_higiene[[#This Row],[Item]],super1[Bairro],mercado10)+SUMIFS(supercb[Qtde],supercb[Item],tab_higiene[[#This Row],[Item]],supercb[Bairro],mercado10)</f>
        <v>0</v>
      </c>
      <c r="AU269" s="27" t="n">
        <f aca="false">SUMIFS(super1[Qtde],super1[Item],tab_higiene[[#This Row],[Item]],super1[Bairro],mercado11)+SUMIFS(supercb[Qtde],supercb[Item],tab_higiene[[#This Row],[Item]],supercb[Bairro],mercado11)</f>
        <v>0</v>
      </c>
      <c r="AV269" s="27" t="n">
        <f aca="false">SUMIFS(super1[Qtde],super1[Item],tab_higiene[[#This Row],[Item]],super1[Bairro],mercado12)+SUMIFS(supercb[Qtde],supercb[Item],tab_higiene[[#This Row],[Item]],supercb[Bairro],mercado12)</f>
        <v>0</v>
      </c>
      <c r="AW269" s="27" t="n">
        <f aca="false">SUMIFS(super1[Qtde],super1[Item],tab_higiene[[#This Row],[Item]],super1[Bairro],mercado13)+SUMIFS(supercb[Qtde],supercb[Item],tab_higiene[[#This Row],[Item]],supercb[Bairro],mercado13)</f>
        <v>0</v>
      </c>
      <c r="AX269" s="27" t="n">
        <f aca="false">SUMIFS(super1[Qtde],super1[Item],tab_higiene[[#This Row],[Item]],super1[Bairro],mercado14)+SUMIFS(supercb[Qtde],supercb[Item],tab_higiene[[#This Row],[Item]],supercb[Bairro],mercado14)</f>
        <v>0</v>
      </c>
      <c r="AY269" s="27" t="n">
        <f aca="false">SUMIFS(super1[Qtde],super1[Item],tab_higiene[[#This Row],[Item]],super1[Bairro],mercado15)+SUMIFS(supercb[Qtde],supercb[Item],tab_higiene[[#This Row],[Item]],supercb[Bairro],mercado15)</f>
        <v>0</v>
      </c>
      <c r="AZ269" s="27" t="n">
        <f aca="false">SUMIFS(super1[Qtde],super1[Item],tab_higiene[[#This Row],[Item]],super1[Bairro],mercado16)+SUMIFS(supercb[Qtde],supercb[Item],tab_higiene[[#This Row],[Item]],supercb[Bairro],mercado16)</f>
        <v>0</v>
      </c>
      <c r="BA269" s="27" t="n">
        <f aca="false">SUMIFS(super1[Qtde],super1[Item],tab_higiene[[#This Row],[Item]],super1[Bairro],mercado17)+SUMIFS(supercb[Qtde],supercb[Item],tab_higiene[[#This Row],[Item]],supercb[Bairro],mercado17)</f>
        <v>0</v>
      </c>
      <c r="BB269" s="27" t="n">
        <f aca="false">SUMIFS(super1[Qtde],super1[Item],tab_higiene[[#This Row],[Item]],super1[Bairro],mercado18)+SUMIFS(supercb[Qtde],supercb[Item],tab_higiene[[#This Row],[Item]],supercb[Bairro],mercado18)</f>
        <v>0</v>
      </c>
      <c r="BC269" s="39" t="n">
        <f aca="false">SUMIFS(super1[Qtde],super1[Item],tab_higiene[[#This Row],[Item]],super1[Bairro],extras)+SUMIFS(supercb[Qtde],supercb[Item],tab_higiene[[#This Row],[Item]],supercb[Bairro],extras)</f>
        <v>0</v>
      </c>
      <c r="BD269" s="38" t="n">
        <f aca="false">SUM(AK269:BB269)</f>
        <v>0</v>
      </c>
      <c r="BE269" s="38" t="n">
        <f aca="false">IFERROR(BD269*AJ269,0)</f>
        <v>0</v>
      </c>
      <c r="BF269" s="40" t="n">
        <f aca="false">IFERROR(AI269*BD269,0)</f>
        <v>0</v>
      </c>
    </row>
    <row r="270" customFormat="false" ht="15.75" hidden="false" customHeight="false" outlineLevel="0" collapsed="false">
      <c r="I270" s="26" t="e">
        <f aca="false">alimentos[[#This Row],[Item]]</f>
        <v>#VALUE!</v>
      </c>
      <c r="J270" s="27" t="n">
        <f aca="false">IFERROR(alimentos[[#This Row],[kg/embalagem]],0)</f>
        <v>0</v>
      </c>
      <c r="K270" s="27" t="n">
        <f aca="false">IFERROR(alimentos[[#This Row],[Preço]],0)</f>
        <v>0</v>
      </c>
      <c r="L270" s="27" t="n">
        <f aca="false">SUMIFS(super1[Qtde],super1[Item],tab_alimentos[[#This Row],[Item]],super1[Bairro],mercado1)+SUMIFS(supercb[Qtde],supercb[Item],tab_alimentos[[#This Row],[Item]],supercb[Bairro],mercado1)</f>
        <v>0</v>
      </c>
      <c r="M270" s="27" t="n">
        <f aca="false">SUMIFS(super1[Qtde],super1[Item],tab_alimentos[[#This Row],[Item]],super1[Bairro],mercado2)+SUMIFS(supercb[Qtde],supercb[Item],tab_alimentos[[#This Row],[Item]],supercb[Bairro],mercado2)</f>
        <v>0</v>
      </c>
      <c r="N270" s="27" t="n">
        <f aca="false">SUMIFS(super1[Qtde],super1[Item],tab_alimentos[[#This Row],[Item]],super1[Bairro],mercado3)+SUMIFS(supercb[Qtde],supercb[Item],tab_alimentos[[#This Row],[Item]],supercb[Bairro],mercado3)</f>
        <v>0</v>
      </c>
      <c r="O270" s="27" t="n">
        <f aca="false">SUMIFS(super1[Qtde],super1[Item],tab_alimentos[[#This Row],[Item]],super1[Bairro],mercado4)+SUMIFS(supercb[Qtde],supercb[Item],tab_alimentos[[#This Row],[Item]],supercb[Bairro],mercado4)</f>
        <v>0</v>
      </c>
      <c r="P270" s="27" t="n">
        <f aca="false">SUMIFS(super1[Qtde],super1[Item],tab_alimentos[[#This Row],[Item]],super1[Bairro],mercado5)+SUMIFS(supercb[Qtde],supercb[Item],tab_alimentos[[#This Row],[Item]],supercb[Bairro],mercado5)</f>
        <v>0</v>
      </c>
      <c r="Q270" s="27" t="n">
        <f aca="false">SUMIFS(super1[Qtde],super1[Item],tab_alimentos[[#This Row],[Item]],super1[Bairro],mercado6)+SUMIFS(supercb[Qtde],supercb[Item],tab_alimentos[[#This Row],[Item]],supercb[Bairro],mercado6)</f>
        <v>0</v>
      </c>
      <c r="R270" s="27" t="n">
        <f aca="false">SUMIFS(super1[Qtde],super1[Item],tab_alimentos[[#This Row],[Item]],super1[Bairro],mercado7)+SUMIFS(supercb[Qtde],supercb[Item],tab_alimentos[[#This Row],[Item]],supercb[Bairro],mercado7)</f>
        <v>0</v>
      </c>
      <c r="S270" s="27" t="n">
        <f aca="false">SUMIFS(super1[Qtde],super1[Item],tab_alimentos[[#This Row],[Item]],super1[Bairro],mercado8)+SUMIFS(supercb[Qtde],supercb[Item],tab_alimentos[[#This Row],[Item]],supercb[Bairro],mercado8)</f>
        <v>0</v>
      </c>
      <c r="T270" s="27" t="n">
        <f aca="false">SUMIFS(super1[Qtde],super1[Item],tab_alimentos[[#This Row],[Item]],super1[Bairro],mercado9)+SUMIFS(supercb[Qtde],supercb[Item],tab_alimentos[[#This Row],[Item]],supercb[Bairro],mercado9)</f>
        <v>0</v>
      </c>
      <c r="U270" s="27" t="n">
        <f aca="false">SUMIFS(super1[Qtde],super1[Item],tab_alimentos[[#This Row],[Item]],super1[Bairro],mercado10)+SUMIFS(supercb[Qtde],supercb[Item],tab_alimentos[[#This Row],[Item]],supercb[Bairro],mercado10)</f>
        <v>0</v>
      </c>
      <c r="V270" s="27" t="n">
        <f aca="false">SUMIFS(super1[Qtde],super1[Item],tab_alimentos[[#This Row],[Item]],super1[Bairro],mercado11)+SUMIFS(supercb[Qtde],supercb[Item],tab_alimentos[[#This Row],[Item]],supercb[Bairro],mercado11)</f>
        <v>0</v>
      </c>
      <c r="W270" s="27" t="n">
        <f aca="false">SUMIFS(super1[Qtde],super1[Item],tab_alimentos[[#This Row],[Item]],super1[Bairro],mercado12)+SUMIFS(supercb[Qtde],supercb[Item],tab_alimentos[[#This Row],[Item]],supercb[Bairro],mercado12)</f>
        <v>0</v>
      </c>
      <c r="X270" s="27" t="n">
        <f aca="false">SUMIFS(super1[Qtde],super1[Item],tab_alimentos[[#This Row],[Item]],super1[Bairro],mercado13)+SUMIFS(supercb[Qtde],supercb[Item],tab_alimentos[[#This Row],[Item]],supercb[Bairro],mercado13)</f>
        <v>0</v>
      </c>
      <c r="Y270" s="27" t="n">
        <f aca="false">SUMIFS(super1[Qtde],super1[Item],tab_alimentos[[#This Row],[Item]],super1[Bairro],mercado14)+SUMIFS(supercb[Qtde],supercb[Item],tab_alimentos[[#This Row],[Item]],supercb[Bairro],mercado14)</f>
        <v>0</v>
      </c>
      <c r="Z270" s="27" t="n">
        <f aca="false">SUMIFS(super1[Qtde],super1[Item],tab_alimentos[[#This Row],[Item]],super1[Bairro],mercado15)+SUMIFS(supercb[Qtde],supercb[Item],tab_alimentos[[#This Row],[Item]],supercb[Bairro],mercado15)</f>
        <v>0</v>
      </c>
      <c r="AA270" s="27" t="n">
        <f aca="false">SUMIFS(super1[Qtde],super1[Item],tab_alimentos[[#This Row],[Item]],super1[Bairro],mercado16)+SUMIFS(supercb[Qtde],supercb[Item],tab_alimentos[[#This Row],[Item]],supercb[Bairro],mercado16)</f>
        <v>0</v>
      </c>
      <c r="AB270" s="27" t="n">
        <f aca="false">SUMIFS(super1[Qtde],super1[Item],tab_alimentos[[#This Row],[Item]],super1[Bairro],mercado17)+SUMIFS(supercb[Qtde],supercb[Item],tab_alimentos[[#This Row],[Item]],supercb[Bairro],mercado17)</f>
        <v>0</v>
      </c>
      <c r="AC270" s="27" t="n">
        <f aca="false">SUMIFS(super1[Qtde],super1[Item],tab_alimentos[[#This Row],[Item]],super1[Bairro],mercado18)+SUMIFS(supercb[Qtde],supercb[Item],tab_alimentos[[#This Row],[Item]],supercb[Bairro],mercado18)</f>
        <v>0</v>
      </c>
      <c r="AD270" s="27" t="n">
        <f aca="false">SUMIFS(super1[Qtde],super1[Item],tab_alimentos[[#This Row],[Item]],super1[Bairro],extras)+SUMIFS(supercb[Qtde],supercb[Item],tab_alimentos[[#This Row],[Item]],supercb[Bairro],extras)</f>
        <v>0</v>
      </c>
      <c r="AE270" s="27" t="n">
        <f aca="false">SUM(L270:AC270)</f>
        <v>0</v>
      </c>
      <c r="AF270" s="27" t="n">
        <f aca="false">IFERROR(AE270*K270,0)</f>
        <v>0</v>
      </c>
      <c r="AG270" s="28" t="n">
        <f aca="false">IFERROR(J270*AE270,0)</f>
        <v>0</v>
      </c>
      <c r="AH270" s="37" t="e">
        <f aca="false">higiene[[#This Row],[Item]]</f>
        <v>#VALUE!</v>
      </c>
      <c r="AI270" s="38" t="n">
        <f aca="false">IFERROR(higiene[[#This Row],[Kg equivalente]],0)</f>
        <v>0</v>
      </c>
      <c r="AJ270" s="38" t="n">
        <f aca="false">IFERROR(higiene[[#This Row],[Preço por produto]],0)</f>
        <v>0</v>
      </c>
      <c r="AK270" s="27" t="n">
        <f aca="false">SUMIFS(super1[Qtde],super1[Item],tab_higiene[[#This Row],[Item]],super1[Bairro],mercado1)+SUMIFS(supercb[Qtde],supercb[Item],tab_higiene[[#This Row],[Item]],supercb[Bairro],mercado1)</f>
        <v>0</v>
      </c>
      <c r="AL270" s="27" t="n">
        <f aca="false">SUMIFS(super1[Qtde],super1[Item],tab_higiene[[#This Row],[Item]],super1[Bairro],mercado2)+SUMIFS(supercb[Qtde],supercb[Item],tab_higiene[[#This Row],[Item]],supercb[Bairro],mercado2)</f>
        <v>0</v>
      </c>
      <c r="AM270" s="27" t="n">
        <f aca="false">SUMIFS(super1[Qtde],super1[Item],tab_higiene[[#This Row],[Item]],super1[Bairro],mercado3)+SUMIFS(supercb[Qtde],supercb[Item],tab_higiene[[#This Row],[Item]],supercb[Bairro],mercado3)</f>
        <v>0</v>
      </c>
      <c r="AN270" s="27" t="n">
        <f aca="false">SUMIFS(super1[Qtde],super1[Item],tab_higiene[[#This Row],[Item]],super1[Bairro],mercado4)+SUMIFS(supercb[Qtde],supercb[Item],tab_higiene[[#This Row],[Item]],supercb[Bairro],mercado4)</f>
        <v>0</v>
      </c>
      <c r="AO270" s="27" t="n">
        <f aca="false">SUMIFS(super1[Qtde],super1[Item],tab_higiene[[#This Row],[Item]],super1[Bairro],mercado5)+SUMIFS(supercb[Qtde],supercb[Item],tab_higiene[[#This Row],[Item]],supercb[Bairro],mercado5)</f>
        <v>0</v>
      </c>
      <c r="AP270" s="27" t="n">
        <f aca="false">SUMIFS(super1[Qtde],super1[Item],tab_higiene[[#This Row],[Item]],super1[Bairro],mercado6)+SUMIFS(supercb[Qtde],supercb[Item],tab_higiene[[#This Row],[Item]],supercb[Bairro],mercado6)</f>
        <v>0</v>
      </c>
      <c r="AQ270" s="27" t="n">
        <f aca="false">SUMIFS(super1[Qtde],super1[Item],tab_higiene[[#This Row],[Item]],super1[Bairro],mercado7)+SUMIFS(supercb[Qtde],supercb[Item],tab_higiene[[#This Row],[Item]],supercb[Bairro],mercado7)</f>
        <v>0</v>
      </c>
      <c r="AR270" s="27" t="n">
        <f aca="false">SUMIFS(super1[Qtde],super1[Item],tab_higiene[[#This Row],[Item]],super1[Bairro],mercado8)+SUMIFS(supercb[Qtde],supercb[Item],tab_higiene[[#This Row],[Item]],supercb[Bairro],mercado8)</f>
        <v>0</v>
      </c>
      <c r="AS270" s="27" t="n">
        <f aca="false">SUMIFS(super1[Qtde],super1[Item],tab_higiene[[#This Row],[Item]],super1[Bairro],mercado9)+SUMIFS(supercb[Qtde],supercb[Item],tab_higiene[[#This Row],[Item]],supercb[Bairro],mercado9)</f>
        <v>0</v>
      </c>
      <c r="AT270" s="27" t="n">
        <f aca="false">SUMIFS(super1[Qtde],super1[Item],tab_higiene[[#This Row],[Item]],super1[Bairro],mercado10)+SUMIFS(supercb[Qtde],supercb[Item],tab_higiene[[#This Row],[Item]],supercb[Bairro],mercado10)</f>
        <v>0</v>
      </c>
      <c r="AU270" s="27" t="n">
        <f aca="false">SUMIFS(super1[Qtde],super1[Item],tab_higiene[[#This Row],[Item]],super1[Bairro],mercado11)+SUMIFS(supercb[Qtde],supercb[Item],tab_higiene[[#This Row],[Item]],supercb[Bairro],mercado11)</f>
        <v>0</v>
      </c>
      <c r="AV270" s="27" t="n">
        <f aca="false">SUMIFS(super1[Qtde],super1[Item],tab_higiene[[#This Row],[Item]],super1[Bairro],mercado12)+SUMIFS(supercb[Qtde],supercb[Item],tab_higiene[[#This Row],[Item]],supercb[Bairro],mercado12)</f>
        <v>0</v>
      </c>
      <c r="AW270" s="27" t="n">
        <f aca="false">SUMIFS(super1[Qtde],super1[Item],tab_higiene[[#This Row],[Item]],super1[Bairro],mercado13)+SUMIFS(supercb[Qtde],supercb[Item],tab_higiene[[#This Row],[Item]],supercb[Bairro],mercado13)</f>
        <v>0</v>
      </c>
      <c r="AX270" s="27" t="n">
        <f aca="false">SUMIFS(super1[Qtde],super1[Item],tab_higiene[[#This Row],[Item]],super1[Bairro],mercado14)+SUMIFS(supercb[Qtde],supercb[Item],tab_higiene[[#This Row],[Item]],supercb[Bairro],mercado14)</f>
        <v>0</v>
      </c>
      <c r="AY270" s="27" t="n">
        <f aca="false">SUMIFS(super1[Qtde],super1[Item],tab_higiene[[#This Row],[Item]],super1[Bairro],mercado15)+SUMIFS(supercb[Qtde],supercb[Item],tab_higiene[[#This Row],[Item]],supercb[Bairro],mercado15)</f>
        <v>0</v>
      </c>
      <c r="AZ270" s="27" t="n">
        <f aca="false">SUMIFS(super1[Qtde],super1[Item],tab_higiene[[#This Row],[Item]],super1[Bairro],mercado16)+SUMIFS(supercb[Qtde],supercb[Item],tab_higiene[[#This Row],[Item]],supercb[Bairro],mercado16)</f>
        <v>0</v>
      </c>
      <c r="BA270" s="27" t="n">
        <f aca="false">SUMIFS(super1[Qtde],super1[Item],tab_higiene[[#This Row],[Item]],super1[Bairro],mercado17)+SUMIFS(supercb[Qtde],supercb[Item],tab_higiene[[#This Row],[Item]],supercb[Bairro],mercado17)</f>
        <v>0</v>
      </c>
      <c r="BB270" s="27" t="n">
        <f aca="false">SUMIFS(super1[Qtde],super1[Item],tab_higiene[[#This Row],[Item]],super1[Bairro],mercado18)+SUMIFS(supercb[Qtde],supercb[Item],tab_higiene[[#This Row],[Item]],supercb[Bairro],mercado18)</f>
        <v>0</v>
      </c>
      <c r="BC270" s="39" t="n">
        <f aca="false">SUMIFS(super1[Qtde],super1[Item],tab_higiene[[#This Row],[Item]],super1[Bairro],extras)+SUMIFS(supercb[Qtde],supercb[Item],tab_higiene[[#This Row],[Item]],supercb[Bairro],extras)</f>
        <v>0</v>
      </c>
      <c r="BD270" s="38" t="n">
        <f aca="false">SUM(AK270:BB270)</f>
        <v>0</v>
      </c>
      <c r="BE270" s="38" t="n">
        <f aca="false">IFERROR(BD270*AJ270,0)</f>
        <v>0</v>
      </c>
      <c r="BF270" s="40" t="n">
        <f aca="false">IFERROR(AI270*BD270,0)</f>
        <v>0</v>
      </c>
    </row>
    <row r="271" customFormat="false" ht="15.75" hidden="false" customHeight="false" outlineLevel="0" collapsed="false">
      <c r="I271" s="26" t="e">
        <f aca="false">alimentos[[#This Row],[Item]]</f>
        <v>#VALUE!</v>
      </c>
      <c r="J271" s="27" t="n">
        <f aca="false">IFERROR(alimentos[[#This Row],[kg/embalagem]],0)</f>
        <v>0</v>
      </c>
      <c r="K271" s="27" t="n">
        <f aca="false">IFERROR(alimentos[[#This Row],[Preço]],0)</f>
        <v>0</v>
      </c>
      <c r="L271" s="27" t="n">
        <f aca="false">SUMIFS(super1[Qtde],super1[Item],tab_alimentos[[#This Row],[Item]],super1[Bairro],mercado1)+SUMIFS(supercb[Qtde],supercb[Item],tab_alimentos[[#This Row],[Item]],supercb[Bairro],mercado1)</f>
        <v>0</v>
      </c>
      <c r="M271" s="27" t="n">
        <f aca="false">SUMIFS(super1[Qtde],super1[Item],tab_alimentos[[#This Row],[Item]],super1[Bairro],mercado2)+SUMIFS(supercb[Qtde],supercb[Item],tab_alimentos[[#This Row],[Item]],supercb[Bairro],mercado2)</f>
        <v>0</v>
      </c>
      <c r="N271" s="27" t="n">
        <f aca="false">SUMIFS(super1[Qtde],super1[Item],tab_alimentos[[#This Row],[Item]],super1[Bairro],mercado3)+SUMIFS(supercb[Qtde],supercb[Item],tab_alimentos[[#This Row],[Item]],supercb[Bairro],mercado3)</f>
        <v>0</v>
      </c>
      <c r="O271" s="27" t="n">
        <f aca="false">SUMIFS(super1[Qtde],super1[Item],tab_alimentos[[#This Row],[Item]],super1[Bairro],mercado4)+SUMIFS(supercb[Qtde],supercb[Item],tab_alimentos[[#This Row],[Item]],supercb[Bairro],mercado4)</f>
        <v>0</v>
      </c>
      <c r="P271" s="27" t="n">
        <f aca="false">SUMIFS(super1[Qtde],super1[Item],tab_alimentos[[#This Row],[Item]],super1[Bairro],mercado5)+SUMIFS(supercb[Qtde],supercb[Item],tab_alimentos[[#This Row],[Item]],supercb[Bairro],mercado5)</f>
        <v>0</v>
      </c>
      <c r="Q271" s="27" t="n">
        <f aca="false">SUMIFS(super1[Qtde],super1[Item],tab_alimentos[[#This Row],[Item]],super1[Bairro],mercado6)+SUMIFS(supercb[Qtde],supercb[Item],tab_alimentos[[#This Row],[Item]],supercb[Bairro],mercado6)</f>
        <v>0</v>
      </c>
      <c r="R271" s="27" t="n">
        <f aca="false">SUMIFS(super1[Qtde],super1[Item],tab_alimentos[[#This Row],[Item]],super1[Bairro],mercado7)+SUMIFS(supercb[Qtde],supercb[Item],tab_alimentos[[#This Row],[Item]],supercb[Bairro],mercado7)</f>
        <v>0</v>
      </c>
      <c r="S271" s="27" t="n">
        <f aca="false">SUMIFS(super1[Qtde],super1[Item],tab_alimentos[[#This Row],[Item]],super1[Bairro],mercado8)+SUMIFS(supercb[Qtde],supercb[Item],tab_alimentos[[#This Row],[Item]],supercb[Bairro],mercado8)</f>
        <v>0</v>
      </c>
      <c r="T271" s="27" t="n">
        <f aca="false">SUMIFS(super1[Qtde],super1[Item],tab_alimentos[[#This Row],[Item]],super1[Bairro],mercado9)+SUMIFS(supercb[Qtde],supercb[Item],tab_alimentos[[#This Row],[Item]],supercb[Bairro],mercado9)</f>
        <v>0</v>
      </c>
      <c r="U271" s="27" t="n">
        <f aca="false">SUMIFS(super1[Qtde],super1[Item],tab_alimentos[[#This Row],[Item]],super1[Bairro],mercado10)+SUMIFS(supercb[Qtde],supercb[Item],tab_alimentos[[#This Row],[Item]],supercb[Bairro],mercado10)</f>
        <v>0</v>
      </c>
      <c r="V271" s="27" t="n">
        <f aca="false">SUMIFS(super1[Qtde],super1[Item],tab_alimentos[[#This Row],[Item]],super1[Bairro],mercado11)+SUMIFS(supercb[Qtde],supercb[Item],tab_alimentos[[#This Row],[Item]],supercb[Bairro],mercado11)</f>
        <v>0</v>
      </c>
      <c r="W271" s="27" t="n">
        <f aca="false">SUMIFS(super1[Qtde],super1[Item],tab_alimentos[[#This Row],[Item]],super1[Bairro],mercado12)+SUMIFS(supercb[Qtde],supercb[Item],tab_alimentos[[#This Row],[Item]],supercb[Bairro],mercado12)</f>
        <v>0</v>
      </c>
      <c r="X271" s="27" t="n">
        <f aca="false">SUMIFS(super1[Qtde],super1[Item],tab_alimentos[[#This Row],[Item]],super1[Bairro],mercado13)+SUMIFS(supercb[Qtde],supercb[Item],tab_alimentos[[#This Row],[Item]],supercb[Bairro],mercado13)</f>
        <v>0</v>
      </c>
      <c r="Y271" s="27" t="n">
        <f aca="false">SUMIFS(super1[Qtde],super1[Item],tab_alimentos[[#This Row],[Item]],super1[Bairro],mercado14)+SUMIFS(supercb[Qtde],supercb[Item],tab_alimentos[[#This Row],[Item]],supercb[Bairro],mercado14)</f>
        <v>0</v>
      </c>
      <c r="Z271" s="27" t="n">
        <f aca="false">SUMIFS(super1[Qtde],super1[Item],tab_alimentos[[#This Row],[Item]],super1[Bairro],mercado15)+SUMIFS(supercb[Qtde],supercb[Item],tab_alimentos[[#This Row],[Item]],supercb[Bairro],mercado15)</f>
        <v>0</v>
      </c>
      <c r="AA271" s="27" t="n">
        <f aca="false">SUMIFS(super1[Qtde],super1[Item],tab_alimentos[[#This Row],[Item]],super1[Bairro],mercado16)+SUMIFS(supercb[Qtde],supercb[Item],tab_alimentos[[#This Row],[Item]],supercb[Bairro],mercado16)</f>
        <v>0</v>
      </c>
      <c r="AB271" s="27" t="n">
        <f aca="false">SUMIFS(super1[Qtde],super1[Item],tab_alimentos[[#This Row],[Item]],super1[Bairro],mercado17)+SUMIFS(supercb[Qtde],supercb[Item],tab_alimentos[[#This Row],[Item]],supercb[Bairro],mercado17)</f>
        <v>0</v>
      </c>
      <c r="AC271" s="27" t="n">
        <f aca="false">SUMIFS(super1[Qtde],super1[Item],tab_alimentos[[#This Row],[Item]],super1[Bairro],mercado18)+SUMIFS(supercb[Qtde],supercb[Item],tab_alimentos[[#This Row],[Item]],supercb[Bairro],mercado18)</f>
        <v>0</v>
      </c>
      <c r="AD271" s="27" t="n">
        <f aca="false">SUMIFS(super1[Qtde],super1[Item],tab_alimentos[[#This Row],[Item]],super1[Bairro],extras)+SUMIFS(supercb[Qtde],supercb[Item],tab_alimentos[[#This Row],[Item]],supercb[Bairro],extras)</f>
        <v>0</v>
      </c>
      <c r="AE271" s="27" t="n">
        <f aca="false">SUM(L271:AC271)</f>
        <v>0</v>
      </c>
      <c r="AF271" s="27" t="n">
        <f aca="false">IFERROR(AE271*K271,0)</f>
        <v>0</v>
      </c>
      <c r="AG271" s="28" t="n">
        <f aca="false">IFERROR(J271*AE271,0)</f>
        <v>0</v>
      </c>
      <c r="AH271" s="37" t="e">
        <f aca="false">higiene[[#This Row],[Item]]</f>
        <v>#VALUE!</v>
      </c>
      <c r="AI271" s="38" t="n">
        <f aca="false">IFERROR(higiene[[#This Row],[Kg equivalente]],0)</f>
        <v>0</v>
      </c>
      <c r="AJ271" s="38" t="n">
        <f aca="false">IFERROR(higiene[[#This Row],[Preço por produto]],0)</f>
        <v>0</v>
      </c>
      <c r="AK271" s="27" t="n">
        <f aca="false">SUMIFS(super1[Qtde],super1[Item],tab_higiene[[#This Row],[Item]],super1[Bairro],mercado1)+SUMIFS(supercb[Qtde],supercb[Item],tab_higiene[[#This Row],[Item]],supercb[Bairro],mercado1)</f>
        <v>0</v>
      </c>
      <c r="AL271" s="27" t="n">
        <f aca="false">SUMIFS(super1[Qtde],super1[Item],tab_higiene[[#This Row],[Item]],super1[Bairro],mercado2)+SUMIFS(supercb[Qtde],supercb[Item],tab_higiene[[#This Row],[Item]],supercb[Bairro],mercado2)</f>
        <v>0</v>
      </c>
      <c r="AM271" s="27" t="n">
        <f aca="false">SUMIFS(super1[Qtde],super1[Item],tab_higiene[[#This Row],[Item]],super1[Bairro],mercado3)+SUMIFS(supercb[Qtde],supercb[Item],tab_higiene[[#This Row],[Item]],supercb[Bairro],mercado3)</f>
        <v>0</v>
      </c>
      <c r="AN271" s="27" t="n">
        <f aca="false">SUMIFS(super1[Qtde],super1[Item],tab_higiene[[#This Row],[Item]],super1[Bairro],mercado4)+SUMIFS(supercb[Qtde],supercb[Item],tab_higiene[[#This Row],[Item]],supercb[Bairro],mercado4)</f>
        <v>0</v>
      </c>
      <c r="AO271" s="27" t="n">
        <f aca="false">SUMIFS(super1[Qtde],super1[Item],tab_higiene[[#This Row],[Item]],super1[Bairro],mercado5)+SUMIFS(supercb[Qtde],supercb[Item],tab_higiene[[#This Row],[Item]],supercb[Bairro],mercado5)</f>
        <v>0</v>
      </c>
      <c r="AP271" s="27" t="n">
        <f aca="false">SUMIFS(super1[Qtde],super1[Item],tab_higiene[[#This Row],[Item]],super1[Bairro],mercado6)+SUMIFS(supercb[Qtde],supercb[Item],tab_higiene[[#This Row],[Item]],supercb[Bairro],mercado6)</f>
        <v>0</v>
      </c>
      <c r="AQ271" s="27" t="n">
        <f aca="false">SUMIFS(super1[Qtde],super1[Item],tab_higiene[[#This Row],[Item]],super1[Bairro],mercado7)+SUMIFS(supercb[Qtde],supercb[Item],tab_higiene[[#This Row],[Item]],supercb[Bairro],mercado7)</f>
        <v>0</v>
      </c>
      <c r="AR271" s="27" t="n">
        <f aca="false">SUMIFS(super1[Qtde],super1[Item],tab_higiene[[#This Row],[Item]],super1[Bairro],mercado8)+SUMIFS(supercb[Qtde],supercb[Item],tab_higiene[[#This Row],[Item]],supercb[Bairro],mercado8)</f>
        <v>0</v>
      </c>
      <c r="AS271" s="27" t="n">
        <f aca="false">SUMIFS(super1[Qtde],super1[Item],tab_higiene[[#This Row],[Item]],super1[Bairro],mercado9)+SUMIFS(supercb[Qtde],supercb[Item],tab_higiene[[#This Row],[Item]],supercb[Bairro],mercado9)</f>
        <v>0</v>
      </c>
      <c r="AT271" s="27" t="n">
        <f aca="false">SUMIFS(super1[Qtde],super1[Item],tab_higiene[[#This Row],[Item]],super1[Bairro],mercado10)+SUMIFS(supercb[Qtde],supercb[Item],tab_higiene[[#This Row],[Item]],supercb[Bairro],mercado10)</f>
        <v>0</v>
      </c>
      <c r="AU271" s="27" t="n">
        <f aca="false">SUMIFS(super1[Qtde],super1[Item],tab_higiene[[#This Row],[Item]],super1[Bairro],mercado11)+SUMIFS(supercb[Qtde],supercb[Item],tab_higiene[[#This Row],[Item]],supercb[Bairro],mercado11)</f>
        <v>0</v>
      </c>
      <c r="AV271" s="27" t="n">
        <f aca="false">SUMIFS(super1[Qtde],super1[Item],tab_higiene[[#This Row],[Item]],super1[Bairro],mercado12)+SUMIFS(supercb[Qtde],supercb[Item],tab_higiene[[#This Row],[Item]],supercb[Bairro],mercado12)</f>
        <v>0</v>
      </c>
      <c r="AW271" s="27" t="n">
        <f aca="false">SUMIFS(super1[Qtde],super1[Item],tab_higiene[[#This Row],[Item]],super1[Bairro],mercado13)+SUMIFS(supercb[Qtde],supercb[Item],tab_higiene[[#This Row],[Item]],supercb[Bairro],mercado13)</f>
        <v>0</v>
      </c>
      <c r="AX271" s="27" t="n">
        <f aca="false">SUMIFS(super1[Qtde],super1[Item],tab_higiene[[#This Row],[Item]],super1[Bairro],mercado14)+SUMIFS(supercb[Qtde],supercb[Item],tab_higiene[[#This Row],[Item]],supercb[Bairro],mercado14)</f>
        <v>0</v>
      </c>
      <c r="AY271" s="27" t="n">
        <f aca="false">SUMIFS(super1[Qtde],super1[Item],tab_higiene[[#This Row],[Item]],super1[Bairro],mercado15)+SUMIFS(supercb[Qtde],supercb[Item],tab_higiene[[#This Row],[Item]],supercb[Bairro],mercado15)</f>
        <v>0</v>
      </c>
      <c r="AZ271" s="27" t="n">
        <f aca="false">SUMIFS(super1[Qtde],super1[Item],tab_higiene[[#This Row],[Item]],super1[Bairro],mercado16)+SUMIFS(supercb[Qtde],supercb[Item],tab_higiene[[#This Row],[Item]],supercb[Bairro],mercado16)</f>
        <v>0</v>
      </c>
      <c r="BA271" s="27" t="n">
        <f aca="false">SUMIFS(super1[Qtde],super1[Item],tab_higiene[[#This Row],[Item]],super1[Bairro],mercado17)+SUMIFS(supercb[Qtde],supercb[Item],tab_higiene[[#This Row],[Item]],supercb[Bairro],mercado17)</f>
        <v>0</v>
      </c>
      <c r="BB271" s="27" t="n">
        <f aca="false">SUMIFS(super1[Qtde],super1[Item],tab_higiene[[#This Row],[Item]],super1[Bairro],mercado18)+SUMIFS(supercb[Qtde],supercb[Item],tab_higiene[[#This Row],[Item]],supercb[Bairro],mercado18)</f>
        <v>0</v>
      </c>
      <c r="BC271" s="39" t="n">
        <f aca="false">SUMIFS(super1[Qtde],super1[Item],tab_higiene[[#This Row],[Item]],super1[Bairro],extras)+SUMIFS(supercb[Qtde],supercb[Item],tab_higiene[[#This Row],[Item]],supercb[Bairro],extras)</f>
        <v>0</v>
      </c>
      <c r="BD271" s="38" t="n">
        <f aca="false">SUM(AK271:BB271)</f>
        <v>0</v>
      </c>
      <c r="BE271" s="38" t="n">
        <f aca="false">IFERROR(BD271*AJ271,0)</f>
        <v>0</v>
      </c>
      <c r="BF271" s="40" t="n">
        <f aca="false">IFERROR(AI271*BD271,0)</f>
        <v>0</v>
      </c>
    </row>
    <row r="272" customFormat="false" ht="15.75" hidden="false" customHeight="false" outlineLevel="0" collapsed="false">
      <c r="I272" s="26" t="e">
        <f aca="false">alimentos[[#This Row],[Item]]</f>
        <v>#VALUE!</v>
      </c>
      <c r="J272" s="27" t="n">
        <f aca="false">IFERROR(alimentos[[#This Row],[kg/embalagem]],0)</f>
        <v>0</v>
      </c>
      <c r="K272" s="27" t="n">
        <f aca="false">IFERROR(alimentos[[#This Row],[Preço]],0)</f>
        <v>0</v>
      </c>
      <c r="L272" s="27" t="n">
        <f aca="false">SUMIFS(super1[Qtde],super1[Item],tab_alimentos[[#This Row],[Item]],super1[Bairro],mercado1)+SUMIFS(supercb[Qtde],supercb[Item],tab_alimentos[[#This Row],[Item]],supercb[Bairro],mercado1)</f>
        <v>0</v>
      </c>
      <c r="M272" s="27" t="n">
        <f aca="false">SUMIFS(super1[Qtde],super1[Item],tab_alimentos[[#This Row],[Item]],super1[Bairro],mercado2)+SUMIFS(supercb[Qtde],supercb[Item],tab_alimentos[[#This Row],[Item]],supercb[Bairro],mercado2)</f>
        <v>0</v>
      </c>
      <c r="N272" s="27" t="n">
        <f aca="false">SUMIFS(super1[Qtde],super1[Item],tab_alimentos[[#This Row],[Item]],super1[Bairro],mercado3)+SUMIFS(supercb[Qtde],supercb[Item],tab_alimentos[[#This Row],[Item]],supercb[Bairro],mercado3)</f>
        <v>0</v>
      </c>
      <c r="O272" s="27" t="n">
        <f aca="false">SUMIFS(super1[Qtde],super1[Item],tab_alimentos[[#This Row],[Item]],super1[Bairro],mercado4)+SUMIFS(supercb[Qtde],supercb[Item],tab_alimentos[[#This Row],[Item]],supercb[Bairro],mercado4)</f>
        <v>0</v>
      </c>
      <c r="P272" s="27" t="n">
        <f aca="false">SUMIFS(super1[Qtde],super1[Item],tab_alimentos[[#This Row],[Item]],super1[Bairro],mercado5)+SUMIFS(supercb[Qtde],supercb[Item],tab_alimentos[[#This Row],[Item]],supercb[Bairro],mercado5)</f>
        <v>0</v>
      </c>
      <c r="Q272" s="27" t="n">
        <f aca="false">SUMIFS(super1[Qtde],super1[Item],tab_alimentos[[#This Row],[Item]],super1[Bairro],mercado6)+SUMIFS(supercb[Qtde],supercb[Item],tab_alimentos[[#This Row],[Item]],supercb[Bairro],mercado6)</f>
        <v>0</v>
      </c>
      <c r="R272" s="27" t="n">
        <f aca="false">SUMIFS(super1[Qtde],super1[Item],tab_alimentos[[#This Row],[Item]],super1[Bairro],mercado7)+SUMIFS(supercb[Qtde],supercb[Item],tab_alimentos[[#This Row],[Item]],supercb[Bairro],mercado7)</f>
        <v>0</v>
      </c>
      <c r="S272" s="27" t="n">
        <f aca="false">SUMIFS(super1[Qtde],super1[Item],tab_alimentos[[#This Row],[Item]],super1[Bairro],mercado8)+SUMIFS(supercb[Qtde],supercb[Item],tab_alimentos[[#This Row],[Item]],supercb[Bairro],mercado8)</f>
        <v>0</v>
      </c>
      <c r="T272" s="27" t="n">
        <f aca="false">SUMIFS(super1[Qtde],super1[Item],tab_alimentos[[#This Row],[Item]],super1[Bairro],mercado9)+SUMIFS(supercb[Qtde],supercb[Item],tab_alimentos[[#This Row],[Item]],supercb[Bairro],mercado9)</f>
        <v>0</v>
      </c>
      <c r="U272" s="27" t="n">
        <f aca="false">SUMIFS(super1[Qtde],super1[Item],tab_alimentos[[#This Row],[Item]],super1[Bairro],mercado10)+SUMIFS(supercb[Qtde],supercb[Item],tab_alimentos[[#This Row],[Item]],supercb[Bairro],mercado10)</f>
        <v>0</v>
      </c>
      <c r="V272" s="27" t="n">
        <f aca="false">SUMIFS(super1[Qtde],super1[Item],tab_alimentos[[#This Row],[Item]],super1[Bairro],mercado11)+SUMIFS(supercb[Qtde],supercb[Item],tab_alimentos[[#This Row],[Item]],supercb[Bairro],mercado11)</f>
        <v>0</v>
      </c>
      <c r="W272" s="27" t="n">
        <f aca="false">SUMIFS(super1[Qtde],super1[Item],tab_alimentos[[#This Row],[Item]],super1[Bairro],mercado12)+SUMIFS(supercb[Qtde],supercb[Item],tab_alimentos[[#This Row],[Item]],supercb[Bairro],mercado12)</f>
        <v>0</v>
      </c>
      <c r="X272" s="27" t="n">
        <f aca="false">SUMIFS(super1[Qtde],super1[Item],tab_alimentos[[#This Row],[Item]],super1[Bairro],mercado13)+SUMIFS(supercb[Qtde],supercb[Item],tab_alimentos[[#This Row],[Item]],supercb[Bairro],mercado13)</f>
        <v>0</v>
      </c>
      <c r="Y272" s="27" t="n">
        <f aca="false">SUMIFS(super1[Qtde],super1[Item],tab_alimentos[[#This Row],[Item]],super1[Bairro],mercado14)+SUMIFS(supercb[Qtde],supercb[Item],tab_alimentos[[#This Row],[Item]],supercb[Bairro],mercado14)</f>
        <v>0</v>
      </c>
      <c r="Z272" s="27" t="n">
        <f aca="false">SUMIFS(super1[Qtde],super1[Item],tab_alimentos[[#This Row],[Item]],super1[Bairro],mercado15)+SUMIFS(supercb[Qtde],supercb[Item],tab_alimentos[[#This Row],[Item]],supercb[Bairro],mercado15)</f>
        <v>0</v>
      </c>
      <c r="AA272" s="27" t="n">
        <f aca="false">SUMIFS(super1[Qtde],super1[Item],tab_alimentos[[#This Row],[Item]],super1[Bairro],mercado16)+SUMIFS(supercb[Qtde],supercb[Item],tab_alimentos[[#This Row],[Item]],supercb[Bairro],mercado16)</f>
        <v>0</v>
      </c>
      <c r="AB272" s="27" t="n">
        <f aca="false">SUMIFS(super1[Qtde],super1[Item],tab_alimentos[[#This Row],[Item]],super1[Bairro],mercado17)+SUMIFS(supercb[Qtde],supercb[Item],tab_alimentos[[#This Row],[Item]],supercb[Bairro],mercado17)</f>
        <v>0</v>
      </c>
      <c r="AC272" s="27" t="n">
        <f aca="false">SUMIFS(super1[Qtde],super1[Item],tab_alimentos[[#This Row],[Item]],super1[Bairro],mercado18)+SUMIFS(supercb[Qtde],supercb[Item],tab_alimentos[[#This Row],[Item]],supercb[Bairro],mercado18)</f>
        <v>0</v>
      </c>
      <c r="AD272" s="27" t="n">
        <f aca="false">SUMIFS(super1[Qtde],super1[Item],tab_alimentos[[#This Row],[Item]],super1[Bairro],extras)+SUMIFS(supercb[Qtde],supercb[Item],tab_alimentos[[#This Row],[Item]],supercb[Bairro],extras)</f>
        <v>0</v>
      </c>
      <c r="AE272" s="27" t="n">
        <f aca="false">SUM(L272:AC272)</f>
        <v>0</v>
      </c>
      <c r="AF272" s="27" t="n">
        <f aca="false">IFERROR(AE272*K272,0)</f>
        <v>0</v>
      </c>
      <c r="AG272" s="28" t="n">
        <f aca="false">IFERROR(J272*AE272,0)</f>
        <v>0</v>
      </c>
      <c r="AH272" s="37" t="e">
        <f aca="false">higiene[[#This Row],[Item]]</f>
        <v>#VALUE!</v>
      </c>
      <c r="AI272" s="38" t="n">
        <f aca="false">IFERROR(higiene[[#This Row],[Kg equivalente]],0)</f>
        <v>0</v>
      </c>
      <c r="AJ272" s="38" t="n">
        <f aca="false">IFERROR(higiene[[#This Row],[Preço por produto]],0)</f>
        <v>0</v>
      </c>
      <c r="AK272" s="27" t="n">
        <f aca="false">SUMIFS(super1[Qtde],super1[Item],tab_higiene[[#This Row],[Item]],super1[Bairro],mercado1)+SUMIFS(supercb[Qtde],supercb[Item],tab_higiene[[#This Row],[Item]],supercb[Bairro],mercado1)</f>
        <v>0</v>
      </c>
      <c r="AL272" s="27" t="n">
        <f aca="false">SUMIFS(super1[Qtde],super1[Item],tab_higiene[[#This Row],[Item]],super1[Bairro],mercado2)+SUMIFS(supercb[Qtde],supercb[Item],tab_higiene[[#This Row],[Item]],supercb[Bairro],mercado2)</f>
        <v>0</v>
      </c>
      <c r="AM272" s="27" t="n">
        <f aca="false">SUMIFS(super1[Qtde],super1[Item],tab_higiene[[#This Row],[Item]],super1[Bairro],mercado3)+SUMIFS(supercb[Qtde],supercb[Item],tab_higiene[[#This Row],[Item]],supercb[Bairro],mercado3)</f>
        <v>0</v>
      </c>
      <c r="AN272" s="27" t="n">
        <f aca="false">SUMIFS(super1[Qtde],super1[Item],tab_higiene[[#This Row],[Item]],super1[Bairro],mercado4)+SUMIFS(supercb[Qtde],supercb[Item],tab_higiene[[#This Row],[Item]],supercb[Bairro],mercado4)</f>
        <v>0</v>
      </c>
      <c r="AO272" s="27" t="n">
        <f aca="false">SUMIFS(super1[Qtde],super1[Item],tab_higiene[[#This Row],[Item]],super1[Bairro],mercado5)+SUMIFS(supercb[Qtde],supercb[Item],tab_higiene[[#This Row],[Item]],supercb[Bairro],mercado5)</f>
        <v>0</v>
      </c>
      <c r="AP272" s="27" t="n">
        <f aca="false">SUMIFS(super1[Qtde],super1[Item],tab_higiene[[#This Row],[Item]],super1[Bairro],mercado6)+SUMIFS(supercb[Qtde],supercb[Item],tab_higiene[[#This Row],[Item]],supercb[Bairro],mercado6)</f>
        <v>0</v>
      </c>
      <c r="AQ272" s="27" t="n">
        <f aca="false">SUMIFS(super1[Qtde],super1[Item],tab_higiene[[#This Row],[Item]],super1[Bairro],mercado7)+SUMIFS(supercb[Qtde],supercb[Item],tab_higiene[[#This Row],[Item]],supercb[Bairro],mercado7)</f>
        <v>0</v>
      </c>
      <c r="AR272" s="27" t="n">
        <f aca="false">SUMIFS(super1[Qtde],super1[Item],tab_higiene[[#This Row],[Item]],super1[Bairro],mercado8)+SUMIFS(supercb[Qtde],supercb[Item],tab_higiene[[#This Row],[Item]],supercb[Bairro],mercado8)</f>
        <v>0</v>
      </c>
      <c r="AS272" s="27" t="n">
        <f aca="false">SUMIFS(super1[Qtde],super1[Item],tab_higiene[[#This Row],[Item]],super1[Bairro],mercado9)+SUMIFS(supercb[Qtde],supercb[Item],tab_higiene[[#This Row],[Item]],supercb[Bairro],mercado9)</f>
        <v>0</v>
      </c>
      <c r="AT272" s="27" t="n">
        <f aca="false">SUMIFS(super1[Qtde],super1[Item],tab_higiene[[#This Row],[Item]],super1[Bairro],mercado10)+SUMIFS(supercb[Qtde],supercb[Item],tab_higiene[[#This Row],[Item]],supercb[Bairro],mercado10)</f>
        <v>0</v>
      </c>
      <c r="AU272" s="27" t="n">
        <f aca="false">SUMIFS(super1[Qtde],super1[Item],tab_higiene[[#This Row],[Item]],super1[Bairro],mercado11)+SUMIFS(supercb[Qtde],supercb[Item],tab_higiene[[#This Row],[Item]],supercb[Bairro],mercado11)</f>
        <v>0</v>
      </c>
      <c r="AV272" s="27" t="n">
        <f aca="false">SUMIFS(super1[Qtde],super1[Item],tab_higiene[[#This Row],[Item]],super1[Bairro],mercado12)+SUMIFS(supercb[Qtde],supercb[Item],tab_higiene[[#This Row],[Item]],supercb[Bairro],mercado12)</f>
        <v>0</v>
      </c>
      <c r="AW272" s="27" t="n">
        <f aca="false">SUMIFS(super1[Qtde],super1[Item],tab_higiene[[#This Row],[Item]],super1[Bairro],mercado13)+SUMIFS(supercb[Qtde],supercb[Item],tab_higiene[[#This Row],[Item]],supercb[Bairro],mercado13)</f>
        <v>0</v>
      </c>
      <c r="AX272" s="27" t="n">
        <f aca="false">SUMIFS(super1[Qtde],super1[Item],tab_higiene[[#This Row],[Item]],super1[Bairro],mercado14)+SUMIFS(supercb[Qtde],supercb[Item],tab_higiene[[#This Row],[Item]],supercb[Bairro],mercado14)</f>
        <v>0</v>
      </c>
      <c r="AY272" s="27" t="n">
        <f aca="false">SUMIFS(super1[Qtde],super1[Item],tab_higiene[[#This Row],[Item]],super1[Bairro],mercado15)+SUMIFS(supercb[Qtde],supercb[Item],tab_higiene[[#This Row],[Item]],supercb[Bairro],mercado15)</f>
        <v>0</v>
      </c>
      <c r="AZ272" s="27" t="n">
        <f aca="false">SUMIFS(super1[Qtde],super1[Item],tab_higiene[[#This Row],[Item]],super1[Bairro],mercado16)+SUMIFS(supercb[Qtde],supercb[Item],tab_higiene[[#This Row],[Item]],supercb[Bairro],mercado16)</f>
        <v>0</v>
      </c>
      <c r="BA272" s="27" t="n">
        <f aca="false">SUMIFS(super1[Qtde],super1[Item],tab_higiene[[#This Row],[Item]],super1[Bairro],mercado17)+SUMIFS(supercb[Qtde],supercb[Item],tab_higiene[[#This Row],[Item]],supercb[Bairro],mercado17)</f>
        <v>0</v>
      </c>
      <c r="BB272" s="27" t="n">
        <f aca="false">SUMIFS(super1[Qtde],super1[Item],tab_higiene[[#This Row],[Item]],super1[Bairro],mercado18)+SUMIFS(supercb[Qtde],supercb[Item],tab_higiene[[#This Row],[Item]],supercb[Bairro],mercado18)</f>
        <v>0</v>
      </c>
      <c r="BC272" s="39" t="n">
        <f aca="false">SUMIFS(super1[Qtde],super1[Item],tab_higiene[[#This Row],[Item]],super1[Bairro],extras)+SUMIFS(supercb[Qtde],supercb[Item],tab_higiene[[#This Row],[Item]],supercb[Bairro],extras)</f>
        <v>0</v>
      </c>
      <c r="BD272" s="38" t="n">
        <f aca="false">SUM(AK272:BB272)</f>
        <v>0</v>
      </c>
      <c r="BE272" s="38" t="n">
        <f aca="false">IFERROR(BD272*AJ272,0)</f>
        <v>0</v>
      </c>
      <c r="BF272" s="40" t="n">
        <f aca="false">IFERROR(AI272*BD272,0)</f>
        <v>0</v>
      </c>
    </row>
    <row r="273" customFormat="false" ht="15.75" hidden="false" customHeight="false" outlineLevel="0" collapsed="false">
      <c r="I273" s="26" t="e">
        <f aca="false">alimentos[[#This Row],[Item]]</f>
        <v>#VALUE!</v>
      </c>
      <c r="J273" s="27" t="n">
        <f aca="false">IFERROR(alimentos[[#This Row],[kg/embalagem]],0)</f>
        <v>0</v>
      </c>
      <c r="K273" s="27" t="n">
        <f aca="false">IFERROR(alimentos[[#This Row],[Preço]],0)</f>
        <v>0</v>
      </c>
      <c r="L273" s="27" t="n">
        <f aca="false">SUMIFS(super1[Qtde],super1[Item],tab_alimentos[[#This Row],[Item]],super1[Bairro],mercado1)+SUMIFS(supercb[Qtde],supercb[Item],tab_alimentos[[#This Row],[Item]],supercb[Bairro],mercado1)</f>
        <v>0</v>
      </c>
      <c r="M273" s="27" t="n">
        <f aca="false">SUMIFS(super1[Qtde],super1[Item],tab_alimentos[[#This Row],[Item]],super1[Bairro],mercado2)+SUMIFS(supercb[Qtde],supercb[Item],tab_alimentos[[#This Row],[Item]],supercb[Bairro],mercado2)</f>
        <v>0</v>
      </c>
      <c r="N273" s="27" t="n">
        <f aca="false">SUMIFS(super1[Qtde],super1[Item],tab_alimentos[[#This Row],[Item]],super1[Bairro],mercado3)+SUMIFS(supercb[Qtde],supercb[Item],tab_alimentos[[#This Row],[Item]],supercb[Bairro],mercado3)</f>
        <v>0</v>
      </c>
      <c r="O273" s="27" t="n">
        <f aca="false">SUMIFS(super1[Qtde],super1[Item],tab_alimentos[[#This Row],[Item]],super1[Bairro],mercado4)+SUMIFS(supercb[Qtde],supercb[Item],tab_alimentos[[#This Row],[Item]],supercb[Bairro],mercado4)</f>
        <v>0</v>
      </c>
      <c r="P273" s="27" t="n">
        <f aca="false">SUMIFS(super1[Qtde],super1[Item],tab_alimentos[[#This Row],[Item]],super1[Bairro],mercado5)+SUMIFS(supercb[Qtde],supercb[Item],tab_alimentos[[#This Row],[Item]],supercb[Bairro],mercado5)</f>
        <v>0</v>
      </c>
      <c r="Q273" s="27" t="n">
        <f aca="false">SUMIFS(super1[Qtde],super1[Item],tab_alimentos[[#This Row],[Item]],super1[Bairro],mercado6)+SUMIFS(supercb[Qtde],supercb[Item],tab_alimentos[[#This Row],[Item]],supercb[Bairro],mercado6)</f>
        <v>0</v>
      </c>
      <c r="R273" s="27" t="n">
        <f aca="false">SUMIFS(super1[Qtde],super1[Item],tab_alimentos[[#This Row],[Item]],super1[Bairro],mercado7)+SUMIFS(supercb[Qtde],supercb[Item],tab_alimentos[[#This Row],[Item]],supercb[Bairro],mercado7)</f>
        <v>0</v>
      </c>
      <c r="S273" s="27" t="n">
        <f aca="false">SUMIFS(super1[Qtde],super1[Item],tab_alimentos[[#This Row],[Item]],super1[Bairro],mercado8)+SUMIFS(supercb[Qtde],supercb[Item],tab_alimentos[[#This Row],[Item]],supercb[Bairro],mercado8)</f>
        <v>0</v>
      </c>
      <c r="T273" s="27" t="n">
        <f aca="false">SUMIFS(super1[Qtde],super1[Item],tab_alimentos[[#This Row],[Item]],super1[Bairro],mercado9)+SUMIFS(supercb[Qtde],supercb[Item],tab_alimentos[[#This Row],[Item]],supercb[Bairro],mercado9)</f>
        <v>0</v>
      </c>
      <c r="U273" s="27" t="n">
        <f aca="false">SUMIFS(super1[Qtde],super1[Item],tab_alimentos[[#This Row],[Item]],super1[Bairro],mercado10)+SUMIFS(supercb[Qtde],supercb[Item],tab_alimentos[[#This Row],[Item]],supercb[Bairro],mercado10)</f>
        <v>0</v>
      </c>
      <c r="V273" s="27" t="n">
        <f aca="false">SUMIFS(super1[Qtde],super1[Item],tab_alimentos[[#This Row],[Item]],super1[Bairro],mercado11)+SUMIFS(supercb[Qtde],supercb[Item],tab_alimentos[[#This Row],[Item]],supercb[Bairro],mercado11)</f>
        <v>0</v>
      </c>
      <c r="W273" s="27" t="n">
        <f aca="false">SUMIFS(super1[Qtde],super1[Item],tab_alimentos[[#This Row],[Item]],super1[Bairro],mercado12)+SUMIFS(supercb[Qtde],supercb[Item],tab_alimentos[[#This Row],[Item]],supercb[Bairro],mercado12)</f>
        <v>0</v>
      </c>
      <c r="X273" s="27" t="n">
        <f aca="false">SUMIFS(super1[Qtde],super1[Item],tab_alimentos[[#This Row],[Item]],super1[Bairro],mercado13)+SUMIFS(supercb[Qtde],supercb[Item],tab_alimentos[[#This Row],[Item]],supercb[Bairro],mercado13)</f>
        <v>0</v>
      </c>
      <c r="Y273" s="27" t="n">
        <f aca="false">SUMIFS(super1[Qtde],super1[Item],tab_alimentos[[#This Row],[Item]],super1[Bairro],mercado14)+SUMIFS(supercb[Qtde],supercb[Item],tab_alimentos[[#This Row],[Item]],supercb[Bairro],mercado14)</f>
        <v>0</v>
      </c>
      <c r="Z273" s="27" t="n">
        <f aca="false">SUMIFS(super1[Qtde],super1[Item],tab_alimentos[[#This Row],[Item]],super1[Bairro],mercado15)+SUMIFS(supercb[Qtde],supercb[Item],tab_alimentos[[#This Row],[Item]],supercb[Bairro],mercado15)</f>
        <v>0</v>
      </c>
      <c r="AA273" s="27" t="n">
        <f aca="false">SUMIFS(super1[Qtde],super1[Item],tab_alimentos[[#This Row],[Item]],super1[Bairro],mercado16)+SUMIFS(supercb[Qtde],supercb[Item],tab_alimentos[[#This Row],[Item]],supercb[Bairro],mercado16)</f>
        <v>0</v>
      </c>
      <c r="AB273" s="27" t="n">
        <f aca="false">SUMIFS(super1[Qtde],super1[Item],tab_alimentos[[#This Row],[Item]],super1[Bairro],mercado17)+SUMIFS(supercb[Qtde],supercb[Item],tab_alimentos[[#This Row],[Item]],supercb[Bairro],mercado17)</f>
        <v>0</v>
      </c>
      <c r="AC273" s="27" t="n">
        <f aca="false">SUMIFS(super1[Qtde],super1[Item],tab_alimentos[[#This Row],[Item]],super1[Bairro],mercado18)+SUMIFS(supercb[Qtde],supercb[Item],tab_alimentos[[#This Row],[Item]],supercb[Bairro],mercado18)</f>
        <v>0</v>
      </c>
      <c r="AD273" s="27" t="n">
        <f aca="false">SUMIFS(super1[Qtde],super1[Item],tab_alimentos[[#This Row],[Item]],super1[Bairro],extras)+SUMIFS(supercb[Qtde],supercb[Item],tab_alimentos[[#This Row],[Item]],supercb[Bairro],extras)</f>
        <v>0</v>
      </c>
      <c r="AE273" s="27" t="n">
        <f aca="false">SUM(L273:AC273)</f>
        <v>0</v>
      </c>
      <c r="AF273" s="27" t="n">
        <f aca="false">IFERROR(AE273*K273,0)</f>
        <v>0</v>
      </c>
      <c r="AG273" s="28" t="n">
        <f aca="false">IFERROR(J273*AE273,0)</f>
        <v>0</v>
      </c>
      <c r="AH273" s="37" t="e">
        <f aca="false">higiene[[#This Row],[Item]]</f>
        <v>#VALUE!</v>
      </c>
      <c r="AI273" s="38" t="n">
        <f aca="false">IFERROR(higiene[[#This Row],[Kg equivalente]],0)</f>
        <v>0</v>
      </c>
      <c r="AJ273" s="38" t="n">
        <f aca="false">IFERROR(higiene[[#This Row],[Preço por produto]],0)</f>
        <v>0</v>
      </c>
      <c r="AK273" s="27" t="n">
        <f aca="false">SUMIFS(super1[Qtde],super1[Item],tab_higiene[[#This Row],[Item]],super1[Bairro],mercado1)+SUMIFS(supercb[Qtde],supercb[Item],tab_higiene[[#This Row],[Item]],supercb[Bairro],mercado1)</f>
        <v>0</v>
      </c>
      <c r="AL273" s="27" t="n">
        <f aca="false">SUMIFS(super1[Qtde],super1[Item],tab_higiene[[#This Row],[Item]],super1[Bairro],mercado2)+SUMIFS(supercb[Qtde],supercb[Item],tab_higiene[[#This Row],[Item]],supercb[Bairro],mercado2)</f>
        <v>0</v>
      </c>
      <c r="AM273" s="27" t="n">
        <f aca="false">SUMIFS(super1[Qtde],super1[Item],tab_higiene[[#This Row],[Item]],super1[Bairro],mercado3)+SUMIFS(supercb[Qtde],supercb[Item],tab_higiene[[#This Row],[Item]],supercb[Bairro],mercado3)</f>
        <v>0</v>
      </c>
      <c r="AN273" s="27" t="n">
        <f aca="false">SUMIFS(super1[Qtde],super1[Item],tab_higiene[[#This Row],[Item]],super1[Bairro],mercado4)+SUMIFS(supercb[Qtde],supercb[Item],tab_higiene[[#This Row],[Item]],supercb[Bairro],mercado4)</f>
        <v>0</v>
      </c>
      <c r="AO273" s="27" t="n">
        <f aca="false">SUMIFS(super1[Qtde],super1[Item],tab_higiene[[#This Row],[Item]],super1[Bairro],mercado5)+SUMIFS(supercb[Qtde],supercb[Item],tab_higiene[[#This Row],[Item]],supercb[Bairro],mercado5)</f>
        <v>0</v>
      </c>
      <c r="AP273" s="27" t="n">
        <f aca="false">SUMIFS(super1[Qtde],super1[Item],tab_higiene[[#This Row],[Item]],super1[Bairro],mercado6)+SUMIFS(supercb[Qtde],supercb[Item],tab_higiene[[#This Row],[Item]],supercb[Bairro],mercado6)</f>
        <v>0</v>
      </c>
      <c r="AQ273" s="27" t="n">
        <f aca="false">SUMIFS(super1[Qtde],super1[Item],tab_higiene[[#This Row],[Item]],super1[Bairro],mercado7)+SUMIFS(supercb[Qtde],supercb[Item],tab_higiene[[#This Row],[Item]],supercb[Bairro],mercado7)</f>
        <v>0</v>
      </c>
      <c r="AR273" s="27" t="n">
        <f aca="false">SUMIFS(super1[Qtde],super1[Item],tab_higiene[[#This Row],[Item]],super1[Bairro],mercado8)+SUMIFS(supercb[Qtde],supercb[Item],tab_higiene[[#This Row],[Item]],supercb[Bairro],mercado8)</f>
        <v>0</v>
      </c>
      <c r="AS273" s="27" t="n">
        <f aca="false">SUMIFS(super1[Qtde],super1[Item],tab_higiene[[#This Row],[Item]],super1[Bairro],mercado9)+SUMIFS(supercb[Qtde],supercb[Item],tab_higiene[[#This Row],[Item]],supercb[Bairro],mercado9)</f>
        <v>0</v>
      </c>
      <c r="AT273" s="27" t="n">
        <f aca="false">SUMIFS(super1[Qtde],super1[Item],tab_higiene[[#This Row],[Item]],super1[Bairro],mercado10)+SUMIFS(supercb[Qtde],supercb[Item],tab_higiene[[#This Row],[Item]],supercb[Bairro],mercado10)</f>
        <v>0</v>
      </c>
      <c r="AU273" s="27" t="n">
        <f aca="false">SUMIFS(super1[Qtde],super1[Item],tab_higiene[[#This Row],[Item]],super1[Bairro],mercado11)+SUMIFS(supercb[Qtde],supercb[Item],tab_higiene[[#This Row],[Item]],supercb[Bairro],mercado11)</f>
        <v>0</v>
      </c>
      <c r="AV273" s="27" t="n">
        <f aca="false">SUMIFS(super1[Qtde],super1[Item],tab_higiene[[#This Row],[Item]],super1[Bairro],mercado12)+SUMIFS(supercb[Qtde],supercb[Item],tab_higiene[[#This Row],[Item]],supercb[Bairro],mercado12)</f>
        <v>0</v>
      </c>
      <c r="AW273" s="27" t="n">
        <f aca="false">SUMIFS(super1[Qtde],super1[Item],tab_higiene[[#This Row],[Item]],super1[Bairro],mercado13)+SUMIFS(supercb[Qtde],supercb[Item],tab_higiene[[#This Row],[Item]],supercb[Bairro],mercado13)</f>
        <v>0</v>
      </c>
      <c r="AX273" s="27" t="n">
        <f aca="false">SUMIFS(super1[Qtde],super1[Item],tab_higiene[[#This Row],[Item]],super1[Bairro],mercado14)+SUMIFS(supercb[Qtde],supercb[Item],tab_higiene[[#This Row],[Item]],supercb[Bairro],mercado14)</f>
        <v>0</v>
      </c>
      <c r="AY273" s="27" t="n">
        <f aca="false">SUMIFS(super1[Qtde],super1[Item],tab_higiene[[#This Row],[Item]],super1[Bairro],mercado15)+SUMIFS(supercb[Qtde],supercb[Item],tab_higiene[[#This Row],[Item]],supercb[Bairro],mercado15)</f>
        <v>0</v>
      </c>
      <c r="AZ273" s="27" t="n">
        <f aca="false">SUMIFS(super1[Qtde],super1[Item],tab_higiene[[#This Row],[Item]],super1[Bairro],mercado16)+SUMIFS(supercb[Qtde],supercb[Item],tab_higiene[[#This Row],[Item]],supercb[Bairro],mercado16)</f>
        <v>0</v>
      </c>
      <c r="BA273" s="27" t="n">
        <f aca="false">SUMIFS(super1[Qtde],super1[Item],tab_higiene[[#This Row],[Item]],super1[Bairro],mercado17)+SUMIFS(supercb[Qtde],supercb[Item],tab_higiene[[#This Row],[Item]],supercb[Bairro],mercado17)</f>
        <v>0</v>
      </c>
      <c r="BB273" s="27" t="n">
        <f aca="false">SUMIFS(super1[Qtde],super1[Item],tab_higiene[[#This Row],[Item]],super1[Bairro],mercado18)+SUMIFS(supercb[Qtde],supercb[Item],tab_higiene[[#This Row],[Item]],supercb[Bairro],mercado18)</f>
        <v>0</v>
      </c>
      <c r="BC273" s="39" t="n">
        <f aca="false">SUMIFS(super1[Qtde],super1[Item],tab_higiene[[#This Row],[Item]],super1[Bairro],extras)+SUMIFS(supercb[Qtde],supercb[Item],tab_higiene[[#This Row],[Item]],supercb[Bairro],extras)</f>
        <v>0</v>
      </c>
      <c r="BD273" s="38" t="n">
        <f aca="false">SUM(AK273:BB273)</f>
        <v>0</v>
      </c>
      <c r="BE273" s="38" t="n">
        <f aca="false">IFERROR(BD273*AJ273,0)</f>
        <v>0</v>
      </c>
      <c r="BF273" s="40" t="n">
        <f aca="false">IFERROR(AI273*BD273,0)</f>
        <v>0</v>
      </c>
    </row>
    <row r="274" customFormat="false" ht="15.75" hidden="false" customHeight="false" outlineLevel="0" collapsed="false">
      <c r="I274" s="26" t="e">
        <f aca="false">alimentos[[#This Row],[Item]]</f>
        <v>#VALUE!</v>
      </c>
      <c r="J274" s="27" t="n">
        <f aca="false">IFERROR(alimentos[[#This Row],[kg/embalagem]],0)</f>
        <v>0</v>
      </c>
      <c r="K274" s="27" t="n">
        <f aca="false">IFERROR(alimentos[[#This Row],[Preço]],0)</f>
        <v>0</v>
      </c>
      <c r="L274" s="27" t="n">
        <f aca="false">SUMIFS(super1[Qtde],super1[Item],tab_alimentos[[#This Row],[Item]],super1[Bairro],mercado1)+SUMIFS(supercb[Qtde],supercb[Item],tab_alimentos[[#This Row],[Item]],supercb[Bairro],mercado1)</f>
        <v>0</v>
      </c>
      <c r="M274" s="27" t="n">
        <f aca="false">SUMIFS(super1[Qtde],super1[Item],tab_alimentos[[#This Row],[Item]],super1[Bairro],mercado2)+SUMIFS(supercb[Qtde],supercb[Item],tab_alimentos[[#This Row],[Item]],supercb[Bairro],mercado2)</f>
        <v>0</v>
      </c>
      <c r="N274" s="27" t="n">
        <f aca="false">SUMIFS(super1[Qtde],super1[Item],tab_alimentos[[#This Row],[Item]],super1[Bairro],mercado3)+SUMIFS(supercb[Qtde],supercb[Item],tab_alimentos[[#This Row],[Item]],supercb[Bairro],mercado3)</f>
        <v>0</v>
      </c>
      <c r="O274" s="27" t="n">
        <f aca="false">SUMIFS(super1[Qtde],super1[Item],tab_alimentos[[#This Row],[Item]],super1[Bairro],mercado4)+SUMIFS(supercb[Qtde],supercb[Item],tab_alimentos[[#This Row],[Item]],supercb[Bairro],mercado4)</f>
        <v>0</v>
      </c>
      <c r="P274" s="27" t="n">
        <f aca="false">SUMIFS(super1[Qtde],super1[Item],tab_alimentos[[#This Row],[Item]],super1[Bairro],mercado5)+SUMIFS(supercb[Qtde],supercb[Item],tab_alimentos[[#This Row],[Item]],supercb[Bairro],mercado5)</f>
        <v>0</v>
      </c>
      <c r="Q274" s="27" t="n">
        <f aca="false">SUMIFS(super1[Qtde],super1[Item],tab_alimentos[[#This Row],[Item]],super1[Bairro],mercado6)+SUMIFS(supercb[Qtde],supercb[Item],tab_alimentos[[#This Row],[Item]],supercb[Bairro],mercado6)</f>
        <v>0</v>
      </c>
      <c r="R274" s="27" t="n">
        <f aca="false">SUMIFS(super1[Qtde],super1[Item],tab_alimentos[[#This Row],[Item]],super1[Bairro],mercado7)+SUMIFS(supercb[Qtde],supercb[Item],tab_alimentos[[#This Row],[Item]],supercb[Bairro],mercado7)</f>
        <v>0</v>
      </c>
      <c r="S274" s="27" t="n">
        <f aca="false">SUMIFS(super1[Qtde],super1[Item],tab_alimentos[[#This Row],[Item]],super1[Bairro],mercado8)+SUMIFS(supercb[Qtde],supercb[Item],tab_alimentos[[#This Row],[Item]],supercb[Bairro],mercado8)</f>
        <v>0</v>
      </c>
      <c r="T274" s="27" t="n">
        <f aca="false">SUMIFS(super1[Qtde],super1[Item],tab_alimentos[[#This Row],[Item]],super1[Bairro],mercado9)+SUMIFS(supercb[Qtde],supercb[Item],tab_alimentos[[#This Row],[Item]],supercb[Bairro],mercado9)</f>
        <v>0</v>
      </c>
      <c r="U274" s="27" t="n">
        <f aca="false">SUMIFS(super1[Qtde],super1[Item],tab_alimentos[[#This Row],[Item]],super1[Bairro],mercado10)+SUMIFS(supercb[Qtde],supercb[Item],tab_alimentos[[#This Row],[Item]],supercb[Bairro],mercado10)</f>
        <v>0</v>
      </c>
      <c r="V274" s="27" t="n">
        <f aca="false">SUMIFS(super1[Qtde],super1[Item],tab_alimentos[[#This Row],[Item]],super1[Bairro],mercado11)+SUMIFS(supercb[Qtde],supercb[Item],tab_alimentos[[#This Row],[Item]],supercb[Bairro],mercado11)</f>
        <v>0</v>
      </c>
      <c r="W274" s="27" t="n">
        <f aca="false">SUMIFS(super1[Qtde],super1[Item],tab_alimentos[[#This Row],[Item]],super1[Bairro],mercado12)+SUMIFS(supercb[Qtde],supercb[Item],tab_alimentos[[#This Row],[Item]],supercb[Bairro],mercado12)</f>
        <v>0</v>
      </c>
      <c r="X274" s="27" t="n">
        <f aca="false">SUMIFS(super1[Qtde],super1[Item],tab_alimentos[[#This Row],[Item]],super1[Bairro],mercado13)+SUMIFS(supercb[Qtde],supercb[Item],tab_alimentos[[#This Row],[Item]],supercb[Bairro],mercado13)</f>
        <v>0</v>
      </c>
      <c r="Y274" s="27" t="n">
        <f aca="false">SUMIFS(super1[Qtde],super1[Item],tab_alimentos[[#This Row],[Item]],super1[Bairro],mercado14)+SUMIFS(supercb[Qtde],supercb[Item],tab_alimentos[[#This Row],[Item]],supercb[Bairro],mercado14)</f>
        <v>0</v>
      </c>
      <c r="Z274" s="27" t="n">
        <f aca="false">SUMIFS(super1[Qtde],super1[Item],tab_alimentos[[#This Row],[Item]],super1[Bairro],mercado15)+SUMIFS(supercb[Qtde],supercb[Item],tab_alimentos[[#This Row],[Item]],supercb[Bairro],mercado15)</f>
        <v>0</v>
      </c>
      <c r="AA274" s="27" t="n">
        <f aca="false">SUMIFS(super1[Qtde],super1[Item],tab_alimentos[[#This Row],[Item]],super1[Bairro],mercado16)+SUMIFS(supercb[Qtde],supercb[Item],tab_alimentos[[#This Row],[Item]],supercb[Bairro],mercado16)</f>
        <v>0</v>
      </c>
      <c r="AB274" s="27" t="n">
        <f aca="false">SUMIFS(super1[Qtde],super1[Item],tab_alimentos[[#This Row],[Item]],super1[Bairro],mercado17)+SUMIFS(supercb[Qtde],supercb[Item],tab_alimentos[[#This Row],[Item]],supercb[Bairro],mercado17)</f>
        <v>0</v>
      </c>
      <c r="AC274" s="27" t="n">
        <f aca="false">SUMIFS(super1[Qtde],super1[Item],tab_alimentos[[#This Row],[Item]],super1[Bairro],mercado18)+SUMIFS(supercb[Qtde],supercb[Item],tab_alimentos[[#This Row],[Item]],supercb[Bairro],mercado18)</f>
        <v>0</v>
      </c>
      <c r="AD274" s="27" t="n">
        <f aca="false">SUMIFS(super1[Qtde],super1[Item],tab_alimentos[[#This Row],[Item]],super1[Bairro],extras)+SUMIFS(supercb[Qtde],supercb[Item],tab_alimentos[[#This Row],[Item]],supercb[Bairro],extras)</f>
        <v>0</v>
      </c>
      <c r="AE274" s="27" t="n">
        <f aca="false">SUM(L274:AC274)</f>
        <v>0</v>
      </c>
      <c r="AF274" s="27" t="n">
        <f aca="false">IFERROR(AE274*K274,0)</f>
        <v>0</v>
      </c>
      <c r="AG274" s="28" t="n">
        <f aca="false">IFERROR(J274*AE274,0)</f>
        <v>0</v>
      </c>
      <c r="AH274" s="37" t="e">
        <f aca="false">higiene[[#This Row],[Item]]</f>
        <v>#VALUE!</v>
      </c>
      <c r="AI274" s="38" t="n">
        <f aca="false">IFERROR(higiene[[#This Row],[Kg equivalente]],0)</f>
        <v>0</v>
      </c>
      <c r="AJ274" s="38" t="n">
        <f aca="false">IFERROR(higiene[[#This Row],[Preço por produto]],0)</f>
        <v>0</v>
      </c>
      <c r="AK274" s="27" t="n">
        <f aca="false">SUMIFS(super1[Qtde],super1[Item],tab_higiene[[#This Row],[Item]],super1[Bairro],mercado1)+SUMIFS(supercb[Qtde],supercb[Item],tab_higiene[[#This Row],[Item]],supercb[Bairro],mercado1)</f>
        <v>0</v>
      </c>
      <c r="AL274" s="27" t="n">
        <f aca="false">SUMIFS(super1[Qtde],super1[Item],tab_higiene[[#This Row],[Item]],super1[Bairro],mercado2)+SUMIFS(supercb[Qtde],supercb[Item],tab_higiene[[#This Row],[Item]],supercb[Bairro],mercado2)</f>
        <v>0</v>
      </c>
      <c r="AM274" s="27" t="n">
        <f aca="false">SUMIFS(super1[Qtde],super1[Item],tab_higiene[[#This Row],[Item]],super1[Bairro],mercado3)+SUMIFS(supercb[Qtde],supercb[Item],tab_higiene[[#This Row],[Item]],supercb[Bairro],mercado3)</f>
        <v>0</v>
      </c>
      <c r="AN274" s="27" t="n">
        <f aca="false">SUMIFS(super1[Qtde],super1[Item],tab_higiene[[#This Row],[Item]],super1[Bairro],mercado4)+SUMIFS(supercb[Qtde],supercb[Item],tab_higiene[[#This Row],[Item]],supercb[Bairro],mercado4)</f>
        <v>0</v>
      </c>
      <c r="AO274" s="27" t="n">
        <f aca="false">SUMIFS(super1[Qtde],super1[Item],tab_higiene[[#This Row],[Item]],super1[Bairro],mercado5)+SUMIFS(supercb[Qtde],supercb[Item],tab_higiene[[#This Row],[Item]],supercb[Bairro],mercado5)</f>
        <v>0</v>
      </c>
      <c r="AP274" s="27" t="n">
        <f aca="false">SUMIFS(super1[Qtde],super1[Item],tab_higiene[[#This Row],[Item]],super1[Bairro],mercado6)+SUMIFS(supercb[Qtde],supercb[Item],tab_higiene[[#This Row],[Item]],supercb[Bairro],mercado6)</f>
        <v>0</v>
      </c>
      <c r="AQ274" s="27" t="n">
        <f aca="false">SUMIFS(super1[Qtde],super1[Item],tab_higiene[[#This Row],[Item]],super1[Bairro],mercado7)+SUMIFS(supercb[Qtde],supercb[Item],tab_higiene[[#This Row],[Item]],supercb[Bairro],mercado7)</f>
        <v>0</v>
      </c>
      <c r="AR274" s="27" t="n">
        <f aca="false">SUMIFS(super1[Qtde],super1[Item],tab_higiene[[#This Row],[Item]],super1[Bairro],mercado8)+SUMIFS(supercb[Qtde],supercb[Item],tab_higiene[[#This Row],[Item]],supercb[Bairro],mercado8)</f>
        <v>0</v>
      </c>
      <c r="AS274" s="27" t="n">
        <f aca="false">SUMIFS(super1[Qtde],super1[Item],tab_higiene[[#This Row],[Item]],super1[Bairro],mercado9)+SUMIFS(supercb[Qtde],supercb[Item],tab_higiene[[#This Row],[Item]],supercb[Bairro],mercado9)</f>
        <v>0</v>
      </c>
      <c r="AT274" s="27" t="n">
        <f aca="false">SUMIFS(super1[Qtde],super1[Item],tab_higiene[[#This Row],[Item]],super1[Bairro],mercado10)+SUMIFS(supercb[Qtde],supercb[Item],tab_higiene[[#This Row],[Item]],supercb[Bairro],mercado10)</f>
        <v>0</v>
      </c>
      <c r="AU274" s="27" t="n">
        <f aca="false">SUMIFS(super1[Qtde],super1[Item],tab_higiene[[#This Row],[Item]],super1[Bairro],mercado11)+SUMIFS(supercb[Qtde],supercb[Item],tab_higiene[[#This Row],[Item]],supercb[Bairro],mercado11)</f>
        <v>0</v>
      </c>
      <c r="AV274" s="27" t="n">
        <f aca="false">SUMIFS(super1[Qtde],super1[Item],tab_higiene[[#This Row],[Item]],super1[Bairro],mercado12)+SUMIFS(supercb[Qtde],supercb[Item],tab_higiene[[#This Row],[Item]],supercb[Bairro],mercado12)</f>
        <v>0</v>
      </c>
      <c r="AW274" s="27" t="n">
        <f aca="false">SUMIFS(super1[Qtde],super1[Item],tab_higiene[[#This Row],[Item]],super1[Bairro],mercado13)+SUMIFS(supercb[Qtde],supercb[Item],tab_higiene[[#This Row],[Item]],supercb[Bairro],mercado13)</f>
        <v>0</v>
      </c>
      <c r="AX274" s="27" t="n">
        <f aca="false">SUMIFS(super1[Qtde],super1[Item],tab_higiene[[#This Row],[Item]],super1[Bairro],mercado14)+SUMIFS(supercb[Qtde],supercb[Item],tab_higiene[[#This Row],[Item]],supercb[Bairro],mercado14)</f>
        <v>0</v>
      </c>
      <c r="AY274" s="27" t="n">
        <f aca="false">SUMIFS(super1[Qtde],super1[Item],tab_higiene[[#This Row],[Item]],super1[Bairro],mercado15)+SUMIFS(supercb[Qtde],supercb[Item],tab_higiene[[#This Row],[Item]],supercb[Bairro],mercado15)</f>
        <v>0</v>
      </c>
      <c r="AZ274" s="27" t="n">
        <f aca="false">SUMIFS(super1[Qtde],super1[Item],tab_higiene[[#This Row],[Item]],super1[Bairro],mercado16)+SUMIFS(supercb[Qtde],supercb[Item],tab_higiene[[#This Row],[Item]],supercb[Bairro],mercado16)</f>
        <v>0</v>
      </c>
      <c r="BA274" s="27" t="n">
        <f aca="false">SUMIFS(super1[Qtde],super1[Item],tab_higiene[[#This Row],[Item]],super1[Bairro],mercado17)+SUMIFS(supercb[Qtde],supercb[Item],tab_higiene[[#This Row],[Item]],supercb[Bairro],mercado17)</f>
        <v>0</v>
      </c>
      <c r="BB274" s="27" t="n">
        <f aca="false">SUMIFS(super1[Qtde],super1[Item],tab_higiene[[#This Row],[Item]],super1[Bairro],mercado18)+SUMIFS(supercb[Qtde],supercb[Item],tab_higiene[[#This Row],[Item]],supercb[Bairro],mercado18)</f>
        <v>0</v>
      </c>
      <c r="BC274" s="39" t="n">
        <f aca="false">SUMIFS(super1[Qtde],super1[Item],tab_higiene[[#This Row],[Item]],super1[Bairro],extras)+SUMIFS(supercb[Qtde],supercb[Item],tab_higiene[[#This Row],[Item]],supercb[Bairro],extras)</f>
        <v>0</v>
      </c>
      <c r="BD274" s="38" t="n">
        <f aca="false">SUM(AK274:BB274)</f>
        <v>0</v>
      </c>
      <c r="BE274" s="38" t="n">
        <f aca="false">IFERROR(BD274*AJ274,0)</f>
        <v>0</v>
      </c>
      <c r="BF274" s="40" t="n">
        <f aca="false">IFERROR(AI274*BD274,0)</f>
        <v>0</v>
      </c>
    </row>
    <row r="275" customFormat="false" ht="15.75" hidden="false" customHeight="false" outlineLevel="0" collapsed="false">
      <c r="I275" s="26" t="e">
        <f aca="false">alimentos[[#This Row],[Item]]</f>
        <v>#VALUE!</v>
      </c>
      <c r="J275" s="27" t="n">
        <f aca="false">IFERROR(alimentos[[#This Row],[kg/embalagem]],0)</f>
        <v>0</v>
      </c>
      <c r="K275" s="27" t="n">
        <f aca="false">IFERROR(alimentos[[#This Row],[Preço]],0)</f>
        <v>0</v>
      </c>
      <c r="L275" s="27" t="n">
        <f aca="false">SUMIFS(super1[Qtde],super1[Item],tab_alimentos[[#This Row],[Item]],super1[Bairro],mercado1)+SUMIFS(supercb[Qtde],supercb[Item],tab_alimentos[[#This Row],[Item]],supercb[Bairro],mercado1)</f>
        <v>0</v>
      </c>
      <c r="M275" s="27" t="n">
        <f aca="false">SUMIFS(super1[Qtde],super1[Item],tab_alimentos[[#This Row],[Item]],super1[Bairro],mercado2)+SUMIFS(supercb[Qtde],supercb[Item],tab_alimentos[[#This Row],[Item]],supercb[Bairro],mercado2)</f>
        <v>0</v>
      </c>
      <c r="N275" s="27" t="n">
        <f aca="false">SUMIFS(super1[Qtde],super1[Item],tab_alimentos[[#This Row],[Item]],super1[Bairro],mercado3)+SUMIFS(supercb[Qtde],supercb[Item],tab_alimentos[[#This Row],[Item]],supercb[Bairro],mercado3)</f>
        <v>0</v>
      </c>
      <c r="O275" s="27" t="n">
        <f aca="false">SUMIFS(super1[Qtde],super1[Item],tab_alimentos[[#This Row],[Item]],super1[Bairro],mercado4)+SUMIFS(supercb[Qtde],supercb[Item],tab_alimentos[[#This Row],[Item]],supercb[Bairro],mercado4)</f>
        <v>0</v>
      </c>
      <c r="P275" s="27" t="n">
        <f aca="false">SUMIFS(super1[Qtde],super1[Item],tab_alimentos[[#This Row],[Item]],super1[Bairro],mercado5)+SUMIFS(supercb[Qtde],supercb[Item],tab_alimentos[[#This Row],[Item]],supercb[Bairro],mercado5)</f>
        <v>0</v>
      </c>
      <c r="Q275" s="27" t="n">
        <f aca="false">SUMIFS(super1[Qtde],super1[Item],tab_alimentos[[#This Row],[Item]],super1[Bairro],mercado6)+SUMIFS(supercb[Qtde],supercb[Item],tab_alimentos[[#This Row],[Item]],supercb[Bairro],mercado6)</f>
        <v>0</v>
      </c>
      <c r="R275" s="27" t="n">
        <f aca="false">SUMIFS(super1[Qtde],super1[Item],tab_alimentos[[#This Row],[Item]],super1[Bairro],mercado7)+SUMIFS(supercb[Qtde],supercb[Item],tab_alimentos[[#This Row],[Item]],supercb[Bairro],mercado7)</f>
        <v>0</v>
      </c>
      <c r="S275" s="27" t="n">
        <f aca="false">SUMIFS(super1[Qtde],super1[Item],tab_alimentos[[#This Row],[Item]],super1[Bairro],mercado8)+SUMIFS(supercb[Qtde],supercb[Item],tab_alimentos[[#This Row],[Item]],supercb[Bairro],mercado8)</f>
        <v>0</v>
      </c>
      <c r="T275" s="27" t="n">
        <f aca="false">SUMIFS(super1[Qtde],super1[Item],tab_alimentos[[#This Row],[Item]],super1[Bairro],mercado9)+SUMIFS(supercb[Qtde],supercb[Item],tab_alimentos[[#This Row],[Item]],supercb[Bairro],mercado9)</f>
        <v>0</v>
      </c>
      <c r="U275" s="27" t="n">
        <f aca="false">SUMIFS(super1[Qtde],super1[Item],tab_alimentos[[#This Row],[Item]],super1[Bairro],mercado10)+SUMIFS(supercb[Qtde],supercb[Item],tab_alimentos[[#This Row],[Item]],supercb[Bairro],mercado10)</f>
        <v>0</v>
      </c>
      <c r="V275" s="27" t="n">
        <f aca="false">SUMIFS(super1[Qtde],super1[Item],tab_alimentos[[#This Row],[Item]],super1[Bairro],mercado11)+SUMIFS(supercb[Qtde],supercb[Item],tab_alimentos[[#This Row],[Item]],supercb[Bairro],mercado11)</f>
        <v>0</v>
      </c>
      <c r="W275" s="27" t="n">
        <f aca="false">SUMIFS(super1[Qtde],super1[Item],tab_alimentos[[#This Row],[Item]],super1[Bairro],mercado12)+SUMIFS(supercb[Qtde],supercb[Item],tab_alimentos[[#This Row],[Item]],supercb[Bairro],mercado12)</f>
        <v>0</v>
      </c>
      <c r="X275" s="27" t="n">
        <f aca="false">SUMIFS(super1[Qtde],super1[Item],tab_alimentos[[#This Row],[Item]],super1[Bairro],mercado13)+SUMIFS(supercb[Qtde],supercb[Item],tab_alimentos[[#This Row],[Item]],supercb[Bairro],mercado13)</f>
        <v>0</v>
      </c>
      <c r="Y275" s="27" t="n">
        <f aca="false">SUMIFS(super1[Qtde],super1[Item],tab_alimentos[[#This Row],[Item]],super1[Bairro],mercado14)+SUMIFS(supercb[Qtde],supercb[Item],tab_alimentos[[#This Row],[Item]],supercb[Bairro],mercado14)</f>
        <v>0</v>
      </c>
      <c r="Z275" s="27" t="n">
        <f aca="false">SUMIFS(super1[Qtde],super1[Item],tab_alimentos[[#This Row],[Item]],super1[Bairro],mercado15)+SUMIFS(supercb[Qtde],supercb[Item],tab_alimentos[[#This Row],[Item]],supercb[Bairro],mercado15)</f>
        <v>0</v>
      </c>
      <c r="AA275" s="27" t="n">
        <f aca="false">SUMIFS(super1[Qtde],super1[Item],tab_alimentos[[#This Row],[Item]],super1[Bairro],mercado16)+SUMIFS(supercb[Qtde],supercb[Item],tab_alimentos[[#This Row],[Item]],supercb[Bairro],mercado16)</f>
        <v>0</v>
      </c>
      <c r="AB275" s="27" t="n">
        <f aca="false">SUMIFS(super1[Qtde],super1[Item],tab_alimentos[[#This Row],[Item]],super1[Bairro],mercado17)+SUMIFS(supercb[Qtde],supercb[Item],tab_alimentos[[#This Row],[Item]],supercb[Bairro],mercado17)</f>
        <v>0</v>
      </c>
      <c r="AC275" s="27" t="n">
        <f aca="false">SUMIFS(super1[Qtde],super1[Item],tab_alimentos[[#This Row],[Item]],super1[Bairro],mercado18)+SUMIFS(supercb[Qtde],supercb[Item],tab_alimentos[[#This Row],[Item]],supercb[Bairro],mercado18)</f>
        <v>0</v>
      </c>
      <c r="AD275" s="27" t="n">
        <f aca="false">SUMIFS(super1[Qtde],super1[Item],tab_alimentos[[#This Row],[Item]],super1[Bairro],extras)+SUMIFS(supercb[Qtde],supercb[Item],tab_alimentos[[#This Row],[Item]],supercb[Bairro],extras)</f>
        <v>0</v>
      </c>
      <c r="AE275" s="27" t="n">
        <f aca="false">SUM(L275:AC275)</f>
        <v>0</v>
      </c>
      <c r="AF275" s="27" t="n">
        <f aca="false">IFERROR(AE275*K275,0)</f>
        <v>0</v>
      </c>
      <c r="AG275" s="28" t="n">
        <f aca="false">IFERROR(J275*AE275,0)</f>
        <v>0</v>
      </c>
      <c r="AH275" s="37" t="e">
        <f aca="false">higiene[[#This Row],[Item]]</f>
        <v>#VALUE!</v>
      </c>
      <c r="AI275" s="38" t="n">
        <f aca="false">IFERROR(higiene[[#This Row],[Kg equivalente]],0)</f>
        <v>0</v>
      </c>
      <c r="AJ275" s="38" t="n">
        <f aca="false">IFERROR(higiene[[#This Row],[Preço por produto]],0)</f>
        <v>0</v>
      </c>
      <c r="AK275" s="27" t="n">
        <f aca="false">SUMIFS(super1[Qtde],super1[Item],tab_higiene[[#This Row],[Item]],super1[Bairro],mercado1)+SUMIFS(supercb[Qtde],supercb[Item],tab_higiene[[#This Row],[Item]],supercb[Bairro],mercado1)</f>
        <v>0</v>
      </c>
      <c r="AL275" s="27" t="n">
        <f aca="false">SUMIFS(super1[Qtde],super1[Item],tab_higiene[[#This Row],[Item]],super1[Bairro],mercado2)+SUMIFS(supercb[Qtde],supercb[Item],tab_higiene[[#This Row],[Item]],supercb[Bairro],mercado2)</f>
        <v>0</v>
      </c>
      <c r="AM275" s="27" t="n">
        <f aca="false">SUMIFS(super1[Qtde],super1[Item],tab_higiene[[#This Row],[Item]],super1[Bairro],mercado3)+SUMIFS(supercb[Qtde],supercb[Item],tab_higiene[[#This Row],[Item]],supercb[Bairro],mercado3)</f>
        <v>0</v>
      </c>
      <c r="AN275" s="27" t="n">
        <f aca="false">SUMIFS(super1[Qtde],super1[Item],tab_higiene[[#This Row],[Item]],super1[Bairro],mercado4)+SUMIFS(supercb[Qtde],supercb[Item],tab_higiene[[#This Row],[Item]],supercb[Bairro],mercado4)</f>
        <v>0</v>
      </c>
      <c r="AO275" s="27" t="n">
        <f aca="false">SUMIFS(super1[Qtde],super1[Item],tab_higiene[[#This Row],[Item]],super1[Bairro],mercado5)+SUMIFS(supercb[Qtde],supercb[Item],tab_higiene[[#This Row],[Item]],supercb[Bairro],mercado5)</f>
        <v>0</v>
      </c>
      <c r="AP275" s="27" t="n">
        <f aca="false">SUMIFS(super1[Qtde],super1[Item],tab_higiene[[#This Row],[Item]],super1[Bairro],mercado6)+SUMIFS(supercb[Qtde],supercb[Item],tab_higiene[[#This Row],[Item]],supercb[Bairro],mercado6)</f>
        <v>0</v>
      </c>
      <c r="AQ275" s="27" t="n">
        <f aca="false">SUMIFS(super1[Qtde],super1[Item],tab_higiene[[#This Row],[Item]],super1[Bairro],mercado7)+SUMIFS(supercb[Qtde],supercb[Item],tab_higiene[[#This Row],[Item]],supercb[Bairro],mercado7)</f>
        <v>0</v>
      </c>
      <c r="AR275" s="27" t="n">
        <f aca="false">SUMIFS(super1[Qtde],super1[Item],tab_higiene[[#This Row],[Item]],super1[Bairro],mercado8)+SUMIFS(supercb[Qtde],supercb[Item],tab_higiene[[#This Row],[Item]],supercb[Bairro],mercado8)</f>
        <v>0</v>
      </c>
      <c r="AS275" s="27" t="n">
        <f aca="false">SUMIFS(super1[Qtde],super1[Item],tab_higiene[[#This Row],[Item]],super1[Bairro],mercado9)+SUMIFS(supercb[Qtde],supercb[Item],tab_higiene[[#This Row],[Item]],supercb[Bairro],mercado9)</f>
        <v>0</v>
      </c>
      <c r="AT275" s="27" t="n">
        <f aca="false">SUMIFS(super1[Qtde],super1[Item],tab_higiene[[#This Row],[Item]],super1[Bairro],mercado10)+SUMIFS(supercb[Qtde],supercb[Item],tab_higiene[[#This Row],[Item]],supercb[Bairro],mercado10)</f>
        <v>0</v>
      </c>
      <c r="AU275" s="27" t="n">
        <f aca="false">SUMIFS(super1[Qtde],super1[Item],tab_higiene[[#This Row],[Item]],super1[Bairro],mercado11)+SUMIFS(supercb[Qtde],supercb[Item],tab_higiene[[#This Row],[Item]],supercb[Bairro],mercado11)</f>
        <v>0</v>
      </c>
      <c r="AV275" s="27" t="n">
        <f aca="false">SUMIFS(super1[Qtde],super1[Item],tab_higiene[[#This Row],[Item]],super1[Bairro],mercado12)+SUMIFS(supercb[Qtde],supercb[Item],tab_higiene[[#This Row],[Item]],supercb[Bairro],mercado12)</f>
        <v>0</v>
      </c>
      <c r="AW275" s="27" t="n">
        <f aca="false">SUMIFS(super1[Qtde],super1[Item],tab_higiene[[#This Row],[Item]],super1[Bairro],mercado13)+SUMIFS(supercb[Qtde],supercb[Item],tab_higiene[[#This Row],[Item]],supercb[Bairro],mercado13)</f>
        <v>0</v>
      </c>
      <c r="AX275" s="27" t="n">
        <f aca="false">SUMIFS(super1[Qtde],super1[Item],tab_higiene[[#This Row],[Item]],super1[Bairro],mercado14)+SUMIFS(supercb[Qtde],supercb[Item],tab_higiene[[#This Row],[Item]],supercb[Bairro],mercado14)</f>
        <v>0</v>
      </c>
      <c r="AY275" s="27" t="n">
        <f aca="false">SUMIFS(super1[Qtde],super1[Item],tab_higiene[[#This Row],[Item]],super1[Bairro],mercado15)+SUMIFS(supercb[Qtde],supercb[Item],tab_higiene[[#This Row],[Item]],supercb[Bairro],mercado15)</f>
        <v>0</v>
      </c>
      <c r="AZ275" s="27" t="n">
        <f aca="false">SUMIFS(super1[Qtde],super1[Item],tab_higiene[[#This Row],[Item]],super1[Bairro],mercado16)+SUMIFS(supercb[Qtde],supercb[Item],tab_higiene[[#This Row],[Item]],supercb[Bairro],mercado16)</f>
        <v>0</v>
      </c>
      <c r="BA275" s="27" t="n">
        <f aca="false">SUMIFS(super1[Qtde],super1[Item],tab_higiene[[#This Row],[Item]],super1[Bairro],mercado17)+SUMIFS(supercb[Qtde],supercb[Item],tab_higiene[[#This Row],[Item]],supercb[Bairro],mercado17)</f>
        <v>0</v>
      </c>
      <c r="BB275" s="27" t="n">
        <f aca="false">SUMIFS(super1[Qtde],super1[Item],tab_higiene[[#This Row],[Item]],super1[Bairro],mercado18)+SUMIFS(supercb[Qtde],supercb[Item],tab_higiene[[#This Row],[Item]],supercb[Bairro],mercado18)</f>
        <v>0</v>
      </c>
      <c r="BC275" s="39" t="n">
        <f aca="false">SUMIFS(super1[Qtde],super1[Item],tab_higiene[[#This Row],[Item]],super1[Bairro],extras)+SUMIFS(supercb[Qtde],supercb[Item],tab_higiene[[#This Row],[Item]],supercb[Bairro],extras)</f>
        <v>0</v>
      </c>
      <c r="BD275" s="38" t="n">
        <f aca="false">SUM(AK275:BB275)</f>
        <v>0</v>
      </c>
      <c r="BE275" s="38" t="n">
        <f aca="false">IFERROR(BD275*AJ275,0)</f>
        <v>0</v>
      </c>
      <c r="BF275" s="40" t="n">
        <f aca="false">IFERROR(AI275*BD275,0)</f>
        <v>0</v>
      </c>
    </row>
    <row r="276" customFormat="false" ht="15.75" hidden="false" customHeight="false" outlineLevel="0" collapsed="false">
      <c r="I276" s="26" t="e">
        <f aca="false">alimentos[[#This Row],[Item]]</f>
        <v>#VALUE!</v>
      </c>
      <c r="J276" s="27" t="n">
        <f aca="false">IFERROR(alimentos[[#This Row],[kg/embalagem]],0)</f>
        <v>0</v>
      </c>
      <c r="K276" s="27" t="n">
        <f aca="false">IFERROR(alimentos[[#This Row],[Preço]],0)</f>
        <v>0</v>
      </c>
      <c r="L276" s="27" t="n">
        <f aca="false">SUMIFS(super1[Qtde],super1[Item],tab_alimentos[[#This Row],[Item]],super1[Bairro],mercado1)+SUMIFS(supercb[Qtde],supercb[Item],tab_alimentos[[#This Row],[Item]],supercb[Bairro],mercado1)</f>
        <v>0</v>
      </c>
      <c r="M276" s="27" t="n">
        <f aca="false">SUMIFS(super1[Qtde],super1[Item],tab_alimentos[[#This Row],[Item]],super1[Bairro],mercado2)+SUMIFS(supercb[Qtde],supercb[Item],tab_alimentos[[#This Row],[Item]],supercb[Bairro],mercado2)</f>
        <v>0</v>
      </c>
      <c r="N276" s="27" t="n">
        <f aca="false">SUMIFS(super1[Qtde],super1[Item],tab_alimentos[[#This Row],[Item]],super1[Bairro],mercado3)+SUMIFS(supercb[Qtde],supercb[Item],tab_alimentos[[#This Row],[Item]],supercb[Bairro],mercado3)</f>
        <v>0</v>
      </c>
      <c r="O276" s="27" t="n">
        <f aca="false">SUMIFS(super1[Qtde],super1[Item],tab_alimentos[[#This Row],[Item]],super1[Bairro],mercado4)+SUMIFS(supercb[Qtde],supercb[Item],tab_alimentos[[#This Row],[Item]],supercb[Bairro],mercado4)</f>
        <v>0</v>
      </c>
      <c r="P276" s="27" t="n">
        <f aca="false">SUMIFS(super1[Qtde],super1[Item],tab_alimentos[[#This Row],[Item]],super1[Bairro],mercado5)+SUMIFS(supercb[Qtde],supercb[Item],tab_alimentos[[#This Row],[Item]],supercb[Bairro],mercado5)</f>
        <v>0</v>
      </c>
      <c r="Q276" s="27" t="n">
        <f aca="false">SUMIFS(super1[Qtde],super1[Item],tab_alimentos[[#This Row],[Item]],super1[Bairro],mercado6)+SUMIFS(supercb[Qtde],supercb[Item],tab_alimentos[[#This Row],[Item]],supercb[Bairro],mercado6)</f>
        <v>0</v>
      </c>
      <c r="R276" s="27" t="n">
        <f aca="false">SUMIFS(super1[Qtde],super1[Item],tab_alimentos[[#This Row],[Item]],super1[Bairro],mercado7)+SUMIFS(supercb[Qtde],supercb[Item],tab_alimentos[[#This Row],[Item]],supercb[Bairro],mercado7)</f>
        <v>0</v>
      </c>
      <c r="S276" s="27" t="n">
        <f aca="false">SUMIFS(super1[Qtde],super1[Item],tab_alimentos[[#This Row],[Item]],super1[Bairro],mercado8)+SUMIFS(supercb[Qtde],supercb[Item],tab_alimentos[[#This Row],[Item]],supercb[Bairro],mercado8)</f>
        <v>0</v>
      </c>
      <c r="T276" s="27" t="n">
        <f aca="false">SUMIFS(super1[Qtde],super1[Item],tab_alimentos[[#This Row],[Item]],super1[Bairro],mercado9)+SUMIFS(supercb[Qtde],supercb[Item],tab_alimentos[[#This Row],[Item]],supercb[Bairro],mercado9)</f>
        <v>0</v>
      </c>
      <c r="U276" s="27" t="n">
        <f aca="false">SUMIFS(super1[Qtde],super1[Item],tab_alimentos[[#This Row],[Item]],super1[Bairro],mercado10)+SUMIFS(supercb[Qtde],supercb[Item],tab_alimentos[[#This Row],[Item]],supercb[Bairro],mercado10)</f>
        <v>0</v>
      </c>
      <c r="V276" s="27" t="n">
        <f aca="false">SUMIFS(super1[Qtde],super1[Item],tab_alimentos[[#This Row],[Item]],super1[Bairro],mercado11)+SUMIFS(supercb[Qtde],supercb[Item],tab_alimentos[[#This Row],[Item]],supercb[Bairro],mercado11)</f>
        <v>0</v>
      </c>
      <c r="W276" s="27" t="n">
        <f aca="false">SUMIFS(super1[Qtde],super1[Item],tab_alimentos[[#This Row],[Item]],super1[Bairro],mercado12)+SUMIFS(supercb[Qtde],supercb[Item],tab_alimentos[[#This Row],[Item]],supercb[Bairro],mercado12)</f>
        <v>0</v>
      </c>
      <c r="X276" s="27" t="n">
        <f aca="false">SUMIFS(super1[Qtde],super1[Item],tab_alimentos[[#This Row],[Item]],super1[Bairro],mercado13)+SUMIFS(supercb[Qtde],supercb[Item],tab_alimentos[[#This Row],[Item]],supercb[Bairro],mercado13)</f>
        <v>0</v>
      </c>
      <c r="Y276" s="27" t="n">
        <f aca="false">SUMIFS(super1[Qtde],super1[Item],tab_alimentos[[#This Row],[Item]],super1[Bairro],mercado14)+SUMIFS(supercb[Qtde],supercb[Item],tab_alimentos[[#This Row],[Item]],supercb[Bairro],mercado14)</f>
        <v>0</v>
      </c>
      <c r="Z276" s="27" t="n">
        <f aca="false">SUMIFS(super1[Qtde],super1[Item],tab_alimentos[[#This Row],[Item]],super1[Bairro],mercado15)+SUMIFS(supercb[Qtde],supercb[Item],tab_alimentos[[#This Row],[Item]],supercb[Bairro],mercado15)</f>
        <v>0</v>
      </c>
      <c r="AA276" s="27" t="n">
        <f aca="false">SUMIFS(super1[Qtde],super1[Item],tab_alimentos[[#This Row],[Item]],super1[Bairro],mercado16)+SUMIFS(supercb[Qtde],supercb[Item],tab_alimentos[[#This Row],[Item]],supercb[Bairro],mercado16)</f>
        <v>0</v>
      </c>
      <c r="AB276" s="27" t="n">
        <f aca="false">SUMIFS(super1[Qtde],super1[Item],tab_alimentos[[#This Row],[Item]],super1[Bairro],mercado17)+SUMIFS(supercb[Qtde],supercb[Item],tab_alimentos[[#This Row],[Item]],supercb[Bairro],mercado17)</f>
        <v>0</v>
      </c>
      <c r="AC276" s="27" t="n">
        <f aca="false">SUMIFS(super1[Qtde],super1[Item],tab_alimentos[[#This Row],[Item]],super1[Bairro],mercado18)+SUMIFS(supercb[Qtde],supercb[Item],tab_alimentos[[#This Row],[Item]],supercb[Bairro],mercado18)</f>
        <v>0</v>
      </c>
      <c r="AD276" s="27" t="n">
        <f aca="false">SUMIFS(super1[Qtde],super1[Item],tab_alimentos[[#This Row],[Item]],super1[Bairro],extras)+SUMIFS(supercb[Qtde],supercb[Item],tab_alimentos[[#This Row],[Item]],supercb[Bairro],extras)</f>
        <v>0</v>
      </c>
      <c r="AE276" s="27" t="n">
        <f aca="false">SUM(L276:AC276)</f>
        <v>0</v>
      </c>
      <c r="AF276" s="27" t="n">
        <f aca="false">IFERROR(AE276*K276,0)</f>
        <v>0</v>
      </c>
      <c r="AG276" s="28" t="n">
        <f aca="false">IFERROR(J276*AE276,0)</f>
        <v>0</v>
      </c>
      <c r="AH276" s="37" t="e">
        <f aca="false">higiene[[#This Row],[Item]]</f>
        <v>#VALUE!</v>
      </c>
      <c r="AI276" s="38" t="n">
        <f aca="false">IFERROR(higiene[[#This Row],[Kg equivalente]],0)</f>
        <v>0</v>
      </c>
      <c r="AJ276" s="38" t="n">
        <f aca="false">IFERROR(higiene[[#This Row],[Preço por produto]],0)</f>
        <v>0</v>
      </c>
      <c r="AK276" s="27" t="n">
        <f aca="false">SUMIFS(super1[Qtde],super1[Item],tab_higiene[[#This Row],[Item]],super1[Bairro],mercado1)+SUMIFS(supercb[Qtde],supercb[Item],tab_higiene[[#This Row],[Item]],supercb[Bairro],mercado1)</f>
        <v>0</v>
      </c>
      <c r="AL276" s="27" t="n">
        <f aca="false">SUMIFS(super1[Qtde],super1[Item],tab_higiene[[#This Row],[Item]],super1[Bairro],mercado2)+SUMIFS(supercb[Qtde],supercb[Item],tab_higiene[[#This Row],[Item]],supercb[Bairro],mercado2)</f>
        <v>0</v>
      </c>
      <c r="AM276" s="27" t="n">
        <f aca="false">SUMIFS(super1[Qtde],super1[Item],tab_higiene[[#This Row],[Item]],super1[Bairro],mercado3)+SUMIFS(supercb[Qtde],supercb[Item],tab_higiene[[#This Row],[Item]],supercb[Bairro],mercado3)</f>
        <v>0</v>
      </c>
      <c r="AN276" s="27" t="n">
        <f aca="false">SUMIFS(super1[Qtde],super1[Item],tab_higiene[[#This Row],[Item]],super1[Bairro],mercado4)+SUMIFS(supercb[Qtde],supercb[Item],tab_higiene[[#This Row],[Item]],supercb[Bairro],mercado4)</f>
        <v>0</v>
      </c>
      <c r="AO276" s="27" t="n">
        <f aca="false">SUMIFS(super1[Qtde],super1[Item],tab_higiene[[#This Row],[Item]],super1[Bairro],mercado5)+SUMIFS(supercb[Qtde],supercb[Item],tab_higiene[[#This Row],[Item]],supercb[Bairro],mercado5)</f>
        <v>0</v>
      </c>
      <c r="AP276" s="27" t="n">
        <f aca="false">SUMIFS(super1[Qtde],super1[Item],tab_higiene[[#This Row],[Item]],super1[Bairro],mercado6)+SUMIFS(supercb[Qtde],supercb[Item],tab_higiene[[#This Row],[Item]],supercb[Bairro],mercado6)</f>
        <v>0</v>
      </c>
      <c r="AQ276" s="27" t="n">
        <f aca="false">SUMIFS(super1[Qtde],super1[Item],tab_higiene[[#This Row],[Item]],super1[Bairro],mercado7)+SUMIFS(supercb[Qtde],supercb[Item],tab_higiene[[#This Row],[Item]],supercb[Bairro],mercado7)</f>
        <v>0</v>
      </c>
      <c r="AR276" s="27" t="n">
        <f aca="false">SUMIFS(super1[Qtde],super1[Item],tab_higiene[[#This Row],[Item]],super1[Bairro],mercado8)+SUMIFS(supercb[Qtde],supercb[Item],tab_higiene[[#This Row],[Item]],supercb[Bairro],mercado8)</f>
        <v>0</v>
      </c>
      <c r="AS276" s="27" t="n">
        <f aca="false">SUMIFS(super1[Qtde],super1[Item],tab_higiene[[#This Row],[Item]],super1[Bairro],mercado9)+SUMIFS(supercb[Qtde],supercb[Item],tab_higiene[[#This Row],[Item]],supercb[Bairro],mercado9)</f>
        <v>0</v>
      </c>
      <c r="AT276" s="27" t="n">
        <f aca="false">SUMIFS(super1[Qtde],super1[Item],tab_higiene[[#This Row],[Item]],super1[Bairro],mercado10)+SUMIFS(supercb[Qtde],supercb[Item],tab_higiene[[#This Row],[Item]],supercb[Bairro],mercado10)</f>
        <v>0</v>
      </c>
      <c r="AU276" s="27" t="n">
        <f aca="false">SUMIFS(super1[Qtde],super1[Item],tab_higiene[[#This Row],[Item]],super1[Bairro],mercado11)+SUMIFS(supercb[Qtde],supercb[Item],tab_higiene[[#This Row],[Item]],supercb[Bairro],mercado11)</f>
        <v>0</v>
      </c>
      <c r="AV276" s="27" t="n">
        <f aca="false">SUMIFS(super1[Qtde],super1[Item],tab_higiene[[#This Row],[Item]],super1[Bairro],mercado12)+SUMIFS(supercb[Qtde],supercb[Item],tab_higiene[[#This Row],[Item]],supercb[Bairro],mercado12)</f>
        <v>0</v>
      </c>
      <c r="AW276" s="27" t="n">
        <f aca="false">SUMIFS(super1[Qtde],super1[Item],tab_higiene[[#This Row],[Item]],super1[Bairro],mercado13)+SUMIFS(supercb[Qtde],supercb[Item],tab_higiene[[#This Row],[Item]],supercb[Bairro],mercado13)</f>
        <v>0</v>
      </c>
      <c r="AX276" s="27" t="n">
        <f aca="false">SUMIFS(super1[Qtde],super1[Item],tab_higiene[[#This Row],[Item]],super1[Bairro],mercado14)+SUMIFS(supercb[Qtde],supercb[Item],tab_higiene[[#This Row],[Item]],supercb[Bairro],mercado14)</f>
        <v>0</v>
      </c>
      <c r="AY276" s="27" t="n">
        <f aca="false">SUMIFS(super1[Qtde],super1[Item],tab_higiene[[#This Row],[Item]],super1[Bairro],mercado15)+SUMIFS(supercb[Qtde],supercb[Item],tab_higiene[[#This Row],[Item]],supercb[Bairro],mercado15)</f>
        <v>0</v>
      </c>
      <c r="AZ276" s="27" t="n">
        <f aca="false">SUMIFS(super1[Qtde],super1[Item],tab_higiene[[#This Row],[Item]],super1[Bairro],mercado16)+SUMIFS(supercb[Qtde],supercb[Item],tab_higiene[[#This Row],[Item]],supercb[Bairro],mercado16)</f>
        <v>0</v>
      </c>
      <c r="BA276" s="27" t="n">
        <f aca="false">SUMIFS(super1[Qtde],super1[Item],tab_higiene[[#This Row],[Item]],super1[Bairro],mercado17)+SUMIFS(supercb[Qtde],supercb[Item],tab_higiene[[#This Row],[Item]],supercb[Bairro],mercado17)</f>
        <v>0</v>
      </c>
      <c r="BB276" s="27" t="n">
        <f aca="false">SUMIFS(super1[Qtde],super1[Item],tab_higiene[[#This Row],[Item]],super1[Bairro],mercado18)+SUMIFS(supercb[Qtde],supercb[Item],tab_higiene[[#This Row],[Item]],supercb[Bairro],mercado18)</f>
        <v>0</v>
      </c>
      <c r="BC276" s="39" t="n">
        <f aca="false">SUMIFS(super1[Qtde],super1[Item],tab_higiene[[#This Row],[Item]],super1[Bairro],extras)+SUMIFS(supercb[Qtde],supercb[Item],tab_higiene[[#This Row],[Item]],supercb[Bairro],extras)</f>
        <v>0</v>
      </c>
      <c r="BD276" s="38" t="n">
        <f aca="false">SUM(AK276:BB276)</f>
        <v>0</v>
      </c>
      <c r="BE276" s="38" t="n">
        <f aca="false">IFERROR(BD276*AJ276,0)</f>
        <v>0</v>
      </c>
      <c r="BF276" s="40" t="n">
        <f aca="false">IFERROR(AI276*BD276,0)</f>
        <v>0</v>
      </c>
    </row>
    <row r="277" customFormat="false" ht="15.75" hidden="false" customHeight="false" outlineLevel="0" collapsed="false">
      <c r="I277" s="26" t="e">
        <f aca="false">alimentos[[#This Row],[Item]]</f>
        <v>#VALUE!</v>
      </c>
      <c r="J277" s="27" t="n">
        <f aca="false">IFERROR(alimentos[[#This Row],[kg/embalagem]],0)</f>
        <v>0</v>
      </c>
      <c r="K277" s="27" t="n">
        <f aca="false">IFERROR(alimentos[[#This Row],[Preço]],0)</f>
        <v>0</v>
      </c>
      <c r="L277" s="27" t="n">
        <f aca="false">SUMIFS(super1[Qtde],super1[Item],tab_alimentos[[#This Row],[Item]],super1[Bairro],mercado1)+SUMIFS(supercb[Qtde],supercb[Item],tab_alimentos[[#This Row],[Item]],supercb[Bairro],mercado1)</f>
        <v>0</v>
      </c>
      <c r="M277" s="27" t="n">
        <f aca="false">SUMIFS(super1[Qtde],super1[Item],tab_alimentos[[#This Row],[Item]],super1[Bairro],mercado2)+SUMIFS(supercb[Qtde],supercb[Item],tab_alimentos[[#This Row],[Item]],supercb[Bairro],mercado2)</f>
        <v>0</v>
      </c>
      <c r="N277" s="27" t="n">
        <f aca="false">SUMIFS(super1[Qtde],super1[Item],tab_alimentos[[#This Row],[Item]],super1[Bairro],mercado3)+SUMIFS(supercb[Qtde],supercb[Item],tab_alimentos[[#This Row],[Item]],supercb[Bairro],mercado3)</f>
        <v>0</v>
      </c>
      <c r="O277" s="27" t="n">
        <f aca="false">SUMIFS(super1[Qtde],super1[Item],tab_alimentos[[#This Row],[Item]],super1[Bairro],mercado4)+SUMIFS(supercb[Qtde],supercb[Item],tab_alimentos[[#This Row],[Item]],supercb[Bairro],mercado4)</f>
        <v>0</v>
      </c>
      <c r="P277" s="27" t="n">
        <f aca="false">SUMIFS(super1[Qtde],super1[Item],tab_alimentos[[#This Row],[Item]],super1[Bairro],mercado5)+SUMIFS(supercb[Qtde],supercb[Item],tab_alimentos[[#This Row],[Item]],supercb[Bairro],mercado5)</f>
        <v>0</v>
      </c>
      <c r="Q277" s="27" t="n">
        <f aca="false">SUMIFS(super1[Qtde],super1[Item],tab_alimentos[[#This Row],[Item]],super1[Bairro],mercado6)+SUMIFS(supercb[Qtde],supercb[Item],tab_alimentos[[#This Row],[Item]],supercb[Bairro],mercado6)</f>
        <v>0</v>
      </c>
      <c r="R277" s="27" t="n">
        <f aca="false">SUMIFS(super1[Qtde],super1[Item],tab_alimentos[[#This Row],[Item]],super1[Bairro],mercado7)+SUMIFS(supercb[Qtde],supercb[Item],tab_alimentos[[#This Row],[Item]],supercb[Bairro],mercado7)</f>
        <v>0</v>
      </c>
      <c r="S277" s="27" t="n">
        <f aca="false">SUMIFS(super1[Qtde],super1[Item],tab_alimentos[[#This Row],[Item]],super1[Bairro],mercado8)+SUMIFS(supercb[Qtde],supercb[Item],tab_alimentos[[#This Row],[Item]],supercb[Bairro],mercado8)</f>
        <v>0</v>
      </c>
      <c r="T277" s="27" t="n">
        <f aca="false">SUMIFS(super1[Qtde],super1[Item],tab_alimentos[[#This Row],[Item]],super1[Bairro],mercado9)+SUMIFS(supercb[Qtde],supercb[Item],tab_alimentos[[#This Row],[Item]],supercb[Bairro],mercado9)</f>
        <v>0</v>
      </c>
      <c r="U277" s="27" t="n">
        <f aca="false">SUMIFS(super1[Qtde],super1[Item],tab_alimentos[[#This Row],[Item]],super1[Bairro],mercado10)+SUMIFS(supercb[Qtde],supercb[Item],tab_alimentos[[#This Row],[Item]],supercb[Bairro],mercado10)</f>
        <v>0</v>
      </c>
      <c r="V277" s="27" t="n">
        <f aca="false">SUMIFS(super1[Qtde],super1[Item],tab_alimentos[[#This Row],[Item]],super1[Bairro],mercado11)+SUMIFS(supercb[Qtde],supercb[Item],tab_alimentos[[#This Row],[Item]],supercb[Bairro],mercado11)</f>
        <v>0</v>
      </c>
      <c r="W277" s="27" t="n">
        <f aca="false">SUMIFS(super1[Qtde],super1[Item],tab_alimentos[[#This Row],[Item]],super1[Bairro],mercado12)+SUMIFS(supercb[Qtde],supercb[Item],tab_alimentos[[#This Row],[Item]],supercb[Bairro],mercado12)</f>
        <v>0</v>
      </c>
      <c r="X277" s="27" t="n">
        <f aca="false">SUMIFS(super1[Qtde],super1[Item],tab_alimentos[[#This Row],[Item]],super1[Bairro],mercado13)+SUMIFS(supercb[Qtde],supercb[Item],tab_alimentos[[#This Row],[Item]],supercb[Bairro],mercado13)</f>
        <v>0</v>
      </c>
      <c r="Y277" s="27" t="n">
        <f aca="false">SUMIFS(super1[Qtde],super1[Item],tab_alimentos[[#This Row],[Item]],super1[Bairro],mercado14)+SUMIFS(supercb[Qtde],supercb[Item],tab_alimentos[[#This Row],[Item]],supercb[Bairro],mercado14)</f>
        <v>0</v>
      </c>
      <c r="Z277" s="27" t="n">
        <f aca="false">SUMIFS(super1[Qtde],super1[Item],tab_alimentos[[#This Row],[Item]],super1[Bairro],mercado15)+SUMIFS(supercb[Qtde],supercb[Item],tab_alimentos[[#This Row],[Item]],supercb[Bairro],mercado15)</f>
        <v>0</v>
      </c>
      <c r="AA277" s="27" t="n">
        <f aca="false">SUMIFS(super1[Qtde],super1[Item],tab_alimentos[[#This Row],[Item]],super1[Bairro],mercado16)+SUMIFS(supercb[Qtde],supercb[Item],tab_alimentos[[#This Row],[Item]],supercb[Bairro],mercado16)</f>
        <v>0</v>
      </c>
      <c r="AB277" s="27" t="n">
        <f aca="false">SUMIFS(super1[Qtde],super1[Item],tab_alimentos[[#This Row],[Item]],super1[Bairro],mercado17)+SUMIFS(supercb[Qtde],supercb[Item],tab_alimentos[[#This Row],[Item]],supercb[Bairro],mercado17)</f>
        <v>0</v>
      </c>
      <c r="AC277" s="27" t="n">
        <f aca="false">SUMIFS(super1[Qtde],super1[Item],tab_alimentos[[#This Row],[Item]],super1[Bairro],mercado18)+SUMIFS(supercb[Qtde],supercb[Item],tab_alimentos[[#This Row],[Item]],supercb[Bairro],mercado18)</f>
        <v>0</v>
      </c>
      <c r="AD277" s="27" t="n">
        <f aca="false">SUMIFS(super1[Qtde],super1[Item],tab_alimentos[[#This Row],[Item]],super1[Bairro],extras)+SUMIFS(supercb[Qtde],supercb[Item],tab_alimentos[[#This Row],[Item]],supercb[Bairro],extras)</f>
        <v>0</v>
      </c>
      <c r="AE277" s="27" t="n">
        <f aca="false">SUM(L277:AC277)</f>
        <v>0</v>
      </c>
      <c r="AF277" s="27" t="n">
        <f aca="false">IFERROR(AE277*K277,0)</f>
        <v>0</v>
      </c>
      <c r="AG277" s="28" t="n">
        <f aca="false">IFERROR(J277*AE277,0)</f>
        <v>0</v>
      </c>
      <c r="AH277" s="37" t="e">
        <f aca="false">higiene[[#This Row],[Item]]</f>
        <v>#VALUE!</v>
      </c>
      <c r="AI277" s="38" t="n">
        <f aca="false">IFERROR(higiene[[#This Row],[Kg equivalente]],0)</f>
        <v>0</v>
      </c>
      <c r="AJ277" s="38" t="n">
        <f aca="false">IFERROR(higiene[[#This Row],[Preço por produto]],0)</f>
        <v>0</v>
      </c>
      <c r="AK277" s="27" t="n">
        <f aca="false">SUMIFS(super1[Qtde],super1[Item],tab_higiene[[#This Row],[Item]],super1[Bairro],mercado1)+SUMIFS(supercb[Qtde],supercb[Item],tab_higiene[[#This Row],[Item]],supercb[Bairro],mercado1)</f>
        <v>0</v>
      </c>
      <c r="AL277" s="27" t="n">
        <f aca="false">SUMIFS(super1[Qtde],super1[Item],tab_higiene[[#This Row],[Item]],super1[Bairro],mercado2)+SUMIFS(supercb[Qtde],supercb[Item],tab_higiene[[#This Row],[Item]],supercb[Bairro],mercado2)</f>
        <v>0</v>
      </c>
      <c r="AM277" s="27" t="n">
        <f aca="false">SUMIFS(super1[Qtde],super1[Item],tab_higiene[[#This Row],[Item]],super1[Bairro],mercado3)+SUMIFS(supercb[Qtde],supercb[Item],tab_higiene[[#This Row],[Item]],supercb[Bairro],mercado3)</f>
        <v>0</v>
      </c>
      <c r="AN277" s="27" t="n">
        <f aca="false">SUMIFS(super1[Qtde],super1[Item],tab_higiene[[#This Row],[Item]],super1[Bairro],mercado4)+SUMIFS(supercb[Qtde],supercb[Item],tab_higiene[[#This Row],[Item]],supercb[Bairro],mercado4)</f>
        <v>0</v>
      </c>
      <c r="AO277" s="27" t="n">
        <f aca="false">SUMIFS(super1[Qtde],super1[Item],tab_higiene[[#This Row],[Item]],super1[Bairro],mercado5)+SUMIFS(supercb[Qtde],supercb[Item],tab_higiene[[#This Row],[Item]],supercb[Bairro],mercado5)</f>
        <v>0</v>
      </c>
      <c r="AP277" s="27" t="n">
        <f aca="false">SUMIFS(super1[Qtde],super1[Item],tab_higiene[[#This Row],[Item]],super1[Bairro],mercado6)+SUMIFS(supercb[Qtde],supercb[Item],tab_higiene[[#This Row],[Item]],supercb[Bairro],mercado6)</f>
        <v>0</v>
      </c>
      <c r="AQ277" s="27" t="n">
        <f aca="false">SUMIFS(super1[Qtde],super1[Item],tab_higiene[[#This Row],[Item]],super1[Bairro],mercado7)+SUMIFS(supercb[Qtde],supercb[Item],tab_higiene[[#This Row],[Item]],supercb[Bairro],mercado7)</f>
        <v>0</v>
      </c>
      <c r="AR277" s="27" t="n">
        <f aca="false">SUMIFS(super1[Qtde],super1[Item],tab_higiene[[#This Row],[Item]],super1[Bairro],mercado8)+SUMIFS(supercb[Qtde],supercb[Item],tab_higiene[[#This Row],[Item]],supercb[Bairro],mercado8)</f>
        <v>0</v>
      </c>
      <c r="AS277" s="27" t="n">
        <f aca="false">SUMIFS(super1[Qtde],super1[Item],tab_higiene[[#This Row],[Item]],super1[Bairro],mercado9)+SUMIFS(supercb[Qtde],supercb[Item],tab_higiene[[#This Row],[Item]],supercb[Bairro],mercado9)</f>
        <v>0</v>
      </c>
      <c r="AT277" s="27" t="n">
        <f aca="false">SUMIFS(super1[Qtde],super1[Item],tab_higiene[[#This Row],[Item]],super1[Bairro],mercado10)+SUMIFS(supercb[Qtde],supercb[Item],tab_higiene[[#This Row],[Item]],supercb[Bairro],mercado10)</f>
        <v>0</v>
      </c>
      <c r="AU277" s="27" t="n">
        <f aca="false">SUMIFS(super1[Qtde],super1[Item],tab_higiene[[#This Row],[Item]],super1[Bairro],mercado11)+SUMIFS(supercb[Qtde],supercb[Item],tab_higiene[[#This Row],[Item]],supercb[Bairro],mercado11)</f>
        <v>0</v>
      </c>
      <c r="AV277" s="27" t="n">
        <f aca="false">SUMIFS(super1[Qtde],super1[Item],tab_higiene[[#This Row],[Item]],super1[Bairro],mercado12)+SUMIFS(supercb[Qtde],supercb[Item],tab_higiene[[#This Row],[Item]],supercb[Bairro],mercado12)</f>
        <v>0</v>
      </c>
      <c r="AW277" s="27" t="n">
        <f aca="false">SUMIFS(super1[Qtde],super1[Item],tab_higiene[[#This Row],[Item]],super1[Bairro],mercado13)+SUMIFS(supercb[Qtde],supercb[Item],tab_higiene[[#This Row],[Item]],supercb[Bairro],mercado13)</f>
        <v>0</v>
      </c>
      <c r="AX277" s="27" t="n">
        <f aca="false">SUMIFS(super1[Qtde],super1[Item],tab_higiene[[#This Row],[Item]],super1[Bairro],mercado14)+SUMIFS(supercb[Qtde],supercb[Item],tab_higiene[[#This Row],[Item]],supercb[Bairro],mercado14)</f>
        <v>0</v>
      </c>
      <c r="AY277" s="27" t="n">
        <f aca="false">SUMIFS(super1[Qtde],super1[Item],tab_higiene[[#This Row],[Item]],super1[Bairro],mercado15)+SUMIFS(supercb[Qtde],supercb[Item],tab_higiene[[#This Row],[Item]],supercb[Bairro],mercado15)</f>
        <v>0</v>
      </c>
      <c r="AZ277" s="27" t="n">
        <f aca="false">SUMIFS(super1[Qtde],super1[Item],tab_higiene[[#This Row],[Item]],super1[Bairro],mercado16)+SUMIFS(supercb[Qtde],supercb[Item],tab_higiene[[#This Row],[Item]],supercb[Bairro],mercado16)</f>
        <v>0</v>
      </c>
      <c r="BA277" s="27" t="n">
        <f aca="false">SUMIFS(super1[Qtde],super1[Item],tab_higiene[[#This Row],[Item]],super1[Bairro],mercado17)+SUMIFS(supercb[Qtde],supercb[Item],tab_higiene[[#This Row],[Item]],supercb[Bairro],mercado17)</f>
        <v>0</v>
      </c>
      <c r="BB277" s="27" t="n">
        <f aca="false">SUMIFS(super1[Qtde],super1[Item],tab_higiene[[#This Row],[Item]],super1[Bairro],mercado18)+SUMIFS(supercb[Qtde],supercb[Item],tab_higiene[[#This Row],[Item]],supercb[Bairro],mercado18)</f>
        <v>0</v>
      </c>
      <c r="BC277" s="39" t="n">
        <f aca="false">SUMIFS(super1[Qtde],super1[Item],tab_higiene[[#This Row],[Item]],super1[Bairro],extras)+SUMIFS(supercb[Qtde],supercb[Item],tab_higiene[[#This Row],[Item]],supercb[Bairro],extras)</f>
        <v>0</v>
      </c>
      <c r="BD277" s="38" t="n">
        <f aca="false">SUM(AK277:BB277)</f>
        <v>0</v>
      </c>
      <c r="BE277" s="38" t="n">
        <f aca="false">IFERROR(BD277*AJ277,0)</f>
        <v>0</v>
      </c>
      <c r="BF277" s="40" t="n">
        <f aca="false">IFERROR(AI277*BD277,0)</f>
        <v>0</v>
      </c>
    </row>
    <row r="278" customFormat="false" ht="15.75" hidden="false" customHeight="false" outlineLevel="0" collapsed="false">
      <c r="I278" s="26" t="e">
        <f aca="false">alimentos[[#This Row],[Item]]</f>
        <v>#VALUE!</v>
      </c>
      <c r="J278" s="27" t="n">
        <f aca="false">IFERROR(alimentos[[#This Row],[kg/embalagem]],0)</f>
        <v>0</v>
      </c>
      <c r="K278" s="27" t="n">
        <f aca="false">IFERROR(alimentos[[#This Row],[Preço]],0)</f>
        <v>0</v>
      </c>
      <c r="L278" s="27" t="n">
        <f aca="false">SUMIFS(super1[Qtde],super1[Item],tab_alimentos[[#This Row],[Item]],super1[Bairro],mercado1)+SUMIFS(supercb[Qtde],supercb[Item],tab_alimentos[[#This Row],[Item]],supercb[Bairro],mercado1)</f>
        <v>0</v>
      </c>
      <c r="M278" s="27" t="n">
        <f aca="false">SUMIFS(super1[Qtde],super1[Item],tab_alimentos[[#This Row],[Item]],super1[Bairro],mercado2)+SUMIFS(supercb[Qtde],supercb[Item],tab_alimentos[[#This Row],[Item]],supercb[Bairro],mercado2)</f>
        <v>0</v>
      </c>
      <c r="N278" s="27" t="n">
        <f aca="false">SUMIFS(super1[Qtde],super1[Item],tab_alimentos[[#This Row],[Item]],super1[Bairro],mercado3)+SUMIFS(supercb[Qtde],supercb[Item],tab_alimentos[[#This Row],[Item]],supercb[Bairro],mercado3)</f>
        <v>0</v>
      </c>
      <c r="O278" s="27" t="n">
        <f aca="false">SUMIFS(super1[Qtde],super1[Item],tab_alimentos[[#This Row],[Item]],super1[Bairro],mercado4)+SUMIFS(supercb[Qtde],supercb[Item],tab_alimentos[[#This Row],[Item]],supercb[Bairro],mercado4)</f>
        <v>0</v>
      </c>
      <c r="P278" s="27" t="n">
        <f aca="false">SUMIFS(super1[Qtde],super1[Item],tab_alimentos[[#This Row],[Item]],super1[Bairro],mercado5)+SUMIFS(supercb[Qtde],supercb[Item],tab_alimentos[[#This Row],[Item]],supercb[Bairro],mercado5)</f>
        <v>0</v>
      </c>
      <c r="Q278" s="27" t="n">
        <f aca="false">SUMIFS(super1[Qtde],super1[Item],tab_alimentos[[#This Row],[Item]],super1[Bairro],mercado6)+SUMIFS(supercb[Qtde],supercb[Item],tab_alimentos[[#This Row],[Item]],supercb[Bairro],mercado6)</f>
        <v>0</v>
      </c>
      <c r="R278" s="27" t="n">
        <f aca="false">SUMIFS(super1[Qtde],super1[Item],tab_alimentos[[#This Row],[Item]],super1[Bairro],mercado7)+SUMIFS(supercb[Qtde],supercb[Item],tab_alimentos[[#This Row],[Item]],supercb[Bairro],mercado7)</f>
        <v>0</v>
      </c>
      <c r="S278" s="27" t="n">
        <f aca="false">SUMIFS(super1[Qtde],super1[Item],tab_alimentos[[#This Row],[Item]],super1[Bairro],mercado8)+SUMIFS(supercb[Qtde],supercb[Item],tab_alimentos[[#This Row],[Item]],supercb[Bairro],mercado8)</f>
        <v>0</v>
      </c>
      <c r="T278" s="27" t="n">
        <f aca="false">SUMIFS(super1[Qtde],super1[Item],tab_alimentos[[#This Row],[Item]],super1[Bairro],mercado9)+SUMIFS(supercb[Qtde],supercb[Item],tab_alimentos[[#This Row],[Item]],supercb[Bairro],mercado9)</f>
        <v>0</v>
      </c>
      <c r="U278" s="27" t="n">
        <f aca="false">SUMIFS(super1[Qtde],super1[Item],tab_alimentos[[#This Row],[Item]],super1[Bairro],mercado10)+SUMIFS(supercb[Qtde],supercb[Item],tab_alimentos[[#This Row],[Item]],supercb[Bairro],mercado10)</f>
        <v>0</v>
      </c>
      <c r="V278" s="27" t="n">
        <f aca="false">SUMIFS(super1[Qtde],super1[Item],tab_alimentos[[#This Row],[Item]],super1[Bairro],mercado11)+SUMIFS(supercb[Qtde],supercb[Item],tab_alimentos[[#This Row],[Item]],supercb[Bairro],mercado11)</f>
        <v>0</v>
      </c>
      <c r="W278" s="27" t="n">
        <f aca="false">SUMIFS(super1[Qtde],super1[Item],tab_alimentos[[#This Row],[Item]],super1[Bairro],mercado12)+SUMIFS(supercb[Qtde],supercb[Item],tab_alimentos[[#This Row],[Item]],supercb[Bairro],mercado12)</f>
        <v>0</v>
      </c>
      <c r="X278" s="27" t="n">
        <f aca="false">SUMIFS(super1[Qtde],super1[Item],tab_alimentos[[#This Row],[Item]],super1[Bairro],mercado13)+SUMIFS(supercb[Qtde],supercb[Item],tab_alimentos[[#This Row],[Item]],supercb[Bairro],mercado13)</f>
        <v>0</v>
      </c>
      <c r="Y278" s="27" t="n">
        <f aca="false">SUMIFS(super1[Qtde],super1[Item],tab_alimentos[[#This Row],[Item]],super1[Bairro],mercado14)+SUMIFS(supercb[Qtde],supercb[Item],tab_alimentos[[#This Row],[Item]],supercb[Bairro],mercado14)</f>
        <v>0</v>
      </c>
      <c r="Z278" s="27" t="n">
        <f aca="false">SUMIFS(super1[Qtde],super1[Item],tab_alimentos[[#This Row],[Item]],super1[Bairro],mercado15)+SUMIFS(supercb[Qtde],supercb[Item],tab_alimentos[[#This Row],[Item]],supercb[Bairro],mercado15)</f>
        <v>0</v>
      </c>
      <c r="AA278" s="27" t="n">
        <f aca="false">SUMIFS(super1[Qtde],super1[Item],tab_alimentos[[#This Row],[Item]],super1[Bairro],mercado16)+SUMIFS(supercb[Qtde],supercb[Item],tab_alimentos[[#This Row],[Item]],supercb[Bairro],mercado16)</f>
        <v>0</v>
      </c>
      <c r="AB278" s="27" t="n">
        <f aca="false">SUMIFS(super1[Qtde],super1[Item],tab_alimentos[[#This Row],[Item]],super1[Bairro],mercado17)+SUMIFS(supercb[Qtde],supercb[Item],tab_alimentos[[#This Row],[Item]],supercb[Bairro],mercado17)</f>
        <v>0</v>
      </c>
      <c r="AC278" s="27" t="n">
        <f aca="false">SUMIFS(super1[Qtde],super1[Item],tab_alimentos[[#This Row],[Item]],super1[Bairro],mercado18)+SUMIFS(supercb[Qtde],supercb[Item],tab_alimentos[[#This Row],[Item]],supercb[Bairro],mercado18)</f>
        <v>0</v>
      </c>
      <c r="AD278" s="27" t="n">
        <f aca="false">SUMIFS(super1[Qtde],super1[Item],tab_alimentos[[#This Row],[Item]],super1[Bairro],extras)+SUMIFS(supercb[Qtde],supercb[Item],tab_alimentos[[#This Row],[Item]],supercb[Bairro],extras)</f>
        <v>0</v>
      </c>
      <c r="AE278" s="27" t="n">
        <f aca="false">SUM(L278:AC278)</f>
        <v>0</v>
      </c>
      <c r="AF278" s="27" t="n">
        <f aca="false">IFERROR(AE278*K278,0)</f>
        <v>0</v>
      </c>
      <c r="AG278" s="28" t="n">
        <f aca="false">IFERROR(J278*AE278,0)</f>
        <v>0</v>
      </c>
      <c r="AH278" s="37" t="e">
        <f aca="false">higiene[[#This Row],[Item]]</f>
        <v>#VALUE!</v>
      </c>
      <c r="AI278" s="38" t="n">
        <f aca="false">IFERROR(higiene[[#This Row],[Kg equivalente]],0)</f>
        <v>0</v>
      </c>
      <c r="AJ278" s="38" t="n">
        <f aca="false">IFERROR(higiene[[#This Row],[Preço por produto]],0)</f>
        <v>0</v>
      </c>
      <c r="AK278" s="27" t="n">
        <f aca="false">SUMIFS(super1[Qtde],super1[Item],tab_higiene[[#This Row],[Item]],super1[Bairro],mercado1)+SUMIFS(supercb[Qtde],supercb[Item],tab_higiene[[#This Row],[Item]],supercb[Bairro],mercado1)</f>
        <v>0</v>
      </c>
      <c r="AL278" s="27" t="n">
        <f aca="false">SUMIFS(super1[Qtde],super1[Item],tab_higiene[[#This Row],[Item]],super1[Bairro],mercado2)+SUMIFS(supercb[Qtde],supercb[Item],tab_higiene[[#This Row],[Item]],supercb[Bairro],mercado2)</f>
        <v>0</v>
      </c>
      <c r="AM278" s="27" t="n">
        <f aca="false">SUMIFS(super1[Qtde],super1[Item],tab_higiene[[#This Row],[Item]],super1[Bairro],mercado3)+SUMIFS(supercb[Qtde],supercb[Item],tab_higiene[[#This Row],[Item]],supercb[Bairro],mercado3)</f>
        <v>0</v>
      </c>
      <c r="AN278" s="27" t="n">
        <f aca="false">SUMIFS(super1[Qtde],super1[Item],tab_higiene[[#This Row],[Item]],super1[Bairro],mercado4)+SUMIFS(supercb[Qtde],supercb[Item],tab_higiene[[#This Row],[Item]],supercb[Bairro],mercado4)</f>
        <v>0</v>
      </c>
      <c r="AO278" s="27" t="n">
        <f aca="false">SUMIFS(super1[Qtde],super1[Item],tab_higiene[[#This Row],[Item]],super1[Bairro],mercado5)+SUMIFS(supercb[Qtde],supercb[Item],tab_higiene[[#This Row],[Item]],supercb[Bairro],mercado5)</f>
        <v>0</v>
      </c>
      <c r="AP278" s="27" t="n">
        <f aca="false">SUMIFS(super1[Qtde],super1[Item],tab_higiene[[#This Row],[Item]],super1[Bairro],mercado6)+SUMIFS(supercb[Qtde],supercb[Item],tab_higiene[[#This Row],[Item]],supercb[Bairro],mercado6)</f>
        <v>0</v>
      </c>
      <c r="AQ278" s="27" t="n">
        <f aca="false">SUMIFS(super1[Qtde],super1[Item],tab_higiene[[#This Row],[Item]],super1[Bairro],mercado7)+SUMIFS(supercb[Qtde],supercb[Item],tab_higiene[[#This Row],[Item]],supercb[Bairro],mercado7)</f>
        <v>0</v>
      </c>
      <c r="AR278" s="27" t="n">
        <f aca="false">SUMIFS(super1[Qtde],super1[Item],tab_higiene[[#This Row],[Item]],super1[Bairro],mercado8)+SUMIFS(supercb[Qtde],supercb[Item],tab_higiene[[#This Row],[Item]],supercb[Bairro],mercado8)</f>
        <v>0</v>
      </c>
      <c r="AS278" s="27" t="n">
        <f aca="false">SUMIFS(super1[Qtde],super1[Item],tab_higiene[[#This Row],[Item]],super1[Bairro],mercado9)+SUMIFS(supercb[Qtde],supercb[Item],tab_higiene[[#This Row],[Item]],supercb[Bairro],mercado9)</f>
        <v>0</v>
      </c>
      <c r="AT278" s="27" t="n">
        <f aca="false">SUMIFS(super1[Qtde],super1[Item],tab_higiene[[#This Row],[Item]],super1[Bairro],mercado10)+SUMIFS(supercb[Qtde],supercb[Item],tab_higiene[[#This Row],[Item]],supercb[Bairro],mercado10)</f>
        <v>0</v>
      </c>
      <c r="AU278" s="27" t="n">
        <f aca="false">SUMIFS(super1[Qtde],super1[Item],tab_higiene[[#This Row],[Item]],super1[Bairro],mercado11)+SUMIFS(supercb[Qtde],supercb[Item],tab_higiene[[#This Row],[Item]],supercb[Bairro],mercado11)</f>
        <v>0</v>
      </c>
      <c r="AV278" s="27" t="n">
        <f aca="false">SUMIFS(super1[Qtde],super1[Item],tab_higiene[[#This Row],[Item]],super1[Bairro],mercado12)+SUMIFS(supercb[Qtde],supercb[Item],tab_higiene[[#This Row],[Item]],supercb[Bairro],mercado12)</f>
        <v>0</v>
      </c>
      <c r="AW278" s="27" t="n">
        <f aca="false">SUMIFS(super1[Qtde],super1[Item],tab_higiene[[#This Row],[Item]],super1[Bairro],mercado13)+SUMIFS(supercb[Qtde],supercb[Item],tab_higiene[[#This Row],[Item]],supercb[Bairro],mercado13)</f>
        <v>0</v>
      </c>
      <c r="AX278" s="27" t="n">
        <f aca="false">SUMIFS(super1[Qtde],super1[Item],tab_higiene[[#This Row],[Item]],super1[Bairro],mercado14)+SUMIFS(supercb[Qtde],supercb[Item],tab_higiene[[#This Row],[Item]],supercb[Bairro],mercado14)</f>
        <v>0</v>
      </c>
      <c r="AY278" s="27" t="n">
        <f aca="false">SUMIFS(super1[Qtde],super1[Item],tab_higiene[[#This Row],[Item]],super1[Bairro],mercado15)+SUMIFS(supercb[Qtde],supercb[Item],tab_higiene[[#This Row],[Item]],supercb[Bairro],mercado15)</f>
        <v>0</v>
      </c>
      <c r="AZ278" s="27" t="n">
        <f aca="false">SUMIFS(super1[Qtde],super1[Item],tab_higiene[[#This Row],[Item]],super1[Bairro],mercado16)+SUMIFS(supercb[Qtde],supercb[Item],tab_higiene[[#This Row],[Item]],supercb[Bairro],mercado16)</f>
        <v>0</v>
      </c>
      <c r="BA278" s="27" t="n">
        <f aca="false">SUMIFS(super1[Qtde],super1[Item],tab_higiene[[#This Row],[Item]],super1[Bairro],mercado17)+SUMIFS(supercb[Qtde],supercb[Item],tab_higiene[[#This Row],[Item]],supercb[Bairro],mercado17)</f>
        <v>0</v>
      </c>
      <c r="BB278" s="27" t="n">
        <f aca="false">SUMIFS(super1[Qtde],super1[Item],tab_higiene[[#This Row],[Item]],super1[Bairro],mercado18)+SUMIFS(supercb[Qtde],supercb[Item],tab_higiene[[#This Row],[Item]],supercb[Bairro],mercado18)</f>
        <v>0</v>
      </c>
      <c r="BC278" s="39" t="n">
        <f aca="false">SUMIFS(super1[Qtde],super1[Item],tab_higiene[[#This Row],[Item]],super1[Bairro],extras)+SUMIFS(supercb[Qtde],supercb[Item],tab_higiene[[#This Row],[Item]],supercb[Bairro],extras)</f>
        <v>0</v>
      </c>
      <c r="BD278" s="38" t="n">
        <f aca="false">SUM(AK278:BB278)</f>
        <v>0</v>
      </c>
      <c r="BE278" s="38" t="n">
        <f aca="false">IFERROR(BD278*AJ278,0)</f>
        <v>0</v>
      </c>
      <c r="BF278" s="40" t="n">
        <f aca="false">IFERROR(AI278*BD278,0)</f>
        <v>0</v>
      </c>
    </row>
    <row r="279" customFormat="false" ht="15.75" hidden="false" customHeight="false" outlineLevel="0" collapsed="false">
      <c r="I279" s="26" t="e">
        <f aca="false">alimentos[[#This Row],[Item]]</f>
        <v>#VALUE!</v>
      </c>
      <c r="J279" s="27" t="n">
        <f aca="false">IFERROR(alimentos[[#This Row],[kg/embalagem]],0)</f>
        <v>0</v>
      </c>
      <c r="K279" s="27" t="n">
        <f aca="false">IFERROR(alimentos[[#This Row],[Preço]],0)</f>
        <v>0</v>
      </c>
      <c r="L279" s="27" t="n">
        <f aca="false">SUMIFS(super1[Qtde],super1[Item],tab_alimentos[[#This Row],[Item]],super1[Bairro],mercado1)+SUMIFS(supercb[Qtde],supercb[Item],tab_alimentos[[#This Row],[Item]],supercb[Bairro],mercado1)</f>
        <v>0</v>
      </c>
      <c r="M279" s="27" t="n">
        <f aca="false">SUMIFS(super1[Qtde],super1[Item],tab_alimentos[[#This Row],[Item]],super1[Bairro],mercado2)+SUMIFS(supercb[Qtde],supercb[Item],tab_alimentos[[#This Row],[Item]],supercb[Bairro],mercado2)</f>
        <v>0</v>
      </c>
      <c r="N279" s="27" t="n">
        <f aca="false">SUMIFS(super1[Qtde],super1[Item],tab_alimentos[[#This Row],[Item]],super1[Bairro],mercado3)+SUMIFS(supercb[Qtde],supercb[Item],tab_alimentos[[#This Row],[Item]],supercb[Bairro],mercado3)</f>
        <v>0</v>
      </c>
      <c r="O279" s="27" t="n">
        <f aca="false">SUMIFS(super1[Qtde],super1[Item],tab_alimentos[[#This Row],[Item]],super1[Bairro],mercado4)+SUMIFS(supercb[Qtde],supercb[Item],tab_alimentos[[#This Row],[Item]],supercb[Bairro],mercado4)</f>
        <v>0</v>
      </c>
      <c r="P279" s="27" t="n">
        <f aca="false">SUMIFS(super1[Qtde],super1[Item],tab_alimentos[[#This Row],[Item]],super1[Bairro],mercado5)+SUMIFS(supercb[Qtde],supercb[Item],tab_alimentos[[#This Row],[Item]],supercb[Bairro],mercado5)</f>
        <v>0</v>
      </c>
      <c r="Q279" s="27" t="n">
        <f aca="false">SUMIFS(super1[Qtde],super1[Item],tab_alimentos[[#This Row],[Item]],super1[Bairro],mercado6)+SUMIFS(supercb[Qtde],supercb[Item],tab_alimentos[[#This Row],[Item]],supercb[Bairro],mercado6)</f>
        <v>0</v>
      </c>
      <c r="R279" s="27" t="n">
        <f aca="false">SUMIFS(super1[Qtde],super1[Item],tab_alimentos[[#This Row],[Item]],super1[Bairro],mercado7)+SUMIFS(supercb[Qtde],supercb[Item],tab_alimentos[[#This Row],[Item]],supercb[Bairro],mercado7)</f>
        <v>0</v>
      </c>
      <c r="S279" s="27" t="n">
        <f aca="false">SUMIFS(super1[Qtde],super1[Item],tab_alimentos[[#This Row],[Item]],super1[Bairro],mercado8)+SUMIFS(supercb[Qtde],supercb[Item],tab_alimentos[[#This Row],[Item]],supercb[Bairro],mercado8)</f>
        <v>0</v>
      </c>
      <c r="T279" s="27" t="n">
        <f aca="false">SUMIFS(super1[Qtde],super1[Item],tab_alimentos[[#This Row],[Item]],super1[Bairro],mercado9)+SUMIFS(supercb[Qtde],supercb[Item],tab_alimentos[[#This Row],[Item]],supercb[Bairro],mercado9)</f>
        <v>0</v>
      </c>
      <c r="U279" s="27" t="n">
        <f aca="false">SUMIFS(super1[Qtde],super1[Item],tab_alimentos[[#This Row],[Item]],super1[Bairro],mercado10)+SUMIFS(supercb[Qtde],supercb[Item],tab_alimentos[[#This Row],[Item]],supercb[Bairro],mercado10)</f>
        <v>0</v>
      </c>
      <c r="V279" s="27" t="n">
        <f aca="false">SUMIFS(super1[Qtde],super1[Item],tab_alimentos[[#This Row],[Item]],super1[Bairro],mercado11)+SUMIFS(supercb[Qtde],supercb[Item],tab_alimentos[[#This Row],[Item]],supercb[Bairro],mercado11)</f>
        <v>0</v>
      </c>
      <c r="W279" s="27" t="n">
        <f aca="false">SUMIFS(super1[Qtde],super1[Item],tab_alimentos[[#This Row],[Item]],super1[Bairro],mercado12)+SUMIFS(supercb[Qtde],supercb[Item],tab_alimentos[[#This Row],[Item]],supercb[Bairro],mercado12)</f>
        <v>0</v>
      </c>
      <c r="X279" s="27" t="n">
        <f aca="false">SUMIFS(super1[Qtde],super1[Item],tab_alimentos[[#This Row],[Item]],super1[Bairro],mercado13)+SUMIFS(supercb[Qtde],supercb[Item],tab_alimentos[[#This Row],[Item]],supercb[Bairro],mercado13)</f>
        <v>0</v>
      </c>
      <c r="Y279" s="27" t="n">
        <f aca="false">SUMIFS(super1[Qtde],super1[Item],tab_alimentos[[#This Row],[Item]],super1[Bairro],mercado14)+SUMIFS(supercb[Qtde],supercb[Item],tab_alimentos[[#This Row],[Item]],supercb[Bairro],mercado14)</f>
        <v>0</v>
      </c>
      <c r="Z279" s="27" t="n">
        <f aca="false">SUMIFS(super1[Qtde],super1[Item],tab_alimentos[[#This Row],[Item]],super1[Bairro],mercado15)+SUMIFS(supercb[Qtde],supercb[Item],tab_alimentos[[#This Row],[Item]],supercb[Bairro],mercado15)</f>
        <v>0</v>
      </c>
      <c r="AA279" s="27" t="n">
        <f aca="false">SUMIFS(super1[Qtde],super1[Item],tab_alimentos[[#This Row],[Item]],super1[Bairro],mercado16)+SUMIFS(supercb[Qtde],supercb[Item],tab_alimentos[[#This Row],[Item]],supercb[Bairro],mercado16)</f>
        <v>0</v>
      </c>
      <c r="AB279" s="27" t="n">
        <f aca="false">SUMIFS(super1[Qtde],super1[Item],tab_alimentos[[#This Row],[Item]],super1[Bairro],mercado17)+SUMIFS(supercb[Qtde],supercb[Item],tab_alimentos[[#This Row],[Item]],supercb[Bairro],mercado17)</f>
        <v>0</v>
      </c>
      <c r="AC279" s="27" t="n">
        <f aca="false">SUMIFS(super1[Qtde],super1[Item],tab_alimentos[[#This Row],[Item]],super1[Bairro],mercado18)+SUMIFS(supercb[Qtde],supercb[Item],tab_alimentos[[#This Row],[Item]],supercb[Bairro],mercado18)</f>
        <v>0</v>
      </c>
      <c r="AD279" s="27" t="n">
        <f aca="false">SUMIFS(super1[Qtde],super1[Item],tab_alimentos[[#This Row],[Item]],super1[Bairro],extras)+SUMIFS(supercb[Qtde],supercb[Item],tab_alimentos[[#This Row],[Item]],supercb[Bairro],extras)</f>
        <v>0</v>
      </c>
      <c r="AE279" s="27" t="n">
        <f aca="false">SUM(L279:AC279)</f>
        <v>0</v>
      </c>
      <c r="AF279" s="27" t="n">
        <f aca="false">IFERROR(AE279*K279,0)</f>
        <v>0</v>
      </c>
      <c r="AG279" s="28" t="n">
        <f aca="false">IFERROR(J279*AE279,0)</f>
        <v>0</v>
      </c>
      <c r="AH279" s="37" t="e">
        <f aca="false">higiene[[#This Row],[Item]]</f>
        <v>#VALUE!</v>
      </c>
      <c r="AI279" s="38" t="n">
        <f aca="false">IFERROR(higiene[[#This Row],[Kg equivalente]],0)</f>
        <v>0</v>
      </c>
      <c r="AJ279" s="38" t="n">
        <f aca="false">IFERROR(higiene[[#This Row],[Preço por produto]],0)</f>
        <v>0</v>
      </c>
      <c r="AK279" s="27" t="n">
        <f aca="false">SUMIFS(super1[Qtde],super1[Item],tab_higiene[[#This Row],[Item]],super1[Bairro],mercado1)+SUMIFS(supercb[Qtde],supercb[Item],tab_higiene[[#This Row],[Item]],supercb[Bairro],mercado1)</f>
        <v>0</v>
      </c>
      <c r="AL279" s="27" t="n">
        <f aca="false">SUMIFS(super1[Qtde],super1[Item],tab_higiene[[#This Row],[Item]],super1[Bairro],mercado2)+SUMIFS(supercb[Qtde],supercb[Item],tab_higiene[[#This Row],[Item]],supercb[Bairro],mercado2)</f>
        <v>0</v>
      </c>
      <c r="AM279" s="27" t="n">
        <f aca="false">SUMIFS(super1[Qtde],super1[Item],tab_higiene[[#This Row],[Item]],super1[Bairro],mercado3)+SUMIFS(supercb[Qtde],supercb[Item],tab_higiene[[#This Row],[Item]],supercb[Bairro],mercado3)</f>
        <v>0</v>
      </c>
      <c r="AN279" s="27" t="n">
        <f aca="false">SUMIFS(super1[Qtde],super1[Item],tab_higiene[[#This Row],[Item]],super1[Bairro],mercado4)+SUMIFS(supercb[Qtde],supercb[Item],tab_higiene[[#This Row],[Item]],supercb[Bairro],mercado4)</f>
        <v>0</v>
      </c>
      <c r="AO279" s="27" t="n">
        <f aca="false">SUMIFS(super1[Qtde],super1[Item],tab_higiene[[#This Row],[Item]],super1[Bairro],mercado5)+SUMIFS(supercb[Qtde],supercb[Item],tab_higiene[[#This Row],[Item]],supercb[Bairro],mercado5)</f>
        <v>0</v>
      </c>
      <c r="AP279" s="27" t="n">
        <f aca="false">SUMIFS(super1[Qtde],super1[Item],tab_higiene[[#This Row],[Item]],super1[Bairro],mercado6)+SUMIFS(supercb[Qtde],supercb[Item],tab_higiene[[#This Row],[Item]],supercb[Bairro],mercado6)</f>
        <v>0</v>
      </c>
      <c r="AQ279" s="27" t="n">
        <f aca="false">SUMIFS(super1[Qtde],super1[Item],tab_higiene[[#This Row],[Item]],super1[Bairro],mercado7)+SUMIFS(supercb[Qtde],supercb[Item],tab_higiene[[#This Row],[Item]],supercb[Bairro],mercado7)</f>
        <v>0</v>
      </c>
      <c r="AR279" s="27" t="n">
        <f aca="false">SUMIFS(super1[Qtde],super1[Item],tab_higiene[[#This Row],[Item]],super1[Bairro],mercado8)+SUMIFS(supercb[Qtde],supercb[Item],tab_higiene[[#This Row],[Item]],supercb[Bairro],mercado8)</f>
        <v>0</v>
      </c>
      <c r="AS279" s="27" t="n">
        <f aca="false">SUMIFS(super1[Qtde],super1[Item],tab_higiene[[#This Row],[Item]],super1[Bairro],mercado9)+SUMIFS(supercb[Qtde],supercb[Item],tab_higiene[[#This Row],[Item]],supercb[Bairro],mercado9)</f>
        <v>0</v>
      </c>
      <c r="AT279" s="27" t="n">
        <f aca="false">SUMIFS(super1[Qtde],super1[Item],tab_higiene[[#This Row],[Item]],super1[Bairro],mercado10)+SUMIFS(supercb[Qtde],supercb[Item],tab_higiene[[#This Row],[Item]],supercb[Bairro],mercado10)</f>
        <v>0</v>
      </c>
      <c r="AU279" s="27" t="n">
        <f aca="false">SUMIFS(super1[Qtde],super1[Item],tab_higiene[[#This Row],[Item]],super1[Bairro],mercado11)+SUMIFS(supercb[Qtde],supercb[Item],tab_higiene[[#This Row],[Item]],supercb[Bairro],mercado11)</f>
        <v>0</v>
      </c>
      <c r="AV279" s="27" t="n">
        <f aca="false">SUMIFS(super1[Qtde],super1[Item],tab_higiene[[#This Row],[Item]],super1[Bairro],mercado12)+SUMIFS(supercb[Qtde],supercb[Item],tab_higiene[[#This Row],[Item]],supercb[Bairro],mercado12)</f>
        <v>0</v>
      </c>
      <c r="AW279" s="27" t="n">
        <f aca="false">SUMIFS(super1[Qtde],super1[Item],tab_higiene[[#This Row],[Item]],super1[Bairro],mercado13)+SUMIFS(supercb[Qtde],supercb[Item],tab_higiene[[#This Row],[Item]],supercb[Bairro],mercado13)</f>
        <v>0</v>
      </c>
      <c r="AX279" s="27" t="n">
        <f aca="false">SUMIFS(super1[Qtde],super1[Item],tab_higiene[[#This Row],[Item]],super1[Bairro],mercado14)+SUMIFS(supercb[Qtde],supercb[Item],tab_higiene[[#This Row],[Item]],supercb[Bairro],mercado14)</f>
        <v>0</v>
      </c>
      <c r="AY279" s="27" t="n">
        <f aca="false">SUMIFS(super1[Qtde],super1[Item],tab_higiene[[#This Row],[Item]],super1[Bairro],mercado15)+SUMIFS(supercb[Qtde],supercb[Item],tab_higiene[[#This Row],[Item]],supercb[Bairro],mercado15)</f>
        <v>0</v>
      </c>
      <c r="AZ279" s="27" t="n">
        <f aca="false">SUMIFS(super1[Qtde],super1[Item],tab_higiene[[#This Row],[Item]],super1[Bairro],mercado16)+SUMIFS(supercb[Qtde],supercb[Item],tab_higiene[[#This Row],[Item]],supercb[Bairro],mercado16)</f>
        <v>0</v>
      </c>
      <c r="BA279" s="27" t="n">
        <f aca="false">SUMIFS(super1[Qtde],super1[Item],tab_higiene[[#This Row],[Item]],super1[Bairro],mercado17)+SUMIFS(supercb[Qtde],supercb[Item],tab_higiene[[#This Row],[Item]],supercb[Bairro],mercado17)</f>
        <v>0</v>
      </c>
      <c r="BB279" s="27" t="n">
        <f aca="false">SUMIFS(super1[Qtde],super1[Item],tab_higiene[[#This Row],[Item]],super1[Bairro],mercado18)+SUMIFS(supercb[Qtde],supercb[Item],tab_higiene[[#This Row],[Item]],supercb[Bairro],mercado18)</f>
        <v>0</v>
      </c>
      <c r="BC279" s="39" t="n">
        <f aca="false">SUMIFS(super1[Qtde],super1[Item],tab_higiene[[#This Row],[Item]],super1[Bairro],extras)+SUMIFS(supercb[Qtde],supercb[Item],tab_higiene[[#This Row],[Item]],supercb[Bairro],extras)</f>
        <v>0</v>
      </c>
      <c r="BD279" s="38" t="n">
        <f aca="false">SUM(AK279:BB279)</f>
        <v>0</v>
      </c>
      <c r="BE279" s="38" t="n">
        <f aca="false">IFERROR(BD279*AJ279,0)</f>
        <v>0</v>
      </c>
      <c r="BF279" s="40" t="n">
        <f aca="false">IFERROR(AI279*BD279,0)</f>
        <v>0</v>
      </c>
    </row>
    <row r="280" customFormat="false" ht="15.75" hidden="false" customHeight="false" outlineLevel="0" collapsed="false">
      <c r="I280" s="26" t="e">
        <f aca="false">alimentos[[#This Row],[Item]]</f>
        <v>#VALUE!</v>
      </c>
      <c r="J280" s="27" t="n">
        <f aca="false">IFERROR(alimentos[[#This Row],[kg/embalagem]],0)</f>
        <v>0</v>
      </c>
      <c r="K280" s="27" t="n">
        <f aca="false">IFERROR(alimentos[[#This Row],[Preço]],0)</f>
        <v>0</v>
      </c>
      <c r="L280" s="27" t="n">
        <f aca="false">SUMIFS(super1[Qtde],super1[Item],tab_alimentos[[#This Row],[Item]],super1[Bairro],mercado1)+SUMIFS(supercb[Qtde],supercb[Item],tab_alimentos[[#This Row],[Item]],supercb[Bairro],mercado1)</f>
        <v>0</v>
      </c>
      <c r="M280" s="27" t="n">
        <f aca="false">SUMIFS(super1[Qtde],super1[Item],tab_alimentos[[#This Row],[Item]],super1[Bairro],mercado2)+SUMIFS(supercb[Qtde],supercb[Item],tab_alimentos[[#This Row],[Item]],supercb[Bairro],mercado2)</f>
        <v>0</v>
      </c>
      <c r="N280" s="27" t="n">
        <f aca="false">SUMIFS(super1[Qtde],super1[Item],tab_alimentos[[#This Row],[Item]],super1[Bairro],mercado3)+SUMIFS(supercb[Qtde],supercb[Item],tab_alimentos[[#This Row],[Item]],supercb[Bairro],mercado3)</f>
        <v>0</v>
      </c>
      <c r="O280" s="27" t="n">
        <f aca="false">SUMIFS(super1[Qtde],super1[Item],tab_alimentos[[#This Row],[Item]],super1[Bairro],mercado4)+SUMIFS(supercb[Qtde],supercb[Item],tab_alimentos[[#This Row],[Item]],supercb[Bairro],mercado4)</f>
        <v>0</v>
      </c>
      <c r="P280" s="27" t="n">
        <f aca="false">SUMIFS(super1[Qtde],super1[Item],tab_alimentos[[#This Row],[Item]],super1[Bairro],mercado5)+SUMIFS(supercb[Qtde],supercb[Item],tab_alimentos[[#This Row],[Item]],supercb[Bairro],mercado5)</f>
        <v>0</v>
      </c>
      <c r="Q280" s="27" t="n">
        <f aca="false">SUMIFS(super1[Qtde],super1[Item],tab_alimentos[[#This Row],[Item]],super1[Bairro],mercado6)+SUMIFS(supercb[Qtde],supercb[Item],tab_alimentos[[#This Row],[Item]],supercb[Bairro],mercado6)</f>
        <v>0</v>
      </c>
      <c r="R280" s="27" t="n">
        <f aca="false">SUMIFS(super1[Qtde],super1[Item],tab_alimentos[[#This Row],[Item]],super1[Bairro],mercado7)+SUMIFS(supercb[Qtde],supercb[Item],tab_alimentos[[#This Row],[Item]],supercb[Bairro],mercado7)</f>
        <v>0</v>
      </c>
      <c r="S280" s="27" t="n">
        <f aca="false">SUMIFS(super1[Qtde],super1[Item],tab_alimentos[[#This Row],[Item]],super1[Bairro],mercado8)+SUMIFS(supercb[Qtde],supercb[Item],tab_alimentos[[#This Row],[Item]],supercb[Bairro],mercado8)</f>
        <v>0</v>
      </c>
      <c r="T280" s="27" t="n">
        <f aca="false">SUMIFS(super1[Qtde],super1[Item],tab_alimentos[[#This Row],[Item]],super1[Bairro],mercado9)+SUMIFS(supercb[Qtde],supercb[Item],tab_alimentos[[#This Row],[Item]],supercb[Bairro],mercado9)</f>
        <v>0</v>
      </c>
      <c r="U280" s="27" t="n">
        <f aca="false">SUMIFS(super1[Qtde],super1[Item],tab_alimentos[[#This Row],[Item]],super1[Bairro],mercado10)+SUMIFS(supercb[Qtde],supercb[Item],tab_alimentos[[#This Row],[Item]],supercb[Bairro],mercado10)</f>
        <v>0</v>
      </c>
      <c r="V280" s="27" t="n">
        <f aca="false">SUMIFS(super1[Qtde],super1[Item],tab_alimentos[[#This Row],[Item]],super1[Bairro],mercado11)+SUMIFS(supercb[Qtde],supercb[Item],tab_alimentos[[#This Row],[Item]],supercb[Bairro],mercado11)</f>
        <v>0</v>
      </c>
      <c r="W280" s="27" t="n">
        <f aca="false">SUMIFS(super1[Qtde],super1[Item],tab_alimentos[[#This Row],[Item]],super1[Bairro],mercado12)+SUMIFS(supercb[Qtde],supercb[Item],tab_alimentos[[#This Row],[Item]],supercb[Bairro],mercado12)</f>
        <v>0</v>
      </c>
      <c r="X280" s="27" t="n">
        <f aca="false">SUMIFS(super1[Qtde],super1[Item],tab_alimentos[[#This Row],[Item]],super1[Bairro],mercado13)+SUMIFS(supercb[Qtde],supercb[Item],tab_alimentos[[#This Row],[Item]],supercb[Bairro],mercado13)</f>
        <v>0</v>
      </c>
      <c r="Y280" s="27" t="n">
        <f aca="false">SUMIFS(super1[Qtde],super1[Item],tab_alimentos[[#This Row],[Item]],super1[Bairro],mercado14)+SUMIFS(supercb[Qtde],supercb[Item],tab_alimentos[[#This Row],[Item]],supercb[Bairro],mercado14)</f>
        <v>0</v>
      </c>
      <c r="Z280" s="27" t="n">
        <f aca="false">SUMIFS(super1[Qtde],super1[Item],tab_alimentos[[#This Row],[Item]],super1[Bairro],mercado15)+SUMIFS(supercb[Qtde],supercb[Item],tab_alimentos[[#This Row],[Item]],supercb[Bairro],mercado15)</f>
        <v>0</v>
      </c>
      <c r="AA280" s="27" t="n">
        <f aca="false">SUMIFS(super1[Qtde],super1[Item],tab_alimentos[[#This Row],[Item]],super1[Bairro],mercado16)+SUMIFS(supercb[Qtde],supercb[Item],tab_alimentos[[#This Row],[Item]],supercb[Bairro],mercado16)</f>
        <v>0</v>
      </c>
      <c r="AB280" s="27" t="n">
        <f aca="false">SUMIFS(super1[Qtde],super1[Item],tab_alimentos[[#This Row],[Item]],super1[Bairro],mercado17)+SUMIFS(supercb[Qtde],supercb[Item],tab_alimentos[[#This Row],[Item]],supercb[Bairro],mercado17)</f>
        <v>0</v>
      </c>
      <c r="AC280" s="27" t="n">
        <f aca="false">SUMIFS(super1[Qtde],super1[Item],tab_alimentos[[#This Row],[Item]],super1[Bairro],mercado18)+SUMIFS(supercb[Qtde],supercb[Item],tab_alimentos[[#This Row],[Item]],supercb[Bairro],mercado18)</f>
        <v>0</v>
      </c>
      <c r="AD280" s="27" t="n">
        <f aca="false">SUMIFS(super1[Qtde],super1[Item],tab_alimentos[[#This Row],[Item]],super1[Bairro],extras)+SUMIFS(supercb[Qtde],supercb[Item],tab_alimentos[[#This Row],[Item]],supercb[Bairro],extras)</f>
        <v>0</v>
      </c>
      <c r="AE280" s="27" t="n">
        <f aca="false">SUM(L280:AC280)</f>
        <v>0</v>
      </c>
      <c r="AF280" s="27" t="n">
        <f aca="false">IFERROR(AE280*K280,0)</f>
        <v>0</v>
      </c>
      <c r="AG280" s="28" t="n">
        <f aca="false">IFERROR(J280*AE280,0)</f>
        <v>0</v>
      </c>
      <c r="AH280" s="37" t="e">
        <f aca="false">higiene[[#This Row],[Item]]</f>
        <v>#VALUE!</v>
      </c>
      <c r="AI280" s="38" t="n">
        <f aca="false">IFERROR(higiene[[#This Row],[Kg equivalente]],0)</f>
        <v>0</v>
      </c>
      <c r="AJ280" s="38" t="n">
        <f aca="false">IFERROR(higiene[[#This Row],[Preço por produto]],0)</f>
        <v>0</v>
      </c>
      <c r="AK280" s="27" t="n">
        <f aca="false">SUMIFS(super1[Qtde],super1[Item],tab_higiene[[#This Row],[Item]],super1[Bairro],mercado1)+SUMIFS(supercb[Qtde],supercb[Item],tab_higiene[[#This Row],[Item]],supercb[Bairro],mercado1)</f>
        <v>0</v>
      </c>
      <c r="AL280" s="27" t="n">
        <f aca="false">SUMIFS(super1[Qtde],super1[Item],tab_higiene[[#This Row],[Item]],super1[Bairro],mercado2)+SUMIFS(supercb[Qtde],supercb[Item],tab_higiene[[#This Row],[Item]],supercb[Bairro],mercado2)</f>
        <v>0</v>
      </c>
      <c r="AM280" s="27" t="n">
        <f aca="false">SUMIFS(super1[Qtde],super1[Item],tab_higiene[[#This Row],[Item]],super1[Bairro],mercado3)+SUMIFS(supercb[Qtde],supercb[Item],tab_higiene[[#This Row],[Item]],supercb[Bairro],mercado3)</f>
        <v>0</v>
      </c>
      <c r="AN280" s="27" t="n">
        <f aca="false">SUMIFS(super1[Qtde],super1[Item],tab_higiene[[#This Row],[Item]],super1[Bairro],mercado4)+SUMIFS(supercb[Qtde],supercb[Item],tab_higiene[[#This Row],[Item]],supercb[Bairro],mercado4)</f>
        <v>0</v>
      </c>
      <c r="AO280" s="27" t="n">
        <f aca="false">SUMIFS(super1[Qtde],super1[Item],tab_higiene[[#This Row],[Item]],super1[Bairro],mercado5)+SUMIFS(supercb[Qtde],supercb[Item],tab_higiene[[#This Row],[Item]],supercb[Bairro],mercado5)</f>
        <v>0</v>
      </c>
      <c r="AP280" s="27" t="n">
        <f aca="false">SUMIFS(super1[Qtde],super1[Item],tab_higiene[[#This Row],[Item]],super1[Bairro],mercado6)+SUMIFS(supercb[Qtde],supercb[Item],tab_higiene[[#This Row],[Item]],supercb[Bairro],mercado6)</f>
        <v>0</v>
      </c>
      <c r="AQ280" s="27" t="n">
        <f aca="false">SUMIFS(super1[Qtde],super1[Item],tab_higiene[[#This Row],[Item]],super1[Bairro],mercado7)+SUMIFS(supercb[Qtde],supercb[Item],tab_higiene[[#This Row],[Item]],supercb[Bairro],mercado7)</f>
        <v>0</v>
      </c>
      <c r="AR280" s="27" t="n">
        <f aca="false">SUMIFS(super1[Qtde],super1[Item],tab_higiene[[#This Row],[Item]],super1[Bairro],mercado8)+SUMIFS(supercb[Qtde],supercb[Item],tab_higiene[[#This Row],[Item]],supercb[Bairro],mercado8)</f>
        <v>0</v>
      </c>
      <c r="AS280" s="27" t="n">
        <f aca="false">SUMIFS(super1[Qtde],super1[Item],tab_higiene[[#This Row],[Item]],super1[Bairro],mercado9)+SUMIFS(supercb[Qtde],supercb[Item],tab_higiene[[#This Row],[Item]],supercb[Bairro],mercado9)</f>
        <v>0</v>
      </c>
      <c r="AT280" s="27" t="n">
        <f aca="false">SUMIFS(super1[Qtde],super1[Item],tab_higiene[[#This Row],[Item]],super1[Bairro],mercado10)+SUMIFS(supercb[Qtde],supercb[Item],tab_higiene[[#This Row],[Item]],supercb[Bairro],mercado10)</f>
        <v>0</v>
      </c>
      <c r="AU280" s="27" t="n">
        <f aca="false">SUMIFS(super1[Qtde],super1[Item],tab_higiene[[#This Row],[Item]],super1[Bairro],mercado11)+SUMIFS(supercb[Qtde],supercb[Item],tab_higiene[[#This Row],[Item]],supercb[Bairro],mercado11)</f>
        <v>0</v>
      </c>
      <c r="AV280" s="27" t="n">
        <f aca="false">SUMIFS(super1[Qtde],super1[Item],tab_higiene[[#This Row],[Item]],super1[Bairro],mercado12)+SUMIFS(supercb[Qtde],supercb[Item],tab_higiene[[#This Row],[Item]],supercb[Bairro],mercado12)</f>
        <v>0</v>
      </c>
      <c r="AW280" s="27" t="n">
        <f aca="false">SUMIFS(super1[Qtde],super1[Item],tab_higiene[[#This Row],[Item]],super1[Bairro],mercado13)+SUMIFS(supercb[Qtde],supercb[Item],tab_higiene[[#This Row],[Item]],supercb[Bairro],mercado13)</f>
        <v>0</v>
      </c>
      <c r="AX280" s="27" t="n">
        <f aca="false">SUMIFS(super1[Qtde],super1[Item],tab_higiene[[#This Row],[Item]],super1[Bairro],mercado14)+SUMIFS(supercb[Qtde],supercb[Item],tab_higiene[[#This Row],[Item]],supercb[Bairro],mercado14)</f>
        <v>0</v>
      </c>
      <c r="AY280" s="27" t="n">
        <f aca="false">SUMIFS(super1[Qtde],super1[Item],tab_higiene[[#This Row],[Item]],super1[Bairro],mercado15)+SUMIFS(supercb[Qtde],supercb[Item],tab_higiene[[#This Row],[Item]],supercb[Bairro],mercado15)</f>
        <v>0</v>
      </c>
      <c r="AZ280" s="27" t="n">
        <f aca="false">SUMIFS(super1[Qtde],super1[Item],tab_higiene[[#This Row],[Item]],super1[Bairro],mercado16)+SUMIFS(supercb[Qtde],supercb[Item],tab_higiene[[#This Row],[Item]],supercb[Bairro],mercado16)</f>
        <v>0</v>
      </c>
      <c r="BA280" s="27" t="n">
        <f aca="false">SUMIFS(super1[Qtde],super1[Item],tab_higiene[[#This Row],[Item]],super1[Bairro],mercado17)+SUMIFS(supercb[Qtde],supercb[Item],tab_higiene[[#This Row],[Item]],supercb[Bairro],mercado17)</f>
        <v>0</v>
      </c>
      <c r="BB280" s="27" t="n">
        <f aca="false">SUMIFS(super1[Qtde],super1[Item],tab_higiene[[#This Row],[Item]],super1[Bairro],mercado18)+SUMIFS(supercb[Qtde],supercb[Item],tab_higiene[[#This Row],[Item]],supercb[Bairro],mercado18)</f>
        <v>0</v>
      </c>
      <c r="BC280" s="39" t="n">
        <f aca="false">SUMIFS(super1[Qtde],super1[Item],tab_higiene[[#This Row],[Item]],super1[Bairro],extras)+SUMIFS(supercb[Qtde],supercb[Item],tab_higiene[[#This Row],[Item]],supercb[Bairro],extras)</f>
        <v>0</v>
      </c>
      <c r="BD280" s="38" t="n">
        <f aca="false">SUM(AK280:BB280)</f>
        <v>0</v>
      </c>
      <c r="BE280" s="38" t="n">
        <f aca="false">IFERROR(BD280*AJ280,0)</f>
        <v>0</v>
      </c>
      <c r="BF280" s="40" t="n">
        <f aca="false">IFERROR(AI280*BD280,0)</f>
        <v>0</v>
      </c>
    </row>
    <row r="281" customFormat="false" ht="15.75" hidden="false" customHeight="false" outlineLevel="0" collapsed="false">
      <c r="I281" s="26" t="e">
        <f aca="false">alimentos[[#This Row],[Item]]</f>
        <v>#VALUE!</v>
      </c>
      <c r="J281" s="27" t="n">
        <f aca="false">IFERROR(alimentos[[#This Row],[kg/embalagem]],0)</f>
        <v>0</v>
      </c>
      <c r="K281" s="27" t="n">
        <f aca="false">IFERROR(alimentos[[#This Row],[Preço]],0)</f>
        <v>0</v>
      </c>
      <c r="L281" s="27" t="n">
        <f aca="false">SUMIFS(super1[Qtde],super1[Item],tab_alimentos[[#This Row],[Item]],super1[Bairro],mercado1)+SUMIFS(supercb[Qtde],supercb[Item],tab_alimentos[[#This Row],[Item]],supercb[Bairro],mercado1)</f>
        <v>0</v>
      </c>
      <c r="M281" s="27" t="n">
        <f aca="false">SUMIFS(super1[Qtde],super1[Item],tab_alimentos[[#This Row],[Item]],super1[Bairro],mercado2)+SUMIFS(supercb[Qtde],supercb[Item],tab_alimentos[[#This Row],[Item]],supercb[Bairro],mercado2)</f>
        <v>0</v>
      </c>
      <c r="N281" s="27" t="n">
        <f aca="false">SUMIFS(super1[Qtde],super1[Item],tab_alimentos[[#This Row],[Item]],super1[Bairro],mercado3)+SUMIFS(supercb[Qtde],supercb[Item],tab_alimentos[[#This Row],[Item]],supercb[Bairro],mercado3)</f>
        <v>0</v>
      </c>
      <c r="O281" s="27" t="n">
        <f aca="false">SUMIFS(super1[Qtde],super1[Item],tab_alimentos[[#This Row],[Item]],super1[Bairro],mercado4)+SUMIFS(supercb[Qtde],supercb[Item],tab_alimentos[[#This Row],[Item]],supercb[Bairro],mercado4)</f>
        <v>0</v>
      </c>
      <c r="P281" s="27" t="n">
        <f aca="false">SUMIFS(super1[Qtde],super1[Item],tab_alimentos[[#This Row],[Item]],super1[Bairro],mercado5)+SUMIFS(supercb[Qtde],supercb[Item],tab_alimentos[[#This Row],[Item]],supercb[Bairro],mercado5)</f>
        <v>0</v>
      </c>
      <c r="Q281" s="27" t="n">
        <f aca="false">SUMIFS(super1[Qtde],super1[Item],tab_alimentos[[#This Row],[Item]],super1[Bairro],mercado6)+SUMIFS(supercb[Qtde],supercb[Item],tab_alimentos[[#This Row],[Item]],supercb[Bairro],mercado6)</f>
        <v>0</v>
      </c>
      <c r="R281" s="27" t="n">
        <f aca="false">SUMIFS(super1[Qtde],super1[Item],tab_alimentos[[#This Row],[Item]],super1[Bairro],mercado7)+SUMIFS(supercb[Qtde],supercb[Item],tab_alimentos[[#This Row],[Item]],supercb[Bairro],mercado7)</f>
        <v>0</v>
      </c>
      <c r="S281" s="27" t="n">
        <f aca="false">SUMIFS(super1[Qtde],super1[Item],tab_alimentos[[#This Row],[Item]],super1[Bairro],mercado8)+SUMIFS(supercb[Qtde],supercb[Item],tab_alimentos[[#This Row],[Item]],supercb[Bairro],mercado8)</f>
        <v>0</v>
      </c>
      <c r="T281" s="27" t="n">
        <f aca="false">SUMIFS(super1[Qtde],super1[Item],tab_alimentos[[#This Row],[Item]],super1[Bairro],mercado9)+SUMIFS(supercb[Qtde],supercb[Item],tab_alimentos[[#This Row],[Item]],supercb[Bairro],mercado9)</f>
        <v>0</v>
      </c>
      <c r="U281" s="27" t="n">
        <f aca="false">SUMIFS(super1[Qtde],super1[Item],tab_alimentos[[#This Row],[Item]],super1[Bairro],mercado10)+SUMIFS(supercb[Qtde],supercb[Item],tab_alimentos[[#This Row],[Item]],supercb[Bairro],mercado10)</f>
        <v>0</v>
      </c>
      <c r="V281" s="27" t="n">
        <f aca="false">SUMIFS(super1[Qtde],super1[Item],tab_alimentos[[#This Row],[Item]],super1[Bairro],mercado11)+SUMIFS(supercb[Qtde],supercb[Item],tab_alimentos[[#This Row],[Item]],supercb[Bairro],mercado11)</f>
        <v>0</v>
      </c>
      <c r="W281" s="27" t="n">
        <f aca="false">SUMIFS(super1[Qtde],super1[Item],tab_alimentos[[#This Row],[Item]],super1[Bairro],mercado12)+SUMIFS(supercb[Qtde],supercb[Item],tab_alimentos[[#This Row],[Item]],supercb[Bairro],mercado12)</f>
        <v>0</v>
      </c>
      <c r="X281" s="27" t="n">
        <f aca="false">SUMIFS(super1[Qtde],super1[Item],tab_alimentos[[#This Row],[Item]],super1[Bairro],mercado13)+SUMIFS(supercb[Qtde],supercb[Item],tab_alimentos[[#This Row],[Item]],supercb[Bairro],mercado13)</f>
        <v>0</v>
      </c>
      <c r="Y281" s="27" t="n">
        <f aca="false">SUMIFS(super1[Qtde],super1[Item],tab_alimentos[[#This Row],[Item]],super1[Bairro],mercado14)+SUMIFS(supercb[Qtde],supercb[Item],tab_alimentos[[#This Row],[Item]],supercb[Bairro],mercado14)</f>
        <v>0</v>
      </c>
      <c r="Z281" s="27" t="n">
        <f aca="false">SUMIFS(super1[Qtde],super1[Item],tab_alimentos[[#This Row],[Item]],super1[Bairro],mercado15)+SUMIFS(supercb[Qtde],supercb[Item],tab_alimentos[[#This Row],[Item]],supercb[Bairro],mercado15)</f>
        <v>0</v>
      </c>
      <c r="AA281" s="27" t="n">
        <f aca="false">SUMIFS(super1[Qtde],super1[Item],tab_alimentos[[#This Row],[Item]],super1[Bairro],mercado16)+SUMIFS(supercb[Qtde],supercb[Item],tab_alimentos[[#This Row],[Item]],supercb[Bairro],mercado16)</f>
        <v>0</v>
      </c>
      <c r="AB281" s="27" t="n">
        <f aca="false">SUMIFS(super1[Qtde],super1[Item],tab_alimentos[[#This Row],[Item]],super1[Bairro],mercado17)+SUMIFS(supercb[Qtde],supercb[Item],tab_alimentos[[#This Row],[Item]],supercb[Bairro],mercado17)</f>
        <v>0</v>
      </c>
      <c r="AC281" s="27" t="n">
        <f aca="false">SUMIFS(super1[Qtde],super1[Item],tab_alimentos[[#This Row],[Item]],super1[Bairro],mercado18)+SUMIFS(supercb[Qtde],supercb[Item],tab_alimentos[[#This Row],[Item]],supercb[Bairro],mercado18)</f>
        <v>0</v>
      </c>
      <c r="AD281" s="27" t="n">
        <f aca="false">SUMIFS(super1[Qtde],super1[Item],tab_alimentos[[#This Row],[Item]],super1[Bairro],extras)+SUMIFS(supercb[Qtde],supercb[Item],tab_alimentos[[#This Row],[Item]],supercb[Bairro],extras)</f>
        <v>0</v>
      </c>
      <c r="AE281" s="27" t="n">
        <f aca="false">SUM(L281:AC281)</f>
        <v>0</v>
      </c>
      <c r="AF281" s="27" t="n">
        <f aca="false">IFERROR(AE281*K281,0)</f>
        <v>0</v>
      </c>
      <c r="AG281" s="28" t="n">
        <f aca="false">IFERROR(J281*AE281,0)</f>
        <v>0</v>
      </c>
      <c r="AH281" s="37" t="e">
        <f aca="false">higiene[[#This Row],[Item]]</f>
        <v>#VALUE!</v>
      </c>
      <c r="AI281" s="38" t="n">
        <f aca="false">IFERROR(higiene[[#This Row],[Kg equivalente]],0)</f>
        <v>0</v>
      </c>
      <c r="AJ281" s="38" t="n">
        <f aca="false">IFERROR(higiene[[#This Row],[Preço por produto]],0)</f>
        <v>0</v>
      </c>
      <c r="AK281" s="27" t="n">
        <f aca="false">SUMIFS(super1[Qtde],super1[Item],tab_higiene[[#This Row],[Item]],super1[Bairro],mercado1)+SUMIFS(supercb[Qtde],supercb[Item],tab_higiene[[#This Row],[Item]],supercb[Bairro],mercado1)</f>
        <v>0</v>
      </c>
      <c r="AL281" s="27" t="n">
        <f aca="false">SUMIFS(super1[Qtde],super1[Item],tab_higiene[[#This Row],[Item]],super1[Bairro],mercado2)+SUMIFS(supercb[Qtde],supercb[Item],tab_higiene[[#This Row],[Item]],supercb[Bairro],mercado2)</f>
        <v>0</v>
      </c>
      <c r="AM281" s="27" t="n">
        <f aca="false">SUMIFS(super1[Qtde],super1[Item],tab_higiene[[#This Row],[Item]],super1[Bairro],mercado3)+SUMIFS(supercb[Qtde],supercb[Item],tab_higiene[[#This Row],[Item]],supercb[Bairro],mercado3)</f>
        <v>0</v>
      </c>
      <c r="AN281" s="27" t="n">
        <f aca="false">SUMIFS(super1[Qtde],super1[Item],tab_higiene[[#This Row],[Item]],super1[Bairro],mercado4)+SUMIFS(supercb[Qtde],supercb[Item],tab_higiene[[#This Row],[Item]],supercb[Bairro],mercado4)</f>
        <v>0</v>
      </c>
      <c r="AO281" s="27" t="n">
        <f aca="false">SUMIFS(super1[Qtde],super1[Item],tab_higiene[[#This Row],[Item]],super1[Bairro],mercado5)+SUMIFS(supercb[Qtde],supercb[Item],tab_higiene[[#This Row],[Item]],supercb[Bairro],mercado5)</f>
        <v>0</v>
      </c>
      <c r="AP281" s="27" t="n">
        <f aca="false">SUMIFS(super1[Qtde],super1[Item],tab_higiene[[#This Row],[Item]],super1[Bairro],mercado6)+SUMIFS(supercb[Qtde],supercb[Item],tab_higiene[[#This Row],[Item]],supercb[Bairro],mercado6)</f>
        <v>0</v>
      </c>
      <c r="AQ281" s="27" t="n">
        <f aca="false">SUMIFS(super1[Qtde],super1[Item],tab_higiene[[#This Row],[Item]],super1[Bairro],mercado7)+SUMIFS(supercb[Qtde],supercb[Item],tab_higiene[[#This Row],[Item]],supercb[Bairro],mercado7)</f>
        <v>0</v>
      </c>
      <c r="AR281" s="27" t="n">
        <f aca="false">SUMIFS(super1[Qtde],super1[Item],tab_higiene[[#This Row],[Item]],super1[Bairro],mercado8)+SUMIFS(supercb[Qtde],supercb[Item],tab_higiene[[#This Row],[Item]],supercb[Bairro],mercado8)</f>
        <v>0</v>
      </c>
      <c r="AS281" s="27" t="n">
        <f aca="false">SUMIFS(super1[Qtde],super1[Item],tab_higiene[[#This Row],[Item]],super1[Bairro],mercado9)+SUMIFS(supercb[Qtde],supercb[Item],tab_higiene[[#This Row],[Item]],supercb[Bairro],mercado9)</f>
        <v>0</v>
      </c>
      <c r="AT281" s="27" t="n">
        <f aca="false">SUMIFS(super1[Qtde],super1[Item],tab_higiene[[#This Row],[Item]],super1[Bairro],mercado10)+SUMIFS(supercb[Qtde],supercb[Item],tab_higiene[[#This Row],[Item]],supercb[Bairro],mercado10)</f>
        <v>0</v>
      </c>
      <c r="AU281" s="27" t="n">
        <f aca="false">SUMIFS(super1[Qtde],super1[Item],tab_higiene[[#This Row],[Item]],super1[Bairro],mercado11)+SUMIFS(supercb[Qtde],supercb[Item],tab_higiene[[#This Row],[Item]],supercb[Bairro],mercado11)</f>
        <v>0</v>
      </c>
      <c r="AV281" s="27" t="n">
        <f aca="false">SUMIFS(super1[Qtde],super1[Item],tab_higiene[[#This Row],[Item]],super1[Bairro],mercado12)+SUMIFS(supercb[Qtde],supercb[Item],tab_higiene[[#This Row],[Item]],supercb[Bairro],mercado12)</f>
        <v>0</v>
      </c>
      <c r="AW281" s="27" t="n">
        <f aca="false">SUMIFS(super1[Qtde],super1[Item],tab_higiene[[#This Row],[Item]],super1[Bairro],mercado13)+SUMIFS(supercb[Qtde],supercb[Item],tab_higiene[[#This Row],[Item]],supercb[Bairro],mercado13)</f>
        <v>0</v>
      </c>
      <c r="AX281" s="27" t="n">
        <f aca="false">SUMIFS(super1[Qtde],super1[Item],tab_higiene[[#This Row],[Item]],super1[Bairro],mercado14)+SUMIFS(supercb[Qtde],supercb[Item],tab_higiene[[#This Row],[Item]],supercb[Bairro],mercado14)</f>
        <v>0</v>
      </c>
      <c r="AY281" s="27" t="n">
        <f aca="false">SUMIFS(super1[Qtde],super1[Item],tab_higiene[[#This Row],[Item]],super1[Bairro],mercado15)+SUMIFS(supercb[Qtde],supercb[Item],tab_higiene[[#This Row],[Item]],supercb[Bairro],mercado15)</f>
        <v>0</v>
      </c>
      <c r="AZ281" s="27" t="n">
        <f aca="false">SUMIFS(super1[Qtde],super1[Item],tab_higiene[[#This Row],[Item]],super1[Bairro],mercado16)+SUMIFS(supercb[Qtde],supercb[Item],tab_higiene[[#This Row],[Item]],supercb[Bairro],mercado16)</f>
        <v>0</v>
      </c>
      <c r="BA281" s="27" t="n">
        <f aca="false">SUMIFS(super1[Qtde],super1[Item],tab_higiene[[#This Row],[Item]],super1[Bairro],mercado17)+SUMIFS(supercb[Qtde],supercb[Item],tab_higiene[[#This Row],[Item]],supercb[Bairro],mercado17)</f>
        <v>0</v>
      </c>
      <c r="BB281" s="27" t="n">
        <f aca="false">SUMIFS(super1[Qtde],super1[Item],tab_higiene[[#This Row],[Item]],super1[Bairro],mercado18)+SUMIFS(supercb[Qtde],supercb[Item],tab_higiene[[#This Row],[Item]],supercb[Bairro],mercado18)</f>
        <v>0</v>
      </c>
      <c r="BC281" s="39" t="n">
        <f aca="false">SUMIFS(super1[Qtde],super1[Item],tab_higiene[[#This Row],[Item]],super1[Bairro],extras)+SUMIFS(supercb[Qtde],supercb[Item],tab_higiene[[#This Row],[Item]],supercb[Bairro],extras)</f>
        <v>0</v>
      </c>
      <c r="BD281" s="38" t="n">
        <f aca="false">SUM(AK281:BB281)</f>
        <v>0</v>
      </c>
      <c r="BE281" s="38" t="n">
        <f aca="false">IFERROR(BD281*AJ281,0)</f>
        <v>0</v>
      </c>
      <c r="BF281" s="40" t="n">
        <f aca="false">IFERROR(AI281*BD281,0)</f>
        <v>0</v>
      </c>
    </row>
    <row r="282" customFormat="false" ht="15.75" hidden="false" customHeight="false" outlineLevel="0" collapsed="false">
      <c r="I282" s="26" t="e">
        <f aca="false">alimentos[[#This Row],[Item]]</f>
        <v>#VALUE!</v>
      </c>
      <c r="J282" s="27" t="n">
        <f aca="false">IFERROR(alimentos[[#This Row],[kg/embalagem]],0)</f>
        <v>0</v>
      </c>
      <c r="K282" s="27" t="n">
        <f aca="false">IFERROR(alimentos[[#This Row],[Preço]],0)</f>
        <v>0</v>
      </c>
      <c r="L282" s="27" t="n">
        <f aca="false">SUMIFS(super1[Qtde],super1[Item],tab_alimentos[[#This Row],[Item]],super1[Bairro],mercado1)+SUMIFS(supercb[Qtde],supercb[Item],tab_alimentos[[#This Row],[Item]],supercb[Bairro],mercado1)</f>
        <v>0</v>
      </c>
      <c r="M282" s="27" t="n">
        <f aca="false">SUMIFS(super1[Qtde],super1[Item],tab_alimentos[[#This Row],[Item]],super1[Bairro],mercado2)+SUMIFS(supercb[Qtde],supercb[Item],tab_alimentos[[#This Row],[Item]],supercb[Bairro],mercado2)</f>
        <v>0</v>
      </c>
      <c r="N282" s="27" t="n">
        <f aca="false">SUMIFS(super1[Qtde],super1[Item],tab_alimentos[[#This Row],[Item]],super1[Bairro],mercado3)+SUMIFS(supercb[Qtde],supercb[Item],tab_alimentos[[#This Row],[Item]],supercb[Bairro],mercado3)</f>
        <v>0</v>
      </c>
      <c r="O282" s="27" t="n">
        <f aca="false">SUMIFS(super1[Qtde],super1[Item],tab_alimentos[[#This Row],[Item]],super1[Bairro],mercado4)+SUMIFS(supercb[Qtde],supercb[Item],tab_alimentos[[#This Row],[Item]],supercb[Bairro],mercado4)</f>
        <v>0</v>
      </c>
      <c r="P282" s="27" t="n">
        <f aca="false">SUMIFS(super1[Qtde],super1[Item],tab_alimentos[[#This Row],[Item]],super1[Bairro],mercado5)+SUMIFS(supercb[Qtde],supercb[Item],tab_alimentos[[#This Row],[Item]],supercb[Bairro],mercado5)</f>
        <v>0</v>
      </c>
      <c r="Q282" s="27" t="n">
        <f aca="false">SUMIFS(super1[Qtde],super1[Item],tab_alimentos[[#This Row],[Item]],super1[Bairro],mercado6)+SUMIFS(supercb[Qtde],supercb[Item],tab_alimentos[[#This Row],[Item]],supercb[Bairro],mercado6)</f>
        <v>0</v>
      </c>
      <c r="R282" s="27" t="n">
        <f aca="false">SUMIFS(super1[Qtde],super1[Item],tab_alimentos[[#This Row],[Item]],super1[Bairro],mercado7)+SUMIFS(supercb[Qtde],supercb[Item],tab_alimentos[[#This Row],[Item]],supercb[Bairro],mercado7)</f>
        <v>0</v>
      </c>
      <c r="S282" s="27" t="n">
        <f aca="false">SUMIFS(super1[Qtde],super1[Item],tab_alimentos[[#This Row],[Item]],super1[Bairro],mercado8)+SUMIFS(supercb[Qtde],supercb[Item],tab_alimentos[[#This Row],[Item]],supercb[Bairro],mercado8)</f>
        <v>0</v>
      </c>
      <c r="T282" s="27" t="n">
        <f aca="false">SUMIFS(super1[Qtde],super1[Item],tab_alimentos[[#This Row],[Item]],super1[Bairro],mercado9)+SUMIFS(supercb[Qtde],supercb[Item],tab_alimentos[[#This Row],[Item]],supercb[Bairro],mercado9)</f>
        <v>0</v>
      </c>
      <c r="U282" s="27" t="n">
        <f aca="false">SUMIFS(super1[Qtde],super1[Item],tab_alimentos[[#This Row],[Item]],super1[Bairro],mercado10)+SUMIFS(supercb[Qtde],supercb[Item],tab_alimentos[[#This Row],[Item]],supercb[Bairro],mercado10)</f>
        <v>0</v>
      </c>
      <c r="V282" s="27" t="n">
        <f aca="false">SUMIFS(super1[Qtde],super1[Item],tab_alimentos[[#This Row],[Item]],super1[Bairro],mercado11)+SUMIFS(supercb[Qtde],supercb[Item],tab_alimentos[[#This Row],[Item]],supercb[Bairro],mercado11)</f>
        <v>0</v>
      </c>
      <c r="W282" s="27" t="n">
        <f aca="false">SUMIFS(super1[Qtde],super1[Item],tab_alimentos[[#This Row],[Item]],super1[Bairro],mercado12)+SUMIFS(supercb[Qtde],supercb[Item],tab_alimentos[[#This Row],[Item]],supercb[Bairro],mercado12)</f>
        <v>0</v>
      </c>
      <c r="X282" s="27" t="n">
        <f aca="false">SUMIFS(super1[Qtde],super1[Item],tab_alimentos[[#This Row],[Item]],super1[Bairro],mercado13)+SUMIFS(supercb[Qtde],supercb[Item],tab_alimentos[[#This Row],[Item]],supercb[Bairro],mercado13)</f>
        <v>0</v>
      </c>
      <c r="Y282" s="27" t="n">
        <f aca="false">SUMIFS(super1[Qtde],super1[Item],tab_alimentos[[#This Row],[Item]],super1[Bairro],mercado14)+SUMIFS(supercb[Qtde],supercb[Item],tab_alimentos[[#This Row],[Item]],supercb[Bairro],mercado14)</f>
        <v>0</v>
      </c>
      <c r="Z282" s="27" t="n">
        <f aca="false">SUMIFS(super1[Qtde],super1[Item],tab_alimentos[[#This Row],[Item]],super1[Bairro],mercado15)+SUMIFS(supercb[Qtde],supercb[Item],tab_alimentos[[#This Row],[Item]],supercb[Bairro],mercado15)</f>
        <v>0</v>
      </c>
      <c r="AA282" s="27" t="n">
        <f aca="false">SUMIFS(super1[Qtde],super1[Item],tab_alimentos[[#This Row],[Item]],super1[Bairro],mercado16)+SUMIFS(supercb[Qtde],supercb[Item],tab_alimentos[[#This Row],[Item]],supercb[Bairro],mercado16)</f>
        <v>0</v>
      </c>
      <c r="AB282" s="27" t="n">
        <f aca="false">SUMIFS(super1[Qtde],super1[Item],tab_alimentos[[#This Row],[Item]],super1[Bairro],mercado17)+SUMIFS(supercb[Qtde],supercb[Item],tab_alimentos[[#This Row],[Item]],supercb[Bairro],mercado17)</f>
        <v>0</v>
      </c>
      <c r="AC282" s="27" t="n">
        <f aca="false">SUMIFS(super1[Qtde],super1[Item],tab_alimentos[[#This Row],[Item]],super1[Bairro],mercado18)+SUMIFS(supercb[Qtde],supercb[Item],tab_alimentos[[#This Row],[Item]],supercb[Bairro],mercado18)</f>
        <v>0</v>
      </c>
      <c r="AD282" s="27" t="n">
        <f aca="false">SUMIFS(super1[Qtde],super1[Item],tab_alimentos[[#This Row],[Item]],super1[Bairro],extras)+SUMIFS(supercb[Qtde],supercb[Item],tab_alimentos[[#This Row],[Item]],supercb[Bairro],extras)</f>
        <v>0</v>
      </c>
      <c r="AE282" s="27" t="n">
        <f aca="false">SUM(L282:AC282)</f>
        <v>0</v>
      </c>
      <c r="AF282" s="27" t="n">
        <f aca="false">IFERROR(AE282*K282,0)</f>
        <v>0</v>
      </c>
      <c r="AG282" s="28" t="n">
        <f aca="false">IFERROR(J282*AE282,0)</f>
        <v>0</v>
      </c>
      <c r="AH282" s="37" t="e">
        <f aca="false">higiene[[#This Row],[Item]]</f>
        <v>#VALUE!</v>
      </c>
      <c r="AI282" s="38" t="n">
        <f aca="false">IFERROR(higiene[[#This Row],[Kg equivalente]],0)</f>
        <v>0</v>
      </c>
      <c r="AJ282" s="38" t="n">
        <f aca="false">IFERROR(higiene[[#This Row],[Preço por produto]],0)</f>
        <v>0</v>
      </c>
      <c r="AK282" s="27" t="n">
        <f aca="false">SUMIFS(super1[Qtde],super1[Item],tab_higiene[[#This Row],[Item]],super1[Bairro],mercado1)+SUMIFS(supercb[Qtde],supercb[Item],tab_higiene[[#This Row],[Item]],supercb[Bairro],mercado1)</f>
        <v>0</v>
      </c>
      <c r="AL282" s="27" t="n">
        <f aca="false">SUMIFS(super1[Qtde],super1[Item],tab_higiene[[#This Row],[Item]],super1[Bairro],mercado2)+SUMIFS(supercb[Qtde],supercb[Item],tab_higiene[[#This Row],[Item]],supercb[Bairro],mercado2)</f>
        <v>0</v>
      </c>
      <c r="AM282" s="27" t="n">
        <f aca="false">SUMIFS(super1[Qtde],super1[Item],tab_higiene[[#This Row],[Item]],super1[Bairro],mercado3)+SUMIFS(supercb[Qtde],supercb[Item],tab_higiene[[#This Row],[Item]],supercb[Bairro],mercado3)</f>
        <v>0</v>
      </c>
      <c r="AN282" s="27" t="n">
        <f aca="false">SUMIFS(super1[Qtde],super1[Item],tab_higiene[[#This Row],[Item]],super1[Bairro],mercado4)+SUMIFS(supercb[Qtde],supercb[Item],tab_higiene[[#This Row],[Item]],supercb[Bairro],mercado4)</f>
        <v>0</v>
      </c>
      <c r="AO282" s="27" t="n">
        <f aca="false">SUMIFS(super1[Qtde],super1[Item],tab_higiene[[#This Row],[Item]],super1[Bairro],mercado5)+SUMIFS(supercb[Qtde],supercb[Item],tab_higiene[[#This Row],[Item]],supercb[Bairro],mercado5)</f>
        <v>0</v>
      </c>
      <c r="AP282" s="27" t="n">
        <f aca="false">SUMIFS(super1[Qtde],super1[Item],tab_higiene[[#This Row],[Item]],super1[Bairro],mercado6)+SUMIFS(supercb[Qtde],supercb[Item],tab_higiene[[#This Row],[Item]],supercb[Bairro],mercado6)</f>
        <v>0</v>
      </c>
      <c r="AQ282" s="27" t="n">
        <f aca="false">SUMIFS(super1[Qtde],super1[Item],tab_higiene[[#This Row],[Item]],super1[Bairro],mercado7)+SUMIFS(supercb[Qtde],supercb[Item],tab_higiene[[#This Row],[Item]],supercb[Bairro],mercado7)</f>
        <v>0</v>
      </c>
      <c r="AR282" s="27" t="n">
        <f aca="false">SUMIFS(super1[Qtde],super1[Item],tab_higiene[[#This Row],[Item]],super1[Bairro],mercado8)+SUMIFS(supercb[Qtde],supercb[Item],tab_higiene[[#This Row],[Item]],supercb[Bairro],mercado8)</f>
        <v>0</v>
      </c>
      <c r="AS282" s="27" t="n">
        <f aca="false">SUMIFS(super1[Qtde],super1[Item],tab_higiene[[#This Row],[Item]],super1[Bairro],mercado9)+SUMIFS(supercb[Qtde],supercb[Item],tab_higiene[[#This Row],[Item]],supercb[Bairro],mercado9)</f>
        <v>0</v>
      </c>
      <c r="AT282" s="27" t="n">
        <f aca="false">SUMIFS(super1[Qtde],super1[Item],tab_higiene[[#This Row],[Item]],super1[Bairro],mercado10)+SUMIFS(supercb[Qtde],supercb[Item],tab_higiene[[#This Row],[Item]],supercb[Bairro],mercado10)</f>
        <v>0</v>
      </c>
      <c r="AU282" s="27" t="n">
        <f aca="false">SUMIFS(super1[Qtde],super1[Item],tab_higiene[[#This Row],[Item]],super1[Bairro],mercado11)+SUMIFS(supercb[Qtde],supercb[Item],tab_higiene[[#This Row],[Item]],supercb[Bairro],mercado11)</f>
        <v>0</v>
      </c>
      <c r="AV282" s="27" t="n">
        <f aca="false">SUMIFS(super1[Qtde],super1[Item],tab_higiene[[#This Row],[Item]],super1[Bairro],mercado12)+SUMIFS(supercb[Qtde],supercb[Item],tab_higiene[[#This Row],[Item]],supercb[Bairro],mercado12)</f>
        <v>0</v>
      </c>
      <c r="AW282" s="27" t="n">
        <f aca="false">SUMIFS(super1[Qtde],super1[Item],tab_higiene[[#This Row],[Item]],super1[Bairro],mercado13)+SUMIFS(supercb[Qtde],supercb[Item],tab_higiene[[#This Row],[Item]],supercb[Bairro],mercado13)</f>
        <v>0</v>
      </c>
      <c r="AX282" s="27" t="n">
        <f aca="false">SUMIFS(super1[Qtde],super1[Item],tab_higiene[[#This Row],[Item]],super1[Bairro],mercado14)+SUMIFS(supercb[Qtde],supercb[Item],tab_higiene[[#This Row],[Item]],supercb[Bairro],mercado14)</f>
        <v>0</v>
      </c>
      <c r="AY282" s="27" t="n">
        <f aca="false">SUMIFS(super1[Qtde],super1[Item],tab_higiene[[#This Row],[Item]],super1[Bairro],mercado15)+SUMIFS(supercb[Qtde],supercb[Item],tab_higiene[[#This Row],[Item]],supercb[Bairro],mercado15)</f>
        <v>0</v>
      </c>
      <c r="AZ282" s="27" t="n">
        <f aca="false">SUMIFS(super1[Qtde],super1[Item],tab_higiene[[#This Row],[Item]],super1[Bairro],mercado16)+SUMIFS(supercb[Qtde],supercb[Item],tab_higiene[[#This Row],[Item]],supercb[Bairro],mercado16)</f>
        <v>0</v>
      </c>
      <c r="BA282" s="27" t="n">
        <f aca="false">SUMIFS(super1[Qtde],super1[Item],tab_higiene[[#This Row],[Item]],super1[Bairro],mercado17)+SUMIFS(supercb[Qtde],supercb[Item],tab_higiene[[#This Row],[Item]],supercb[Bairro],mercado17)</f>
        <v>0</v>
      </c>
      <c r="BB282" s="27" t="n">
        <f aca="false">SUMIFS(super1[Qtde],super1[Item],tab_higiene[[#This Row],[Item]],super1[Bairro],mercado18)+SUMIFS(supercb[Qtde],supercb[Item],tab_higiene[[#This Row],[Item]],supercb[Bairro],mercado18)</f>
        <v>0</v>
      </c>
      <c r="BC282" s="39" t="n">
        <f aca="false">SUMIFS(super1[Qtde],super1[Item],tab_higiene[[#This Row],[Item]],super1[Bairro],extras)+SUMIFS(supercb[Qtde],supercb[Item],tab_higiene[[#This Row],[Item]],supercb[Bairro],extras)</f>
        <v>0</v>
      </c>
      <c r="BD282" s="38" t="n">
        <f aca="false">SUM(AK282:BB282)</f>
        <v>0</v>
      </c>
      <c r="BE282" s="38" t="n">
        <f aca="false">IFERROR(BD282*AJ282,0)</f>
        <v>0</v>
      </c>
      <c r="BF282" s="40" t="n">
        <f aca="false">IFERROR(AI282*BD282,0)</f>
        <v>0</v>
      </c>
    </row>
    <row r="283" customFormat="false" ht="15.75" hidden="false" customHeight="false" outlineLevel="0" collapsed="false">
      <c r="I283" s="26" t="e">
        <f aca="false">alimentos[[#This Row],[Item]]</f>
        <v>#VALUE!</v>
      </c>
      <c r="J283" s="27" t="n">
        <f aca="false">IFERROR(alimentos[[#This Row],[kg/embalagem]],0)</f>
        <v>0</v>
      </c>
      <c r="K283" s="27" t="n">
        <f aca="false">IFERROR(alimentos[[#This Row],[Preço]],0)</f>
        <v>0</v>
      </c>
      <c r="L283" s="27" t="n">
        <f aca="false">SUMIFS(super1[Qtde],super1[Item],tab_alimentos[[#This Row],[Item]],super1[Bairro],mercado1)+SUMIFS(supercb[Qtde],supercb[Item],tab_alimentos[[#This Row],[Item]],supercb[Bairro],mercado1)</f>
        <v>0</v>
      </c>
      <c r="M283" s="27" t="n">
        <f aca="false">SUMIFS(super1[Qtde],super1[Item],tab_alimentos[[#This Row],[Item]],super1[Bairro],mercado2)+SUMIFS(supercb[Qtde],supercb[Item],tab_alimentos[[#This Row],[Item]],supercb[Bairro],mercado2)</f>
        <v>0</v>
      </c>
      <c r="N283" s="27" t="n">
        <f aca="false">SUMIFS(super1[Qtde],super1[Item],tab_alimentos[[#This Row],[Item]],super1[Bairro],mercado3)+SUMIFS(supercb[Qtde],supercb[Item],tab_alimentos[[#This Row],[Item]],supercb[Bairro],mercado3)</f>
        <v>0</v>
      </c>
      <c r="O283" s="27" t="n">
        <f aca="false">SUMIFS(super1[Qtde],super1[Item],tab_alimentos[[#This Row],[Item]],super1[Bairro],mercado4)+SUMIFS(supercb[Qtde],supercb[Item],tab_alimentos[[#This Row],[Item]],supercb[Bairro],mercado4)</f>
        <v>0</v>
      </c>
      <c r="P283" s="27" t="n">
        <f aca="false">SUMIFS(super1[Qtde],super1[Item],tab_alimentos[[#This Row],[Item]],super1[Bairro],mercado5)+SUMIFS(supercb[Qtde],supercb[Item],tab_alimentos[[#This Row],[Item]],supercb[Bairro],mercado5)</f>
        <v>0</v>
      </c>
      <c r="Q283" s="27" t="n">
        <f aca="false">SUMIFS(super1[Qtde],super1[Item],tab_alimentos[[#This Row],[Item]],super1[Bairro],mercado6)+SUMIFS(supercb[Qtde],supercb[Item],tab_alimentos[[#This Row],[Item]],supercb[Bairro],mercado6)</f>
        <v>0</v>
      </c>
      <c r="R283" s="27" t="n">
        <f aca="false">SUMIFS(super1[Qtde],super1[Item],tab_alimentos[[#This Row],[Item]],super1[Bairro],mercado7)+SUMIFS(supercb[Qtde],supercb[Item],tab_alimentos[[#This Row],[Item]],supercb[Bairro],mercado7)</f>
        <v>0</v>
      </c>
      <c r="S283" s="27" t="n">
        <f aca="false">SUMIFS(super1[Qtde],super1[Item],tab_alimentos[[#This Row],[Item]],super1[Bairro],mercado8)+SUMIFS(supercb[Qtde],supercb[Item],tab_alimentos[[#This Row],[Item]],supercb[Bairro],mercado8)</f>
        <v>0</v>
      </c>
      <c r="T283" s="27" t="n">
        <f aca="false">SUMIFS(super1[Qtde],super1[Item],tab_alimentos[[#This Row],[Item]],super1[Bairro],mercado9)+SUMIFS(supercb[Qtde],supercb[Item],tab_alimentos[[#This Row],[Item]],supercb[Bairro],mercado9)</f>
        <v>0</v>
      </c>
      <c r="U283" s="27" t="n">
        <f aca="false">SUMIFS(super1[Qtde],super1[Item],tab_alimentos[[#This Row],[Item]],super1[Bairro],mercado10)+SUMIFS(supercb[Qtde],supercb[Item],tab_alimentos[[#This Row],[Item]],supercb[Bairro],mercado10)</f>
        <v>0</v>
      </c>
      <c r="V283" s="27" t="n">
        <f aca="false">SUMIFS(super1[Qtde],super1[Item],tab_alimentos[[#This Row],[Item]],super1[Bairro],mercado11)+SUMIFS(supercb[Qtde],supercb[Item],tab_alimentos[[#This Row],[Item]],supercb[Bairro],mercado11)</f>
        <v>0</v>
      </c>
      <c r="W283" s="27" t="n">
        <f aca="false">SUMIFS(super1[Qtde],super1[Item],tab_alimentos[[#This Row],[Item]],super1[Bairro],mercado12)+SUMIFS(supercb[Qtde],supercb[Item],tab_alimentos[[#This Row],[Item]],supercb[Bairro],mercado12)</f>
        <v>0</v>
      </c>
      <c r="X283" s="27" t="n">
        <f aca="false">SUMIFS(super1[Qtde],super1[Item],tab_alimentos[[#This Row],[Item]],super1[Bairro],mercado13)+SUMIFS(supercb[Qtde],supercb[Item],tab_alimentos[[#This Row],[Item]],supercb[Bairro],mercado13)</f>
        <v>0</v>
      </c>
      <c r="Y283" s="27" t="n">
        <f aca="false">SUMIFS(super1[Qtde],super1[Item],tab_alimentos[[#This Row],[Item]],super1[Bairro],mercado14)+SUMIFS(supercb[Qtde],supercb[Item],tab_alimentos[[#This Row],[Item]],supercb[Bairro],mercado14)</f>
        <v>0</v>
      </c>
      <c r="Z283" s="27" t="n">
        <f aca="false">SUMIFS(super1[Qtde],super1[Item],tab_alimentos[[#This Row],[Item]],super1[Bairro],mercado15)+SUMIFS(supercb[Qtde],supercb[Item],tab_alimentos[[#This Row],[Item]],supercb[Bairro],mercado15)</f>
        <v>0</v>
      </c>
      <c r="AA283" s="27" t="n">
        <f aca="false">SUMIFS(super1[Qtde],super1[Item],tab_alimentos[[#This Row],[Item]],super1[Bairro],mercado16)+SUMIFS(supercb[Qtde],supercb[Item],tab_alimentos[[#This Row],[Item]],supercb[Bairro],mercado16)</f>
        <v>0</v>
      </c>
      <c r="AB283" s="27" t="n">
        <f aca="false">SUMIFS(super1[Qtde],super1[Item],tab_alimentos[[#This Row],[Item]],super1[Bairro],mercado17)+SUMIFS(supercb[Qtde],supercb[Item],tab_alimentos[[#This Row],[Item]],supercb[Bairro],mercado17)</f>
        <v>0</v>
      </c>
      <c r="AC283" s="27" t="n">
        <f aca="false">SUMIFS(super1[Qtde],super1[Item],tab_alimentos[[#This Row],[Item]],super1[Bairro],mercado18)+SUMIFS(supercb[Qtde],supercb[Item],tab_alimentos[[#This Row],[Item]],supercb[Bairro],mercado18)</f>
        <v>0</v>
      </c>
      <c r="AD283" s="27" t="n">
        <f aca="false">SUMIFS(super1[Qtde],super1[Item],tab_alimentos[[#This Row],[Item]],super1[Bairro],extras)+SUMIFS(supercb[Qtde],supercb[Item],tab_alimentos[[#This Row],[Item]],supercb[Bairro],extras)</f>
        <v>0</v>
      </c>
      <c r="AE283" s="27" t="n">
        <f aca="false">SUM(L283:AC283)</f>
        <v>0</v>
      </c>
      <c r="AF283" s="27" t="n">
        <f aca="false">IFERROR(AE283*K283,0)</f>
        <v>0</v>
      </c>
      <c r="AG283" s="28" t="n">
        <f aca="false">IFERROR(J283*AE283,0)</f>
        <v>0</v>
      </c>
      <c r="AH283" s="37" t="e">
        <f aca="false">higiene[[#This Row],[Item]]</f>
        <v>#VALUE!</v>
      </c>
      <c r="AI283" s="38" t="n">
        <f aca="false">IFERROR(higiene[[#This Row],[Kg equivalente]],0)</f>
        <v>0</v>
      </c>
      <c r="AJ283" s="38" t="n">
        <f aca="false">IFERROR(higiene[[#This Row],[Preço por produto]],0)</f>
        <v>0</v>
      </c>
      <c r="AK283" s="27" t="n">
        <f aca="false">SUMIFS(super1[Qtde],super1[Item],tab_higiene[[#This Row],[Item]],super1[Bairro],mercado1)+SUMIFS(supercb[Qtde],supercb[Item],tab_higiene[[#This Row],[Item]],supercb[Bairro],mercado1)</f>
        <v>0</v>
      </c>
      <c r="AL283" s="27" t="n">
        <f aca="false">SUMIFS(super1[Qtde],super1[Item],tab_higiene[[#This Row],[Item]],super1[Bairro],mercado2)+SUMIFS(supercb[Qtde],supercb[Item],tab_higiene[[#This Row],[Item]],supercb[Bairro],mercado2)</f>
        <v>0</v>
      </c>
      <c r="AM283" s="27" t="n">
        <f aca="false">SUMIFS(super1[Qtde],super1[Item],tab_higiene[[#This Row],[Item]],super1[Bairro],mercado3)+SUMIFS(supercb[Qtde],supercb[Item],tab_higiene[[#This Row],[Item]],supercb[Bairro],mercado3)</f>
        <v>0</v>
      </c>
      <c r="AN283" s="27" t="n">
        <f aca="false">SUMIFS(super1[Qtde],super1[Item],tab_higiene[[#This Row],[Item]],super1[Bairro],mercado4)+SUMIFS(supercb[Qtde],supercb[Item],tab_higiene[[#This Row],[Item]],supercb[Bairro],mercado4)</f>
        <v>0</v>
      </c>
      <c r="AO283" s="27" t="n">
        <f aca="false">SUMIFS(super1[Qtde],super1[Item],tab_higiene[[#This Row],[Item]],super1[Bairro],mercado5)+SUMIFS(supercb[Qtde],supercb[Item],tab_higiene[[#This Row],[Item]],supercb[Bairro],mercado5)</f>
        <v>0</v>
      </c>
      <c r="AP283" s="27" t="n">
        <f aca="false">SUMIFS(super1[Qtde],super1[Item],tab_higiene[[#This Row],[Item]],super1[Bairro],mercado6)+SUMIFS(supercb[Qtde],supercb[Item],tab_higiene[[#This Row],[Item]],supercb[Bairro],mercado6)</f>
        <v>0</v>
      </c>
      <c r="AQ283" s="27" t="n">
        <f aca="false">SUMIFS(super1[Qtde],super1[Item],tab_higiene[[#This Row],[Item]],super1[Bairro],mercado7)+SUMIFS(supercb[Qtde],supercb[Item],tab_higiene[[#This Row],[Item]],supercb[Bairro],mercado7)</f>
        <v>0</v>
      </c>
      <c r="AR283" s="27" t="n">
        <f aca="false">SUMIFS(super1[Qtde],super1[Item],tab_higiene[[#This Row],[Item]],super1[Bairro],mercado8)+SUMIFS(supercb[Qtde],supercb[Item],tab_higiene[[#This Row],[Item]],supercb[Bairro],mercado8)</f>
        <v>0</v>
      </c>
      <c r="AS283" s="27" t="n">
        <f aca="false">SUMIFS(super1[Qtde],super1[Item],tab_higiene[[#This Row],[Item]],super1[Bairro],mercado9)+SUMIFS(supercb[Qtde],supercb[Item],tab_higiene[[#This Row],[Item]],supercb[Bairro],mercado9)</f>
        <v>0</v>
      </c>
      <c r="AT283" s="27" t="n">
        <f aca="false">SUMIFS(super1[Qtde],super1[Item],tab_higiene[[#This Row],[Item]],super1[Bairro],mercado10)+SUMIFS(supercb[Qtde],supercb[Item],tab_higiene[[#This Row],[Item]],supercb[Bairro],mercado10)</f>
        <v>0</v>
      </c>
      <c r="AU283" s="27" t="n">
        <f aca="false">SUMIFS(super1[Qtde],super1[Item],tab_higiene[[#This Row],[Item]],super1[Bairro],mercado11)+SUMIFS(supercb[Qtde],supercb[Item],tab_higiene[[#This Row],[Item]],supercb[Bairro],mercado11)</f>
        <v>0</v>
      </c>
      <c r="AV283" s="27" t="n">
        <f aca="false">SUMIFS(super1[Qtde],super1[Item],tab_higiene[[#This Row],[Item]],super1[Bairro],mercado12)+SUMIFS(supercb[Qtde],supercb[Item],tab_higiene[[#This Row],[Item]],supercb[Bairro],mercado12)</f>
        <v>0</v>
      </c>
      <c r="AW283" s="27" t="n">
        <f aca="false">SUMIFS(super1[Qtde],super1[Item],tab_higiene[[#This Row],[Item]],super1[Bairro],mercado13)+SUMIFS(supercb[Qtde],supercb[Item],tab_higiene[[#This Row],[Item]],supercb[Bairro],mercado13)</f>
        <v>0</v>
      </c>
      <c r="AX283" s="27" t="n">
        <f aca="false">SUMIFS(super1[Qtde],super1[Item],tab_higiene[[#This Row],[Item]],super1[Bairro],mercado14)+SUMIFS(supercb[Qtde],supercb[Item],tab_higiene[[#This Row],[Item]],supercb[Bairro],mercado14)</f>
        <v>0</v>
      </c>
      <c r="AY283" s="27" t="n">
        <f aca="false">SUMIFS(super1[Qtde],super1[Item],tab_higiene[[#This Row],[Item]],super1[Bairro],mercado15)+SUMIFS(supercb[Qtde],supercb[Item],tab_higiene[[#This Row],[Item]],supercb[Bairro],mercado15)</f>
        <v>0</v>
      </c>
      <c r="AZ283" s="27" t="n">
        <f aca="false">SUMIFS(super1[Qtde],super1[Item],tab_higiene[[#This Row],[Item]],super1[Bairro],mercado16)+SUMIFS(supercb[Qtde],supercb[Item],tab_higiene[[#This Row],[Item]],supercb[Bairro],mercado16)</f>
        <v>0</v>
      </c>
      <c r="BA283" s="27" t="n">
        <f aca="false">SUMIFS(super1[Qtde],super1[Item],tab_higiene[[#This Row],[Item]],super1[Bairro],mercado17)+SUMIFS(supercb[Qtde],supercb[Item],tab_higiene[[#This Row],[Item]],supercb[Bairro],mercado17)</f>
        <v>0</v>
      </c>
      <c r="BB283" s="27" t="n">
        <f aca="false">SUMIFS(super1[Qtde],super1[Item],tab_higiene[[#This Row],[Item]],super1[Bairro],mercado18)+SUMIFS(supercb[Qtde],supercb[Item],tab_higiene[[#This Row],[Item]],supercb[Bairro],mercado18)</f>
        <v>0</v>
      </c>
      <c r="BC283" s="39" t="n">
        <f aca="false">SUMIFS(super1[Qtde],super1[Item],tab_higiene[[#This Row],[Item]],super1[Bairro],extras)+SUMIFS(supercb[Qtde],supercb[Item],tab_higiene[[#This Row],[Item]],supercb[Bairro],extras)</f>
        <v>0</v>
      </c>
      <c r="BD283" s="38" t="n">
        <f aca="false">SUM(AK283:BB283)</f>
        <v>0</v>
      </c>
      <c r="BE283" s="38" t="n">
        <f aca="false">IFERROR(BD283*AJ283,0)</f>
        <v>0</v>
      </c>
      <c r="BF283" s="40" t="n">
        <f aca="false">IFERROR(AI283*BD283,0)</f>
        <v>0</v>
      </c>
    </row>
    <row r="284" customFormat="false" ht="15.75" hidden="false" customHeight="false" outlineLevel="0" collapsed="false">
      <c r="I284" s="26" t="e">
        <f aca="false">alimentos[[#This Row],[Item]]</f>
        <v>#VALUE!</v>
      </c>
      <c r="J284" s="27" t="n">
        <f aca="false">IFERROR(alimentos[[#This Row],[kg/embalagem]],0)</f>
        <v>0</v>
      </c>
      <c r="K284" s="27" t="n">
        <f aca="false">IFERROR(alimentos[[#This Row],[Preço]],0)</f>
        <v>0</v>
      </c>
      <c r="L284" s="27" t="n">
        <f aca="false">SUMIFS(super1[Qtde],super1[Item],tab_alimentos[[#This Row],[Item]],super1[Bairro],mercado1)+SUMIFS(supercb[Qtde],supercb[Item],tab_alimentos[[#This Row],[Item]],supercb[Bairro],mercado1)</f>
        <v>0</v>
      </c>
      <c r="M284" s="27" t="n">
        <f aca="false">SUMIFS(super1[Qtde],super1[Item],tab_alimentos[[#This Row],[Item]],super1[Bairro],mercado2)+SUMIFS(supercb[Qtde],supercb[Item],tab_alimentos[[#This Row],[Item]],supercb[Bairro],mercado2)</f>
        <v>0</v>
      </c>
      <c r="N284" s="27" t="n">
        <f aca="false">SUMIFS(super1[Qtde],super1[Item],tab_alimentos[[#This Row],[Item]],super1[Bairro],mercado3)+SUMIFS(supercb[Qtde],supercb[Item],tab_alimentos[[#This Row],[Item]],supercb[Bairro],mercado3)</f>
        <v>0</v>
      </c>
      <c r="O284" s="27" t="n">
        <f aca="false">SUMIFS(super1[Qtde],super1[Item],tab_alimentos[[#This Row],[Item]],super1[Bairro],mercado4)+SUMIFS(supercb[Qtde],supercb[Item],tab_alimentos[[#This Row],[Item]],supercb[Bairro],mercado4)</f>
        <v>0</v>
      </c>
      <c r="P284" s="27" t="n">
        <f aca="false">SUMIFS(super1[Qtde],super1[Item],tab_alimentos[[#This Row],[Item]],super1[Bairro],mercado5)+SUMIFS(supercb[Qtde],supercb[Item],tab_alimentos[[#This Row],[Item]],supercb[Bairro],mercado5)</f>
        <v>0</v>
      </c>
      <c r="Q284" s="27" t="n">
        <f aca="false">SUMIFS(super1[Qtde],super1[Item],tab_alimentos[[#This Row],[Item]],super1[Bairro],mercado6)+SUMIFS(supercb[Qtde],supercb[Item],tab_alimentos[[#This Row],[Item]],supercb[Bairro],mercado6)</f>
        <v>0</v>
      </c>
      <c r="R284" s="27" t="n">
        <f aca="false">SUMIFS(super1[Qtde],super1[Item],tab_alimentos[[#This Row],[Item]],super1[Bairro],mercado7)+SUMIFS(supercb[Qtde],supercb[Item],tab_alimentos[[#This Row],[Item]],supercb[Bairro],mercado7)</f>
        <v>0</v>
      </c>
      <c r="S284" s="27" t="n">
        <f aca="false">SUMIFS(super1[Qtde],super1[Item],tab_alimentos[[#This Row],[Item]],super1[Bairro],mercado8)+SUMIFS(supercb[Qtde],supercb[Item],tab_alimentos[[#This Row],[Item]],supercb[Bairro],mercado8)</f>
        <v>0</v>
      </c>
      <c r="T284" s="27" t="n">
        <f aca="false">SUMIFS(super1[Qtde],super1[Item],tab_alimentos[[#This Row],[Item]],super1[Bairro],mercado9)+SUMIFS(supercb[Qtde],supercb[Item],tab_alimentos[[#This Row],[Item]],supercb[Bairro],mercado9)</f>
        <v>0</v>
      </c>
      <c r="U284" s="27" t="n">
        <f aca="false">SUMIFS(super1[Qtde],super1[Item],tab_alimentos[[#This Row],[Item]],super1[Bairro],mercado10)+SUMIFS(supercb[Qtde],supercb[Item],tab_alimentos[[#This Row],[Item]],supercb[Bairro],mercado10)</f>
        <v>0</v>
      </c>
      <c r="V284" s="27" t="n">
        <f aca="false">SUMIFS(super1[Qtde],super1[Item],tab_alimentos[[#This Row],[Item]],super1[Bairro],mercado11)+SUMIFS(supercb[Qtde],supercb[Item],tab_alimentos[[#This Row],[Item]],supercb[Bairro],mercado11)</f>
        <v>0</v>
      </c>
      <c r="W284" s="27" t="n">
        <f aca="false">SUMIFS(super1[Qtde],super1[Item],tab_alimentos[[#This Row],[Item]],super1[Bairro],mercado12)+SUMIFS(supercb[Qtde],supercb[Item],tab_alimentos[[#This Row],[Item]],supercb[Bairro],mercado12)</f>
        <v>0</v>
      </c>
      <c r="X284" s="27" t="n">
        <f aca="false">SUMIFS(super1[Qtde],super1[Item],tab_alimentos[[#This Row],[Item]],super1[Bairro],mercado13)+SUMIFS(supercb[Qtde],supercb[Item],tab_alimentos[[#This Row],[Item]],supercb[Bairro],mercado13)</f>
        <v>0</v>
      </c>
      <c r="Y284" s="27" t="n">
        <f aca="false">SUMIFS(super1[Qtde],super1[Item],tab_alimentos[[#This Row],[Item]],super1[Bairro],mercado14)+SUMIFS(supercb[Qtde],supercb[Item],tab_alimentos[[#This Row],[Item]],supercb[Bairro],mercado14)</f>
        <v>0</v>
      </c>
      <c r="Z284" s="27" t="n">
        <f aca="false">SUMIFS(super1[Qtde],super1[Item],tab_alimentos[[#This Row],[Item]],super1[Bairro],mercado15)+SUMIFS(supercb[Qtde],supercb[Item],tab_alimentos[[#This Row],[Item]],supercb[Bairro],mercado15)</f>
        <v>0</v>
      </c>
      <c r="AA284" s="27" t="n">
        <f aca="false">SUMIFS(super1[Qtde],super1[Item],tab_alimentos[[#This Row],[Item]],super1[Bairro],mercado16)+SUMIFS(supercb[Qtde],supercb[Item],tab_alimentos[[#This Row],[Item]],supercb[Bairro],mercado16)</f>
        <v>0</v>
      </c>
      <c r="AB284" s="27" t="n">
        <f aca="false">SUMIFS(super1[Qtde],super1[Item],tab_alimentos[[#This Row],[Item]],super1[Bairro],mercado17)+SUMIFS(supercb[Qtde],supercb[Item],tab_alimentos[[#This Row],[Item]],supercb[Bairro],mercado17)</f>
        <v>0</v>
      </c>
      <c r="AC284" s="27" t="n">
        <f aca="false">SUMIFS(super1[Qtde],super1[Item],tab_alimentos[[#This Row],[Item]],super1[Bairro],mercado18)+SUMIFS(supercb[Qtde],supercb[Item],tab_alimentos[[#This Row],[Item]],supercb[Bairro],mercado18)</f>
        <v>0</v>
      </c>
      <c r="AD284" s="27" t="n">
        <f aca="false">SUMIFS(super1[Qtde],super1[Item],tab_alimentos[[#This Row],[Item]],super1[Bairro],extras)+SUMIFS(supercb[Qtde],supercb[Item],tab_alimentos[[#This Row],[Item]],supercb[Bairro],extras)</f>
        <v>0</v>
      </c>
      <c r="AE284" s="27" t="n">
        <f aca="false">SUM(L284:AC284)</f>
        <v>0</v>
      </c>
      <c r="AF284" s="27" t="n">
        <f aca="false">IFERROR(AE284*K284,0)</f>
        <v>0</v>
      </c>
      <c r="AG284" s="28" t="n">
        <f aca="false">IFERROR(J284*AE284,0)</f>
        <v>0</v>
      </c>
      <c r="AH284" s="37" t="e">
        <f aca="false">higiene[[#This Row],[Item]]</f>
        <v>#VALUE!</v>
      </c>
      <c r="AI284" s="38" t="n">
        <f aca="false">IFERROR(higiene[[#This Row],[Kg equivalente]],0)</f>
        <v>0</v>
      </c>
      <c r="AJ284" s="38" t="n">
        <f aca="false">IFERROR(higiene[[#This Row],[Preço por produto]],0)</f>
        <v>0</v>
      </c>
      <c r="AK284" s="27" t="n">
        <f aca="false">SUMIFS(super1[Qtde],super1[Item],tab_higiene[[#This Row],[Item]],super1[Bairro],mercado1)+SUMIFS(supercb[Qtde],supercb[Item],tab_higiene[[#This Row],[Item]],supercb[Bairro],mercado1)</f>
        <v>0</v>
      </c>
      <c r="AL284" s="27" t="n">
        <f aca="false">SUMIFS(super1[Qtde],super1[Item],tab_higiene[[#This Row],[Item]],super1[Bairro],mercado2)+SUMIFS(supercb[Qtde],supercb[Item],tab_higiene[[#This Row],[Item]],supercb[Bairro],mercado2)</f>
        <v>0</v>
      </c>
      <c r="AM284" s="27" t="n">
        <f aca="false">SUMIFS(super1[Qtde],super1[Item],tab_higiene[[#This Row],[Item]],super1[Bairro],mercado3)+SUMIFS(supercb[Qtde],supercb[Item],tab_higiene[[#This Row],[Item]],supercb[Bairro],mercado3)</f>
        <v>0</v>
      </c>
      <c r="AN284" s="27" t="n">
        <f aca="false">SUMIFS(super1[Qtde],super1[Item],tab_higiene[[#This Row],[Item]],super1[Bairro],mercado4)+SUMIFS(supercb[Qtde],supercb[Item],tab_higiene[[#This Row],[Item]],supercb[Bairro],mercado4)</f>
        <v>0</v>
      </c>
      <c r="AO284" s="27" t="n">
        <f aca="false">SUMIFS(super1[Qtde],super1[Item],tab_higiene[[#This Row],[Item]],super1[Bairro],mercado5)+SUMIFS(supercb[Qtde],supercb[Item],tab_higiene[[#This Row],[Item]],supercb[Bairro],mercado5)</f>
        <v>0</v>
      </c>
      <c r="AP284" s="27" t="n">
        <f aca="false">SUMIFS(super1[Qtde],super1[Item],tab_higiene[[#This Row],[Item]],super1[Bairro],mercado6)+SUMIFS(supercb[Qtde],supercb[Item],tab_higiene[[#This Row],[Item]],supercb[Bairro],mercado6)</f>
        <v>0</v>
      </c>
      <c r="AQ284" s="27" t="n">
        <f aca="false">SUMIFS(super1[Qtde],super1[Item],tab_higiene[[#This Row],[Item]],super1[Bairro],mercado7)+SUMIFS(supercb[Qtde],supercb[Item],tab_higiene[[#This Row],[Item]],supercb[Bairro],mercado7)</f>
        <v>0</v>
      </c>
      <c r="AR284" s="27" t="n">
        <f aca="false">SUMIFS(super1[Qtde],super1[Item],tab_higiene[[#This Row],[Item]],super1[Bairro],mercado8)+SUMIFS(supercb[Qtde],supercb[Item],tab_higiene[[#This Row],[Item]],supercb[Bairro],mercado8)</f>
        <v>0</v>
      </c>
      <c r="AS284" s="27" t="n">
        <f aca="false">SUMIFS(super1[Qtde],super1[Item],tab_higiene[[#This Row],[Item]],super1[Bairro],mercado9)+SUMIFS(supercb[Qtde],supercb[Item],tab_higiene[[#This Row],[Item]],supercb[Bairro],mercado9)</f>
        <v>0</v>
      </c>
      <c r="AT284" s="27" t="n">
        <f aca="false">SUMIFS(super1[Qtde],super1[Item],tab_higiene[[#This Row],[Item]],super1[Bairro],mercado10)+SUMIFS(supercb[Qtde],supercb[Item],tab_higiene[[#This Row],[Item]],supercb[Bairro],mercado10)</f>
        <v>0</v>
      </c>
      <c r="AU284" s="27" t="n">
        <f aca="false">SUMIFS(super1[Qtde],super1[Item],tab_higiene[[#This Row],[Item]],super1[Bairro],mercado11)+SUMIFS(supercb[Qtde],supercb[Item],tab_higiene[[#This Row],[Item]],supercb[Bairro],mercado11)</f>
        <v>0</v>
      </c>
      <c r="AV284" s="27" t="n">
        <f aca="false">SUMIFS(super1[Qtde],super1[Item],tab_higiene[[#This Row],[Item]],super1[Bairro],mercado12)+SUMIFS(supercb[Qtde],supercb[Item],tab_higiene[[#This Row],[Item]],supercb[Bairro],mercado12)</f>
        <v>0</v>
      </c>
      <c r="AW284" s="27" t="n">
        <f aca="false">SUMIFS(super1[Qtde],super1[Item],tab_higiene[[#This Row],[Item]],super1[Bairro],mercado13)+SUMIFS(supercb[Qtde],supercb[Item],tab_higiene[[#This Row],[Item]],supercb[Bairro],mercado13)</f>
        <v>0</v>
      </c>
      <c r="AX284" s="27" t="n">
        <f aca="false">SUMIFS(super1[Qtde],super1[Item],tab_higiene[[#This Row],[Item]],super1[Bairro],mercado14)+SUMIFS(supercb[Qtde],supercb[Item],tab_higiene[[#This Row],[Item]],supercb[Bairro],mercado14)</f>
        <v>0</v>
      </c>
      <c r="AY284" s="27" t="n">
        <f aca="false">SUMIFS(super1[Qtde],super1[Item],tab_higiene[[#This Row],[Item]],super1[Bairro],mercado15)+SUMIFS(supercb[Qtde],supercb[Item],tab_higiene[[#This Row],[Item]],supercb[Bairro],mercado15)</f>
        <v>0</v>
      </c>
      <c r="AZ284" s="27" t="n">
        <f aca="false">SUMIFS(super1[Qtde],super1[Item],tab_higiene[[#This Row],[Item]],super1[Bairro],mercado16)+SUMIFS(supercb[Qtde],supercb[Item],tab_higiene[[#This Row],[Item]],supercb[Bairro],mercado16)</f>
        <v>0</v>
      </c>
      <c r="BA284" s="27" t="n">
        <f aca="false">SUMIFS(super1[Qtde],super1[Item],tab_higiene[[#This Row],[Item]],super1[Bairro],mercado17)+SUMIFS(supercb[Qtde],supercb[Item],tab_higiene[[#This Row],[Item]],supercb[Bairro],mercado17)</f>
        <v>0</v>
      </c>
      <c r="BB284" s="27" t="n">
        <f aca="false">SUMIFS(super1[Qtde],super1[Item],tab_higiene[[#This Row],[Item]],super1[Bairro],mercado18)+SUMIFS(supercb[Qtde],supercb[Item],tab_higiene[[#This Row],[Item]],supercb[Bairro],mercado18)</f>
        <v>0</v>
      </c>
      <c r="BC284" s="39" t="n">
        <f aca="false">SUMIFS(super1[Qtde],super1[Item],tab_higiene[[#This Row],[Item]],super1[Bairro],extras)+SUMIFS(supercb[Qtde],supercb[Item],tab_higiene[[#This Row],[Item]],supercb[Bairro],extras)</f>
        <v>0</v>
      </c>
      <c r="BD284" s="38" t="n">
        <f aca="false">SUM(AK284:BB284)</f>
        <v>0</v>
      </c>
      <c r="BE284" s="38" t="n">
        <f aca="false">IFERROR(BD284*AJ284,0)</f>
        <v>0</v>
      </c>
      <c r="BF284" s="40" t="n">
        <f aca="false">IFERROR(AI284*BD284,0)</f>
        <v>0</v>
      </c>
    </row>
    <row r="285" customFormat="false" ht="15.75" hidden="false" customHeight="false" outlineLevel="0" collapsed="false">
      <c r="I285" s="26" t="e">
        <f aca="false">alimentos[[#This Row],[Item]]</f>
        <v>#VALUE!</v>
      </c>
      <c r="J285" s="27" t="n">
        <f aca="false">IFERROR(alimentos[[#This Row],[kg/embalagem]],0)</f>
        <v>0</v>
      </c>
      <c r="K285" s="27" t="n">
        <f aca="false">IFERROR(alimentos[[#This Row],[Preço]],0)</f>
        <v>0</v>
      </c>
      <c r="L285" s="27" t="n">
        <f aca="false">SUMIFS(super1[Qtde],super1[Item],tab_alimentos[[#This Row],[Item]],super1[Bairro],mercado1)+SUMIFS(supercb[Qtde],supercb[Item],tab_alimentos[[#This Row],[Item]],supercb[Bairro],mercado1)</f>
        <v>0</v>
      </c>
      <c r="M285" s="27" t="n">
        <f aca="false">SUMIFS(super1[Qtde],super1[Item],tab_alimentos[[#This Row],[Item]],super1[Bairro],mercado2)+SUMIFS(supercb[Qtde],supercb[Item],tab_alimentos[[#This Row],[Item]],supercb[Bairro],mercado2)</f>
        <v>0</v>
      </c>
      <c r="N285" s="27" t="n">
        <f aca="false">SUMIFS(super1[Qtde],super1[Item],tab_alimentos[[#This Row],[Item]],super1[Bairro],mercado3)+SUMIFS(supercb[Qtde],supercb[Item],tab_alimentos[[#This Row],[Item]],supercb[Bairro],mercado3)</f>
        <v>0</v>
      </c>
      <c r="O285" s="27" t="n">
        <f aca="false">SUMIFS(super1[Qtde],super1[Item],tab_alimentos[[#This Row],[Item]],super1[Bairro],mercado4)+SUMIFS(supercb[Qtde],supercb[Item],tab_alimentos[[#This Row],[Item]],supercb[Bairro],mercado4)</f>
        <v>0</v>
      </c>
      <c r="P285" s="27" t="n">
        <f aca="false">SUMIFS(super1[Qtde],super1[Item],tab_alimentos[[#This Row],[Item]],super1[Bairro],mercado5)+SUMIFS(supercb[Qtde],supercb[Item],tab_alimentos[[#This Row],[Item]],supercb[Bairro],mercado5)</f>
        <v>0</v>
      </c>
      <c r="Q285" s="27" t="n">
        <f aca="false">SUMIFS(super1[Qtde],super1[Item],tab_alimentos[[#This Row],[Item]],super1[Bairro],mercado6)+SUMIFS(supercb[Qtde],supercb[Item],tab_alimentos[[#This Row],[Item]],supercb[Bairro],mercado6)</f>
        <v>0</v>
      </c>
      <c r="R285" s="27" t="n">
        <f aca="false">SUMIFS(super1[Qtde],super1[Item],tab_alimentos[[#This Row],[Item]],super1[Bairro],mercado7)+SUMIFS(supercb[Qtde],supercb[Item],tab_alimentos[[#This Row],[Item]],supercb[Bairro],mercado7)</f>
        <v>0</v>
      </c>
      <c r="S285" s="27" t="n">
        <f aca="false">SUMIFS(super1[Qtde],super1[Item],tab_alimentos[[#This Row],[Item]],super1[Bairro],mercado8)+SUMIFS(supercb[Qtde],supercb[Item],tab_alimentos[[#This Row],[Item]],supercb[Bairro],mercado8)</f>
        <v>0</v>
      </c>
      <c r="T285" s="27" t="n">
        <f aca="false">SUMIFS(super1[Qtde],super1[Item],tab_alimentos[[#This Row],[Item]],super1[Bairro],mercado9)+SUMIFS(supercb[Qtde],supercb[Item],tab_alimentos[[#This Row],[Item]],supercb[Bairro],mercado9)</f>
        <v>0</v>
      </c>
      <c r="U285" s="27" t="n">
        <f aca="false">SUMIFS(super1[Qtde],super1[Item],tab_alimentos[[#This Row],[Item]],super1[Bairro],mercado10)+SUMIFS(supercb[Qtde],supercb[Item],tab_alimentos[[#This Row],[Item]],supercb[Bairro],mercado10)</f>
        <v>0</v>
      </c>
      <c r="V285" s="27" t="n">
        <f aca="false">SUMIFS(super1[Qtde],super1[Item],tab_alimentos[[#This Row],[Item]],super1[Bairro],mercado11)+SUMIFS(supercb[Qtde],supercb[Item],tab_alimentos[[#This Row],[Item]],supercb[Bairro],mercado11)</f>
        <v>0</v>
      </c>
      <c r="W285" s="27" t="n">
        <f aca="false">SUMIFS(super1[Qtde],super1[Item],tab_alimentos[[#This Row],[Item]],super1[Bairro],mercado12)+SUMIFS(supercb[Qtde],supercb[Item],tab_alimentos[[#This Row],[Item]],supercb[Bairro],mercado12)</f>
        <v>0</v>
      </c>
      <c r="X285" s="27" t="n">
        <f aca="false">SUMIFS(super1[Qtde],super1[Item],tab_alimentos[[#This Row],[Item]],super1[Bairro],mercado13)+SUMIFS(supercb[Qtde],supercb[Item],tab_alimentos[[#This Row],[Item]],supercb[Bairro],mercado13)</f>
        <v>0</v>
      </c>
      <c r="Y285" s="27" t="n">
        <f aca="false">SUMIFS(super1[Qtde],super1[Item],tab_alimentos[[#This Row],[Item]],super1[Bairro],mercado14)+SUMIFS(supercb[Qtde],supercb[Item],tab_alimentos[[#This Row],[Item]],supercb[Bairro],mercado14)</f>
        <v>0</v>
      </c>
      <c r="Z285" s="27" t="n">
        <f aca="false">SUMIFS(super1[Qtde],super1[Item],tab_alimentos[[#This Row],[Item]],super1[Bairro],mercado15)+SUMIFS(supercb[Qtde],supercb[Item],tab_alimentos[[#This Row],[Item]],supercb[Bairro],mercado15)</f>
        <v>0</v>
      </c>
      <c r="AA285" s="27" t="n">
        <f aca="false">SUMIFS(super1[Qtde],super1[Item],tab_alimentos[[#This Row],[Item]],super1[Bairro],mercado16)+SUMIFS(supercb[Qtde],supercb[Item],tab_alimentos[[#This Row],[Item]],supercb[Bairro],mercado16)</f>
        <v>0</v>
      </c>
      <c r="AB285" s="27" t="n">
        <f aca="false">SUMIFS(super1[Qtde],super1[Item],tab_alimentos[[#This Row],[Item]],super1[Bairro],mercado17)+SUMIFS(supercb[Qtde],supercb[Item],tab_alimentos[[#This Row],[Item]],supercb[Bairro],mercado17)</f>
        <v>0</v>
      </c>
      <c r="AC285" s="27" t="n">
        <f aca="false">SUMIFS(super1[Qtde],super1[Item],tab_alimentos[[#This Row],[Item]],super1[Bairro],mercado18)+SUMIFS(supercb[Qtde],supercb[Item],tab_alimentos[[#This Row],[Item]],supercb[Bairro],mercado18)</f>
        <v>0</v>
      </c>
      <c r="AD285" s="27" t="n">
        <f aca="false">SUMIFS(super1[Qtde],super1[Item],tab_alimentos[[#This Row],[Item]],super1[Bairro],extras)+SUMIFS(supercb[Qtde],supercb[Item],tab_alimentos[[#This Row],[Item]],supercb[Bairro],extras)</f>
        <v>0</v>
      </c>
      <c r="AE285" s="27" t="n">
        <f aca="false">SUM(L285:AC285)</f>
        <v>0</v>
      </c>
      <c r="AF285" s="27" t="n">
        <f aca="false">IFERROR(AE285*K285,0)</f>
        <v>0</v>
      </c>
      <c r="AG285" s="28" t="n">
        <f aca="false">IFERROR(J285*AE285,0)</f>
        <v>0</v>
      </c>
      <c r="AH285" s="37" t="e">
        <f aca="false">higiene[[#This Row],[Item]]</f>
        <v>#VALUE!</v>
      </c>
      <c r="AI285" s="38" t="n">
        <f aca="false">IFERROR(higiene[[#This Row],[Kg equivalente]],0)</f>
        <v>0</v>
      </c>
      <c r="AJ285" s="38" t="n">
        <f aca="false">IFERROR(higiene[[#This Row],[Preço por produto]],0)</f>
        <v>0</v>
      </c>
      <c r="AK285" s="27" t="n">
        <f aca="false">SUMIFS(super1[Qtde],super1[Item],tab_higiene[[#This Row],[Item]],super1[Bairro],mercado1)+SUMIFS(supercb[Qtde],supercb[Item],tab_higiene[[#This Row],[Item]],supercb[Bairro],mercado1)</f>
        <v>0</v>
      </c>
      <c r="AL285" s="27" t="n">
        <f aca="false">SUMIFS(super1[Qtde],super1[Item],tab_higiene[[#This Row],[Item]],super1[Bairro],mercado2)+SUMIFS(supercb[Qtde],supercb[Item],tab_higiene[[#This Row],[Item]],supercb[Bairro],mercado2)</f>
        <v>0</v>
      </c>
      <c r="AM285" s="27" t="n">
        <f aca="false">SUMIFS(super1[Qtde],super1[Item],tab_higiene[[#This Row],[Item]],super1[Bairro],mercado3)+SUMIFS(supercb[Qtde],supercb[Item],tab_higiene[[#This Row],[Item]],supercb[Bairro],mercado3)</f>
        <v>0</v>
      </c>
      <c r="AN285" s="27" t="n">
        <f aca="false">SUMIFS(super1[Qtde],super1[Item],tab_higiene[[#This Row],[Item]],super1[Bairro],mercado4)+SUMIFS(supercb[Qtde],supercb[Item],tab_higiene[[#This Row],[Item]],supercb[Bairro],mercado4)</f>
        <v>0</v>
      </c>
      <c r="AO285" s="27" t="n">
        <f aca="false">SUMIFS(super1[Qtde],super1[Item],tab_higiene[[#This Row],[Item]],super1[Bairro],mercado5)+SUMIFS(supercb[Qtde],supercb[Item],tab_higiene[[#This Row],[Item]],supercb[Bairro],mercado5)</f>
        <v>0</v>
      </c>
      <c r="AP285" s="27" t="n">
        <f aca="false">SUMIFS(super1[Qtde],super1[Item],tab_higiene[[#This Row],[Item]],super1[Bairro],mercado6)+SUMIFS(supercb[Qtde],supercb[Item],tab_higiene[[#This Row],[Item]],supercb[Bairro],mercado6)</f>
        <v>0</v>
      </c>
      <c r="AQ285" s="27" t="n">
        <f aca="false">SUMIFS(super1[Qtde],super1[Item],tab_higiene[[#This Row],[Item]],super1[Bairro],mercado7)+SUMIFS(supercb[Qtde],supercb[Item],tab_higiene[[#This Row],[Item]],supercb[Bairro],mercado7)</f>
        <v>0</v>
      </c>
      <c r="AR285" s="27" t="n">
        <f aca="false">SUMIFS(super1[Qtde],super1[Item],tab_higiene[[#This Row],[Item]],super1[Bairro],mercado8)+SUMIFS(supercb[Qtde],supercb[Item],tab_higiene[[#This Row],[Item]],supercb[Bairro],mercado8)</f>
        <v>0</v>
      </c>
      <c r="AS285" s="27" t="n">
        <f aca="false">SUMIFS(super1[Qtde],super1[Item],tab_higiene[[#This Row],[Item]],super1[Bairro],mercado9)+SUMIFS(supercb[Qtde],supercb[Item],tab_higiene[[#This Row],[Item]],supercb[Bairro],mercado9)</f>
        <v>0</v>
      </c>
      <c r="AT285" s="27" t="n">
        <f aca="false">SUMIFS(super1[Qtde],super1[Item],tab_higiene[[#This Row],[Item]],super1[Bairro],mercado10)+SUMIFS(supercb[Qtde],supercb[Item],tab_higiene[[#This Row],[Item]],supercb[Bairro],mercado10)</f>
        <v>0</v>
      </c>
      <c r="AU285" s="27" t="n">
        <f aca="false">SUMIFS(super1[Qtde],super1[Item],tab_higiene[[#This Row],[Item]],super1[Bairro],mercado11)+SUMIFS(supercb[Qtde],supercb[Item],tab_higiene[[#This Row],[Item]],supercb[Bairro],mercado11)</f>
        <v>0</v>
      </c>
      <c r="AV285" s="27" t="n">
        <f aca="false">SUMIFS(super1[Qtde],super1[Item],tab_higiene[[#This Row],[Item]],super1[Bairro],mercado12)+SUMIFS(supercb[Qtde],supercb[Item],tab_higiene[[#This Row],[Item]],supercb[Bairro],mercado12)</f>
        <v>0</v>
      </c>
      <c r="AW285" s="27" t="n">
        <f aca="false">SUMIFS(super1[Qtde],super1[Item],tab_higiene[[#This Row],[Item]],super1[Bairro],mercado13)+SUMIFS(supercb[Qtde],supercb[Item],tab_higiene[[#This Row],[Item]],supercb[Bairro],mercado13)</f>
        <v>0</v>
      </c>
      <c r="AX285" s="27" t="n">
        <f aca="false">SUMIFS(super1[Qtde],super1[Item],tab_higiene[[#This Row],[Item]],super1[Bairro],mercado14)+SUMIFS(supercb[Qtde],supercb[Item],tab_higiene[[#This Row],[Item]],supercb[Bairro],mercado14)</f>
        <v>0</v>
      </c>
      <c r="AY285" s="27" t="n">
        <f aca="false">SUMIFS(super1[Qtde],super1[Item],tab_higiene[[#This Row],[Item]],super1[Bairro],mercado15)+SUMIFS(supercb[Qtde],supercb[Item],tab_higiene[[#This Row],[Item]],supercb[Bairro],mercado15)</f>
        <v>0</v>
      </c>
      <c r="AZ285" s="27" t="n">
        <f aca="false">SUMIFS(super1[Qtde],super1[Item],tab_higiene[[#This Row],[Item]],super1[Bairro],mercado16)+SUMIFS(supercb[Qtde],supercb[Item],tab_higiene[[#This Row],[Item]],supercb[Bairro],mercado16)</f>
        <v>0</v>
      </c>
      <c r="BA285" s="27" t="n">
        <f aca="false">SUMIFS(super1[Qtde],super1[Item],tab_higiene[[#This Row],[Item]],super1[Bairro],mercado17)+SUMIFS(supercb[Qtde],supercb[Item],tab_higiene[[#This Row],[Item]],supercb[Bairro],mercado17)</f>
        <v>0</v>
      </c>
      <c r="BB285" s="27" t="n">
        <f aca="false">SUMIFS(super1[Qtde],super1[Item],tab_higiene[[#This Row],[Item]],super1[Bairro],mercado18)+SUMIFS(supercb[Qtde],supercb[Item],tab_higiene[[#This Row],[Item]],supercb[Bairro],mercado18)</f>
        <v>0</v>
      </c>
      <c r="BC285" s="39" t="n">
        <f aca="false">SUMIFS(super1[Qtde],super1[Item],tab_higiene[[#This Row],[Item]],super1[Bairro],extras)+SUMIFS(supercb[Qtde],supercb[Item],tab_higiene[[#This Row],[Item]],supercb[Bairro],extras)</f>
        <v>0</v>
      </c>
      <c r="BD285" s="38" t="n">
        <f aca="false">SUM(AK285:BB285)</f>
        <v>0</v>
      </c>
      <c r="BE285" s="38" t="n">
        <f aca="false">IFERROR(BD285*AJ285,0)</f>
        <v>0</v>
      </c>
      <c r="BF285" s="40" t="n">
        <f aca="false">IFERROR(AI285*BD285,0)</f>
        <v>0</v>
      </c>
    </row>
    <row r="286" customFormat="false" ht="15.75" hidden="false" customHeight="false" outlineLevel="0" collapsed="false">
      <c r="I286" s="26" t="e">
        <f aca="false">alimentos[[#This Row],[Item]]</f>
        <v>#VALUE!</v>
      </c>
      <c r="J286" s="27" t="n">
        <f aca="false">IFERROR(alimentos[[#This Row],[kg/embalagem]],0)</f>
        <v>0</v>
      </c>
      <c r="K286" s="27" t="n">
        <f aca="false">IFERROR(alimentos[[#This Row],[Preço]],0)</f>
        <v>0</v>
      </c>
      <c r="L286" s="27" t="n">
        <f aca="false">SUMIFS(super1[Qtde],super1[Item],tab_alimentos[[#This Row],[Item]],super1[Bairro],mercado1)+SUMIFS(supercb[Qtde],supercb[Item],tab_alimentos[[#This Row],[Item]],supercb[Bairro],mercado1)</f>
        <v>0</v>
      </c>
      <c r="M286" s="27" t="n">
        <f aca="false">SUMIFS(super1[Qtde],super1[Item],tab_alimentos[[#This Row],[Item]],super1[Bairro],mercado2)+SUMIFS(supercb[Qtde],supercb[Item],tab_alimentos[[#This Row],[Item]],supercb[Bairro],mercado2)</f>
        <v>0</v>
      </c>
      <c r="N286" s="27" t="n">
        <f aca="false">SUMIFS(super1[Qtde],super1[Item],tab_alimentos[[#This Row],[Item]],super1[Bairro],mercado3)+SUMIFS(supercb[Qtde],supercb[Item],tab_alimentos[[#This Row],[Item]],supercb[Bairro],mercado3)</f>
        <v>0</v>
      </c>
      <c r="O286" s="27" t="n">
        <f aca="false">SUMIFS(super1[Qtde],super1[Item],tab_alimentos[[#This Row],[Item]],super1[Bairro],mercado4)+SUMIFS(supercb[Qtde],supercb[Item],tab_alimentos[[#This Row],[Item]],supercb[Bairro],mercado4)</f>
        <v>0</v>
      </c>
      <c r="P286" s="27" t="n">
        <f aca="false">SUMIFS(super1[Qtde],super1[Item],tab_alimentos[[#This Row],[Item]],super1[Bairro],mercado5)+SUMIFS(supercb[Qtde],supercb[Item],tab_alimentos[[#This Row],[Item]],supercb[Bairro],mercado5)</f>
        <v>0</v>
      </c>
      <c r="Q286" s="27" t="n">
        <f aca="false">SUMIFS(super1[Qtde],super1[Item],tab_alimentos[[#This Row],[Item]],super1[Bairro],mercado6)+SUMIFS(supercb[Qtde],supercb[Item],tab_alimentos[[#This Row],[Item]],supercb[Bairro],mercado6)</f>
        <v>0</v>
      </c>
      <c r="R286" s="27" t="n">
        <f aca="false">SUMIFS(super1[Qtde],super1[Item],tab_alimentos[[#This Row],[Item]],super1[Bairro],mercado7)+SUMIFS(supercb[Qtde],supercb[Item],tab_alimentos[[#This Row],[Item]],supercb[Bairro],mercado7)</f>
        <v>0</v>
      </c>
      <c r="S286" s="27" t="n">
        <f aca="false">SUMIFS(super1[Qtde],super1[Item],tab_alimentos[[#This Row],[Item]],super1[Bairro],mercado8)+SUMIFS(supercb[Qtde],supercb[Item],tab_alimentos[[#This Row],[Item]],supercb[Bairro],mercado8)</f>
        <v>0</v>
      </c>
      <c r="T286" s="27" t="n">
        <f aca="false">SUMIFS(super1[Qtde],super1[Item],tab_alimentos[[#This Row],[Item]],super1[Bairro],mercado9)+SUMIFS(supercb[Qtde],supercb[Item],tab_alimentos[[#This Row],[Item]],supercb[Bairro],mercado9)</f>
        <v>0</v>
      </c>
      <c r="U286" s="27" t="n">
        <f aca="false">SUMIFS(super1[Qtde],super1[Item],tab_alimentos[[#This Row],[Item]],super1[Bairro],mercado10)+SUMIFS(supercb[Qtde],supercb[Item],tab_alimentos[[#This Row],[Item]],supercb[Bairro],mercado10)</f>
        <v>0</v>
      </c>
      <c r="V286" s="27" t="n">
        <f aca="false">SUMIFS(super1[Qtde],super1[Item],tab_alimentos[[#This Row],[Item]],super1[Bairro],mercado11)+SUMIFS(supercb[Qtde],supercb[Item],tab_alimentos[[#This Row],[Item]],supercb[Bairro],mercado11)</f>
        <v>0</v>
      </c>
      <c r="W286" s="27" t="n">
        <f aca="false">SUMIFS(super1[Qtde],super1[Item],tab_alimentos[[#This Row],[Item]],super1[Bairro],mercado12)+SUMIFS(supercb[Qtde],supercb[Item],tab_alimentos[[#This Row],[Item]],supercb[Bairro],mercado12)</f>
        <v>0</v>
      </c>
      <c r="X286" s="27" t="n">
        <f aca="false">SUMIFS(super1[Qtde],super1[Item],tab_alimentos[[#This Row],[Item]],super1[Bairro],mercado13)+SUMIFS(supercb[Qtde],supercb[Item],tab_alimentos[[#This Row],[Item]],supercb[Bairro],mercado13)</f>
        <v>0</v>
      </c>
      <c r="Y286" s="27" t="n">
        <f aca="false">SUMIFS(super1[Qtde],super1[Item],tab_alimentos[[#This Row],[Item]],super1[Bairro],mercado14)+SUMIFS(supercb[Qtde],supercb[Item],tab_alimentos[[#This Row],[Item]],supercb[Bairro],mercado14)</f>
        <v>0</v>
      </c>
      <c r="Z286" s="27" t="n">
        <f aca="false">SUMIFS(super1[Qtde],super1[Item],tab_alimentos[[#This Row],[Item]],super1[Bairro],mercado15)+SUMIFS(supercb[Qtde],supercb[Item],tab_alimentos[[#This Row],[Item]],supercb[Bairro],mercado15)</f>
        <v>0</v>
      </c>
      <c r="AA286" s="27" t="n">
        <f aca="false">SUMIFS(super1[Qtde],super1[Item],tab_alimentos[[#This Row],[Item]],super1[Bairro],mercado16)+SUMIFS(supercb[Qtde],supercb[Item],tab_alimentos[[#This Row],[Item]],supercb[Bairro],mercado16)</f>
        <v>0</v>
      </c>
      <c r="AB286" s="27" t="n">
        <f aca="false">SUMIFS(super1[Qtde],super1[Item],tab_alimentos[[#This Row],[Item]],super1[Bairro],mercado17)+SUMIFS(supercb[Qtde],supercb[Item],tab_alimentos[[#This Row],[Item]],supercb[Bairro],mercado17)</f>
        <v>0</v>
      </c>
      <c r="AC286" s="27" t="n">
        <f aca="false">SUMIFS(super1[Qtde],super1[Item],tab_alimentos[[#This Row],[Item]],super1[Bairro],mercado18)+SUMIFS(supercb[Qtde],supercb[Item],tab_alimentos[[#This Row],[Item]],supercb[Bairro],mercado18)</f>
        <v>0</v>
      </c>
      <c r="AD286" s="27" t="n">
        <f aca="false">SUMIFS(super1[Qtde],super1[Item],tab_alimentos[[#This Row],[Item]],super1[Bairro],extras)+SUMIFS(supercb[Qtde],supercb[Item],tab_alimentos[[#This Row],[Item]],supercb[Bairro],extras)</f>
        <v>0</v>
      </c>
      <c r="AE286" s="27" t="n">
        <f aca="false">SUM(L286:AC286)</f>
        <v>0</v>
      </c>
      <c r="AF286" s="27" t="n">
        <f aca="false">IFERROR(AE286*K286,0)</f>
        <v>0</v>
      </c>
      <c r="AG286" s="28" t="n">
        <f aca="false">IFERROR(J286*AE286,0)</f>
        <v>0</v>
      </c>
      <c r="AH286" s="37" t="e">
        <f aca="false">higiene[[#This Row],[Item]]</f>
        <v>#VALUE!</v>
      </c>
      <c r="AI286" s="38" t="n">
        <f aca="false">IFERROR(higiene[[#This Row],[Kg equivalente]],0)</f>
        <v>0</v>
      </c>
      <c r="AJ286" s="38" t="n">
        <f aca="false">IFERROR(higiene[[#This Row],[Preço por produto]],0)</f>
        <v>0</v>
      </c>
      <c r="AK286" s="27" t="n">
        <f aca="false">SUMIFS(super1[Qtde],super1[Item],tab_higiene[[#This Row],[Item]],super1[Bairro],mercado1)+SUMIFS(supercb[Qtde],supercb[Item],tab_higiene[[#This Row],[Item]],supercb[Bairro],mercado1)</f>
        <v>0</v>
      </c>
      <c r="AL286" s="27" t="n">
        <f aca="false">SUMIFS(super1[Qtde],super1[Item],tab_higiene[[#This Row],[Item]],super1[Bairro],mercado2)+SUMIFS(supercb[Qtde],supercb[Item],tab_higiene[[#This Row],[Item]],supercb[Bairro],mercado2)</f>
        <v>0</v>
      </c>
      <c r="AM286" s="27" t="n">
        <f aca="false">SUMIFS(super1[Qtde],super1[Item],tab_higiene[[#This Row],[Item]],super1[Bairro],mercado3)+SUMIFS(supercb[Qtde],supercb[Item],tab_higiene[[#This Row],[Item]],supercb[Bairro],mercado3)</f>
        <v>0</v>
      </c>
      <c r="AN286" s="27" t="n">
        <f aca="false">SUMIFS(super1[Qtde],super1[Item],tab_higiene[[#This Row],[Item]],super1[Bairro],mercado4)+SUMIFS(supercb[Qtde],supercb[Item],tab_higiene[[#This Row],[Item]],supercb[Bairro],mercado4)</f>
        <v>0</v>
      </c>
      <c r="AO286" s="27" t="n">
        <f aca="false">SUMIFS(super1[Qtde],super1[Item],tab_higiene[[#This Row],[Item]],super1[Bairro],mercado5)+SUMIFS(supercb[Qtde],supercb[Item],tab_higiene[[#This Row],[Item]],supercb[Bairro],mercado5)</f>
        <v>0</v>
      </c>
      <c r="AP286" s="27" t="n">
        <f aca="false">SUMIFS(super1[Qtde],super1[Item],tab_higiene[[#This Row],[Item]],super1[Bairro],mercado6)+SUMIFS(supercb[Qtde],supercb[Item],tab_higiene[[#This Row],[Item]],supercb[Bairro],mercado6)</f>
        <v>0</v>
      </c>
      <c r="AQ286" s="27" t="n">
        <f aca="false">SUMIFS(super1[Qtde],super1[Item],tab_higiene[[#This Row],[Item]],super1[Bairro],mercado7)+SUMIFS(supercb[Qtde],supercb[Item],tab_higiene[[#This Row],[Item]],supercb[Bairro],mercado7)</f>
        <v>0</v>
      </c>
      <c r="AR286" s="27" t="n">
        <f aca="false">SUMIFS(super1[Qtde],super1[Item],tab_higiene[[#This Row],[Item]],super1[Bairro],mercado8)+SUMIFS(supercb[Qtde],supercb[Item],tab_higiene[[#This Row],[Item]],supercb[Bairro],mercado8)</f>
        <v>0</v>
      </c>
      <c r="AS286" s="27" t="n">
        <f aca="false">SUMIFS(super1[Qtde],super1[Item],tab_higiene[[#This Row],[Item]],super1[Bairro],mercado9)+SUMIFS(supercb[Qtde],supercb[Item],tab_higiene[[#This Row],[Item]],supercb[Bairro],mercado9)</f>
        <v>0</v>
      </c>
      <c r="AT286" s="27" t="n">
        <f aca="false">SUMIFS(super1[Qtde],super1[Item],tab_higiene[[#This Row],[Item]],super1[Bairro],mercado10)+SUMIFS(supercb[Qtde],supercb[Item],tab_higiene[[#This Row],[Item]],supercb[Bairro],mercado10)</f>
        <v>0</v>
      </c>
      <c r="AU286" s="27" t="n">
        <f aca="false">SUMIFS(super1[Qtde],super1[Item],tab_higiene[[#This Row],[Item]],super1[Bairro],mercado11)+SUMIFS(supercb[Qtde],supercb[Item],tab_higiene[[#This Row],[Item]],supercb[Bairro],mercado11)</f>
        <v>0</v>
      </c>
      <c r="AV286" s="27" t="n">
        <f aca="false">SUMIFS(super1[Qtde],super1[Item],tab_higiene[[#This Row],[Item]],super1[Bairro],mercado12)+SUMIFS(supercb[Qtde],supercb[Item],tab_higiene[[#This Row],[Item]],supercb[Bairro],mercado12)</f>
        <v>0</v>
      </c>
      <c r="AW286" s="27" t="n">
        <f aca="false">SUMIFS(super1[Qtde],super1[Item],tab_higiene[[#This Row],[Item]],super1[Bairro],mercado13)+SUMIFS(supercb[Qtde],supercb[Item],tab_higiene[[#This Row],[Item]],supercb[Bairro],mercado13)</f>
        <v>0</v>
      </c>
      <c r="AX286" s="27" t="n">
        <f aca="false">SUMIFS(super1[Qtde],super1[Item],tab_higiene[[#This Row],[Item]],super1[Bairro],mercado14)+SUMIFS(supercb[Qtde],supercb[Item],tab_higiene[[#This Row],[Item]],supercb[Bairro],mercado14)</f>
        <v>0</v>
      </c>
      <c r="AY286" s="27" t="n">
        <f aca="false">SUMIFS(super1[Qtde],super1[Item],tab_higiene[[#This Row],[Item]],super1[Bairro],mercado15)+SUMIFS(supercb[Qtde],supercb[Item],tab_higiene[[#This Row],[Item]],supercb[Bairro],mercado15)</f>
        <v>0</v>
      </c>
      <c r="AZ286" s="27" t="n">
        <f aca="false">SUMIFS(super1[Qtde],super1[Item],tab_higiene[[#This Row],[Item]],super1[Bairro],mercado16)+SUMIFS(supercb[Qtde],supercb[Item],tab_higiene[[#This Row],[Item]],supercb[Bairro],mercado16)</f>
        <v>0</v>
      </c>
      <c r="BA286" s="27" t="n">
        <f aca="false">SUMIFS(super1[Qtde],super1[Item],tab_higiene[[#This Row],[Item]],super1[Bairro],mercado17)+SUMIFS(supercb[Qtde],supercb[Item],tab_higiene[[#This Row],[Item]],supercb[Bairro],mercado17)</f>
        <v>0</v>
      </c>
      <c r="BB286" s="27" t="n">
        <f aca="false">SUMIFS(super1[Qtde],super1[Item],tab_higiene[[#This Row],[Item]],super1[Bairro],mercado18)+SUMIFS(supercb[Qtde],supercb[Item],tab_higiene[[#This Row],[Item]],supercb[Bairro],mercado18)</f>
        <v>0</v>
      </c>
      <c r="BC286" s="39" t="n">
        <f aca="false">SUMIFS(super1[Qtde],super1[Item],tab_higiene[[#This Row],[Item]],super1[Bairro],extras)+SUMIFS(supercb[Qtde],supercb[Item],tab_higiene[[#This Row],[Item]],supercb[Bairro],extras)</f>
        <v>0</v>
      </c>
      <c r="BD286" s="38" t="n">
        <f aca="false">SUM(AK286:BB286)</f>
        <v>0</v>
      </c>
      <c r="BE286" s="38" t="n">
        <f aca="false">IFERROR(BD286*AJ286,0)</f>
        <v>0</v>
      </c>
      <c r="BF286" s="40" t="n">
        <f aca="false">IFERROR(AI286*BD286,0)</f>
        <v>0</v>
      </c>
    </row>
    <row r="287" customFormat="false" ht="15.75" hidden="false" customHeight="false" outlineLevel="0" collapsed="false">
      <c r="I287" s="26" t="e">
        <f aca="false">alimentos[[#This Row],[Item]]</f>
        <v>#VALUE!</v>
      </c>
      <c r="J287" s="27" t="n">
        <f aca="false">IFERROR(alimentos[[#This Row],[kg/embalagem]],0)</f>
        <v>0</v>
      </c>
      <c r="K287" s="27" t="n">
        <f aca="false">IFERROR(alimentos[[#This Row],[Preço]],0)</f>
        <v>0</v>
      </c>
      <c r="L287" s="27" t="n">
        <f aca="false">SUMIFS(super1[Qtde],super1[Item],tab_alimentos[[#This Row],[Item]],super1[Bairro],mercado1)+SUMIFS(supercb[Qtde],supercb[Item],tab_alimentos[[#This Row],[Item]],supercb[Bairro],mercado1)</f>
        <v>0</v>
      </c>
      <c r="M287" s="27" t="n">
        <f aca="false">SUMIFS(super1[Qtde],super1[Item],tab_alimentos[[#This Row],[Item]],super1[Bairro],mercado2)+SUMIFS(supercb[Qtde],supercb[Item],tab_alimentos[[#This Row],[Item]],supercb[Bairro],mercado2)</f>
        <v>0</v>
      </c>
      <c r="N287" s="27" t="n">
        <f aca="false">SUMIFS(super1[Qtde],super1[Item],tab_alimentos[[#This Row],[Item]],super1[Bairro],mercado3)+SUMIFS(supercb[Qtde],supercb[Item],tab_alimentos[[#This Row],[Item]],supercb[Bairro],mercado3)</f>
        <v>0</v>
      </c>
      <c r="O287" s="27" t="n">
        <f aca="false">SUMIFS(super1[Qtde],super1[Item],tab_alimentos[[#This Row],[Item]],super1[Bairro],mercado4)+SUMIFS(supercb[Qtde],supercb[Item],tab_alimentos[[#This Row],[Item]],supercb[Bairro],mercado4)</f>
        <v>0</v>
      </c>
      <c r="P287" s="27" t="n">
        <f aca="false">SUMIFS(super1[Qtde],super1[Item],tab_alimentos[[#This Row],[Item]],super1[Bairro],mercado5)+SUMIFS(supercb[Qtde],supercb[Item],tab_alimentos[[#This Row],[Item]],supercb[Bairro],mercado5)</f>
        <v>0</v>
      </c>
      <c r="Q287" s="27" t="n">
        <f aca="false">SUMIFS(super1[Qtde],super1[Item],tab_alimentos[[#This Row],[Item]],super1[Bairro],mercado6)+SUMIFS(supercb[Qtde],supercb[Item],tab_alimentos[[#This Row],[Item]],supercb[Bairro],mercado6)</f>
        <v>0</v>
      </c>
      <c r="R287" s="27" t="n">
        <f aca="false">SUMIFS(super1[Qtde],super1[Item],tab_alimentos[[#This Row],[Item]],super1[Bairro],mercado7)+SUMIFS(supercb[Qtde],supercb[Item],tab_alimentos[[#This Row],[Item]],supercb[Bairro],mercado7)</f>
        <v>0</v>
      </c>
      <c r="S287" s="27" t="n">
        <f aca="false">SUMIFS(super1[Qtde],super1[Item],tab_alimentos[[#This Row],[Item]],super1[Bairro],mercado8)+SUMIFS(supercb[Qtde],supercb[Item],tab_alimentos[[#This Row],[Item]],supercb[Bairro],mercado8)</f>
        <v>0</v>
      </c>
      <c r="T287" s="27" t="n">
        <f aca="false">SUMIFS(super1[Qtde],super1[Item],tab_alimentos[[#This Row],[Item]],super1[Bairro],mercado9)+SUMIFS(supercb[Qtde],supercb[Item],tab_alimentos[[#This Row],[Item]],supercb[Bairro],mercado9)</f>
        <v>0</v>
      </c>
      <c r="U287" s="27" t="n">
        <f aca="false">SUMIFS(super1[Qtde],super1[Item],tab_alimentos[[#This Row],[Item]],super1[Bairro],mercado10)+SUMIFS(supercb[Qtde],supercb[Item],tab_alimentos[[#This Row],[Item]],supercb[Bairro],mercado10)</f>
        <v>0</v>
      </c>
      <c r="V287" s="27" t="n">
        <f aca="false">SUMIFS(super1[Qtde],super1[Item],tab_alimentos[[#This Row],[Item]],super1[Bairro],mercado11)+SUMIFS(supercb[Qtde],supercb[Item],tab_alimentos[[#This Row],[Item]],supercb[Bairro],mercado11)</f>
        <v>0</v>
      </c>
      <c r="W287" s="27" t="n">
        <f aca="false">SUMIFS(super1[Qtde],super1[Item],tab_alimentos[[#This Row],[Item]],super1[Bairro],mercado12)+SUMIFS(supercb[Qtde],supercb[Item],tab_alimentos[[#This Row],[Item]],supercb[Bairro],mercado12)</f>
        <v>0</v>
      </c>
      <c r="X287" s="27" t="n">
        <f aca="false">SUMIFS(super1[Qtde],super1[Item],tab_alimentos[[#This Row],[Item]],super1[Bairro],mercado13)+SUMIFS(supercb[Qtde],supercb[Item],tab_alimentos[[#This Row],[Item]],supercb[Bairro],mercado13)</f>
        <v>0</v>
      </c>
      <c r="Y287" s="27" t="n">
        <f aca="false">SUMIFS(super1[Qtde],super1[Item],tab_alimentos[[#This Row],[Item]],super1[Bairro],mercado14)+SUMIFS(supercb[Qtde],supercb[Item],tab_alimentos[[#This Row],[Item]],supercb[Bairro],mercado14)</f>
        <v>0</v>
      </c>
      <c r="Z287" s="27" t="n">
        <f aca="false">SUMIFS(super1[Qtde],super1[Item],tab_alimentos[[#This Row],[Item]],super1[Bairro],mercado15)+SUMIFS(supercb[Qtde],supercb[Item],tab_alimentos[[#This Row],[Item]],supercb[Bairro],mercado15)</f>
        <v>0</v>
      </c>
      <c r="AA287" s="27" t="n">
        <f aca="false">SUMIFS(super1[Qtde],super1[Item],tab_alimentos[[#This Row],[Item]],super1[Bairro],mercado16)+SUMIFS(supercb[Qtde],supercb[Item],tab_alimentos[[#This Row],[Item]],supercb[Bairro],mercado16)</f>
        <v>0</v>
      </c>
      <c r="AB287" s="27" t="n">
        <f aca="false">SUMIFS(super1[Qtde],super1[Item],tab_alimentos[[#This Row],[Item]],super1[Bairro],mercado17)+SUMIFS(supercb[Qtde],supercb[Item],tab_alimentos[[#This Row],[Item]],supercb[Bairro],mercado17)</f>
        <v>0</v>
      </c>
      <c r="AC287" s="27" t="n">
        <f aca="false">SUMIFS(super1[Qtde],super1[Item],tab_alimentos[[#This Row],[Item]],super1[Bairro],mercado18)+SUMIFS(supercb[Qtde],supercb[Item],tab_alimentos[[#This Row],[Item]],supercb[Bairro],mercado18)</f>
        <v>0</v>
      </c>
      <c r="AD287" s="27" t="n">
        <f aca="false">SUMIFS(super1[Qtde],super1[Item],tab_alimentos[[#This Row],[Item]],super1[Bairro],extras)+SUMIFS(supercb[Qtde],supercb[Item],tab_alimentos[[#This Row],[Item]],supercb[Bairro],extras)</f>
        <v>0</v>
      </c>
      <c r="AE287" s="27" t="n">
        <f aca="false">SUM(L287:AC287)</f>
        <v>0</v>
      </c>
      <c r="AF287" s="27" t="n">
        <f aca="false">IFERROR(AE287*K287,0)</f>
        <v>0</v>
      </c>
      <c r="AG287" s="28" t="n">
        <f aca="false">IFERROR(J287*AE287,0)</f>
        <v>0</v>
      </c>
      <c r="AH287" s="37" t="e">
        <f aca="false">higiene[[#This Row],[Item]]</f>
        <v>#VALUE!</v>
      </c>
      <c r="AI287" s="38" t="n">
        <f aca="false">IFERROR(higiene[[#This Row],[Kg equivalente]],0)</f>
        <v>0</v>
      </c>
      <c r="AJ287" s="38" t="n">
        <f aca="false">IFERROR(higiene[[#This Row],[Preço por produto]],0)</f>
        <v>0</v>
      </c>
      <c r="AK287" s="27" t="n">
        <f aca="false">SUMIFS(super1[Qtde],super1[Item],tab_higiene[[#This Row],[Item]],super1[Bairro],mercado1)+SUMIFS(supercb[Qtde],supercb[Item],tab_higiene[[#This Row],[Item]],supercb[Bairro],mercado1)</f>
        <v>0</v>
      </c>
      <c r="AL287" s="27" t="n">
        <f aca="false">SUMIFS(super1[Qtde],super1[Item],tab_higiene[[#This Row],[Item]],super1[Bairro],mercado2)+SUMIFS(supercb[Qtde],supercb[Item],tab_higiene[[#This Row],[Item]],supercb[Bairro],mercado2)</f>
        <v>0</v>
      </c>
      <c r="AM287" s="27" t="n">
        <f aca="false">SUMIFS(super1[Qtde],super1[Item],tab_higiene[[#This Row],[Item]],super1[Bairro],mercado3)+SUMIFS(supercb[Qtde],supercb[Item],tab_higiene[[#This Row],[Item]],supercb[Bairro],mercado3)</f>
        <v>0</v>
      </c>
      <c r="AN287" s="27" t="n">
        <f aca="false">SUMIFS(super1[Qtde],super1[Item],tab_higiene[[#This Row],[Item]],super1[Bairro],mercado4)+SUMIFS(supercb[Qtde],supercb[Item],tab_higiene[[#This Row],[Item]],supercb[Bairro],mercado4)</f>
        <v>0</v>
      </c>
      <c r="AO287" s="27" t="n">
        <f aca="false">SUMIFS(super1[Qtde],super1[Item],tab_higiene[[#This Row],[Item]],super1[Bairro],mercado5)+SUMIFS(supercb[Qtde],supercb[Item],tab_higiene[[#This Row],[Item]],supercb[Bairro],mercado5)</f>
        <v>0</v>
      </c>
      <c r="AP287" s="27" t="n">
        <f aca="false">SUMIFS(super1[Qtde],super1[Item],tab_higiene[[#This Row],[Item]],super1[Bairro],mercado6)+SUMIFS(supercb[Qtde],supercb[Item],tab_higiene[[#This Row],[Item]],supercb[Bairro],mercado6)</f>
        <v>0</v>
      </c>
      <c r="AQ287" s="27" t="n">
        <f aca="false">SUMIFS(super1[Qtde],super1[Item],tab_higiene[[#This Row],[Item]],super1[Bairro],mercado7)+SUMIFS(supercb[Qtde],supercb[Item],tab_higiene[[#This Row],[Item]],supercb[Bairro],mercado7)</f>
        <v>0</v>
      </c>
      <c r="AR287" s="27" t="n">
        <f aca="false">SUMIFS(super1[Qtde],super1[Item],tab_higiene[[#This Row],[Item]],super1[Bairro],mercado8)+SUMIFS(supercb[Qtde],supercb[Item],tab_higiene[[#This Row],[Item]],supercb[Bairro],mercado8)</f>
        <v>0</v>
      </c>
      <c r="AS287" s="27" t="n">
        <f aca="false">SUMIFS(super1[Qtde],super1[Item],tab_higiene[[#This Row],[Item]],super1[Bairro],mercado9)+SUMIFS(supercb[Qtde],supercb[Item],tab_higiene[[#This Row],[Item]],supercb[Bairro],mercado9)</f>
        <v>0</v>
      </c>
      <c r="AT287" s="27" t="n">
        <f aca="false">SUMIFS(super1[Qtde],super1[Item],tab_higiene[[#This Row],[Item]],super1[Bairro],mercado10)+SUMIFS(supercb[Qtde],supercb[Item],tab_higiene[[#This Row],[Item]],supercb[Bairro],mercado10)</f>
        <v>0</v>
      </c>
      <c r="AU287" s="27" t="n">
        <f aca="false">SUMIFS(super1[Qtde],super1[Item],tab_higiene[[#This Row],[Item]],super1[Bairro],mercado11)+SUMIFS(supercb[Qtde],supercb[Item],tab_higiene[[#This Row],[Item]],supercb[Bairro],mercado11)</f>
        <v>0</v>
      </c>
      <c r="AV287" s="27" t="n">
        <f aca="false">SUMIFS(super1[Qtde],super1[Item],tab_higiene[[#This Row],[Item]],super1[Bairro],mercado12)+SUMIFS(supercb[Qtde],supercb[Item],tab_higiene[[#This Row],[Item]],supercb[Bairro],mercado12)</f>
        <v>0</v>
      </c>
      <c r="AW287" s="27" t="n">
        <f aca="false">SUMIFS(super1[Qtde],super1[Item],tab_higiene[[#This Row],[Item]],super1[Bairro],mercado13)+SUMIFS(supercb[Qtde],supercb[Item],tab_higiene[[#This Row],[Item]],supercb[Bairro],mercado13)</f>
        <v>0</v>
      </c>
      <c r="AX287" s="27" t="n">
        <f aca="false">SUMIFS(super1[Qtde],super1[Item],tab_higiene[[#This Row],[Item]],super1[Bairro],mercado14)+SUMIFS(supercb[Qtde],supercb[Item],tab_higiene[[#This Row],[Item]],supercb[Bairro],mercado14)</f>
        <v>0</v>
      </c>
      <c r="AY287" s="27" t="n">
        <f aca="false">SUMIFS(super1[Qtde],super1[Item],tab_higiene[[#This Row],[Item]],super1[Bairro],mercado15)+SUMIFS(supercb[Qtde],supercb[Item],tab_higiene[[#This Row],[Item]],supercb[Bairro],mercado15)</f>
        <v>0</v>
      </c>
      <c r="AZ287" s="27" t="n">
        <f aca="false">SUMIFS(super1[Qtde],super1[Item],tab_higiene[[#This Row],[Item]],super1[Bairro],mercado16)+SUMIFS(supercb[Qtde],supercb[Item],tab_higiene[[#This Row],[Item]],supercb[Bairro],mercado16)</f>
        <v>0</v>
      </c>
      <c r="BA287" s="27" t="n">
        <f aca="false">SUMIFS(super1[Qtde],super1[Item],tab_higiene[[#This Row],[Item]],super1[Bairro],mercado17)+SUMIFS(supercb[Qtde],supercb[Item],tab_higiene[[#This Row],[Item]],supercb[Bairro],mercado17)</f>
        <v>0</v>
      </c>
      <c r="BB287" s="27" t="n">
        <f aca="false">SUMIFS(super1[Qtde],super1[Item],tab_higiene[[#This Row],[Item]],super1[Bairro],mercado18)+SUMIFS(supercb[Qtde],supercb[Item],tab_higiene[[#This Row],[Item]],supercb[Bairro],mercado18)</f>
        <v>0</v>
      </c>
      <c r="BC287" s="39" t="n">
        <f aca="false">SUMIFS(super1[Qtde],super1[Item],tab_higiene[[#This Row],[Item]],super1[Bairro],extras)+SUMIFS(supercb[Qtde],supercb[Item],tab_higiene[[#This Row],[Item]],supercb[Bairro],extras)</f>
        <v>0</v>
      </c>
      <c r="BD287" s="38" t="n">
        <f aca="false">SUM(AK287:BB287)</f>
        <v>0</v>
      </c>
      <c r="BE287" s="38" t="n">
        <f aca="false">IFERROR(BD287*AJ287,0)</f>
        <v>0</v>
      </c>
      <c r="BF287" s="40" t="n">
        <f aca="false">IFERROR(AI287*BD287,0)</f>
        <v>0</v>
      </c>
    </row>
    <row r="288" customFormat="false" ht="15.75" hidden="false" customHeight="false" outlineLevel="0" collapsed="false">
      <c r="I288" s="26" t="e">
        <f aca="false">alimentos[[#This Row],[Item]]</f>
        <v>#VALUE!</v>
      </c>
      <c r="J288" s="27" t="n">
        <f aca="false">IFERROR(alimentos[[#This Row],[kg/embalagem]],0)</f>
        <v>0</v>
      </c>
      <c r="K288" s="27" t="n">
        <f aca="false">IFERROR(alimentos[[#This Row],[Preço]],0)</f>
        <v>0</v>
      </c>
      <c r="L288" s="27" t="n">
        <f aca="false">SUMIFS(super1[Qtde],super1[Item],tab_alimentos[[#This Row],[Item]],super1[Bairro],mercado1)+SUMIFS(supercb[Qtde],supercb[Item],tab_alimentos[[#This Row],[Item]],supercb[Bairro],mercado1)</f>
        <v>0</v>
      </c>
      <c r="M288" s="27" t="n">
        <f aca="false">SUMIFS(super1[Qtde],super1[Item],tab_alimentos[[#This Row],[Item]],super1[Bairro],mercado2)+SUMIFS(supercb[Qtde],supercb[Item],tab_alimentos[[#This Row],[Item]],supercb[Bairro],mercado2)</f>
        <v>0</v>
      </c>
      <c r="N288" s="27" t="n">
        <f aca="false">SUMIFS(super1[Qtde],super1[Item],tab_alimentos[[#This Row],[Item]],super1[Bairro],mercado3)+SUMIFS(supercb[Qtde],supercb[Item],tab_alimentos[[#This Row],[Item]],supercb[Bairro],mercado3)</f>
        <v>0</v>
      </c>
      <c r="O288" s="27" t="n">
        <f aca="false">SUMIFS(super1[Qtde],super1[Item],tab_alimentos[[#This Row],[Item]],super1[Bairro],mercado4)+SUMIFS(supercb[Qtde],supercb[Item],tab_alimentos[[#This Row],[Item]],supercb[Bairro],mercado4)</f>
        <v>0</v>
      </c>
      <c r="P288" s="27" t="n">
        <f aca="false">SUMIFS(super1[Qtde],super1[Item],tab_alimentos[[#This Row],[Item]],super1[Bairro],mercado5)+SUMIFS(supercb[Qtde],supercb[Item],tab_alimentos[[#This Row],[Item]],supercb[Bairro],mercado5)</f>
        <v>0</v>
      </c>
      <c r="Q288" s="27" t="n">
        <f aca="false">SUMIFS(super1[Qtde],super1[Item],tab_alimentos[[#This Row],[Item]],super1[Bairro],mercado6)+SUMIFS(supercb[Qtde],supercb[Item],tab_alimentos[[#This Row],[Item]],supercb[Bairro],mercado6)</f>
        <v>0</v>
      </c>
      <c r="R288" s="27" t="n">
        <f aca="false">SUMIFS(super1[Qtde],super1[Item],tab_alimentos[[#This Row],[Item]],super1[Bairro],mercado7)+SUMIFS(supercb[Qtde],supercb[Item],tab_alimentos[[#This Row],[Item]],supercb[Bairro],mercado7)</f>
        <v>0</v>
      </c>
      <c r="S288" s="27" t="n">
        <f aca="false">SUMIFS(super1[Qtde],super1[Item],tab_alimentos[[#This Row],[Item]],super1[Bairro],mercado8)+SUMIFS(supercb[Qtde],supercb[Item],tab_alimentos[[#This Row],[Item]],supercb[Bairro],mercado8)</f>
        <v>0</v>
      </c>
      <c r="T288" s="27" t="n">
        <f aca="false">SUMIFS(super1[Qtde],super1[Item],tab_alimentos[[#This Row],[Item]],super1[Bairro],mercado9)+SUMIFS(supercb[Qtde],supercb[Item],tab_alimentos[[#This Row],[Item]],supercb[Bairro],mercado9)</f>
        <v>0</v>
      </c>
      <c r="U288" s="27" t="n">
        <f aca="false">SUMIFS(super1[Qtde],super1[Item],tab_alimentos[[#This Row],[Item]],super1[Bairro],mercado10)+SUMIFS(supercb[Qtde],supercb[Item],tab_alimentos[[#This Row],[Item]],supercb[Bairro],mercado10)</f>
        <v>0</v>
      </c>
      <c r="V288" s="27" t="n">
        <f aca="false">SUMIFS(super1[Qtde],super1[Item],tab_alimentos[[#This Row],[Item]],super1[Bairro],mercado11)+SUMIFS(supercb[Qtde],supercb[Item],tab_alimentos[[#This Row],[Item]],supercb[Bairro],mercado11)</f>
        <v>0</v>
      </c>
      <c r="W288" s="27" t="n">
        <f aca="false">SUMIFS(super1[Qtde],super1[Item],tab_alimentos[[#This Row],[Item]],super1[Bairro],mercado12)+SUMIFS(supercb[Qtde],supercb[Item],tab_alimentos[[#This Row],[Item]],supercb[Bairro],mercado12)</f>
        <v>0</v>
      </c>
      <c r="X288" s="27" t="n">
        <f aca="false">SUMIFS(super1[Qtde],super1[Item],tab_alimentos[[#This Row],[Item]],super1[Bairro],mercado13)+SUMIFS(supercb[Qtde],supercb[Item],tab_alimentos[[#This Row],[Item]],supercb[Bairro],mercado13)</f>
        <v>0</v>
      </c>
      <c r="Y288" s="27" t="n">
        <f aca="false">SUMIFS(super1[Qtde],super1[Item],tab_alimentos[[#This Row],[Item]],super1[Bairro],mercado14)+SUMIFS(supercb[Qtde],supercb[Item],tab_alimentos[[#This Row],[Item]],supercb[Bairro],mercado14)</f>
        <v>0</v>
      </c>
      <c r="Z288" s="27" t="n">
        <f aca="false">SUMIFS(super1[Qtde],super1[Item],tab_alimentos[[#This Row],[Item]],super1[Bairro],mercado15)+SUMIFS(supercb[Qtde],supercb[Item],tab_alimentos[[#This Row],[Item]],supercb[Bairro],mercado15)</f>
        <v>0</v>
      </c>
      <c r="AA288" s="27" t="n">
        <f aca="false">SUMIFS(super1[Qtde],super1[Item],tab_alimentos[[#This Row],[Item]],super1[Bairro],mercado16)+SUMIFS(supercb[Qtde],supercb[Item],tab_alimentos[[#This Row],[Item]],supercb[Bairro],mercado16)</f>
        <v>0</v>
      </c>
      <c r="AB288" s="27" t="n">
        <f aca="false">SUMIFS(super1[Qtde],super1[Item],tab_alimentos[[#This Row],[Item]],super1[Bairro],mercado17)+SUMIFS(supercb[Qtde],supercb[Item],tab_alimentos[[#This Row],[Item]],supercb[Bairro],mercado17)</f>
        <v>0</v>
      </c>
      <c r="AC288" s="27" t="n">
        <f aca="false">SUMIFS(super1[Qtde],super1[Item],tab_alimentos[[#This Row],[Item]],super1[Bairro],mercado18)+SUMIFS(supercb[Qtde],supercb[Item],tab_alimentos[[#This Row],[Item]],supercb[Bairro],mercado18)</f>
        <v>0</v>
      </c>
      <c r="AD288" s="27" t="n">
        <f aca="false">SUMIFS(super1[Qtde],super1[Item],tab_alimentos[[#This Row],[Item]],super1[Bairro],extras)+SUMIFS(supercb[Qtde],supercb[Item],tab_alimentos[[#This Row],[Item]],supercb[Bairro],extras)</f>
        <v>0</v>
      </c>
      <c r="AE288" s="27" t="n">
        <f aca="false">SUM(L288:AC288)</f>
        <v>0</v>
      </c>
      <c r="AF288" s="27" t="n">
        <f aca="false">IFERROR(AE288*K288,0)</f>
        <v>0</v>
      </c>
      <c r="AG288" s="28" t="n">
        <f aca="false">IFERROR(J288*AE288,0)</f>
        <v>0</v>
      </c>
      <c r="AH288" s="37" t="e">
        <f aca="false">higiene[[#This Row],[Item]]</f>
        <v>#VALUE!</v>
      </c>
      <c r="AI288" s="38" t="n">
        <f aca="false">IFERROR(higiene[[#This Row],[Kg equivalente]],0)</f>
        <v>0</v>
      </c>
      <c r="AJ288" s="38" t="n">
        <f aca="false">IFERROR(higiene[[#This Row],[Preço por produto]],0)</f>
        <v>0</v>
      </c>
      <c r="AK288" s="27" t="n">
        <f aca="false">SUMIFS(super1[Qtde],super1[Item],tab_higiene[[#This Row],[Item]],super1[Bairro],mercado1)+SUMIFS(supercb[Qtde],supercb[Item],tab_higiene[[#This Row],[Item]],supercb[Bairro],mercado1)</f>
        <v>0</v>
      </c>
      <c r="AL288" s="27" t="n">
        <f aca="false">SUMIFS(super1[Qtde],super1[Item],tab_higiene[[#This Row],[Item]],super1[Bairro],mercado2)+SUMIFS(supercb[Qtde],supercb[Item],tab_higiene[[#This Row],[Item]],supercb[Bairro],mercado2)</f>
        <v>0</v>
      </c>
      <c r="AM288" s="27" t="n">
        <f aca="false">SUMIFS(super1[Qtde],super1[Item],tab_higiene[[#This Row],[Item]],super1[Bairro],mercado3)+SUMIFS(supercb[Qtde],supercb[Item],tab_higiene[[#This Row],[Item]],supercb[Bairro],mercado3)</f>
        <v>0</v>
      </c>
      <c r="AN288" s="27" t="n">
        <f aca="false">SUMIFS(super1[Qtde],super1[Item],tab_higiene[[#This Row],[Item]],super1[Bairro],mercado4)+SUMIFS(supercb[Qtde],supercb[Item],tab_higiene[[#This Row],[Item]],supercb[Bairro],mercado4)</f>
        <v>0</v>
      </c>
      <c r="AO288" s="27" t="n">
        <f aca="false">SUMIFS(super1[Qtde],super1[Item],tab_higiene[[#This Row],[Item]],super1[Bairro],mercado5)+SUMIFS(supercb[Qtde],supercb[Item],tab_higiene[[#This Row],[Item]],supercb[Bairro],mercado5)</f>
        <v>0</v>
      </c>
      <c r="AP288" s="27" t="n">
        <f aca="false">SUMIFS(super1[Qtde],super1[Item],tab_higiene[[#This Row],[Item]],super1[Bairro],mercado6)+SUMIFS(supercb[Qtde],supercb[Item],tab_higiene[[#This Row],[Item]],supercb[Bairro],mercado6)</f>
        <v>0</v>
      </c>
      <c r="AQ288" s="27" t="n">
        <f aca="false">SUMIFS(super1[Qtde],super1[Item],tab_higiene[[#This Row],[Item]],super1[Bairro],mercado7)+SUMIFS(supercb[Qtde],supercb[Item],tab_higiene[[#This Row],[Item]],supercb[Bairro],mercado7)</f>
        <v>0</v>
      </c>
      <c r="AR288" s="27" t="n">
        <f aca="false">SUMIFS(super1[Qtde],super1[Item],tab_higiene[[#This Row],[Item]],super1[Bairro],mercado8)+SUMIFS(supercb[Qtde],supercb[Item],tab_higiene[[#This Row],[Item]],supercb[Bairro],mercado8)</f>
        <v>0</v>
      </c>
      <c r="AS288" s="27" t="n">
        <f aca="false">SUMIFS(super1[Qtde],super1[Item],tab_higiene[[#This Row],[Item]],super1[Bairro],mercado9)+SUMIFS(supercb[Qtde],supercb[Item],tab_higiene[[#This Row],[Item]],supercb[Bairro],mercado9)</f>
        <v>0</v>
      </c>
      <c r="AT288" s="27" t="n">
        <f aca="false">SUMIFS(super1[Qtde],super1[Item],tab_higiene[[#This Row],[Item]],super1[Bairro],mercado10)+SUMIFS(supercb[Qtde],supercb[Item],tab_higiene[[#This Row],[Item]],supercb[Bairro],mercado10)</f>
        <v>0</v>
      </c>
      <c r="AU288" s="27" t="n">
        <f aca="false">SUMIFS(super1[Qtde],super1[Item],tab_higiene[[#This Row],[Item]],super1[Bairro],mercado11)+SUMIFS(supercb[Qtde],supercb[Item],tab_higiene[[#This Row],[Item]],supercb[Bairro],mercado11)</f>
        <v>0</v>
      </c>
      <c r="AV288" s="27" t="n">
        <f aca="false">SUMIFS(super1[Qtde],super1[Item],tab_higiene[[#This Row],[Item]],super1[Bairro],mercado12)+SUMIFS(supercb[Qtde],supercb[Item],tab_higiene[[#This Row],[Item]],supercb[Bairro],mercado12)</f>
        <v>0</v>
      </c>
      <c r="AW288" s="27" t="n">
        <f aca="false">SUMIFS(super1[Qtde],super1[Item],tab_higiene[[#This Row],[Item]],super1[Bairro],mercado13)+SUMIFS(supercb[Qtde],supercb[Item],tab_higiene[[#This Row],[Item]],supercb[Bairro],mercado13)</f>
        <v>0</v>
      </c>
      <c r="AX288" s="27" t="n">
        <f aca="false">SUMIFS(super1[Qtde],super1[Item],tab_higiene[[#This Row],[Item]],super1[Bairro],mercado14)+SUMIFS(supercb[Qtde],supercb[Item],tab_higiene[[#This Row],[Item]],supercb[Bairro],mercado14)</f>
        <v>0</v>
      </c>
      <c r="AY288" s="27" t="n">
        <f aca="false">SUMIFS(super1[Qtde],super1[Item],tab_higiene[[#This Row],[Item]],super1[Bairro],mercado15)+SUMIFS(supercb[Qtde],supercb[Item],tab_higiene[[#This Row],[Item]],supercb[Bairro],mercado15)</f>
        <v>0</v>
      </c>
      <c r="AZ288" s="27" t="n">
        <f aca="false">SUMIFS(super1[Qtde],super1[Item],tab_higiene[[#This Row],[Item]],super1[Bairro],mercado16)+SUMIFS(supercb[Qtde],supercb[Item],tab_higiene[[#This Row],[Item]],supercb[Bairro],mercado16)</f>
        <v>0</v>
      </c>
      <c r="BA288" s="27" t="n">
        <f aca="false">SUMIFS(super1[Qtde],super1[Item],tab_higiene[[#This Row],[Item]],super1[Bairro],mercado17)+SUMIFS(supercb[Qtde],supercb[Item],tab_higiene[[#This Row],[Item]],supercb[Bairro],mercado17)</f>
        <v>0</v>
      </c>
      <c r="BB288" s="27" t="n">
        <f aca="false">SUMIFS(super1[Qtde],super1[Item],tab_higiene[[#This Row],[Item]],super1[Bairro],mercado18)+SUMIFS(supercb[Qtde],supercb[Item],tab_higiene[[#This Row],[Item]],supercb[Bairro],mercado18)</f>
        <v>0</v>
      </c>
      <c r="BC288" s="39" t="n">
        <f aca="false">SUMIFS(super1[Qtde],super1[Item],tab_higiene[[#This Row],[Item]],super1[Bairro],extras)+SUMIFS(supercb[Qtde],supercb[Item],tab_higiene[[#This Row],[Item]],supercb[Bairro],extras)</f>
        <v>0</v>
      </c>
      <c r="BD288" s="38" t="n">
        <f aca="false">SUM(AK288:BB288)</f>
        <v>0</v>
      </c>
      <c r="BE288" s="38" t="n">
        <f aca="false">IFERROR(BD288*AJ288,0)</f>
        <v>0</v>
      </c>
      <c r="BF288" s="40" t="n">
        <f aca="false">IFERROR(AI288*BD288,0)</f>
        <v>0</v>
      </c>
    </row>
    <row r="289" customFormat="false" ht="15.75" hidden="false" customHeight="false" outlineLevel="0" collapsed="false">
      <c r="I289" s="26" t="e">
        <f aca="false">alimentos[[#This Row],[Item]]</f>
        <v>#VALUE!</v>
      </c>
      <c r="J289" s="27" t="n">
        <f aca="false">IFERROR(alimentos[[#This Row],[kg/embalagem]],0)</f>
        <v>0</v>
      </c>
      <c r="K289" s="27" t="n">
        <f aca="false">IFERROR(alimentos[[#This Row],[Preço]],0)</f>
        <v>0</v>
      </c>
      <c r="L289" s="27" t="n">
        <f aca="false">SUMIFS(super1[Qtde],super1[Item],tab_alimentos[[#This Row],[Item]],super1[Bairro],mercado1)+SUMIFS(supercb[Qtde],supercb[Item],tab_alimentos[[#This Row],[Item]],supercb[Bairro],mercado1)</f>
        <v>0</v>
      </c>
      <c r="M289" s="27" t="n">
        <f aca="false">SUMIFS(super1[Qtde],super1[Item],tab_alimentos[[#This Row],[Item]],super1[Bairro],mercado2)+SUMIFS(supercb[Qtde],supercb[Item],tab_alimentos[[#This Row],[Item]],supercb[Bairro],mercado2)</f>
        <v>0</v>
      </c>
      <c r="N289" s="27" t="n">
        <f aca="false">SUMIFS(super1[Qtde],super1[Item],tab_alimentos[[#This Row],[Item]],super1[Bairro],mercado3)+SUMIFS(supercb[Qtde],supercb[Item],tab_alimentos[[#This Row],[Item]],supercb[Bairro],mercado3)</f>
        <v>0</v>
      </c>
      <c r="O289" s="27" t="n">
        <f aca="false">SUMIFS(super1[Qtde],super1[Item],tab_alimentos[[#This Row],[Item]],super1[Bairro],mercado4)+SUMIFS(supercb[Qtde],supercb[Item],tab_alimentos[[#This Row],[Item]],supercb[Bairro],mercado4)</f>
        <v>0</v>
      </c>
      <c r="P289" s="27" t="n">
        <f aca="false">SUMIFS(super1[Qtde],super1[Item],tab_alimentos[[#This Row],[Item]],super1[Bairro],mercado5)+SUMIFS(supercb[Qtde],supercb[Item],tab_alimentos[[#This Row],[Item]],supercb[Bairro],mercado5)</f>
        <v>0</v>
      </c>
      <c r="Q289" s="27" t="n">
        <f aca="false">SUMIFS(super1[Qtde],super1[Item],tab_alimentos[[#This Row],[Item]],super1[Bairro],mercado6)+SUMIFS(supercb[Qtde],supercb[Item],tab_alimentos[[#This Row],[Item]],supercb[Bairro],mercado6)</f>
        <v>0</v>
      </c>
      <c r="R289" s="27" t="n">
        <f aca="false">SUMIFS(super1[Qtde],super1[Item],tab_alimentos[[#This Row],[Item]],super1[Bairro],mercado7)+SUMIFS(supercb[Qtde],supercb[Item],tab_alimentos[[#This Row],[Item]],supercb[Bairro],mercado7)</f>
        <v>0</v>
      </c>
      <c r="S289" s="27" t="n">
        <f aca="false">SUMIFS(super1[Qtde],super1[Item],tab_alimentos[[#This Row],[Item]],super1[Bairro],mercado8)+SUMIFS(supercb[Qtde],supercb[Item],tab_alimentos[[#This Row],[Item]],supercb[Bairro],mercado8)</f>
        <v>0</v>
      </c>
      <c r="T289" s="27" t="n">
        <f aca="false">SUMIFS(super1[Qtde],super1[Item],tab_alimentos[[#This Row],[Item]],super1[Bairro],mercado9)+SUMIFS(supercb[Qtde],supercb[Item],tab_alimentos[[#This Row],[Item]],supercb[Bairro],mercado9)</f>
        <v>0</v>
      </c>
      <c r="U289" s="27" t="n">
        <f aca="false">SUMIFS(super1[Qtde],super1[Item],tab_alimentos[[#This Row],[Item]],super1[Bairro],mercado10)+SUMIFS(supercb[Qtde],supercb[Item],tab_alimentos[[#This Row],[Item]],supercb[Bairro],mercado10)</f>
        <v>0</v>
      </c>
      <c r="V289" s="27" t="n">
        <f aca="false">SUMIFS(super1[Qtde],super1[Item],tab_alimentos[[#This Row],[Item]],super1[Bairro],mercado11)+SUMIFS(supercb[Qtde],supercb[Item],tab_alimentos[[#This Row],[Item]],supercb[Bairro],mercado11)</f>
        <v>0</v>
      </c>
      <c r="W289" s="27" t="n">
        <f aca="false">SUMIFS(super1[Qtde],super1[Item],tab_alimentos[[#This Row],[Item]],super1[Bairro],mercado12)+SUMIFS(supercb[Qtde],supercb[Item],tab_alimentos[[#This Row],[Item]],supercb[Bairro],mercado12)</f>
        <v>0</v>
      </c>
      <c r="X289" s="27" t="n">
        <f aca="false">SUMIFS(super1[Qtde],super1[Item],tab_alimentos[[#This Row],[Item]],super1[Bairro],mercado13)+SUMIFS(supercb[Qtde],supercb[Item],tab_alimentos[[#This Row],[Item]],supercb[Bairro],mercado13)</f>
        <v>0</v>
      </c>
      <c r="Y289" s="27" t="n">
        <f aca="false">SUMIFS(super1[Qtde],super1[Item],tab_alimentos[[#This Row],[Item]],super1[Bairro],mercado14)+SUMIFS(supercb[Qtde],supercb[Item],tab_alimentos[[#This Row],[Item]],supercb[Bairro],mercado14)</f>
        <v>0</v>
      </c>
      <c r="Z289" s="27" t="n">
        <f aca="false">SUMIFS(super1[Qtde],super1[Item],tab_alimentos[[#This Row],[Item]],super1[Bairro],mercado15)+SUMIFS(supercb[Qtde],supercb[Item],tab_alimentos[[#This Row],[Item]],supercb[Bairro],mercado15)</f>
        <v>0</v>
      </c>
      <c r="AA289" s="27" t="n">
        <f aca="false">SUMIFS(super1[Qtde],super1[Item],tab_alimentos[[#This Row],[Item]],super1[Bairro],mercado16)+SUMIFS(supercb[Qtde],supercb[Item],tab_alimentos[[#This Row],[Item]],supercb[Bairro],mercado16)</f>
        <v>0</v>
      </c>
      <c r="AB289" s="27" t="n">
        <f aca="false">SUMIFS(super1[Qtde],super1[Item],tab_alimentos[[#This Row],[Item]],super1[Bairro],mercado17)+SUMIFS(supercb[Qtde],supercb[Item],tab_alimentos[[#This Row],[Item]],supercb[Bairro],mercado17)</f>
        <v>0</v>
      </c>
      <c r="AC289" s="27" t="n">
        <f aca="false">SUMIFS(super1[Qtde],super1[Item],tab_alimentos[[#This Row],[Item]],super1[Bairro],mercado18)+SUMIFS(supercb[Qtde],supercb[Item],tab_alimentos[[#This Row],[Item]],supercb[Bairro],mercado18)</f>
        <v>0</v>
      </c>
      <c r="AD289" s="27" t="n">
        <f aca="false">SUMIFS(super1[Qtde],super1[Item],tab_alimentos[[#This Row],[Item]],super1[Bairro],extras)+SUMIFS(supercb[Qtde],supercb[Item],tab_alimentos[[#This Row],[Item]],supercb[Bairro],extras)</f>
        <v>0</v>
      </c>
      <c r="AE289" s="27" t="n">
        <f aca="false">SUM(L289:AC289)</f>
        <v>0</v>
      </c>
      <c r="AF289" s="27" t="n">
        <f aca="false">IFERROR(AE289*K289,0)</f>
        <v>0</v>
      </c>
      <c r="AG289" s="28" t="n">
        <f aca="false">IFERROR(J289*AE289,0)</f>
        <v>0</v>
      </c>
      <c r="AH289" s="37" t="e">
        <f aca="false">higiene[[#This Row],[Item]]</f>
        <v>#VALUE!</v>
      </c>
      <c r="AI289" s="38" t="n">
        <f aca="false">IFERROR(higiene[[#This Row],[Kg equivalente]],0)</f>
        <v>0</v>
      </c>
      <c r="AJ289" s="38" t="n">
        <f aca="false">IFERROR(higiene[[#This Row],[Preço por produto]],0)</f>
        <v>0</v>
      </c>
      <c r="AK289" s="27" t="n">
        <f aca="false">SUMIFS(super1[Qtde],super1[Item],tab_higiene[[#This Row],[Item]],super1[Bairro],mercado1)+SUMIFS(supercb[Qtde],supercb[Item],tab_higiene[[#This Row],[Item]],supercb[Bairro],mercado1)</f>
        <v>0</v>
      </c>
      <c r="AL289" s="27" t="n">
        <f aca="false">SUMIFS(super1[Qtde],super1[Item],tab_higiene[[#This Row],[Item]],super1[Bairro],mercado2)+SUMIFS(supercb[Qtde],supercb[Item],tab_higiene[[#This Row],[Item]],supercb[Bairro],mercado2)</f>
        <v>0</v>
      </c>
      <c r="AM289" s="27" t="n">
        <f aca="false">SUMIFS(super1[Qtde],super1[Item],tab_higiene[[#This Row],[Item]],super1[Bairro],mercado3)+SUMIFS(supercb[Qtde],supercb[Item],tab_higiene[[#This Row],[Item]],supercb[Bairro],mercado3)</f>
        <v>0</v>
      </c>
      <c r="AN289" s="27" t="n">
        <f aca="false">SUMIFS(super1[Qtde],super1[Item],tab_higiene[[#This Row],[Item]],super1[Bairro],mercado4)+SUMIFS(supercb[Qtde],supercb[Item],tab_higiene[[#This Row],[Item]],supercb[Bairro],mercado4)</f>
        <v>0</v>
      </c>
      <c r="AO289" s="27" t="n">
        <f aca="false">SUMIFS(super1[Qtde],super1[Item],tab_higiene[[#This Row],[Item]],super1[Bairro],mercado5)+SUMIFS(supercb[Qtde],supercb[Item],tab_higiene[[#This Row],[Item]],supercb[Bairro],mercado5)</f>
        <v>0</v>
      </c>
      <c r="AP289" s="27" t="n">
        <f aca="false">SUMIFS(super1[Qtde],super1[Item],tab_higiene[[#This Row],[Item]],super1[Bairro],mercado6)+SUMIFS(supercb[Qtde],supercb[Item],tab_higiene[[#This Row],[Item]],supercb[Bairro],mercado6)</f>
        <v>0</v>
      </c>
      <c r="AQ289" s="27" t="n">
        <f aca="false">SUMIFS(super1[Qtde],super1[Item],tab_higiene[[#This Row],[Item]],super1[Bairro],mercado7)+SUMIFS(supercb[Qtde],supercb[Item],tab_higiene[[#This Row],[Item]],supercb[Bairro],mercado7)</f>
        <v>0</v>
      </c>
      <c r="AR289" s="27" t="n">
        <f aca="false">SUMIFS(super1[Qtde],super1[Item],tab_higiene[[#This Row],[Item]],super1[Bairro],mercado8)+SUMIFS(supercb[Qtde],supercb[Item],tab_higiene[[#This Row],[Item]],supercb[Bairro],mercado8)</f>
        <v>0</v>
      </c>
      <c r="AS289" s="27" t="n">
        <f aca="false">SUMIFS(super1[Qtde],super1[Item],tab_higiene[[#This Row],[Item]],super1[Bairro],mercado9)+SUMIFS(supercb[Qtde],supercb[Item],tab_higiene[[#This Row],[Item]],supercb[Bairro],mercado9)</f>
        <v>0</v>
      </c>
      <c r="AT289" s="27" t="n">
        <f aca="false">SUMIFS(super1[Qtde],super1[Item],tab_higiene[[#This Row],[Item]],super1[Bairro],mercado10)+SUMIFS(supercb[Qtde],supercb[Item],tab_higiene[[#This Row],[Item]],supercb[Bairro],mercado10)</f>
        <v>0</v>
      </c>
      <c r="AU289" s="27" t="n">
        <f aca="false">SUMIFS(super1[Qtde],super1[Item],tab_higiene[[#This Row],[Item]],super1[Bairro],mercado11)+SUMIFS(supercb[Qtde],supercb[Item],tab_higiene[[#This Row],[Item]],supercb[Bairro],mercado11)</f>
        <v>0</v>
      </c>
      <c r="AV289" s="27" t="n">
        <f aca="false">SUMIFS(super1[Qtde],super1[Item],tab_higiene[[#This Row],[Item]],super1[Bairro],mercado12)+SUMIFS(supercb[Qtde],supercb[Item],tab_higiene[[#This Row],[Item]],supercb[Bairro],mercado12)</f>
        <v>0</v>
      </c>
      <c r="AW289" s="27" t="n">
        <f aca="false">SUMIFS(super1[Qtde],super1[Item],tab_higiene[[#This Row],[Item]],super1[Bairro],mercado13)+SUMIFS(supercb[Qtde],supercb[Item],tab_higiene[[#This Row],[Item]],supercb[Bairro],mercado13)</f>
        <v>0</v>
      </c>
      <c r="AX289" s="27" t="n">
        <f aca="false">SUMIFS(super1[Qtde],super1[Item],tab_higiene[[#This Row],[Item]],super1[Bairro],mercado14)+SUMIFS(supercb[Qtde],supercb[Item],tab_higiene[[#This Row],[Item]],supercb[Bairro],mercado14)</f>
        <v>0</v>
      </c>
      <c r="AY289" s="27" t="n">
        <f aca="false">SUMIFS(super1[Qtde],super1[Item],tab_higiene[[#This Row],[Item]],super1[Bairro],mercado15)+SUMIFS(supercb[Qtde],supercb[Item],tab_higiene[[#This Row],[Item]],supercb[Bairro],mercado15)</f>
        <v>0</v>
      </c>
      <c r="AZ289" s="27" t="n">
        <f aca="false">SUMIFS(super1[Qtde],super1[Item],tab_higiene[[#This Row],[Item]],super1[Bairro],mercado16)+SUMIFS(supercb[Qtde],supercb[Item],tab_higiene[[#This Row],[Item]],supercb[Bairro],mercado16)</f>
        <v>0</v>
      </c>
      <c r="BA289" s="27" t="n">
        <f aca="false">SUMIFS(super1[Qtde],super1[Item],tab_higiene[[#This Row],[Item]],super1[Bairro],mercado17)+SUMIFS(supercb[Qtde],supercb[Item],tab_higiene[[#This Row],[Item]],supercb[Bairro],mercado17)</f>
        <v>0</v>
      </c>
      <c r="BB289" s="27" t="n">
        <f aca="false">SUMIFS(super1[Qtde],super1[Item],tab_higiene[[#This Row],[Item]],super1[Bairro],mercado18)+SUMIFS(supercb[Qtde],supercb[Item],tab_higiene[[#This Row],[Item]],supercb[Bairro],mercado18)</f>
        <v>0</v>
      </c>
      <c r="BC289" s="39" t="n">
        <f aca="false">SUMIFS(super1[Qtde],super1[Item],tab_higiene[[#This Row],[Item]],super1[Bairro],extras)+SUMIFS(supercb[Qtde],supercb[Item],tab_higiene[[#This Row],[Item]],supercb[Bairro],extras)</f>
        <v>0</v>
      </c>
      <c r="BD289" s="38" t="n">
        <f aca="false">SUM(AK289:BB289)</f>
        <v>0</v>
      </c>
      <c r="BE289" s="38" t="n">
        <f aca="false">IFERROR(BD289*AJ289,0)</f>
        <v>0</v>
      </c>
      <c r="BF289" s="40" t="n">
        <f aca="false">IFERROR(AI289*BD289,0)</f>
        <v>0</v>
      </c>
    </row>
    <row r="290" customFormat="false" ht="15.75" hidden="false" customHeight="false" outlineLevel="0" collapsed="false">
      <c r="I290" s="26" t="e">
        <f aca="false">alimentos[[#This Row],[Item]]</f>
        <v>#VALUE!</v>
      </c>
      <c r="J290" s="27" t="n">
        <f aca="false">IFERROR(alimentos[[#This Row],[kg/embalagem]],0)</f>
        <v>0</v>
      </c>
      <c r="K290" s="27" t="n">
        <f aca="false">IFERROR(alimentos[[#This Row],[Preço]],0)</f>
        <v>0</v>
      </c>
      <c r="L290" s="27" t="n">
        <f aca="false">SUMIFS(super1[Qtde],super1[Item],tab_alimentos[[#This Row],[Item]],super1[Bairro],mercado1)+SUMIFS(supercb[Qtde],supercb[Item],tab_alimentos[[#This Row],[Item]],supercb[Bairro],mercado1)</f>
        <v>0</v>
      </c>
      <c r="M290" s="27" t="n">
        <f aca="false">SUMIFS(super1[Qtde],super1[Item],tab_alimentos[[#This Row],[Item]],super1[Bairro],mercado2)+SUMIFS(supercb[Qtde],supercb[Item],tab_alimentos[[#This Row],[Item]],supercb[Bairro],mercado2)</f>
        <v>0</v>
      </c>
      <c r="N290" s="27" t="n">
        <f aca="false">SUMIFS(super1[Qtde],super1[Item],tab_alimentos[[#This Row],[Item]],super1[Bairro],mercado3)+SUMIFS(supercb[Qtde],supercb[Item],tab_alimentos[[#This Row],[Item]],supercb[Bairro],mercado3)</f>
        <v>0</v>
      </c>
      <c r="O290" s="27" t="n">
        <f aca="false">SUMIFS(super1[Qtde],super1[Item],tab_alimentos[[#This Row],[Item]],super1[Bairro],mercado4)+SUMIFS(supercb[Qtde],supercb[Item],tab_alimentos[[#This Row],[Item]],supercb[Bairro],mercado4)</f>
        <v>0</v>
      </c>
      <c r="P290" s="27" t="n">
        <f aca="false">SUMIFS(super1[Qtde],super1[Item],tab_alimentos[[#This Row],[Item]],super1[Bairro],mercado5)+SUMIFS(supercb[Qtde],supercb[Item],tab_alimentos[[#This Row],[Item]],supercb[Bairro],mercado5)</f>
        <v>0</v>
      </c>
      <c r="Q290" s="27" t="n">
        <f aca="false">SUMIFS(super1[Qtde],super1[Item],tab_alimentos[[#This Row],[Item]],super1[Bairro],mercado6)+SUMIFS(supercb[Qtde],supercb[Item],tab_alimentos[[#This Row],[Item]],supercb[Bairro],mercado6)</f>
        <v>0</v>
      </c>
      <c r="R290" s="27" t="n">
        <f aca="false">SUMIFS(super1[Qtde],super1[Item],tab_alimentos[[#This Row],[Item]],super1[Bairro],mercado7)+SUMIFS(supercb[Qtde],supercb[Item],tab_alimentos[[#This Row],[Item]],supercb[Bairro],mercado7)</f>
        <v>0</v>
      </c>
      <c r="S290" s="27" t="n">
        <f aca="false">SUMIFS(super1[Qtde],super1[Item],tab_alimentos[[#This Row],[Item]],super1[Bairro],mercado8)+SUMIFS(supercb[Qtde],supercb[Item],tab_alimentos[[#This Row],[Item]],supercb[Bairro],mercado8)</f>
        <v>0</v>
      </c>
      <c r="T290" s="27" t="n">
        <f aca="false">SUMIFS(super1[Qtde],super1[Item],tab_alimentos[[#This Row],[Item]],super1[Bairro],mercado9)+SUMIFS(supercb[Qtde],supercb[Item],tab_alimentos[[#This Row],[Item]],supercb[Bairro],mercado9)</f>
        <v>0</v>
      </c>
      <c r="U290" s="27" t="n">
        <f aca="false">SUMIFS(super1[Qtde],super1[Item],tab_alimentos[[#This Row],[Item]],super1[Bairro],mercado10)+SUMIFS(supercb[Qtde],supercb[Item],tab_alimentos[[#This Row],[Item]],supercb[Bairro],mercado10)</f>
        <v>0</v>
      </c>
      <c r="V290" s="27" t="n">
        <f aca="false">SUMIFS(super1[Qtde],super1[Item],tab_alimentos[[#This Row],[Item]],super1[Bairro],mercado11)+SUMIFS(supercb[Qtde],supercb[Item],tab_alimentos[[#This Row],[Item]],supercb[Bairro],mercado11)</f>
        <v>0</v>
      </c>
      <c r="W290" s="27" t="n">
        <f aca="false">SUMIFS(super1[Qtde],super1[Item],tab_alimentos[[#This Row],[Item]],super1[Bairro],mercado12)+SUMIFS(supercb[Qtde],supercb[Item],tab_alimentos[[#This Row],[Item]],supercb[Bairro],mercado12)</f>
        <v>0</v>
      </c>
      <c r="X290" s="27" t="n">
        <f aca="false">SUMIFS(super1[Qtde],super1[Item],tab_alimentos[[#This Row],[Item]],super1[Bairro],mercado13)+SUMIFS(supercb[Qtde],supercb[Item],tab_alimentos[[#This Row],[Item]],supercb[Bairro],mercado13)</f>
        <v>0</v>
      </c>
      <c r="Y290" s="27" t="n">
        <f aca="false">SUMIFS(super1[Qtde],super1[Item],tab_alimentos[[#This Row],[Item]],super1[Bairro],mercado14)+SUMIFS(supercb[Qtde],supercb[Item],tab_alimentos[[#This Row],[Item]],supercb[Bairro],mercado14)</f>
        <v>0</v>
      </c>
      <c r="Z290" s="27" t="n">
        <f aca="false">SUMIFS(super1[Qtde],super1[Item],tab_alimentos[[#This Row],[Item]],super1[Bairro],mercado15)+SUMIFS(supercb[Qtde],supercb[Item],tab_alimentos[[#This Row],[Item]],supercb[Bairro],mercado15)</f>
        <v>0</v>
      </c>
      <c r="AA290" s="27" t="n">
        <f aca="false">SUMIFS(super1[Qtde],super1[Item],tab_alimentos[[#This Row],[Item]],super1[Bairro],mercado16)+SUMIFS(supercb[Qtde],supercb[Item],tab_alimentos[[#This Row],[Item]],supercb[Bairro],mercado16)</f>
        <v>0</v>
      </c>
      <c r="AB290" s="27" t="n">
        <f aca="false">SUMIFS(super1[Qtde],super1[Item],tab_alimentos[[#This Row],[Item]],super1[Bairro],mercado17)+SUMIFS(supercb[Qtde],supercb[Item],tab_alimentos[[#This Row],[Item]],supercb[Bairro],mercado17)</f>
        <v>0</v>
      </c>
      <c r="AC290" s="27" t="n">
        <f aca="false">SUMIFS(super1[Qtde],super1[Item],tab_alimentos[[#This Row],[Item]],super1[Bairro],mercado18)+SUMIFS(supercb[Qtde],supercb[Item],tab_alimentos[[#This Row],[Item]],supercb[Bairro],mercado18)</f>
        <v>0</v>
      </c>
      <c r="AD290" s="27" t="n">
        <f aca="false">SUMIFS(super1[Qtde],super1[Item],tab_alimentos[[#This Row],[Item]],super1[Bairro],extras)+SUMIFS(supercb[Qtde],supercb[Item],tab_alimentos[[#This Row],[Item]],supercb[Bairro],extras)</f>
        <v>0</v>
      </c>
      <c r="AE290" s="27" t="n">
        <f aca="false">SUM(L290:AC290)</f>
        <v>0</v>
      </c>
      <c r="AF290" s="27" t="n">
        <f aca="false">IFERROR(AE290*K290,0)</f>
        <v>0</v>
      </c>
      <c r="AG290" s="28" t="n">
        <f aca="false">IFERROR(J290*AE290,0)</f>
        <v>0</v>
      </c>
      <c r="AH290" s="37" t="e">
        <f aca="false">higiene[[#This Row],[Item]]</f>
        <v>#VALUE!</v>
      </c>
      <c r="AI290" s="38" t="n">
        <f aca="false">IFERROR(higiene[[#This Row],[Kg equivalente]],0)</f>
        <v>0</v>
      </c>
      <c r="AJ290" s="38" t="n">
        <f aca="false">IFERROR(higiene[[#This Row],[Preço por produto]],0)</f>
        <v>0</v>
      </c>
      <c r="AK290" s="27" t="n">
        <f aca="false">SUMIFS(super1[Qtde],super1[Item],tab_higiene[[#This Row],[Item]],super1[Bairro],mercado1)+SUMIFS(supercb[Qtde],supercb[Item],tab_higiene[[#This Row],[Item]],supercb[Bairro],mercado1)</f>
        <v>0</v>
      </c>
      <c r="AL290" s="27" t="n">
        <f aca="false">SUMIFS(super1[Qtde],super1[Item],tab_higiene[[#This Row],[Item]],super1[Bairro],mercado2)+SUMIFS(supercb[Qtde],supercb[Item],tab_higiene[[#This Row],[Item]],supercb[Bairro],mercado2)</f>
        <v>0</v>
      </c>
      <c r="AM290" s="27" t="n">
        <f aca="false">SUMIFS(super1[Qtde],super1[Item],tab_higiene[[#This Row],[Item]],super1[Bairro],mercado3)+SUMIFS(supercb[Qtde],supercb[Item],tab_higiene[[#This Row],[Item]],supercb[Bairro],mercado3)</f>
        <v>0</v>
      </c>
      <c r="AN290" s="27" t="n">
        <f aca="false">SUMIFS(super1[Qtde],super1[Item],tab_higiene[[#This Row],[Item]],super1[Bairro],mercado4)+SUMIFS(supercb[Qtde],supercb[Item],tab_higiene[[#This Row],[Item]],supercb[Bairro],mercado4)</f>
        <v>0</v>
      </c>
      <c r="AO290" s="27" t="n">
        <f aca="false">SUMIFS(super1[Qtde],super1[Item],tab_higiene[[#This Row],[Item]],super1[Bairro],mercado5)+SUMIFS(supercb[Qtde],supercb[Item],tab_higiene[[#This Row],[Item]],supercb[Bairro],mercado5)</f>
        <v>0</v>
      </c>
      <c r="AP290" s="27" t="n">
        <f aca="false">SUMIFS(super1[Qtde],super1[Item],tab_higiene[[#This Row],[Item]],super1[Bairro],mercado6)+SUMIFS(supercb[Qtde],supercb[Item],tab_higiene[[#This Row],[Item]],supercb[Bairro],mercado6)</f>
        <v>0</v>
      </c>
      <c r="AQ290" s="27" t="n">
        <f aca="false">SUMIFS(super1[Qtde],super1[Item],tab_higiene[[#This Row],[Item]],super1[Bairro],mercado7)+SUMIFS(supercb[Qtde],supercb[Item],tab_higiene[[#This Row],[Item]],supercb[Bairro],mercado7)</f>
        <v>0</v>
      </c>
      <c r="AR290" s="27" t="n">
        <f aca="false">SUMIFS(super1[Qtde],super1[Item],tab_higiene[[#This Row],[Item]],super1[Bairro],mercado8)+SUMIFS(supercb[Qtde],supercb[Item],tab_higiene[[#This Row],[Item]],supercb[Bairro],mercado8)</f>
        <v>0</v>
      </c>
      <c r="AS290" s="27" t="n">
        <f aca="false">SUMIFS(super1[Qtde],super1[Item],tab_higiene[[#This Row],[Item]],super1[Bairro],mercado9)+SUMIFS(supercb[Qtde],supercb[Item],tab_higiene[[#This Row],[Item]],supercb[Bairro],mercado9)</f>
        <v>0</v>
      </c>
      <c r="AT290" s="27" t="n">
        <f aca="false">SUMIFS(super1[Qtde],super1[Item],tab_higiene[[#This Row],[Item]],super1[Bairro],mercado10)+SUMIFS(supercb[Qtde],supercb[Item],tab_higiene[[#This Row],[Item]],supercb[Bairro],mercado10)</f>
        <v>0</v>
      </c>
      <c r="AU290" s="27" t="n">
        <f aca="false">SUMIFS(super1[Qtde],super1[Item],tab_higiene[[#This Row],[Item]],super1[Bairro],mercado11)+SUMIFS(supercb[Qtde],supercb[Item],tab_higiene[[#This Row],[Item]],supercb[Bairro],mercado11)</f>
        <v>0</v>
      </c>
      <c r="AV290" s="27" t="n">
        <f aca="false">SUMIFS(super1[Qtde],super1[Item],tab_higiene[[#This Row],[Item]],super1[Bairro],mercado12)+SUMIFS(supercb[Qtde],supercb[Item],tab_higiene[[#This Row],[Item]],supercb[Bairro],mercado12)</f>
        <v>0</v>
      </c>
      <c r="AW290" s="27" t="n">
        <f aca="false">SUMIFS(super1[Qtde],super1[Item],tab_higiene[[#This Row],[Item]],super1[Bairro],mercado13)+SUMIFS(supercb[Qtde],supercb[Item],tab_higiene[[#This Row],[Item]],supercb[Bairro],mercado13)</f>
        <v>0</v>
      </c>
      <c r="AX290" s="27" t="n">
        <f aca="false">SUMIFS(super1[Qtde],super1[Item],tab_higiene[[#This Row],[Item]],super1[Bairro],mercado14)+SUMIFS(supercb[Qtde],supercb[Item],tab_higiene[[#This Row],[Item]],supercb[Bairro],mercado14)</f>
        <v>0</v>
      </c>
      <c r="AY290" s="27" t="n">
        <f aca="false">SUMIFS(super1[Qtde],super1[Item],tab_higiene[[#This Row],[Item]],super1[Bairro],mercado15)+SUMIFS(supercb[Qtde],supercb[Item],tab_higiene[[#This Row],[Item]],supercb[Bairro],mercado15)</f>
        <v>0</v>
      </c>
      <c r="AZ290" s="27" t="n">
        <f aca="false">SUMIFS(super1[Qtde],super1[Item],tab_higiene[[#This Row],[Item]],super1[Bairro],mercado16)+SUMIFS(supercb[Qtde],supercb[Item],tab_higiene[[#This Row],[Item]],supercb[Bairro],mercado16)</f>
        <v>0</v>
      </c>
      <c r="BA290" s="27" t="n">
        <f aca="false">SUMIFS(super1[Qtde],super1[Item],tab_higiene[[#This Row],[Item]],super1[Bairro],mercado17)+SUMIFS(supercb[Qtde],supercb[Item],tab_higiene[[#This Row],[Item]],supercb[Bairro],mercado17)</f>
        <v>0</v>
      </c>
      <c r="BB290" s="27" t="n">
        <f aca="false">SUMIFS(super1[Qtde],super1[Item],tab_higiene[[#This Row],[Item]],super1[Bairro],mercado18)+SUMIFS(supercb[Qtde],supercb[Item],tab_higiene[[#This Row],[Item]],supercb[Bairro],mercado18)</f>
        <v>0</v>
      </c>
      <c r="BC290" s="39" t="n">
        <f aca="false">SUMIFS(super1[Qtde],super1[Item],tab_higiene[[#This Row],[Item]],super1[Bairro],extras)+SUMIFS(supercb[Qtde],supercb[Item],tab_higiene[[#This Row],[Item]],supercb[Bairro],extras)</f>
        <v>0</v>
      </c>
      <c r="BD290" s="38" t="n">
        <f aca="false">SUM(AK290:BB290)</f>
        <v>0</v>
      </c>
      <c r="BE290" s="38" t="n">
        <f aca="false">IFERROR(BD290*AJ290,0)</f>
        <v>0</v>
      </c>
      <c r="BF290" s="40" t="n">
        <f aca="false">IFERROR(AI290*BD290,0)</f>
        <v>0</v>
      </c>
    </row>
    <row r="291" customFormat="false" ht="15.75" hidden="false" customHeight="false" outlineLevel="0" collapsed="false">
      <c r="I291" s="26" t="e">
        <f aca="false">alimentos[[#This Row],[Item]]</f>
        <v>#VALUE!</v>
      </c>
      <c r="J291" s="27" t="n">
        <f aca="false">IFERROR(alimentos[[#This Row],[kg/embalagem]],0)</f>
        <v>0</v>
      </c>
      <c r="K291" s="27" t="n">
        <f aca="false">IFERROR(alimentos[[#This Row],[Preço]],0)</f>
        <v>0</v>
      </c>
      <c r="L291" s="27" t="n">
        <f aca="false">SUMIFS(super1[Qtde],super1[Item],tab_alimentos[[#This Row],[Item]],super1[Bairro],mercado1)+SUMIFS(supercb[Qtde],supercb[Item],tab_alimentos[[#This Row],[Item]],supercb[Bairro],mercado1)</f>
        <v>0</v>
      </c>
      <c r="M291" s="27" t="n">
        <f aca="false">SUMIFS(super1[Qtde],super1[Item],tab_alimentos[[#This Row],[Item]],super1[Bairro],mercado2)+SUMIFS(supercb[Qtde],supercb[Item],tab_alimentos[[#This Row],[Item]],supercb[Bairro],mercado2)</f>
        <v>0</v>
      </c>
      <c r="N291" s="27" t="n">
        <f aca="false">SUMIFS(super1[Qtde],super1[Item],tab_alimentos[[#This Row],[Item]],super1[Bairro],mercado3)+SUMIFS(supercb[Qtde],supercb[Item],tab_alimentos[[#This Row],[Item]],supercb[Bairro],mercado3)</f>
        <v>0</v>
      </c>
      <c r="O291" s="27" t="n">
        <f aca="false">SUMIFS(super1[Qtde],super1[Item],tab_alimentos[[#This Row],[Item]],super1[Bairro],mercado4)+SUMIFS(supercb[Qtde],supercb[Item],tab_alimentos[[#This Row],[Item]],supercb[Bairro],mercado4)</f>
        <v>0</v>
      </c>
      <c r="P291" s="27" t="n">
        <f aca="false">SUMIFS(super1[Qtde],super1[Item],tab_alimentos[[#This Row],[Item]],super1[Bairro],mercado5)+SUMIFS(supercb[Qtde],supercb[Item],tab_alimentos[[#This Row],[Item]],supercb[Bairro],mercado5)</f>
        <v>0</v>
      </c>
      <c r="Q291" s="27" t="n">
        <f aca="false">SUMIFS(super1[Qtde],super1[Item],tab_alimentos[[#This Row],[Item]],super1[Bairro],mercado6)+SUMIFS(supercb[Qtde],supercb[Item],tab_alimentos[[#This Row],[Item]],supercb[Bairro],mercado6)</f>
        <v>0</v>
      </c>
      <c r="R291" s="27" t="n">
        <f aca="false">SUMIFS(super1[Qtde],super1[Item],tab_alimentos[[#This Row],[Item]],super1[Bairro],mercado7)+SUMIFS(supercb[Qtde],supercb[Item],tab_alimentos[[#This Row],[Item]],supercb[Bairro],mercado7)</f>
        <v>0</v>
      </c>
      <c r="S291" s="27" t="n">
        <f aca="false">SUMIFS(super1[Qtde],super1[Item],tab_alimentos[[#This Row],[Item]],super1[Bairro],mercado8)+SUMIFS(supercb[Qtde],supercb[Item],tab_alimentos[[#This Row],[Item]],supercb[Bairro],mercado8)</f>
        <v>0</v>
      </c>
      <c r="T291" s="27" t="n">
        <f aca="false">SUMIFS(super1[Qtde],super1[Item],tab_alimentos[[#This Row],[Item]],super1[Bairro],mercado9)+SUMIFS(supercb[Qtde],supercb[Item],tab_alimentos[[#This Row],[Item]],supercb[Bairro],mercado9)</f>
        <v>0</v>
      </c>
      <c r="U291" s="27" t="n">
        <f aca="false">SUMIFS(super1[Qtde],super1[Item],tab_alimentos[[#This Row],[Item]],super1[Bairro],mercado10)+SUMIFS(supercb[Qtde],supercb[Item],tab_alimentos[[#This Row],[Item]],supercb[Bairro],mercado10)</f>
        <v>0</v>
      </c>
      <c r="V291" s="27" t="n">
        <f aca="false">SUMIFS(super1[Qtde],super1[Item],tab_alimentos[[#This Row],[Item]],super1[Bairro],mercado11)+SUMIFS(supercb[Qtde],supercb[Item],tab_alimentos[[#This Row],[Item]],supercb[Bairro],mercado11)</f>
        <v>0</v>
      </c>
      <c r="W291" s="27" t="n">
        <f aca="false">SUMIFS(super1[Qtde],super1[Item],tab_alimentos[[#This Row],[Item]],super1[Bairro],mercado12)+SUMIFS(supercb[Qtde],supercb[Item],tab_alimentos[[#This Row],[Item]],supercb[Bairro],mercado12)</f>
        <v>0</v>
      </c>
      <c r="X291" s="27" t="n">
        <f aca="false">SUMIFS(super1[Qtde],super1[Item],tab_alimentos[[#This Row],[Item]],super1[Bairro],mercado13)+SUMIFS(supercb[Qtde],supercb[Item],tab_alimentos[[#This Row],[Item]],supercb[Bairro],mercado13)</f>
        <v>0</v>
      </c>
      <c r="Y291" s="27" t="n">
        <f aca="false">SUMIFS(super1[Qtde],super1[Item],tab_alimentos[[#This Row],[Item]],super1[Bairro],mercado14)+SUMIFS(supercb[Qtde],supercb[Item],tab_alimentos[[#This Row],[Item]],supercb[Bairro],mercado14)</f>
        <v>0</v>
      </c>
      <c r="Z291" s="27" t="n">
        <f aca="false">SUMIFS(super1[Qtde],super1[Item],tab_alimentos[[#This Row],[Item]],super1[Bairro],mercado15)+SUMIFS(supercb[Qtde],supercb[Item],tab_alimentos[[#This Row],[Item]],supercb[Bairro],mercado15)</f>
        <v>0</v>
      </c>
      <c r="AA291" s="27" t="n">
        <f aca="false">SUMIFS(super1[Qtde],super1[Item],tab_alimentos[[#This Row],[Item]],super1[Bairro],mercado16)+SUMIFS(supercb[Qtde],supercb[Item],tab_alimentos[[#This Row],[Item]],supercb[Bairro],mercado16)</f>
        <v>0</v>
      </c>
      <c r="AB291" s="27" t="n">
        <f aca="false">SUMIFS(super1[Qtde],super1[Item],tab_alimentos[[#This Row],[Item]],super1[Bairro],mercado17)+SUMIFS(supercb[Qtde],supercb[Item],tab_alimentos[[#This Row],[Item]],supercb[Bairro],mercado17)</f>
        <v>0</v>
      </c>
      <c r="AC291" s="27" t="n">
        <f aca="false">SUMIFS(super1[Qtde],super1[Item],tab_alimentos[[#This Row],[Item]],super1[Bairro],mercado18)+SUMIFS(supercb[Qtde],supercb[Item],tab_alimentos[[#This Row],[Item]],supercb[Bairro],mercado18)</f>
        <v>0</v>
      </c>
      <c r="AD291" s="27" t="n">
        <f aca="false">SUMIFS(super1[Qtde],super1[Item],tab_alimentos[[#This Row],[Item]],super1[Bairro],extras)+SUMIFS(supercb[Qtde],supercb[Item],tab_alimentos[[#This Row],[Item]],supercb[Bairro],extras)</f>
        <v>0</v>
      </c>
      <c r="AE291" s="27" t="n">
        <f aca="false">SUM(L291:AC291)</f>
        <v>0</v>
      </c>
      <c r="AF291" s="27" t="n">
        <f aca="false">IFERROR(AE291*K291,0)</f>
        <v>0</v>
      </c>
      <c r="AG291" s="28" t="n">
        <f aca="false">IFERROR(J291*AE291,0)</f>
        <v>0</v>
      </c>
      <c r="AH291" s="37" t="e">
        <f aca="false">higiene[[#This Row],[Item]]</f>
        <v>#VALUE!</v>
      </c>
      <c r="AI291" s="38" t="n">
        <f aca="false">IFERROR(higiene[[#This Row],[Kg equivalente]],0)</f>
        <v>0</v>
      </c>
      <c r="AJ291" s="38" t="n">
        <f aca="false">IFERROR(higiene[[#This Row],[Preço por produto]],0)</f>
        <v>0</v>
      </c>
      <c r="AK291" s="27" t="n">
        <f aca="false">SUMIFS(super1[Qtde],super1[Item],tab_higiene[[#This Row],[Item]],super1[Bairro],mercado1)+SUMIFS(supercb[Qtde],supercb[Item],tab_higiene[[#This Row],[Item]],supercb[Bairro],mercado1)</f>
        <v>0</v>
      </c>
      <c r="AL291" s="27" t="n">
        <f aca="false">SUMIFS(super1[Qtde],super1[Item],tab_higiene[[#This Row],[Item]],super1[Bairro],mercado2)+SUMIFS(supercb[Qtde],supercb[Item],tab_higiene[[#This Row],[Item]],supercb[Bairro],mercado2)</f>
        <v>0</v>
      </c>
      <c r="AM291" s="27" t="n">
        <f aca="false">SUMIFS(super1[Qtde],super1[Item],tab_higiene[[#This Row],[Item]],super1[Bairro],mercado3)+SUMIFS(supercb[Qtde],supercb[Item],tab_higiene[[#This Row],[Item]],supercb[Bairro],mercado3)</f>
        <v>0</v>
      </c>
      <c r="AN291" s="27" t="n">
        <f aca="false">SUMIFS(super1[Qtde],super1[Item],tab_higiene[[#This Row],[Item]],super1[Bairro],mercado4)+SUMIFS(supercb[Qtde],supercb[Item],tab_higiene[[#This Row],[Item]],supercb[Bairro],mercado4)</f>
        <v>0</v>
      </c>
      <c r="AO291" s="27" t="n">
        <f aca="false">SUMIFS(super1[Qtde],super1[Item],tab_higiene[[#This Row],[Item]],super1[Bairro],mercado5)+SUMIFS(supercb[Qtde],supercb[Item],tab_higiene[[#This Row],[Item]],supercb[Bairro],mercado5)</f>
        <v>0</v>
      </c>
      <c r="AP291" s="27" t="n">
        <f aca="false">SUMIFS(super1[Qtde],super1[Item],tab_higiene[[#This Row],[Item]],super1[Bairro],mercado6)+SUMIFS(supercb[Qtde],supercb[Item],tab_higiene[[#This Row],[Item]],supercb[Bairro],mercado6)</f>
        <v>0</v>
      </c>
      <c r="AQ291" s="27" t="n">
        <f aca="false">SUMIFS(super1[Qtde],super1[Item],tab_higiene[[#This Row],[Item]],super1[Bairro],mercado7)+SUMIFS(supercb[Qtde],supercb[Item],tab_higiene[[#This Row],[Item]],supercb[Bairro],mercado7)</f>
        <v>0</v>
      </c>
      <c r="AR291" s="27" t="n">
        <f aca="false">SUMIFS(super1[Qtde],super1[Item],tab_higiene[[#This Row],[Item]],super1[Bairro],mercado8)+SUMIFS(supercb[Qtde],supercb[Item],tab_higiene[[#This Row],[Item]],supercb[Bairro],mercado8)</f>
        <v>0</v>
      </c>
      <c r="AS291" s="27" t="n">
        <f aca="false">SUMIFS(super1[Qtde],super1[Item],tab_higiene[[#This Row],[Item]],super1[Bairro],mercado9)+SUMIFS(supercb[Qtde],supercb[Item],tab_higiene[[#This Row],[Item]],supercb[Bairro],mercado9)</f>
        <v>0</v>
      </c>
      <c r="AT291" s="27" t="n">
        <f aca="false">SUMIFS(super1[Qtde],super1[Item],tab_higiene[[#This Row],[Item]],super1[Bairro],mercado10)+SUMIFS(supercb[Qtde],supercb[Item],tab_higiene[[#This Row],[Item]],supercb[Bairro],mercado10)</f>
        <v>0</v>
      </c>
      <c r="AU291" s="27" t="n">
        <f aca="false">SUMIFS(super1[Qtde],super1[Item],tab_higiene[[#This Row],[Item]],super1[Bairro],mercado11)+SUMIFS(supercb[Qtde],supercb[Item],tab_higiene[[#This Row],[Item]],supercb[Bairro],mercado11)</f>
        <v>0</v>
      </c>
      <c r="AV291" s="27" t="n">
        <f aca="false">SUMIFS(super1[Qtde],super1[Item],tab_higiene[[#This Row],[Item]],super1[Bairro],mercado12)+SUMIFS(supercb[Qtde],supercb[Item],tab_higiene[[#This Row],[Item]],supercb[Bairro],mercado12)</f>
        <v>0</v>
      </c>
      <c r="AW291" s="27" t="n">
        <f aca="false">SUMIFS(super1[Qtde],super1[Item],tab_higiene[[#This Row],[Item]],super1[Bairro],mercado13)+SUMIFS(supercb[Qtde],supercb[Item],tab_higiene[[#This Row],[Item]],supercb[Bairro],mercado13)</f>
        <v>0</v>
      </c>
      <c r="AX291" s="27" t="n">
        <f aca="false">SUMIFS(super1[Qtde],super1[Item],tab_higiene[[#This Row],[Item]],super1[Bairro],mercado14)+SUMIFS(supercb[Qtde],supercb[Item],tab_higiene[[#This Row],[Item]],supercb[Bairro],mercado14)</f>
        <v>0</v>
      </c>
      <c r="AY291" s="27" t="n">
        <f aca="false">SUMIFS(super1[Qtde],super1[Item],tab_higiene[[#This Row],[Item]],super1[Bairro],mercado15)+SUMIFS(supercb[Qtde],supercb[Item],tab_higiene[[#This Row],[Item]],supercb[Bairro],mercado15)</f>
        <v>0</v>
      </c>
      <c r="AZ291" s="27" t="n">
        <f aca="false">SUMIFS(super1[Qtde],super1[Item],tab_higiene[[#This Row],[Item]],super1[Bairro],mercado16)+SUMIFS(supercb[Qtde],supercb[Item],tab_higiene[[#This Row],[Item]],supercb[Bairro],mercado16)</f>
        <v>0</v>
      </c>
      <c r="BA291" s="27" t="n">
        <f aca="false">SUMIFS(super1[Qtde],super1[Item],tab_higiene[[#This Row],[Item]],super1[Bairro],mercado17)+SUMIFS(supercb[Qtde],supercb[Item],tab_higiene[[#This Row],[Item]],supercb[Bairro],mercado17)</f>
        <v>0</v>
      </c>
      <c r="BB291" s="27" t="n">
        <f aca="false">SUMIFS(super1[Qtde],super1[Item],tab_higiene[[#This Row],[Item]],super1[Bairro],mercado18)+SUMIFS(supercb[Qtde],supercb[Item],tab_higiene[[#This Row],[Item]],supercb[Bairro],mercado18)</f>
        <v>0</v>
      </c>
      <c r="BC291" s="39" t="n">
        <f aca="false">SUMIFS(super1[Qtde],super1[Item],tab_higiene[[#This Row],[Item]],super1[Bairro],extras)+SUMIFS(supercb[Qtde],supercb[Item],tab_higiene[[#This Row],[Item]],supercb[Bairro],extras)</f>
        <v>0</v>
      </c>
      <c r="BD291" s="38" t="n">
        <f aca="false">SUM(AK291:BB291)</f>
        <v>0</v>
      </c>
      <c r="BE291" s="38" t="n">
        <f aca="false">IFERROR(BD291*AJ291,0)</f>
        <v>0</v>
      </c>
      <c r="BF291" s="40" t="n">
        <f aca="false">IFERROR(AI291*BD291,0)</f>
        <v>0</v>
      </c>
    </row>
    <row r="292" customFormat="false" ht="15.75" hidden="false" customHeight="false" outlineLevel="0" collapsed="false">
      <c r="I292" s="26" t="e">
        <f aca="false">alimentos[[#This Row],[Item]]</f>
        <v>#VALUE!</v>
      </c>
      <c r="J292" s="27" t="n">
        <f aca="false">IFERROR(alimentos[[#This Row],[kg/embalagem]],0)</f>
        <v>0</v>
      </c>
      <c r="K292" s="27" t="n">
        <f aca="false">IFERROR(alimentos[[#This Row],[Preço]],0)</f>
        <v>0</v>
      </c>
      <c r="L292" s="27" t="n">
        <f aca="false">SUMIFS(super1[Qtde],super1[Item],tab_alimentos[[#This Row],[Item]],super1[Bairro],mercado1)+SUMIFS(supercb[Qtde],supercb[Item],tab_alimentos[[#This Row],[Item]],supercb[Bairro],mercado1)</f>
        <v>0</v>
      </c>
      <c r="M292" s="27" t="n">
        <f aca="false">SUMIFS(super1[Qtde],super1[Item],tab_alimentos[[#This Row],[Item]],super1[Bairro],mercado2)+SUMIFS(supercb[Qtde],supercb[Item],tab_alimentos[[#This Row],[Item]],supercb[Bairro],mercado2)</f>
        <v>0</v>
      </c>
      <c r="N292" s="27" t="n">
        <f aca="false">SUMIFS(super1[Qtde],super1[Item],tab_alimentos[[#This Row],[Item]],super1[Bairro],mercado3)+SUMIFS(supercb[Qtde],supercb[Item],tab_alimentos[[#This Row],[Item]],supercb[Bairro],mercado3)</f>
        <v>0</v>
      </c>
      <c r="O292" s="27" t="n">
        <f aca="false">SUMIFS(super1[Qtde],super1[Item],tab_alimentos[[#This Row],[Item]],super1[Bairro],mercado4)+SUMIFS(supercb[Qtde],supercb[Item],tab_alimentos[[#This Row],[Item]],supercb[Bairro],mercado4)</f>
        <v>0</v>
      </c>
      <c r="P292" s="27" t="n">
        <f aca="false">SUMIFS(super1[Qtde],super1[Item],tab_alimentos[[#This Row],[Item]],super1[Bairro],mercado5)+SUMIFS(supercb[Qtde],supercb[Item],tab_alimentos[[#This Row],[Item]],supercb[Bairro],mercado5)</f>
        <v>0</v>
      </c>
      <c r="Q292" s="27" t="n">
        <f aca="false">SUMIFS(super1[Qtde],super1[Item],tab_alimentos[[#This Row],[Item]],super1[Bairro],mercado6)+SUMIFS(supercb[Qtde],supercb[Item],tab_alimentos[[#This Row],[Item]],supercb[Bairro],mercado6)</f>
        <v>0</v>
      </c>
      <c r="R292" s="27" t="n">
        <f aca="false">SUMIFS(super1[Qtde],super1[Item],tab_alimentos[[#This Row],[Item]],super1[Bairro],mercado7)+SUMIFS(supercb[Qtde],supercb[Item],tab_alimentos[[#This Row],[Item]],supercb[Bairro],mercado7)</f>
        <v>0</v>
      </c>
      <c r="S292" s="27" t="n">
        <f aca="false">SUMIFS(super1[Qtde],super1[Item],tab_alimentos[[#This Row],[Item]],super1[Bairro],mercado8)+SUMIFS(supercb[Qtde],supercb[Item],tab_alimentos[[#This Row],[Item]],supercb[Bairro],mercado8)</f>
        <v>0</v>
      </c>
      <c r="T292" s="27" t="n">
        <f aca="false">SUMIFS(super1[Qtde],super1[Item],tab_alimentos[[#This Row],[Item]],super1[Bairro],mercado9)+SUMIFS(supercb[Qtde],supercb[Item],tab_alimentos[[#This Row],[Item]],supercb[Bairro],mercado9)</f>
        <v>0</v>
      </c>
      <c r="U292" s="27" t="n">
        <f aca="false">SUMIFS(super1[Qtde],super1[Item],tab_alimentos[[#This Row],[Item]],super1[Bairro],mercado10)+SUMIFS(supercb[Qtde],supercb[Item],tab_alimentos[[#This Row],[Item]],supercb[Bairro],mercado10)</f>
        <v>0</v>
      </c>
      <c r="V292" s="27" t="n">
        <f aca="false">SUMIFS(super1[Qtde],super1[Item],tab_alimentos[[#This Row],[Item]],super1[Bairro],mercado11)+SUMIFS(supercb[Qtde],supercb[Item],tab_alimentos[[#This Row],[Item]],supercb[Bairro],mercado11)</f>
        <v>0</v>
      </c>
      <c r="W292" s="27" t="n">
        <f aca="false">SUMIFS(super1[Qtde],super1[Item],tab_alimentos[[#This Row],[Item]],super1[Bairro],mercado12)+SUMIFS(supercb[Qtde],supercb[Item],tab_alimentos[[#This Row],[Item]],supercb[Bairro],mercado12)</f>
        <v>0</v>
      </c>
      <c r="X292" s="27" t="n">
        <f aca="false">SUMIFS(super1[Qtde],super1[Item],tab_alimentos[[#This Row],[Item]],super1[Bairro],mercado13)+SUMIFS(supercb[Qtde],supercb[Item],tab_alimentos[[#This Row],[Item]],supercb[Bairro],mercado13)</f>
        <v>0</v>
      </c>
      <c r="Y292" s="27" t="n">
        <f aca="false">SUMIFS(super1[Qtde],super1[Item],tab_alimentos[[#This Row],[Item]],super1[Bairro],mercado14)+SUMIFS(supercb[Qtde],supercb[Item],tab_alimentos[[#This Row],[Item]],supercb[Bairro],mercado14)</f>
        <v>0</v>
      </c>
      <c r="Z292" s="27" t="n">
        <f aca="false">SUMIFS(super1[Qtde],super1[Item],tab_alimentos[[#This Row],[Item]],super1[Bairro],mercado15)+SUMIFS(supercb[Qtde],supercb[Item],tab_alimentos[[#This Row],[Item]],supercb[Bairro],mercado15)</f>
        <v>0</v>
      </c>
      <c r="AA292" s="27" t="n">
        <f aca="false">SUMIFS(super1[Qtde],super1[Item],tab_alimentos[[#This Row],[Item]],super1[Bairro],mercado16)+SUMIFS(supercb[Qtde],supercb[Item],tab_alimentos[[#This Row],[Item]],supercb[Bairro],mercado16)</f>
        <v>0</v>
      </c>
      <c r="AB292" s="27" t="n">
        <f aca="false">SUMIFS(super1[Qtde],super1[Item],tab_alimentos[[#This Row],[Item]],super1[Bairro],mercado17)+SUMIFS(supercb[Qtde],supercb[Item],tab_alimentos[[#This Row],[Item]],supercb[Bairro],mercado17)</f>
        <v>0</v>
      </c>
      <c r="AC292" s="27" t="n">
        <f aca="false">SUMIFS(super1[Qtde],super1[Item],tab_alimentos[[#This Row],[Item]],super1[Bairro],mercado18)+SUMIFS(supercb[Qtde],supercb[Item],tab_alimentos[[#This Row],[Item]],supercb[Bairro],mercado18)</f>
        <v>0</v>
      </c>
      <c r="AD292" s="27" t="n">
        <f aca="false">SUMIFS(super1[Qtde],super1[Item],tab_alimentos[[#This Row],[Item]],super1[Bairro],extras)+SUMIFS(supercb[Qtde],supercb[Item],tab_alimentos[[#This Row],[Item]],supercb[Bairro],extras)</f>
        <v>0</v>
      </c>
      <c r="AE292" s="27" t="n">
        <f aca="false">SUM(L292:AC292)</f>
        <v>0</v>
      </c>
      <c r="AF292" s="27" t="n">
        <f aca="false">IFERROR(AE292*K292,0)</f>
        <v>0</v>
      </c>
      <c r="AG292" s="28" t="n">
        <f aca="false">IFERROR(J292*AE292,0)</f>
        <v>0</v>
      </c>
      <c r="AH292" s="37" t="e">
        <f aca="false">higiene[[#This Row],[Item]]</f>
        <v>#VALUE!</v>
      </c>
      <c r="AI292" s="38" t="n">
        <f aca="false">IFERROR(higiene[[#This Row],[Kg equivalente]],0)</f>
        <v>0</v>
      </c>
      <c r="AJ292" s="38" t="n">
        <f aca="false">IFERROR(higiene[[#This Row],[Preço por produto]],0)</f>
        <v>0</v>
      </c>
      <c r="AK292" s="27" t="n">
        <f aca="false">SUMIFS(super1[Qtde],super1[Item],tab_higiene[[#This Row],[Item]],super1[Bairro],mercado1)+SUMIFS(supercb[Qtde],supercb[Item],tab_higiene[[#This Row],[Item]],supercb[Bairro],mercado1)</f>
        <v>0</v>
      </c>
      <c r="AL292" s="27" t="n">
        <f aca="false">SUMIFS(super1[Qtde],super1[Item],tab_higiene[[#This Row],[Item]],super1[Bairro],mercado2)+SUMIFS(supercb[Qtde],supercb[Item],tab_higiene[[#This Row],[Item]],supercb[Bairro],mercado2)</f>
        <v>0</v>
      </c>
      <c r="AM292" s="27" t="n">
        <f aca="false">SUMIFS(super1[Qtde],super1[Item],tab_higiene[[#This Row],[Item]],super1[Bairro],mercado3)+SUMIFS(supercb[Qtde],supercb[Item],tab_higiene[[#This Row],[Item]],supercb[Bairro],mercado3)</f>
        <v>0</v>
      </c>
      <c r="AN292" s="27" t="n">
        <f aca="false">SUMIFS(super1[Qtde],super1[Item],tab_higiene[[#This Row],[Item]],super1[Bairro],mercado4)+SUMIFS(supercb[Qtde],supercb[Item],tab_higiene[[#This Row],[Item]],supercb[Bairro],mercado4)</f>
        <v>0</v>
      </c>
      <c r="AO292" s="27" t="n">
        <f aca="false">SUMIFS(super1[Qtde],super1[Item],tab_higiene[[#This Row],[Item]],super1[Bairro],mercado5)+SUMIFS(supercb[Qtde],supercb[Item],tab_higiene[[#This Row],[Item]],supercb[Bairro],mercado5)</f>
        <v>0</v>
      </c>
      <c r="AP292" s="27" t="n">
        <f aca="false">SUMIFS(super1[Qtde],super1[Item],tab_higiene[[#This Row],[Item]],super1[Bairro],mercado6)+SUMIFS(supercb[Qtde],supercb[Item],tab_higiene[[#This Row],[Item]],supercb[Bairro],mercado6)</f>
        <v>0</v>
      </c>
      <c r="AQ292" s="27" t="n">
        <f aca="false">SUMIFS(super1[Qtde],super1[Item],tab_higiene[[#This Row],[Item]],super1[Bairro],mercado7)+SUMIFS(supercb[Qtde],supercb[Item],tab_higiene[[#This Row],[Item]],supercb[Bairro],mercado7)</f>
        <v>0</v>
      </c>
      <c r="AR292" s="27" t="n">
        <f aca="false">SUMIFS(super1[Qtde],super1[Item],tab_higiene[[#This Row],[Item]],super1[Bairro],mercado8)+SUMIFS(supercb[Qtde],supercb[Item],tab_higiene[[#This Row],[Item]],supercb[Bairro],mercado8)</f>
        <v>0</v>
      </c>
      <c r="AS292" s="27" t="n">
        <f aca="false">SUMIFS(super1[Qtde],super1[Item],tab_higiene[[#This Row],[Item]],super1[Bairro],mercado9)+SUMIFS(supercb[Qtde],supercb[Item],tab_higiene[[#This Row],[Item]],supercb[Bairro],mercado9)</f>
        <v>0</v>
      </c>
      <c r="AT292" s="27" t="n">
        <f aca="false">SUMIFS(super1[Qtde],super1[Item],tab_higiene[[#This Row],[Item]],super1[Bairro],mercado10)+SUMIFS(supercb[Qtde],supercb[Item],tab_higiene[[#This Row],[Item]],supercb[Bairro],mercado10)</f>
        <v>0</v>
      </c>
      <c r="AU292" s="27" t="n">
        <f aca="false">SUMIFS(super1[Qtde],super1[Item],tab_higiene[[#This Row],[Item]],super1[Bairro],mercado11)+SUMIFS(supercb[Qtde],supercb[Item],tab_higiene[[#This Row],[Item]],supercb[Bairro],mercado11)</f>
        <v>0</v>
      </c>
      <c r="AV292" s="27" t="n">
        <f aca="false">SUMIFS(super1[Qtde],super1[Item],tab_higiene[[#This Row],[Item]],super1[Bairro],mercado12)+SUMIFS(supercb[Qtde],supercb[Item],tab_higiene[[#This Row],[Item]],supercb[Bairro],mercado12)</f>
        <v>0</v>
      </c>
      <c r="AW292" s="27" t="n">
        <f aca="false">SUMIFS(super1[Qtde],super1[Item],tab_higiene[[#This Row],[Item]],super1[Bairro],mercado13)+SUMIFS(supercb[Qtde],supercb[Item],tab_higiene[[#This Row],[Item]],supercb[Bairro],mercado13)</f>
        <v>0</v>
      </c>
      <c r="AX292" s="27" t="n">
        <f aca="false">SUMIFS(super1[Qtde],super1[Item],tab_higiene[[#This Row],[Item]],super1[Bairro],mercado14)+SUMIFS(supercb[Qtde],supercb[Item],tab_higiene[[#This Row],[Item]],supercb[Bairro],mercado14)</f>
        <v>0</v>
      </c>
      <c r="AY292" s="27" t="n">
        <f aca="false">SUMIFS(super1[Qtde],super1[Item],tab_higiene[[#This Row],[Item]],super1[Bairro],mercado15)+SUMIFS(supercb[Qtde],supercb[Item],tab_higiene[[#This Row],[Item]],supercb[Bairro],mercado15)</f>
        <v>0</v>
      </c>
      <c r="AZ292" s="27" t="n">
        <f aca="false">SUMIFS(super1[Qtde],super1[Item],tab_higiene[[#This Row],[Item]],super1[Bairro],mercado16)+SUMIFS(supercb[Qtde],supercb[Item],tab_higiene[[#This Row],[Item]],supercb[Bairro],mercado16)</f>
        <v>0</v>
      </c>
      <c r="BA292" s="27" t="n">
        <f aca="false">SUMIFS(super1[Qtde],super1[Item],tab_higiene[[#This Row],[Item]],super1[Bairro],mercado17)+SUMIFS(supercb[Qtde],supercb[Item],tab_higiene[[#This Row],[Item]],supercb[Bairro],mercado17)</f>
        <v>0</v>
      </c>
      <c r="BB292" s="27" t="n">
        <f aca="false">SUMIFS(super1[Qtde],super1[Item],tab_higiene[[#This Row],[Item]],super1[Bairro],mercado18)+SUMIFS(supercb[Qtde],supercb[Item],tab_higiene[[#This Row],[Item]],supercb[Bairro],mercado18)</f>
        <v>0</v>
      </c>
      <c r="BC292" s="39" t="n">
        <f aca="false">SUMIFS(super1[Qtde],super1[Item],tab_higiene[[#This Row],[Item]],super1[Bairro],extras)+SUMIFS(supercb[Qtde],supercb[Item],tab_higiene[[#This Row],[Item]],supercb[Bairro],extras)</f>
        <v>0</v>
      </c>
      <c r="BD292" s="38" t="n">
        <f aca="false">SUM(AK292:BB292)</f>
        <v>0</v>
      </c>
      <c r="BE292" s="38" t="n">
        <f aca="false">IFERROR(BD292*AJ292,0)</f>
        <v>0</v>
      </c>
      <c r="BF292" s="40" t="n">
        <f aca="false">IFERROR(AI292*BD292,0)</f>
        <v>0</v>
      </c>
    </row>
    <row r="293" customFormat="false" ht="15.75" hidden="false" customHeight="false" outlineLevel="0" collapsed="false">
      <c r="I293" s="26" t="e">
        <f aca="false">alimentos[[#This Row],[Item]]</f>
        <v>#VALUE!</v>
      </c>
      <c r="J293" s="27" t="n">
        <f aca="false">IFERROR(alimentos[[#This Row],[kg/embalagem]],0)</f>
        <v>0</v>
      </c>
      <c r="K293" s="27" t="n">
        <f aca="false">IFERROR(alimentos[[#This Row],[Preço]],0)</f>
        <v>0</v>
      </c>
      <c r="L293" s="27" t="n">
        <f aca="false">SUMIFS(super1[Qtde],super1[Item],tab_alimentos[[#This Row],[Item]],super1[Bairro],mercado1)+SUMIFS(supercb[Qtde],supercb[Item],tab_alimentos[[#This Row],[Item]],supercb[Bairro],mercado1)</f>
        <v>0</v>
      </c>
      <c r="M293" s="27" t="n">
        <f aca="false">SUMIFS(super1[Qtde],super1[Item],tab_alimentos[[#This Row],[Item]],super1[Bairro],mercado2)+SUMIFS(supercb[Qtde],supercb[Item],tab_alimentos[[#This Row],[Item]],supercb[Bairro],mercado2)</f>
        <v>0</v>
      </c>
      <c r="N293" s="27" t="n">
        <f aca="false">SUMIFS(super1[Qtde],super1[Item],tab_alimentos[[#This Row],[Item]],super1[Bairro],mercado3)+SUMIFS(supercb[Qtde],supercb[Item],tab_alimentos[[#This Row],[Item]],supercb[Bairro],mercado3)</f>
        <v>0</v>
      </c>
      <c r="O293" s="27" t="n">
        <f aca="false">SUMIFS(super1[Qtde],super1[Item],tab_alimentos[[#This Row],[Item]],super1[Bairro],mercado4)+SUMIFS(supercb[Qtde],supercb[Item],tab_alimentos[[#This Row],[Item]],supercb[Bairro],mercado4)</f>
        <v>0</v>
      </c>
      <c r="P293" s="27" t="n">
        <f aca="false">SUMIFS(super1[Qtde],super1[Item],tab_alimentos[[#This Row],[Item]],super1[Bairro],mercado5)+SUMIFS(supercb[Qtde],supercb[Item],tab_alimentos[[#This Row],[Item]],supercb[Bairro],mercado5)</f>
        <v>0</v>
      </c>
      <c r="Q293" s="27" t="n">
        <f aca="false">SUMIFS(super1[Qtde],super1[Item],tab_alimentos[[#This Row],[Item]],super1[Bairro],mercado6)+SUMIFS(supercb[Qtde],supercb[Item],tab_alimentos[[#This Row],[Item]],supercb[Bairro],mercado6)</f>
        <v>0</v>
      </c>
      <c r="R293" s="27" t="n">
        <f aca="false">SUMIFS(super1[Qtde],super1[Item],tab_alimentos[[#This Row],[Item]],super1[Bairro],mercado7)+SUMIFS(supercb[Qtde],supercb[Item],tab_alimentos[[#This Row],[Item]],supercb[Bairro],mercado7)</f>
        <v>0</v>
      </c>
      <c r="S293" s="27" t="n">
        <f aca="false">SUMIFS(super1[Qtde],super1[Item],tab_alimentos[[#This Row],[Item]],super1[Bairro],mercado8)+SUMIFS(supercb[Qtde],supercb[Item],tab_alimentos[[#This Row],[Item]],supercb[Bairro],mercado8)</f>
        <v>0</v>
      </c>
      <c r="T293" s="27" t="n">
        <f aca="false">SUMIFS(super1[Qtde],super1[Item],tab_alimentos[[#This Row],[Item]],super1[Bairro],mercado9)+SUMIFS(supercb[Qtde],supercb[Item],tab_alimentos[[#This Row],[Item]],supercb[Bairro],mercado9)</f>
        <v>0</v>
      </c>
      <c r="U293" s="27" t="n">
        <f aca="false">SUMIFS(super1[Qtde],super1[Item],tab_alimentos[[#This Row],[Item]],super1[Bairro],mercado10)+SUMIFS(supercb[Qtde],supercb[Item],tab_alimentos[[#This Row],[Item]],supercb[Bairro],mercado10)</f>
        <v>0</v>
      </c>
      <c r="V293" s="27" t="n">
        <f aca="false">SUMIFS(super1[Qtde],super1[Item],tab_alimentos[[#This Row],[Item]],super1[Bairro],mercado11)+SUMIFS(supercb[Qtde],supercb[Item],tab_alimentos[[#This Row],[Item]],supercb[Bairro],mercado11)</f>
        <v>0</v>
      </c>
      <c r="W293" s="27" t="n">
        <f aca="false">SUMIFS(super1[Qtde],super1[Item],tab_alimentos[[#This Row],[Item]],super1[Bairro],mercado12)+SUMIFS(supercb[Qtde],supercb[Item],tab_alimentos[[#This Row],[Item]],supercb[Bairro],mercado12)</f>
        <v>0</v>
      </c>
      <c r="X293" s="27" t="n">
        <f aca="false">SUMIFS(super1[Qtde],super1[Item],tab_alimentos[[#This Row],[Item]],super1[Bairro],mercado13)+SUMIFS(supercb[Qtde],supercb[Item],tab_alimentos[[#This Row],[Item]],supercb[Bairro],mercado13)</f>
        <v>0</v>
      </c>
      <c r="Y293" s="27" t="n">
        <f aca="false">SUMIFS(super1[Qtde],super1[Item],tab_alimentos[[#This Row],[Item]],super1[Bairro],mercado14)+SUMIFS(supercb[Qtde],supercb[Item],tab_alimentos[[#This Row],[Item]],supercb[Bairro],mercado14)</f>
        <v>0</v>
      </c>
      <c r="Z293" s="27" t="n">
        <f aca="false">SUMIFS(super1[Qtde],super1[Item],tab_alimentos[[#This Row],[Item]],super1[Bairro],mercado15)+SUMIFS(supercb[Qtde],supercb[Item],tab_alimentos[[#This Row],[Item]],supercb[Bairro],mercado15)</f>
        <v>0</v>
      </c>
      <c r="AA293" s="27" t="n">
        <f aca="false">SUMIFS(super1[Qtde],super1[Item],tab_alimentos[[#This Row],[Item]],super1[Bairro],mercado16)+SUMIFS(supercb[Qtde],supercb[Item],tab_alimentos[[#This Row],[Item]],supercb[Bairro],mercado16)</f>
        <v>0</v>
      </c>
      <c r="AB293" s="27" t="n">
        <f aca="false">SUMIFS(super1[Qtde],super1[Item],tab_alimentos[[#This Row],[Item]],super1[Bairro],mercado17)+SUMIFS(supercb[Qtde],supercb[Item],tab_alimentos[[#This Row],[Item]],supercb[Bairro],mercado17)</f>
        <v>0</v>
      </c>
      <c r="AC293" s="27" t="n">
        <f aca="false">SUMIFS(super1[Qtde],super1[Item],tab_alimentos[[#This Row],[Item]],super1[Bairro],mercado18)+SUMIFS(supercb[Qtde],supercb[Item],tab_alimentos[[#This Row],[Item]],supercb[Bairro],mercado18)</f>
        <v>0</v>
      </c>
      <c r="AD293" s="27" t="n">
        <f aca="false">SUMIFS(super1[Qtde],super1[Item],tab_alimentos[[#This Row],[Item]],super1[Bairro],extras)+SUMIFS(supercb[Qtde],supercb[Item],tab_alimentos[[#This Row],[Item]],supercb[Bairro],extras)</f>
        <v>0</v>
      </c>
      <c r="AE293" s="27" t="n">
        <f aca="false">SUM(L293:AC293)</f>
        <v>0</v>
      </c>
      <c r="AF293" s="27" t="n">
        <f aca="false">IFERROR(AE293*K293,0)</f>
        <v>0</v>
      </c>
      <c r="AG293" s="28" t="n">
        <f aca="false">IFERROR(J293*AE293,0)</f>
        <v>0</v>
      </c>
      <c r="AH293" s="37" t="e">
        <f aca="false">higiene[[#This Row],[Item]]</f>
        <v>#VALUE!</v>
      </c>
      <c r="AI293" s="38" t="n">
        <f aca="false">IFERROR(higiene[[#This Row],[Kg equivalente]],0)</f>
        <v>0</v>
      </c>
      <c r="AJ293" s="38" t="n">
        <f aca="false">IFERROR(higiene[[#This Row],[Preço por produto]],0)</f>
        <v>0</v>
      </c>
      <c r="AK293" s="27" t="n">
        <f aca="false">SUMIFS(super1[Qtde],super1[Item],tab_higiene[[#This Row],[Item]],super1[Bairro],mercado1)+SUMIFS(supercb[Qtde],supercb[Item],tab_higiene[[#This Row],[Item]],supercb[Bairro],mercado1)</f>
        <v>0</v>
      </c>
      <c r="AL293" s="27" t="n">
        <f aca="false">SUMIFS(super1[Qtde],super1[Item],tab_higiene[[#This Row],[Item]],super1[Bairro],mercado2)+SUMIFS(supercb[Qtde],supercb[Item],tab_higiene[[#This Row],[Item]],supercb[Bairro],mercado2)</f>
        <v>0</v>
      </c>
      <c r="AM293" s="27" t="n">
        <f aca="false">SUMIFS(super1[Qtde],super1[Item],tab_higiene[[#This Row],[Item]],super1[Bairro],mercado3)+SUMIFS(supercb[Qtde],supercb[Item],tab_higiene[[#This Row],[Item]],supercb[Bairro],mercado3)</f>
        <v>0</v>
      </c>
      <c r="AN293" s="27" t="n">
        <f aca="false">SUMIFS(super1[Qtde],super1[Item],tab_higiene[[#This Row],[Item]],super1[Bairro],mercado4)+SUMIFS(supercb[Qtde],supercb[Item],tab_higiene[[#This Row],[Item]],supercb[Bairro],mercado4)</f>
        <v>0</v>
      </c>
      <c r="AO293" s="27" t="n">
        <f aca="false">SUMIFS(super1[Qtde],super1[Item],tab_higiene[[#This Row],[Item]],super1[Bairro],mercado5)+SUMIFS(supercb[Qtde],supercb[Item],tab_higiene[[#This Row],[Item]],supercb[Bairro],mercado5)</f>
        <v>0</v>
      </c>
      <c r="AP293" s="27" t="n">
        <f aca="false">SUMIFS(super1[Qtde],super1[Item],tab_higiene[[#This Row],[Item]],super1[Bairro],mercado6)+SUMIFS(supercb[Qtde],supercb[Item],tab_higiene[[#This Row],[Item]],supercb[Bairro],mercado6)</f>
        <v>0</v>
      </c>
      <c r="AQ293" s="27" t="n">
        <f aca="false">SUMIFS(super1[Qtde],super1[Item],tab_higiene[[#This Row],[Item]],super1[Bairro],mercado7)+SUMIFS(supercb[Qtde],supercb[Item],tab_higiene[[#This Row],[Item]],supercb[Bairro],mercado7)</f>
        <v>0</v>
      </c>
      <c r="AR293" s="27" t="n">
        <f aca="false">SUMIFS(super1[Qtde],super1[Item],tab_higiene[[#This Row],[Item]],super1[Bairro],mercado8)+SUMIFS(supercb[Qtde],supercb[Item],tab_higiene[[#This Row],[Item]],supercb[Bairro],mercado8)</f>
        <v>0</v>
      </c>
      <c r="AS293" s="27" t="n">
        <f aca="false">SUMIFS(super1[Qtde],super1[Item],tab_higiene[[#This Row],[Item]],super1[Bairro],mercado9)+SUMIFS(supercb[Qtde],supercb[Item],tab_higiene[[#This Row],[Item]],supercb[Bairro],mercado9)</f>
        <v>0</v>
      </c>
      <c r="AT293" s="27" t="n">
        <f aca="false">SUMIFS(super1[Qtde],super1[Item],tab_higiene[[#This Row],[Item]],super1[Bairro],mercado10)+SUMIFS(supercb[Qtde],supercb[Item],tab_higiene[[#This Row],[Item]],supercb[Bairro],mercado10)</f>
        <v>0</v>
      </c>
      <c r="AU293" s="27" t="n">
        <f aca="false">SUMIFS(super1[Qtde],super1[Item],tab_higiene[[#This Row],[Item]],super1[Bairro],mercado11)+SUMIFS(supercb[Qtde],supercb[Item],tab_higiene[[#This Row],[Item]],supercb[Bairro],mercado11)</f>
        <v>0</v>
      </c>
      <c r="AV293" s="27" t="n">
        <f aca="false">SUMIFS(super1[Qtde],super1[Item],tab_higiene[[#This Row],[Item]],super1[Bairro],mercado12)+SUMIFS(supercb[Qtde],supercb[Item],tab_higiene[[#This Row],[Item]],supercb[Bairro],mercado12)</f>
        <v>0</v>
      </c>
      <c r="AW293" s="27" t="n">
        <f aca="false">SUMIFS(super1[Qtde],super1[Item],tab_higiene[[#This Row],[Item]],super1[Bairro],mercado13)+SUMIFS(supercb[Qtde],supercb[Item],tab_higiene[[#This Row],[Item]],supercb[Bairro],mercado13)</f>
        <v>0</v>
      </c>
      <c r="AX293" s="27" t="n">
        <f aca="false">SUMIFS(super1[Qtde],super1[Item],tab_higiene[[#This Row],[Item]],super1[Bairro],mercado14)+SUMIFS(supercb[Qtde],supercb[Item],tab_higiene[[#This Row],[Item]],supercb[Bairro],mercado14)</f>
        <v>0</v>
      </c>
      <c r="AY293" s="27" t="n">
        <f aca="false">SUMIFS(super1[Qtde],super1[Item],tab_higiene[[#This Row],[Item]],super1[Bairro],mercado15)+SUMIFS(supercb[Qtde],supercb[Item],tab_higiene[[#This Row],[Item]],supercb[Bairro],mercado15)</f>
        <v>0</v>
      </c>
      <c r="AZ293" s="27" t="n">
        <f aca="false">SUMIFS(super1[Qtde],super1[Item],tab_higiene[[#This Row],[Item]],super1[Bairro],mercado16)+SUMIFS(supercb[Qtde],supercb[Item],tab_higiene[[#This Row],[Item]],supercb[Bairro],mercado16)</f>
        <v>0</v>
      </c>
      <c r="BA293" s="27" t="n">
        <f aca="false">SUMIFS(super1[Qtde],super1[Item],tab_higiene[[#This Row],[Item]],super1[Bairro],mercado17)+SUMIFS(supercb[Qtde],supercb[Item],tab_higiene[[#This Row],[Item]],supercb[Bairro],mercado17)</f>
        <v>0</v>
      </c>
      <c r="BB293" s="27" t="n">
        <f aca="false">SUMIFS(super1[Qtde],super1[Item],tab_higiene[[#This Row],[Item]],super1[Bairro],mercado18)+SUMIFS(supercb[Qtde],supercb[Item],tab_higiene[[#This Row],[Item]],supercb[Bairro],mercado18)</f>
        <v>0</v>
      </c>
      <c r="BC293" s="39" t="n">
        <f aca="false">SUMIFS(super1[Qtde],super1[Item],tab_higiene[[#This Row],[Item]],super1[Bairro],extras)+SUMIFS(supercb[Qtde],supercb[Item],tab_higiene[[#This Row],[Item]],supercb[Bairro],extras)</f>
        <v>0</v>
      </c>
      <c r="BD293" s="38" t="n">
        <f aca="false">SUM(AK293:BB293)</f>
        <v>0</v>
      </c>
      <c r="BE293" s="38" t="n">
        <f aca="false">IFERROR(BD293*AJ293,0)</f>
        <v>0</v>
      </c>
      <c r="BF293" s="40" t="n">
        <f aca="false">IFERROR(AI293*BD293,0)</f>
        <v>0</v>
      </c>
    </row>
    <row r="294" customFormat="false" ht="15.75" hidden="false" customHeight="false" outlineLevel="0" collapsed="false">
      <c r="I294" s="26" t="e">
        <f aca="false">alimentos[[#This Row],[Item]]</f>
        <v>#VALUE!</v>
      </c>
      <c r="J294" s="27" t="n">
        <f aca="false">IFERROR(alimentos[[#This Row],[kg/embalagem]],0)</f>
        <v>0</v>
      </c>
      <c r="K294" s="27" t="n">
        <f aca="false">IFERROR(alimentos[[#This Row],[Preço]],0)</f>
        <v>0</v>
      </c>
      <c r="L294" s="27" t="n">
        <f aca="false">SUMIFS(super1[Qtde],super1[Item],tab_alimentos[[#This Row],[Item]],super1[Bairro],mercado1)+SUMIFS(supercb[Qtde],supercb[Item],tab_alimentos[[#This Row],[Item]],supercb[Bairro],mercado1)</f>
        <v>0</v>
      </c>
      <c r="M294" s="27" t="n">
        <f aca="false">SUMIFS(super1[Qtde],super1[Item],tab_alimentos[[#This Row],[Item]],super1[Bairro],mercado2)+SUMIFS(supercb[Qtde],supercb[Item],tab_alimentos[[#This Row],[Item]],supercb[Bairro],mercado2)</f>
        <v>0</v>
      </c>
      <c r="N294" s="27" t="n">
        <f aca="false">SUMIFS(super1[Qtde],super1[Item],tab_alimentos[[#This Row],[Item]],super1[Bairro],mercado3)+SUMIFS(supercb[Qtde],supercb[Item],tab_alimentos[[#This Row],[Item]],supercb[Bairro],mercado3)</f>
        <v>0</v>
      </c>
      <c r="O294" s="27" t="n">
        <f aca="false">SUMIFS(super1[Qtde],super1[Item],tab_alimentos[[#This Row],[Item]],super1[Bairro],mercado4)+SUMIFS(supercb[Qtde],supercb[Item],tab_alimentos[[#This Row],[Item]],supercb[Bairro],mercado4)</f>
        <v>0</v>
      </c>
      <c r="P294" s="27" t="n">
        <f aca="false">SUMIFS(super1[Qtde],super1[Item],tab_alimentos[[#This Row],[Item]],super1[Bairro],mercado5)+SUMIFS(supercb[Qtde],supercb[Item],tab_alimentos[[#This Row],[Item]],supercb[Bairro],mercado5)</f>
        <v>0</v>
      </c>
      <c r="Q294" s="27" t="n">
        <f aca="false">SUMIFS(super1[Qtde],super1[Item],tab_alimentos[[#This Row],[Item]],super1[Bairro],mercado6)+SUMIFS(supercb[Qtde],supercb[Item],tab_alimentos[[#This Row],[Item]],supercb[Bairro],mercado6)</f>
        <v>0</v>
      </c>
      <c r="R294" s="27" t="n">
        <f aca="false">SUMIFS(super1[Qtde],super1[Item],tab_alimentos[[#This Row],[Item]],super1[Bairro],mercado7)+SUMIFS(supercb[Qtde],supercb[Item],tab_alimentos[[#This Row],[Item]],supercb[Bairro],mercado7)</f>
        <v>0</v>
      </c>
      <c r="S294" s="27" t="n">
        <f aca="false">SUMIFS(super1[Qtde],super1[Item],tab_alimentos[[#This Row],[Item]],super1[Bairro],mercado8)+SUMIFS(supercb[Qtde],supercb[Item],tab_alimentos[[#This Row],[Item]],supercb[Bairro],mercado8)</f>
        <v>0</v>
      </c>
      <c r="T294" s="27" t="n">
        <f aca="false">SUMIFS(super1[Qtde],super1[Item],tab_alimentos[[#This Row],[Item]],super1[Bairro],mercado9)+SUMIFS(supercb[Qtde],supercb[Item],tab_alimentos[[#This Row],[Item]],supercb[Bairro],mercado9)</f>
        <v>0</v>
      </c>
      <c r="U294" s="27" t="n">
        <f aca="false">SUMIFS(super1[Qtde],super1[Item],tab_alimentos[[#This Row],[Item]],super1[Bairro],mercado10)+SUMIFS(supercb[Qtde],supercb[Item],tab_alimentos[[#This Row],[Item]],supercb[Bairro],mercado10)</f>
        <v>0</v>
      </c>
      <c r="V294" s="27" t="n">
        <f aca="false">SUMIFS(super1[Qtde],super1[Item],tab_alimentos[[#This Row],[Item]],super1[Bairro],mercado11)+SUMIFS(supercb[Qtde],supercb[Item],tab_alimentos[[#This Row],[Item]],supercb[Bairro],mercado11)</f>
        <v>0</v>
      </c>
      <c r="W294" s="27" t="n">
        <f aca="false">SUMIFS(super1[Qtde],super1[Item],tab_alimentos[[#This Row],[Item]],super1[Bairro],mercado12)+SUMIFS(supercb[Qtde],supercb[Item],tab_alimentos[[#This Row],[Item]],supercb[Bairro],mercado12)</f>
        <v>0</v>
      </c>
      <c r="X294" s="27" t="n">
        <f aca="false">SUMIFS(super1[Qtde],super1[Item],tab_alimentos[[#This Row],[Item]],super1[Bairro],mercado13)+SUMIFS(supercb[Qtde],supercb[Item],tab_alimentos[[#This Row],[Item]],supercb[Bairro],mercado13)</f>
        <v>0</v>
      </c>
      <c r="Y294" s="27" t="n">
        <f aca="false">SUMIFS(super1[Qtde],super1[Item],tab_alimentos[[#This Row],[Item]],super1[Bairro],mercado14)+SUMIFS(supercb[Qtde],supercb[Item],tab_alimentos[[#This Row],[Item]],supercb[Bairro],mercado14)</f>
        <v>0</v>
      </c>
      <c r="Z294" s="27" t="n">
        <f aca="false">SUMIFS(super1[Qtde],super1[Item],tab_alimentos[[#This Row],[Item]],super1[Bairro],mercado15)+SUMIFS(supercb[Qtde],supercb[Item],tab_alimentos[[#This Row],[Item]],supercb[Bairro],mercado15)</f>
        <v>0</v>
      </c>
      <c r="AA294" s="27" t="n">
        <f aca="false">SUMIFS(super1[Qtde],super1[Item],tab_alimentos[[#This Row],[Item]],super1[Bairro],mercado16)+SUMIFS(supercb[Qtde],supercb[Item],tab_alimentos[[#This Row],[Item]],supercb[Bairro],mercado16)</f>
        <v>0</v>
      </c>
      <c r="AB294" s="27" t="n">
        <f aca="false">SUMIFS(super1[Qtde],super1[Item],tab_alimentos[[#This Row],[Item]],super1[Bairro],mercado17)+SUMIFS(supercb[Qtde],supercb[Item],tab_alimentos[[#This Row],[Item]],supercb[Bairro],mercado17)</f>
        <v>0</v>
      </c>
      <c r="AC294" s="27" t="n">
        <f aca="false">SUMIFS(super1[Qtde],super1[Item],tab_alimentos[[#This Row],[Item]],super1[Bairro],mercado18)+SUMIFS(supercb[Qtde],supercb[Item],tab_alimentos[[#This Row],[Item]],supercb[Bairro],mercado18)</f>
        <v>0</v>
      </c>
      <c r="AD294" s="27" t="n">
        <f aca="false">SUMIFS(super1[Qtde],super1[Item],tab_alimentos[[#This Row],[Item]],super1[Bairro],extras)+SUMIFS(supercb[Qtde],supercb[Item],tab_alimentos[[#This Row],[Item]],supercb[Bairro],extras)</f>
        <v>0</v>
      </c>
      <c r="AE294" s="27" t="n">
        <f aca="false">SUM(L294:AC294)</f>
        <v>0</v>
      </c>
      <c r="AF294" s="27" t="n">
        <f aca="false">IFERROR(AE294*K294,0)</f>
        <v>0</v>
      </c>
      <c r="AG294" s="28" t="n">
        <f aca="false">IFERROR(J294*AE294,0)</f>
        <v>0</v>
      </c>
      <c r="AH294" s="37" t="e">
        <f aca="false">higiene[[#This Row],[Item]]</f>
        <v>#VALUE!</v>
      </c>
      <c r="AI294" s="38" t="n">
        <f aca="false">IFERROR(higiene[[#This Row],[Kg equivalente]],0)</f>
        <v>0</v>
      </c>
      <c r="AJ294" s="38" t="n">
        <f aca="false">IFERROR(higiene[[#This Row],[Preço por produto]],0)</f>
        <v>0</v>
      </c>
      <c r="AK294" s="27" t="n">
        <f aca="false">SUMIFS(super1[Qtde],super1[Item],tab_higiene[[#This Row],[Item]],super1[Bairro],mercado1)+SUMIFS(supercb[Qtde],supercb[Item],tab_higiene[[#This Row],[Item]],supercb[Bairro],mercado1)</f>
        <v>0</v>
      </c>
      <c r="AL294" s="27" t="n">
        <f aca="false">SUMIFS(super1[Qtde],super1[Item],tab_higiene[[#This Row],[Item]],super1[Bairro],mercado2)+SUMIFS(supercb[Qtde],supercb[Item],tab_higiene[[#This Row],[Item]],supercb[Bairro],mercado2)</f>
        <v>0</v>
      </c>
      <c r="AM294" s="27" t="n">
        <f aca="false">SUMIFS(super1[Qtde],super1[Item],tab_higiene[[#This Row],[Item]],super1[Bairro],mercado3)+SUMIFS(supercb[Qtde],supercb[Item],tab_higiene[[#This Row],[Item]],supercb[Bairro],mercado3)</f>
        <v>0</v>
      </c>
      <c r="AN294" s="27" t="n">
        <f aca="false">SUMIFS(super1[Qtde],super1[Item],tab_higiene[[#This Row],[Item]],super1[Bairro],mercado4)+SUMIFS(supercb[Qtde],supercb[Item],tab_higiene[[#This Row],[Item]],supercb[Bairro],mercado4)</f>
        <v>0</v>
      </c>
      <c r="AO294" s="27" t="n">
        <f aca="false">SUMIFS(super1[Qtde],super1[Item],tab_higiene[[#This Row],[Item]],super1[Bairro],mercado5)+SUMIFS(supercb[Qtde],supercb[Item],tab_higiene[[#This Row],[Item]],supercb[Bairro],mercado5)</f>
        <v>0</v>
      </c>
      <c r="AP294" s="27" t="n">
        <f aca="false">SUMIFS(super1[Qtde],super1[Item],tab_higiene[[#This Row],[Item]],super1[Bairro],mercado6)+SUMIFS(supercb[Qtde],supercb[Item],tab_higiene[[#This Row],[Item]],supercb[Bairro],mercado6)</f>
        <v>0</v>
      </c>
      <c r="AQ294" s="27" t="n">
        <f aca="false">SUMIFS(super1[Qtde],super1[Item],tab_higiene[[#This Row],[Item]],super1[Bairro],mercado7)+SUMIFS(supercb[Qtde],supercb[Item],tab_higiene[[#This Row],[Item]],supercb[Bairro],mercado7)</f>
        <v>0</v>
      </c>
      <c r="AR294" s="27" t="n">
        <f aca="false">SUMIFS(super1[Qtde],super1[Item],tab_higiene[[#This Row],[Item]],super1[Bairro],mercado8)+SUMIFS(supercb[Qtde],supercb[Item],tab_higiene[[#This Row],[Item]],supercb[Bairro],mercado8)</f>
        <v>0</v>
      </c>
      <c r="AS294" s="27" t="n">
        <f aca="false">SUMIFS(super1[Qtde],super1[Item],tab_higiene[[#This Row],[Item]],super1[Bairro],mercado9)+SUMIFS(supercb[Qtde],supercb[Item],tab_higiene[[#This Row],[Item]],supercb[Bairro],mercado9)</f>
        <v>0</v>
      </c>
      <c r="AT294" s="27" t="n">
        <f aca="false">SUMIFS(super1[Qtde],super1[Item],tab_higiene[[#This Row],[Item]],super1[Bairro],mercado10)+SUMIFS(supercb[Qtde],supercb[Item],tab_higiene[[#This Row],[Item]],supercb[Bairro],mercado10)</f>
        <v>0</v>
      </c>
      <c r="AU294" s="27" t="n">
        <f aca="false">SUMIFS(super1[Qtde],super1[Item],tab_higiene[[#This Row],[Item]],super1[Bairro],mercado11)+SUMIFS(supercb[Qtde],supercb[Item],tab_higiene[[#This Row],[Item]],supercb[Bairro],mercado11)</f>
        <v>0</v>
      </c>
      <c r="AV294" s="27" t="n">
        <f aca="false">SUMIFS(super1[Qtde],super1[Item],tab_higiene[[#This Row],[Item]],super1[Bairro],mercado12)+SUMIFS(supercb[Qtde],supercb[Item],tab_higiene[[#This Row],[Item]],supercb[Bairro],mercado12)</f>
        <v>0</v>
      </c>
      <c r="AW294" s="27" t="n">
        <f aca="false">SUMIFS(super1[Qtde],super1[Item],tab_higiene[[#This Row],[Item]],super1[Bairro],mercado13)+SUMIFS(supercb[Qtde],supercb[Item],tab_higiene[[#This Row],[Item]],supercb[Bairro],mercado13)</f>
        <v>0</v>
      </c>
      <c r="AX294" s="27" t="n">
        <f aca="false">SUMIFS(super1[Qtde],super1[Item],tab_higiene[[#This Row],[Item]],super1[Bairro],mercado14)+SUMIFS(supercb[Qtde],supercb[Item],tab_higiene[[#This Row],[Item]],supercb[Bairro],mercado14)</f>
        <v>0</v>
      </c>
      <c r="AY294" s="27" t="n">
        <f aca="false">SUMIFS(super1[Qtde],super1[Item],tab_higiene[[#This Row],[Item]],super1[Bairro],mercado15)+SUMIFS(supercb[Qtde],supercb[Item],tab_higiene[[#This Row],[Item]],supercb[Bairro],mercado15)</f>
        <v>0</v>
      </c>
      <c r="AZ294" s="27" t="n">
        <f aca="false">SUMIFS(super1[Qtde],super1[Item],tab_higiene[[#This Row],[Item]],super1[Bairro],mercado16)+SUMIFS(supercb[Qtde],supercb[Item],tab_higiene[[#This Row],[Item]],supercb[Bairro],mercado16)</f>
        <v>0</v>
      </c>
      <c r="BA294" s="27" t="n">
        <f aca="false">SUMIFS(super1[Qtde],super1[Item],tab_higiene[[#This Row],[Item]],super1[Bairro],mercado17)+SUMIFS(supercb[Qtde],supercb[Item],tab_higiene[[#This Row],[Item]],supercb[Bairro],mercado17)</f>
        <v>0</v>
      </c>
      <c r="BB294" s="27" t="n">
        <f aca="false">SUMIFS(super1[Qtde],super1[Item],tab_higiene[[#This Row],[Item]],super1[Bairro],mercado18)+SUMIFS(supercb[Qtde],supercb[Item],tab_higiene[[#This Row],[Item]],supercb[Bairro],mercado18)</f>
        <v>0</v>
      </c>
      <c r="BC294" s="39" t="n">
        <f aca="false">SUMIFS(super1[Qtde],super1[Item],tab_higiene[[#This Row],[Item]],super1[Bairro],extras)+SUMIFS(supercb[Qtde],supercb[Item],tab_higiene[[#This Row],[Item]],supercb[Bairro],extras)</f>
        <v>0</v>
      </c>
      <c r="BD294" s="38" t="n">
        <f aca="false">SUM(AK294:BB294)</f>
        <v>0</v>
      </c>
      <c r="BE294" s="38" t="n">
        <f aca="false">IFERROR(BD294*AJ294,0)</f>
        <v>0</v>
      </c>
      <c r="BF294" s="40" t="n">
        <f aca="false">IFERROR(AI294*BD294,0)</f>
        <v>0</v>
      </c>
    </row>
    <row r="295" customFormat="false" ht="15.75" hidden="false" customHeight="false" outlineLevel="0" collapsed="false">
      <c r="I295" s="26" t="e">
        <f aca="false">alimentos[[#This Row],[Item]]</f>
        <v>#VALUE!</v>
      </c>
      <c r="J295" s="27" t="n">
        <f aca="false">IFERROR(alimentos[[#This Row],[kg/embalagem]],0)</f>
        <v>0</v>
      </c>
      <c r="K295" s="27" t="n">
        <f aca="false">IFERROR(alimentos[[#This Row],[Preço]],0)</f>
        <v>0</v>
      </c>
      <c r="L295" s="27" t="n">
        <f aca="false">SUMIFS(super1[Qtde],super1[Item],tab_alimentos[[#This Row],[Item]],super1[Bairro],mercado1)+SUMIFS(supercb[Qtde],supercb[Item],tab_alimentos[[#This Row],[Item]],supercb[Bairro],mercado1)</f>
        <v>0</v>
      </c>
      <c r="M295" s="27" t="n">
        <f aca="false">SUMIFS(super1[Qtde],super1[Item],tab_alimentos[[#This Row],[Item]],super1[Bairro],mercado2)+SUMIFS(supercb[Qtde],supercb[Item],tab_alimentos[[#This Row],[Item]],supercb[Bairro],mercado2)</f>
        <v>0</v>
      </c>
      <c r="N295" s="27" t="n">
        <f aca="false">SUMIFS(super1[Qtde],super1[Item],tab_alimentos[[#This Row],[Item]],super1[Bairro],mercado3)+SUMIFS(supercb[Qtde],supercb[Item],tab_alimentos[[#This Row],[Item]],supercb[Bairro],mercado3)</f>
        <v>0</v>
      </c>
      <c r="O295" s="27" t="n">
        <f aca="false">SUMIFS(super1[Qtde],super1[Item],tab_alimentos[[#This Row],[Item]],super1[Bairro],mercado4)+SUMIFS(supercb[Qtde],supercb[Item],tab_alimentos[[#This Row],[Item]],supercb[Bairro],mercado4)</f>
        <v>0</v>
      </c>
      <c r="P295" s="27" t="n">
        <f aca="false">SUMIFS(super1[Qtde],super1[Item],tab_alimentos[[#This Row],[Item]],super1[Bairro],mercado5)+SUMIFS(supercb[Qtde],supercb[Item],tab_alimentos[[#This Row],[Item]],supercb[Bairro],mercado5)</f>
        <v>0</v>
      </c>
      <c r="Q295" s="27" t="n">
        <f aca="false">SUMIFS(super1[Qtde],super1[Item],tab_alimentos[[#This Row],[Item]],super1[Bairro],mercado6)+SUMIFS(supercb[Qtde],supercb[Item],tab_alimentos[[#This Row],[Item]],supercb[Bairro],mercado6)</f>
        <v>0</v>
      </c>
      <c r="R295" s="27" t="n">
        <f aca="false">SUMIFS(super1[Qtde],super1[Item],tab_alimentos[[#This Row],[Item]],super1[Bairro],mercado7)+SUMIFS(supercb[Qtde],supercb[Item],tab_alimentos[[#This Row],[Item]],supercb[Bairro],mercado7)</f>
        <v>0</v>
      </c>
      <c r="S295" s="27" t="n">
        <f aca="false">SUMIFS(super1[Qtde],super1[Item],tab_alimentos[[#This Row],[Item]],super1[Bairro],mercado8)+SUMIFS(supercb[Qtde],supercb[Item],tab_alimentos[[#This Row],[Item]],supercb[Bairro],mercado8)</f>
        <v>0</v>
      </c>
      <c r="T295" s="27" t="n">
        <f aca="false">SUMIFS(super1[Qtde],super1[Item],tab_alimentos[[#This Row],[Item]],super1[Bairro],mercado9)+SUMIFS(supercb[Qtde],supercb[Item],tab_alimentos[[#This Row],[Item]],supercb[Bairro],mercado9)</f>
        <v>0</v>
      </c>
      <c r="U295" s="27" t="n">
        <f aca="false">SUMIFS(super1[Qtde],super1[Item],tab_alimentos[[#This Row],[Item]],super1[Bairro],mercado10)+SUMIFS(supercb[Qtde],supercb[Item],tab_alimentos[[#This Row],[Item]],supercb[Bairro],mercado10)</f>
        <v>0</v>
      </c>
      <c r="V295" s="27" t="n">
        <f aca="false">SUMIFS(super1[Qtde],super1[Item],tab_alimentos[[#This Row],[Item]],super1[Bairro],mercado11)+SUMIFS(supercb[Qtde],supercb[Item],tab_alimentos[[#This Row],[Item]],supercb[Bairro],mercado11)</f>
        <v>0</v>
      </c>
      <c r="W295" s="27" t="n">
        <f aca="false">SUMIFS(super1[Qtde],super1[Item],tab_alimentos[[#This Row],[Item]],super1[Bairro],mercado12)+SUMIFS(supercb[Qtde],supercb[Item],tab_alimentos[[#This Row],[Item]],supercb[Bairro],mercado12)</f>
        <v>0</v>
      </c>
      <c r="X295" s="27" t="n">
        <f aca="false">SUMIFS(super1[Qtde],super1[Item],tab_alimentos[[#This Row],[Item]],super1[Bairro],mercado13)+SUMIFS(supercb[Qtde],supercb[Item],tab_alimentos[[#This Row],[Item]],supercb[Bairro],mercado13)</f>
        <v>0</v>
      </c>
      <c r="Y295" s="27" t="n">
        <f aca="false">SUMIFS(super1[Qtde],super1[Item],tab_alimentos[[#This Row],[Item]],super1[Bairro],mercado14)+SUMIFS(supercb[Qtde],supercb[Item],tab_alimentos[[#This Row],[Item]],supercb[Bairro],mercado14)</f>
        <v>0</v>
      </c>
      <c r="Z295" s="27" t="n">
        <f aca="false">SUMIFS(super1[Qtde],super1[Item],tab_alimentos[[#This Row],[Item]],super1[Bairro],mercado15)+SUMIFS(supercb[Qtde],supercb[Item],tab_alimentos[[#This Row],[Item]],supercb[Bairro],mercado15)</f>
        <v>0</v>
      </c>
      <c r="AA295" s="27" t="n">
        <f aca="false">SUMIFS(super1[Qtde],super1[Item],tab_alimentos[[#This Row],[Item]],super1[Bairro],mercado16)+SUMIFS(supercb[Qtde],supercb[Item],tab_alimentos[[#This Row],[Item]],supercb[Bairro],mercado16)</f>
        <v>0</v>
      </c>
      <c r="AB295" s="27" t="n">
        <f aca="false">SUMIFS(super1[Qtde],super1[Item],tab_alimentos[[#This Row],[Item]],super1[Bairro],mercado17)+SUMIFS(supercb[Qtde],supercb[Item],tab_alimentos[[#This Row],[Item]],supercb[Bairro],mercado17)</f>
        <v>0</v>
      </c>
      <c r="AC295" s="27" t="n">
        <f aca="false">SUMIFS(super1[Qtde],super1[Item],tab_alimentos[[#This Row],[Item]],super1[Bairro],mercado18)+SUMIFS(supercb[Qtde],supercb[Item],tab_alimentos[[#This Row],[Item]],supercb[Bairro],mercado18)</f>
        <v>0</v>
      </c>
      <c r="AD295" s="27" t="n">
        <f aca="false">SUMIFS(super1[Qtde],super1[Item],tab_alimentos[[#This Row],[Item]],super1[Bairro],extras)+SUMIFS(supercb[Qtde],supercb[Item],tab_alimentos[[#This Row],[Item]],supercb[Bairro],extras)</f>
        <v>0</v>
      </c>
      <c r="AE295" s="27" t="n">
        <f aca="false">SUM(L295:AC295)</f>
        <v>0</v>
      </c>
      <c r="AF295" s="27" t="n">
        <f aca="false">IFERROR(AE295*K295,0)</f>
        <v>0</v>
      </c>
      <c r="AG295" s="28" t="n">
        <f aca="false">IFERROR(J295*AE295,0)</f>
        <v>0</v>
      </c>
      <c r="AH295" s="37" t="e">
        <f aca="false">higiene[[#This Row],[Item]]</f>
        <v>#VALUE!</v>
      </c>
      <c r="AI295" s="38" t="n">
        <f aca="false">IFERROR(higiene[[#This Row],[Kg equivalente]],0)</f>
        <v>0</v>
      </c>
      <c r="AJ295" s="38" t="n">
        <f aca="false">IFERROR(higiene[[#This Row],[Preço por produto]],0)</f>
        <v>0</v>
      </c>
      <c r="AK295" s="27" t="n">
        <f aca="false">SUMIFS(super1[Qtde],super1[Item],tab_higiene[[#This Row],[Item]],super1[Bairro],mercado1)+SUMIFS(supercb[Qtde],supercb[Item],tab_higiene[[#This Row],[Item]],supercb[Bairro],mercado1)</f>
        <v>0</v>
      </c>
      <c r="AL295" s="27" t="n">
        <f aca="false">SUMIFS(super1[Qtde],super1[Item],tab_higiene[[#This Row],[Item]],super1[Bairro],mercado2)+SUMIFS(supercb[Qtde],supercb[Item],tab_higiene[[#This Row],[Item]],supercb[Bairro],mercado2)</f>
        <v>0</v>
      </c>
      <c r="AM295" s="27" t="n">
        <f aca="false">SUMIFS(super1[Qtde],super1[Item],tab_higiene[[#This Row],[Item]],super1[Bairro],mercado3)+SUMIFS(supercb[Qtde],supercb[Item],tab_higiene[[#This Row],[Item]],supercb[Bairro],mercado3)</f>
        <v>0</v>
      </c>
      <c r="AN295" s="27" t="n">
        <f aca="false">SUMIFS(super1[Qtde],super1[Item],tab_higiene[[#This Row],[Item]],super1[Bairro],mercado4)+SUMIFS(supercb[Qtde],supercb[Item],tab_higiene[[#This Row],[Item]],supercb[Bairro],mercado4)</f>
        <v>0</v>
      </c>
      <c r="AO295" s="27" t="n">
        <f aca="false">SUMIFS(super1[Qtde],super1[Item],tab_higiene[[#This Row],[Item]],super1[Bairro],mercado5)+SUMIFS(supercb[Qtde],supercb[Item],tab_higiene[[#This Row],[Item]],supercb[Bairro],mercado5)</f>
        <v>0</v>
      </c>
      <c r="AP295" s="27" t="n">
        <f aca="false">SUMIFS(super1[Qtde],super1[Item],tab_higiene[[#This Row],[Item]],super1[Bairro],mercado6)+SUMIFS(supercb[Qtde],supercb[Item],tab_higiene[[#This Row],[Item]],supercb[Bairro],mercado6)</f>
        <v>0</v>
      </c>
      <c r="AQ295" s="27" t="n">
        <f aca="false">SUMIFS(super1[Qtde],super1[Item],tab_higiene[[#This Row],[Item]],super1[Bairro],mercado7)+SUMIFS(supercb[Qtde],supercb[Item],tab_higiene[[#This Row],[Item]],supercb[Bairro],mercado7)</f>
        <v>0</v>
      </c>
      <c r="AR295" s="27" t="n">
        <f aca="false">SUMIFS(super1[Qtde],super1[Item],tab_higiene[[#This Row],[Item]],super1[Bairro],mercado8)+SUMIFS(supercb[Qtde],supercb[Item],tab_higiene[[#This Row],[Item]],supercb[Bairro],mercado8)</f>
        <v>0</v>
      </c>
      <c r="AS295" s="27" t="n">
        <f aca="false">SUMIFS(super1[Qtde],super1[Item],tab_higiene[[#This Row],[Item]],super1[Bairro],mercado9)+SUMIFS(supercb[Qtde],supercb[Item],tab_higiene[[#This Row],[Item]],supercb[Bairro],mercado9)</f>
        <v>0</v>
      </c>
      <c r="AT295" s="27" t="n">
        <f aca="false">SUMIFS(super1[Qtde],super1[Item],tab_higiene[[#This Row],[Item]],super1[Bairro],mercado10)+SUMIFS(supercb[Qtde],supercb[Item],tab_higiene[[#This Row],[Item]],supercb[Bairro],mercado10)</f>
        <v>0</v>
      </c>
      <c r="AU295" s="27" t="n">
        <f aca="false">SUMIFS(super1[Qtde],super1[Item],tab_higiene[[#This Row],[Item]],super1[Bairro],mercado11)+SUMIFS(supercb[Qtde],supercb[Item],tab_higiene[[#This Row],[Item]],supercb[Bairro],mercado11)</f>
        <v>0</v>
      </c>
      <c r="AV295" s="27" t="n">
        <f aca="false">SUMIFS(super1[Qtde],super1[Item],tab_higiene[[#This Row],[Item]],super1[Bairro],mercado12)+SUMIFS(supercb[Qtde],supercb[Item],tab_higiene[[#This Row],[Item]],supercb[Bairro],mercado12)</f>
        <v>0</v>
      </c>
      <c r="AW295" s="27" t="n">
        <f aca="false">SUMIFS(super1[Qtde],super1[Item],tab_higiene[[#This Row],[Item]],super1[Bairro],mercado13)+SUMIFS(supercb[Qtde],supercb[Item],tab_higiene[[#This Row],[Item]],supercb[Bairro],mercado13)</f>
        <v>0</v>
      </c>
      <c r="AX295" s="27" t="n">
        <f aca="false">SUMIFS(super1[Qtde],super1[Item],tab_higiene[[#This Row],[Item]],super1[Bairro],mercado14)+SUMIFS(supercb[Qtde],supercb[Item],tab_higiene[[#This Row],[Item]],supercb[Bairro],mercado14)</f>
        <v>0</v>
      </c>
      <c r="AY295" s="27" t="n">
        <f aca="false">SUMIFS(super1[Qtde],super1[Item],tab_higiene[[#This Row],[Item]],super1[Bairro],mercado15)+SUMIFS(supercb[Qtde],supercb[Item],tab_higiene[[#This Row],[Item]],supercb[Bairro],mercado15)</f>
        <v>0</v>
      </c>
      <c r="AZ295" s="27" t="n">
        <f aca="false">SUMIFS(super1[Qtde],super1[Item],tab_higiene[[#This Row],[Item]],super1[Bairro],mercado16)+SUMIFS(supercb[Qtde],supercb[Item],tab_higiene[[#This Row],[Item]],supercb[Bairro],mercado16)</f>
        <v>0</v>
      </c>
      <c r="BA295" s="27" t="n">
        <f aca="false">SUMIFS(super1[Qtde],super1[Item],tab_higiene[[#This Row],[Item]],super1[Bairro],mercado17)+SUMIFS(supercb[Qtde],supercb[Item],tab_higiene[[#This Row],[Item]],supercb[Bairro],mercado17)</f>
        <v>0</v>
      </c>
      <c r="BB295" s="27" t="n">
        <f aca="false">SUMIFS(super1[Qtde],super1[Item],tab_higiene[[#This Row],[Item]],super1[Bairro],mercado18)+SUMIFS(supercb[Qtde],supercb[Item],tab_higiene[[#This Row],[Item]],supercb[Bairro],mercado18)</f>
        <v>0</v>
      </c>
      <c r="BC295" s="39" t="n">
        <f aca="false">SUMIFS(super1[Qtde],super1[Item],tab_higiene[[#This Row],[Item]],super1[Bairro],extras)+SUMIFS(supercb[Qtde],supercb[Item],tab_higiene[[#This Row],[Item]],supercb[Bairro],extras)</f>
        <v>0</v>
      </c>
      <c r="BD295" s="38" t="n">
        <f aca="false">SUM(AK295:BB295)</f>
        <v>0</v>
      </c>
      <c r="BE295" s="38" t="n">
        <f aca="false">IFERROR(BD295*AJ295,0)</f>
        <v>0</v>
      </c>
      <c r="BF295" s="40" t="n">
        <f aca="false">IFERROR(AI295*BD295,0)</f>
        <v>0</v>
      </c>
    </row>
    <row r="296" customFormat="false" ht="15.75" hidden="false" customHeight="false" outlineLevel="0" collapsed="false">
      <c r="I296" s="26" t="e">
        <f aca="false">alimentos[[#This Row],[Item]]</f>
        <v>#VALUE!</v>
      </c>
      <c r="J296" s="27" t="n">
        <f aca="false">IFERROR(alimentos[[#This Row],[kg/embalagem]],0)</f>
        <v>0</v>
      </c>
      <c r="K296" s="27" t="n">
        <f aca="false">IFERROR(alimentos[[#This Row],[Preço]],0)</f>
        <v>0</v>
      </c>
      <c r="L296" s="27" t="n">
        <f aca="false">SUMIFS(super1[Qtde],super1[Item],tab_alimentos[[#This Row],[Item]],super1[Bairro],mercado1)+SUMIFS(supercb[Qtde],supercb[Item],tab_alimentos[[#This Row],[Item]],supercb[Bairro],mercado1)</f>
        <v>0</v>
      </c>
      <c r="M296" s="27" t="n">
        <f aca="false">SUMIFS(super1[Qtde],super1[Item],tab_alimentos[[#This Row],[Item]],super1[Bairro],mercado2)+SUMIFS(supercb[Qtde],supercb[Item],tab_alimentos[[#This Row],[Item]],supercb[Bairro],mercado2)</f>
        <v>0</v>
      </c>
      <c r="N296" s="27" t="n">
        <f aca="false">SUMIFS(super1[Qtde],super1[Item],tab_alimentos[[#This Row],[Item]],super1[Bairro],mercado3)+SUMIFS(supercb[Qtde],supercb[Item],tab_alimentos[[#This Row],[Item]],supercb[Bairro],mercado3)</f>
        <v>0</v>
      </c>
      <c r="O296" s="27" t="n">
        <f aca="false">SUMIFS(super1[Qtde],super1[Item],tab_alimentos[[#This Row],[Item]],super1[Bairro],mercado4)+SUMIFS(supercb[Qtde],supercb[Item],tab_alimentos[[#This Row],[Item]],supercb[Bairro],mercado4)</f>
        <v>0</v>
      </c>
      <c r="P296" s="27" t="n">
        <f aca="false">SUMIFS(super1[Qtde],super1[Item],tab_alimentos[[#This Row],[Item]],super1[Bairro],mercado5)+SUMIFS(supercb[Qtde],supercb[Item],tab_alimentos[[#This Row],[Item]],supercb[Bairro],mercado5)</f>
        <v>0</v>
      </c>
      <c r="Q296" s="27" t="n">
        <f aca="false">SUMIFS(super1[Qtde],super1[Item],tab_alimentos[[#This Row],[Item]],super1[Bairro],mercado6)+SUMIFS(supercb[Qtde],supercb[Item],tab_alimentos[[#This Row],[Item]],supercb[Bairro],mercado6)</f>
        <v>0</v>
      </c>
      <c r="R296" s="27" t="n">
        <f aca="false">SUMIFS(super1[Qtde],super1[Item],tab_alimentos[[#This Row],[Item]],super1[Bairro],mercado7)+SUMIFS(supercb[Qtde],supercb[Item],tab_alimentos[[#This Row],[Item]],supercb[Bairro],mercado7)</f>
        <v>0</v>
      </c>
      <c r="S296" s="27" t="n">
        <f aca="false">SUMIFS(super1[Qtde],super1[Item],tab_alimentos[[#This Row],[Item]],super1[Bairro],mercado8)+SUMIFS(supercb[Qtde],supercb[Item],tab_alimentos[[#This Row],[Item]],supercb[Bairro],mercado8)</f>
        <v>0</v>
      </c>
      <c r="T296" s="27" t="n">
        <f aca="false">SUMIFS(super1[Qtde],super1[Item],tab_alimentos[[#This Row],[Item]],super1[Bairro],mercado9)+SUMIFS(supercb[Qtde],supercb[Item],tab_alimentos[[#This Row],[Item]],supercb[Bairro],mercado9)</f>
        <v>0</v>
      </c>
      <c r="U296" s="27" t="n">
        <f aca="false">SUMIFS(super1[Qtde],super1[Item],tab_alimentos[[#This Row],[Item]],super1[Bairro],mercado10)+SUMIFS(supercb[Qtde],supercb[Item],tab_alimentos[[#This Row],[Item]],supercb[Bairro],mercado10)</f>
        <v>0</v>
      </c>
      <c r="V296" s="27" t="n">
        <f aca="false">SUMIFS(super1[Qtde],super1[Item],tab_alimentos[[#This Row],[Item]],super1[Bairro],mercado11)+SUMIFS(supercb[Qtde],supercb[Item],tab_alimentos[[#This Row],[Item]],supercb[Bairro],mercado11)</f>
        <v>0</v>
      </c>
      <c r="W296" s="27" t="n">
        <f aca="false">SUMIFS(super1[Qtde],super1[Item],tab_alimentos[[#This Row],[Item]],super1[Bairro],mercado12)+SUMIFS(supercb[Qtde],supercb[Item],tab_alimentos[[#This Row],[Item]],supercb[Bairro],mercado12)</f>
        <v>0</v>
      </c>
      <c r="X296" s="27" t="n">
        <f aca="false">SUMIFS(super1[Qtde],super1[Item],tab_alimentos[[#This Row],[Item]],super1[Bairro],mercado13)+SUMIFS(supercb[Qtde],supercb[Item],tab_alimentos[[#This Row],[Item]],supercb[Bairro],mercado13)</f>
        <v>0</v>
      </c>
      <c r="Y296" s="27" t="n">
        <f aca="false">SUMIFS(super1[Qtde],super1[Item],tab_alimentos[[#This Row],[Item]],super1[Bairro],mercado14)+SUMIFS(supercb[Qtde],supercb[Item],tab_alimentos[[#This Row],[Item]],supercb[Bairro],mercado14)</f>
        <v>0</v>
      </c>
      <c r="Z296" s="27" t="n">
        <f aca="false">SUMIFS(super1[Qtde],super1[Item],tab_alimentos[[#This Row],[Item]],super1[Bairro],mercado15)+SUMIFS(supercb[Qtde],supercb[Item],tab_alimentos[[#This Row],[Item]],supercb[Bairro],mercado15)</f>
        <v>0</v>
      </c>
      <c r="AA296" s="27" t="n">
        <f aca="false">SUMIFS(super1[Qtde],super1[Item],tab_alimentos[[#This Row],[Item]],super1[Bairro],mercado16)+SUMIFS(supercb[Qtde],supercb[Item],tab_alimentos[[#This Row],[Item]],supercb[Bairro],mercado16)</f>
        <v>0</v>
      </c>
      <c r="AB296" s="27" t="n">
        <f aca="false">SUMIFS(super1[Qtde],super1[Item],tab_alimentos[[#This Row],[Item]],super1[Bairro],mercado17)+SUMIFS(supercb[Qtde],supercb[Item],tab_alimentos[[#This Row],[Item]],supercb[Bairro],mercado17)</f>
        <v>0</v>
      </c>
      <c r="AC296" s="27" t="n">
        <f aca="false">SUMIFS(super1[Qtde],super1[Item],tab_alimentos[[#This Row],[Item]],super1[Bairro],mercado18)+SUMIFS(supercb[Qtde],supercb[Item],tab_alimentos[[#This Row],[Item]],supercb[Bairro],mercado18)</f>
        <v>0</v>
      </c>
      <c r="AD296" s="27" t="n">
        <f aca="false">SUMIFS(super1[Qtde],super1[Item],tab_alimentos[[#This Row],[Item]],super1[Bairro],extras)+SUMIFS(supercb[Qtde],supercb[Item],tab_alimentos[[#This Row],[Item]],supercb[Bairro],extras)</f>
        <v>0</v>
      </c>
      <c r="AE296" s="27" t="n">
        <f aca="false">SUM(L296:AC296)</f>
        <v>0</v>
      </c>
      <c r="AF296" s="27" t="n">
        <f aca="false">IFERROR(AE296*K296,0)</f>
        <v>0</v>
      </c>
      <c r="AG296" s="28" t="n">
        <f aca="false">IFERROR(J296*AE296,0)</f>
        <v>0</v>
      </c>
      <c r="AH296" s="37" t="e">
        <f aca="false">higiene[[#This Row],[Item]]</f>
        <v>#VALUE!</v>
      </c>
      <c r="AI296" s="38" t="n">
        <f aca="false">IFERROR(higiene[[#This Row],[Kg equivalente]],0)</f>
        <v>0</v>
      </c>
      <c r="AJ296" s="38" t="n">
        <f aca="false">IFERROR(higiene[[#This Row],[Preço por produto]],0)</f>
        <v>0</v>
      </c>
      <c r="AK296" s="27" t="n">
        <f aca="false">SUMIFS(super1[Qtde],super1[Item],tab_higiene[[#This Row],[Item]],super1[Bairro],mercado1)+SUMIFS(supercb[Qtde],supercb[Item],tab_higiene[[#This Row],[Item]],supercb[Bairro],mercado1)</f>
        <v>0</v>
      </c>
      <c r="AL296" s="27" t="n">
        <f aca="false">SUMIFS(super1[Qtde],super1[Item],tab_higiene[[#This Row],[Item]],super1[Bairro],mercado2)+SUMIFS(supercb[Qtde],supercb[Item],tab_higiene[[#This Row],[Item]],supercb[Bairro],mercado2)</f>
        <v>0</v>
      </c>
      <c r="AM296" s="27" t="n">
        <f aca="false">SUMIFS(super1[Qtde],super1[Item],tab_higiene[[#This Row],[Item]],super1[Bairro],mercado3)+SUMIFS(supercb[Qtde],supercb[Item],tab_higiene[[#This Row],[Item]],supercb[Bairro],mercado3)</f>
        <v>0</v>
      </c>
      <c r="AN296" s="27" t="n">
        <f aca="false">SUMIFS(super1[Qtde],super1[Item],tab_higiene[[#This Row],[Item]],super1[Bairro],mercado4)+SUMIFS(supercb[Qtde],supercb[Item],tab_higiene[[#This Row],[Item]],supercb[Bairro],mercado4)</f>
        <v>0</v>
      </c>
      <c r="AO296" s="27" t="n">
        <f aca="false">SUMIFS(super1[Qtde],super1[Item],tab_higiene[[#This Row],[Item]],super1[Bairro],mercado5)+SUMIFS(supercb[Qtde],supercb[Item],tab_higiene[[#This Row],[Item]],supercb[Bairro],mercado5)</f>
        <v>0</v>
      </c>
      <c r="AP296" s="27" t="n">
        <f aca="false">SUMIFS(super1[Qtde],super1[Item],tab_higiene[[#This Row],[Item]],super1[Bairro],mercado6)+SUMIFS(supercb[Qtde],supercb[Item],tab_higiene[[#This Row],[Item]],supercb[Bairro],mercado6)</f>
        <v>0</v>
      </c>
      <c r="AQ296" s="27" t="n">
        <f aca="false">SUMIFS(super1[Qtde],super1[Item],tab_higiene[[#This Row],[Item]],super1[Bairro],mercado7)+SUMIFS(supercb[Qtde],supercb[Item],tab_higiene[[#This Row],[Item]],supercb[Bairro],mercado7)</f>
        <v>0</v>
      </c>
      <c r="AR296" s="27" t="n">
        <f aca="false">SUMIFS(super1[Qtde],super1[Item],tab_higiene[[#This Row],[Item]],super1[Bairro],mercado8)+SUMIFS(supercb[Qtde],supercb[Item],tab_higiene[[#This Row],[Item]],supercb[Bairro],mercado8)</f>
        <v>0</v>
      </c>
      <c r="AS296" s="27" t="n">
        <f aca="false">SUMIFS(super1[Qtde],super1[Item],tab_higiene[[#This Row],[Item]],super1[Bairro],mercado9)+SUMIFS(supercb[Qtde],supercb[Item],tab_higiene[[#This Row],[Item]],supercb[Bairro],mercado9)</f>
        <v>0</v>
      </c>
      <c r="AT296" s="27" t="n">
        <f aca="false">SUMIFS(super1[Qtde],super1[Item],tab_higiene[[#This Row],[Item]],super1[Bairro],mercado10)+SUMIFS(supercb[Qtde],supercb[Item],tab_higiene[[#This Row],[Item]],supercb[Bairro],mercado10)</f>
        <v>0</v>
      </c>
      <c r="AU296" s="27" t="n">
        <f aca="false">SUMIFS(super1[Qtde],super1[Item],tab_higiene[[#This Row],[Item]],super1[Bairro],mercado11)+SUMIFS(supercb[Qtde],supercb[Item],tab_higiene[[#This Row],[Item]],supercb[Bairro],mercado11)</f>
        <v>0</v>
      </c>
      <c r="AV296" s="27" t="n">
        <f aca="false">SUMIFS(super1[Qtde],super1[Item],tab_higiene[[#This Row],[Item]],super1[Bairro],mercado12)+SUMIFS(supercb[Qtde],supercb[Item],tab_higiene[[#This Row],[Item]],supercb[Bairro],mercado12)</f>
        <v>0</v>
      </c>
      <c r="AW296" s="27" t="n">
        <f aca="false">SUMIFS(super1[Qtde],super1[Item],tab_higiene[[#This Row],[Item]],super1[Bairro],mercado13)+SUMIFS(supercb[Qtde],supercb[Item],tab_higiene[[#This Row],[Item]],supercb[Bairro],mercado13)</f>
        <v>0</v>
      </c>
      <c r="AX296" s="27" t="n">
        <f aca="false">SUMIFS(super1[Qtde],super1[Item],tab_higiene[[#This Row],[Item]],super1[Bairro],mercado14)+SUMIFS(supercb[Qtde],supercb[Item],tab_higiene[[#This Row],[Item]],supercb[Bairro],mercado14)</f>
        <v>0</v>
      </c>
      <c r="AY296" s="27" t="n">
        <f aca="false">SUMIFS(super1[Qtde],super1[Item],tab_higiene[[#This Row],[Item]],super1[Bairro],mercado15)+SUMIFS(supercb[Qtde],supercb[Item],tab_higiene[[#This Row],[Item]],supercb[Bairro],mercado15)</f>
        <v>0</v>
      </c>
      <c r="AZ296" s="27" t="n">
        <f aca="false">SUMIFS(super1[Qtde],super1[Item],tab_higiene[[#This Row],[Item]],super1[Bairro],mercado16)+SUMIFS(supercb[Qtde],supercb[Item],tab_higiene[[#This Row],[Item]],supercb[Bairro],mercado16)</f>
        <v>0</v>
      </c>
      <c r="BA296" s="27" t="n">
        <f aca="false">SUMIFS(super1[Qtde],super1[Item],tab_higiene[[#This Row],[Item]],super1[Bairro],mercado17)+SUMIFS(supercb[Qtde],supercb[Item],tab_higiene[[#This Row],[Item]],supercb[Bairro],mercado17)</f>
        <v>0</v>
      </c>
      <c r="BB296" s="27" t="n">
        <f aca="false">SUMIFS(super1[Qtde],super1[Item],tab_higiene[[#This Row],[Item]],super1[Bairro],mercado18)+SUMIFS(supercb[Qtde],supercb[Item],tab_higiene[[#This Row],[Item]],supercb[Bairro],mercado18)</f>
        <v>0</v>
      </c>
      <c r="BC296" s="39" t="n">
        <f aca="false">SUMIFS(super1[Qtde],super1[Item],tab_higiene[[#This Row],[Item]],super1[Bairro],extras)+SUMIFS(supercb[Qtde],supercb[Item],tab_higiene[[#This Row],[Item]],supercb[Bairro],extras)</f>
        <v>0</v>
      </c>
      <c r="BD296" s="38" t="n">
        <f aca="false">SUM(AK296:BB296)</f>
        <v>0</v>
      </c>
      <c r="BE296" s="38" t="n">
        <f aca="false">IFERROR(BD296*AJ296,0)</f>
        <v>0</v>
      </c>
      <c r="BF296" s="40" t="n">
        <f aca="false">IFERROR(AI296*BD296,0)</f>
        <v>0</v>
      </c>
    </row>
    <row r="297" customFormat="false" ht="15.75" hidden="false" customHeight="false" outlineLevel="0" collapsed="false">
      <c r="I297" s="26" t="e">
        <f aca="false">alimentos[[#This Row],[Item]]</f>
        <v>#VALUE!</v>
      </c>
      <c r="J297" s="27" t="n">
        <f aca="false">IFERROR(alimentos[[#This Row],[kg/embalagem]],0)</f>
        <v>0</v>
      </c>
      <c r="K297" s="27" t="n">
        <f aca="false">IFERROR(alimentos[[#This Row],[Preço]],0)</f>
        <v>0</v>
      </c>
      <c r="L297" s="27" t="n">
        <f aca="false">SUMIFS(super1[Qtde],super1[Item],tab_alimentos[[#This Row],[Item]],super1[Bairro],mercado1)+SUMIFS(supercb[Qtde],supercb[Item],tab_alimentos[[#This Row],[Item]],supercb[Bairro],mercado1)</f>
        <v>0</v>
      </c>
      <c r="M297" s="27" t="n">
        <f aca="false">SUMIFS(super1[Qtde],super1[Item],tab_alimentos[[#This Row],[Item]],super1[Bairro],mercado2)+SUMIFS(supercb[Qtde],supercb[Item],tab_alimentos[[#This Row],[Item]],supercb[Bairro],mercado2)</f>
        <v>0</v>
      </c>
      <c r="N297" s="27" t="n">
        <f aca="false">SUMIFS(super1[Qtde],super1[Item],tab_alimentos[[#This Row],[Item]],super1[Bairro],mercado3)+SUMIFS(supercb[Qtde],supercb[Item],tab_alimentos[[#This Row],[Item]],supercb[Bairro],mercado3)</f>
        <v>0</v>
      </c>
      <c r="O297" s="27" t="n">
        <f aca="false">SUMIFS(super1[Qtde],super1[Item],tab_alimentos[[#This Row],[Item]],super1[Bairro],mercado4)+SUMIFS(supercb[Qtde],supercb[Item],tab_alimentos[[#This Row],[Item]],supercb[Bairro],mercado4)</f>
        <v>0</v>
      </c>
      <c r="P297" s="27" t="n">
        <f aca="false">SUMIFS(super1[Qtde],super1[Item],tab_alimentos[[#This Row],[Item]],super1[Bairro],mercado5)+SUMIFS(supercb[Qtde],supercb[Item],tab_alimentos[[#This Row],[Item]],supercb[Bairro],mercado5)</f>
        <v>0</v>
      </c>
      <c r="Q297" s="27" t="n">
        <f aca="false">SUMIFS(super1[Qtde],super1[Item],tab_alimentos[[#This Row],[Item]],super1[Bairro],mercado6)+SUMIFS(supercb[Qtde],supercb[Item],tab_alimentos[[#This Row],[Item]],supercb[Bairro],mercado6)</f>
        <v>0</v>
      </c>
      <c r="R297" s="27" t="n">
        <f aca="false">SUMIFS(super1[Qtde],super1[Item],tab_alimentos[[#This Row],[Item]],super1[Bairro],mercado7)+SUMIFS(supercb[Qtde],supercb[Item],tab_alimentos[[#This Row],[Item]],supercb[Bairro],mercado7)</f>
        <v>0</v>
      </c>
      <c r="S297" s="27" t="n">
        <f aca="false">SUMIFS(super1[Qtde],super1[Item],tab_alimentos[[#This Row],[Item]],super1[Bairro],mercado8)+SUMIFS(supercb[Qtde],supercb[Item],tab_alimentos[[#This Row],[Item]],supercb[Bairro],mercado8)</f>
        <v>0</v>
      </c>
      <c r="T297" s="27" t="n">
        <f aca="false">SUMIFS(super1[Qtde],super1[Item],tab_alimentos[[#This Row],[Item]],super1[Bairro],mercado9)+SUMIFS(supercb[Qtde],supercb[Item],tab_alimentos[[#This Row],[Item]],supercb[Bairro],mercado9)</f>
        <v>0</v>
      </c>
      <c r="U297" s="27" t="n">
        <f aca="false">SUMIFS(super1[Qtde],super1[Item],tab_alimentos[[#This Row],[Item]],super1[Bairro],mercado10)+SUMIFS(supercb[Qtde],supercb[Item],tab_alimentos[[#This Row],[Item]],supercb[Bairro],mercado10)</f>
        <v>0</v>
      </c>
      <c r="V297" s="27" t="n">
        <f aca="false">SUMIFS(super1[Qtde],super1[Item],tab_alimentos[[#This Row],[Item]],super1[Bairro],mercado11)+SUMIFS(supercb[Qtde],supercb[Item],tab_alimentos[[#This Row],[Item]],supercb[Bairro],mercado11)</f>
        <v>0</v>
      </c>
      <c r="W297" s="27" t="n">
        <f aca="false">SUMIFS(super1[Qtde],super1[Item],tab_alimentos[[#This Row],[Item]],super1[Bairro],mercado12)+SUMIFS(supercb[Qtde],supercb[Item],tab_alimentos[[#This Row],[Item]],supercb[Bairro],mercado12)</f>
        <v>0</v>
      </c>
      <c r="X297" s="27" t="n">
        <f aca="false">SUMIFS(super1[Qtde],super1[Item],tab_alimentos[[#This Row],[Item]],super1[Bairro],mercado13)+SUMIFS(supercb[Qtde],supercb[Item],tab_alimentos[[#This Row],[Item]],supercb[Bairro],mercado13)</f>
        <v>0</v>
      </c>
      <c r="Y297" s="27" t="n">
        <f aca="false">SUMIFS(super1[Qtde],super1[Item],tab_alimentos[[#This Row],[Item]],super1[Bairro],mercado14)+SUMIFS(supercb[Qtde],supercb[Item],tab_alimentos[[#This Row],[Item]],supercb[Bairro],mercado14)</f>
        <v>0</v>
      </c>
      <c r="Z297" s="27" t="n">
        <f aca="false">SUMIFS(super1[Qtde],super1[Item],tab_alimentos[[#This Row],[Item]],super1[Bairro],mercado15)+SUMIFS(supercb[Qtde],supercb[Item],tab_alimentos[[#This Row],[Item]],supercb[Bairro],mercado15)</f>
        <v>0</v>
      </c>
      <c r="AA297" s="27" t="n">
        <f aca="false">SUMIFS(super1[Qtde],super1[Item],tab_alimentos[[#This Row],[Item]],super1[Bairro],mercado16)+SUMIFS(supercb[Qtde],supercb[Item],tab_alimentos[[#This Row],[Item]],supercb[Bairro],mercado16)</f>
        <v>0</v>
      </c>
      <c r="AB297" s="27" t="n">
        <f aca="false">SUMIFS(super1[Qtde],super1[Item],tab_alimentos[[#This Row],[Item]],super1[Bairro],mercado17)+SUMIFS(supercb[Qtde],supercb[Item],tab_alimentos[[#This Row],[Item]],supercb[Bairro],mercado17)</f>
        <v>0</v>
      </c>
      <c r="AC297" s="27" t="n">
        <f aca="false">SUMIFS(super1[Qtde],super1[Item],tab_alimentos[[#This Row],[Item]],super1[Bairro],mercado18)+SUMIFS(supercb[Qtde],supercb[Item],tab_alimentos[[#This Row],[Item]],supercb[Bairro],mercado18)</f>
        <v>0</v>
      </c>
      <c r="AD297" s="27" t="n">
        <f aca="false">SUMIFS(super1[Qtde],super1[Item],tab_alimentos[[#This Row],[Item]],super1[Bairro],extras)+SUMIFS(supercb[Qtde],supercb[Item],tab_alimentos[[#This Row],[Item]],supercb[Bairro],extras)</f>
        <v>0</v>
      </c>
      <c r="AE297" s="27" t="n">
        <f aca="false">SUM(L297:AC297)</f>
        <v>0</v>
      </c>
      <c r="AF297" s="27" t="n">
        <f aca="false">IFERROR(AE297*K297,0)</f>
        <v>0</v>
      </c>
      <c r="AG297" s="28" t="n">
        <f aca="false">IFERROR(J297*AE297,0)</f>
        <v>0</v>
      </c>
      <c r="AH297" s="37" t="e">
        <f aca="false">higiene[[#This Row],[Item]]</f>
        <v>#VALUE!</v>
      </c>
      <c r="AI297" s="38" t="n">
        <f aca="false">IFERROR(higiene[[#This Row],[Kg equivalente]],0)</f>
        <v>0</v>
      </c>
      <c r="AJ297" s="38" t="n">
        <f aca="false">IFERROR(higiene[[#This Row],[Preço por produto]],0)</f>
        <v>0</v>
      </c>
      <c r="AK297" s="27" t="n">
        <f aca="false">SUMIFS(super1[Qtde],super1[Item],tab_higiene[[#This Row],[Item]],super1[Bairro],mercado1)+SUMIFS(supercb[Qtde],supercb[Item],tab_higiene[[#This Row],[Item]],supercb[Bairro],mercado1)</f>
        <v>0</v>
      </c>
      <c r="AL297" s="27" t="n">
        <f aca="false">SUMIFS(super1[Qtde],super1[Item],tab_higiene[[#This Row],[Item]],super1[Bairro],mercado2)+SUMIFS(supercb[Qtde],supercb[Item],tab_higiene[[#This Row],[Item]],supercb[Bairro],mercado2)</f>
        <v>0</v>
      </c>
      <c r="AM297" s="27" t="n">
        <f aca="false">SUMIFS(super1[Qtde],super1[Item],tab_higiene[[#This Row],[Item]],super1[Bairro],mercado3)+SUMIFS(supercb[Qtde],supercb[Item],tab_higiene[[#This Row],[Item]],supercb[Bairro],mercado3)</f>
        <v>0</v>
      </c>
      <c r="AN297" s="27" t="n">
        <f aca="false">SUMIFS(super1[Qtde],super1[Item],tab_higiene[[#This Row],[Item]],super1[Bairro],mercado4)+SUMIFS(supercb[Qtde],supercb[Item],tab_higiene[[#This Row],[Item]],supercb[Bairro],mercado4)</f>
        <v>0</v>
      </c>
      <c r="AO297" s="27" t="n">
        <f aca="false">SUMIFS(super1[Qtde],super1[Item],tab_higiene[[#This Row],[Item]],super1[Bairro],mercado5)+SUMIFS(supercb[Qtde],supercb[Item],tab_higiene[[#This Row],[Item]],supercb[Bairro],mercado5)</f>
        <v>0</v>
      </c>
      <c r="AP297" s="27" t="n">
        <f aca="false">SUMIFS(super1[Qtde],super1[Item],tab_higiene[[#This Row],[Item]],super1[Bairro],mercado6)+SUMIFS(supercb[Qtde],supercb[Item],tab_higiene[[#This Row],[Item]],supercb[Bairro],mercado6)</f>
        <v>0</v>
      </c>
      <c r="AQ297" s="27" t="n">
        <f aca="false">SUMIFS(super1[Qtde],super1[Item],tab_higiene[[#This Row],[Item]],super1[Bairro],mercado7)+SUMIFS(supercb[Qtde],supercb[Item],tab_higiene[[#This Row],[Item]],supercb[Bairro],mercado7)</f>
        <v>0</v>
      </c>
      <c r="AR297" s="27" t="n">
        <f aca="false">SUMIFS(super1[Qtde],super1[Item],tab_higiene[[#This Row],[Item]],super1[Bairro],mercado8)+SUMIFS(supercb[Qtde],supercb[Item],tab_higiene[[#This Row],[Item]],supercb[Bairro],mercado8)</f>
        <v>0</v>
      </c>
      <c r="AS297" s="27" t="n">
        <f aca="false">SUMIFS(super1[Qtde],super1[Item],tab_higiene[[#This Row],[Item]],super1[Bairro],mercado9)+SUMIFS(supercb[Qtde],supercb[Item],tab_higiene[[#This Row],[Item]],supercb[Bairro],mercado9)</f>
        <v>0</v>
      </c>
      <c r="AT297" s="27" t="n">
        <f aca="false">SUMIFS(super1[Qtde],super1[Item],tab_higiene[[#This Row],[Item]],super1[Bairro],mercado10)+SUMIFS(supercb[Qtde],supercb[Item],tab_higiene[[#This Row],[Item]],supercb[Bairro],mercado10)</f>
        <v>0</v>
      </c>
      <c r="AU297" s="27" t="n">
        <f aca="false">SUMIFS(super1[Qtde],super1[Item],tab_higiene[[#This Row],[Item]],super1[Bairro],mercado11)+SUMIFS(supercb[Qtde],supercb[Item],tab_higiene[[#This Row],[Item]],supercb[Bairro],mercado11)</f>
        <v>0</v>
      </c>
      <c r="AV297" s="27" t="n">
        <f aca="false">SUMIFS(super1[Qtde],super1[Item],tab_higiene[[#This Row],[Item]],super1[Bairro],mercado12)+SUMIFS(supercb[Qtde],supercb[Item],tab_higiene[[#This Row],[Item]],supercb[Bairro],mercado12)</f>
        <v>0</v>
      </c>
      <c r="AW297" s="27" t="n">
        <f aca="false">SUMIFS(super1[Qtde],super1[Item],tab_higiene[[#This Row],[Item]],super1[Bairro],mercado13)+SUMIFS(supercb[Qtde],supercb[Item],tab_higiene[[#This Row],[Item]],supercb[Bairro],mercado13)</f>
        <v>0</v>
      </c>
      <c r="AX297" s="27" t="n">
        <f aca="false">SUMIFS(super1[Qtde],super1[Item],tab_higiene[[#This Row],[Item]],super1[Bairro],mercado14)+SUMIFS(supercb[Qtde],supercb[Item],tab_higiene[[#This Row],[Item]],supercb[Bairro],mercado14)</f>
        <v>0</v>
      </c>
      <c r="AY297" s="27" t="n">
        <f aca="false">SUMIFS(super1[Qtde],super1[Item],tab_higiene[[#This Row],[Item]],super1[Bairro],mercado15)+SUMIFS(supercb[Qtde],supercb[Item],tab_higiene[[#This Row],[Item]],supercb[Bairro],mercado15)</f>
        <v>0</v>
      </c>
      <c r="AZ297" s="27" t="n">
        <f aca="false">SUMIFS(super1[Qtde],super1[Item],tab_higiene[[#This Row],[Item]],super1[Bairro],mercado16)+SUMIFS(supercb[Qtde],supercb[Item],tab_higiene[[#This Row],[Item]],supercb[Bairro],mercado16)</f>
        <v>0</v>
      </c>
      <c r="BA297" s="27" t="n">
        <f aca="false">SUMIFS(super1[Qtde],super1[Item],tab_higiene[[#This Row],[Item]],super1[Bairro],mercado17)+SUMIFS(supercb[Qtde],supercb[Item],tab_higiene[[#This Row],[Item]],supercb[Bairro],mercado17)</f>
        <v>0</v>
      </c>
      <c r="BB297" s="27" t="n">
        <f aca="false">SUMIFS(super1[Qtde],super1[Item],tab_higiene[[#This Row],[Item]],super1[Bairro],mercado18)+SUMIFS(supercb[Qtde],supercb[Item],tab_higiene[[#This Row],[Item]],supercb[Bairro],mercado18)</f>
        <v>0</v>
      </c>
      <c r="BC297" s="39" t="n">
        <f aca="false">SUMIFS(super1[Qtde],super1[Item],tab_higiene[[#This Row],[Item]],super1[Bairro],extras)+SUMIFS(supercb[Qtde],supercb[Item],tab_higiene[[#This Row],[Item]],supercb[Bairro],extras)</f>
        <v>0</v>
      </c>
      <c r="BD297" s="38" t="n">
        <f aca="false">SUM(AK297:BB297)</f>
        <v>0</v>
      </c>
      <c r="BE297" s="38" t="n">
        <f aca="false">IFERROR(BD297*AJ297,0)</f>
        <v>0</v>
      </c>
      <c r="BF297" s="40" t="n">
        <f aca="false">IFERROR(AI297*BD297,0)</f>
        <v>0</v>
      </c>
    </row>
    <row r="298" customFormat="false" ht="15.75" hidden="false" customHeight="false" outlineLevel="0" collapsed="false">
      <c r="I298" s="26" t="e">
        <f aca="false">alimentos[[#This Row],[Item]]</f>
        <v>#VALUE!</v>
      </c>
      <c r="J298" s="27" t="n">
        <f aca="false">IFERROR(alimentos[[#This Row],[kg/embalagem]],0)</f>
        <v>0</v>
      </c>
      <c r="K298" s="27" t="n">
        <f aca="false">IFERROR(alimentos[[#This Row],[Preço]],0)</f>
        <v>0</v>
      </c>
      <c r="L298" s="27" t="n">
        <f aca="false">SUMIFS(super1[Qtde],super1[Item],tab_alimentos[[#This Row],[Item]],super1[Bairro],mercado1)+SUMIFS(supercb[Qtde],supercb[Item],tab_alimentos[[#This Row],[Item]],supercb[Bairro],mercado1)</f>
        <v>0</v>
      </c>
      <c r="M298" s="27" t="n">
        <f aca="false">SUMIFS(super1[Qtde],super1[Item],tab_alimentos[[#This Row],[Item]],super1[Bairro],mercado2)+SUMIFS(supercb[Qtde],supercb[Item],tab_alimentos[[#This Row],[Item]],supercb[Bairro],mercado2)</f>
        <v>0</v>
      </c>
      <c r="N298" s="27" t="n">
        <f aca="false">SUMIFS(super1[Qtde],super1[Item],tab_alimentos[[#This Row],[Item]],super1[Bairro],mercado3)+SUMIFS(supercb[Qtde],supercb[Item],tab_alimentos[[#This Row],[Item]],supercb[Bairro],mercado3)</f>
        <v>0</v>
      </c>
      <c r="O298" s="27" t="n">
        <f aca="false">SUMIFS(super1[Qtde],super1[Item],tab_alimentos[[#This Row],[Item]],super1[Bairro],mercado4)+SUMIFS(supercb[Qtde],supercb[Item],tab_alimentos[[#This Row],[Item]],supercb[Bairro],mercado4)</f>
        <v>0</v>
      </c>
      <c r="P298" s="27" t="n">
        <f aca="false">SUMIFS(super1[Qtde],super1[Item],tab_alimentos[[#This Row],[Item]],super1[Bairro],mercado5)+SUMIFS(supercb[Qtde],supercb[Item],tab_alimentos[[#This Row],[Item]],supercb[Bairro],mercado5)</f>
        <v>0</v>
      </c>
      <c r="Q298" s="27" t="n">
        <f aca="false">SUMIFS(super1[Qtde],super1[Item],tab_alimentos[[#This Row],[Item]],super1[Bairro],mercado6)+SUMIFS(supercb[Qtde],supercb[Item],tab_alimentos[[#This Row],[Item]],supercb[Bairro],mercado6)</f>
        <v>0</v>
      </c>
      <c r="R298" s="27" t="n">
        <f aca="false">SUMIFS(super1[Qtde],super1[Item],tab_alimentos[[#This Row],[Item]],super1[Bairro],mercado7)+SUMIFS(supercb[Qtde],supercb[Item],tab_alimentos[[#This Row],[Item]],supercb[Bairro],mercado7)</f>
        <v>0</v>
      </c>
      <c r="S298" s="27" t="n">
        <f aca="false">SUMIFS(super1[Qtde],super1[Item],tab_alimentos[[#This Row],[Item]],super1[Bairro],mercado8)+SUMIFS(supercb[Qtde],supercb[Item],tab_alimentos[[#This Row],[Item]],supercb[Bairro],mercado8)</f>
        <v>0</v>
      </c>
      <c r="T298" s="27" t="n">
        <f aca="false">SUMIFS(super1[Qtde],super1[Item],tab_alimentos[[#This Row],[Item]],super1[Bairro],mercado9)+SUMIFS(supercb[Qtde],supercb[Item],tab_alimentos[[#This Row],[Item]],supercb[Bairro],mercado9)</f>
        <v>0</v>
      </c>
      <c r="U298" s="27" t="n">
        <f aca="false">SUMIFS(super1[Qtde],super1[Item],tab_alimentos[[#This Row],[Item]],super1[Bairro],mercado10)+SUMIFS(supercb[Qtde],supercb[Item],tab_alimentos[[#This Row],[Item]],supercb[Bairro],mercado10)</f>
        <v>0</v>
      </c>
      <c r="V298" s="27" t="n">
        <f aca="false">SUMIFS(super1[Qtde],super1[Item],tab_alimentos[[#This Row],[Item]],super1[Bairro],mercado11)+SUMIFS(supercb[Qtde],supercb[Item],tab_alimentos[[#This Row],[Item]],supercb[Bairro],mercado11)</f>
        <v>0</v>
      </c>
      <c r="W298" s="27" t="n">
        <f aca="false">SUMIFS(super1[Qtde],super1[Item],tab_alimentos[[#This Row],[Item]],super1[Bairro],mercado12)+SUMIFS(supercb[Qtde],supercb[Item],tab_alimentos[[#This Row],[Item]],supercb[Bairro],mercado12)</f>
        <v>0</v>
      </c>
      <c r="X298" s="27" t="n">
        <f aca="false">SUMIFS(super1[Qtde],super1[Item],tab_alimentos[[#This Row],[Item]],super1[Bairro],mercado13)+SUMIFS(supercb[Qtde],supercb[Item],tab_alimentos[[#This Row],[Item]],supercb[Bairro],mercado13)</f>
        <v>0</v>
      </c>
      <c r="Y298" s="27" t="n">
        <f aca="false">SUMIFS(super1[Qtde],super1[Item],tab_alimentos[[#This Row],[Item]],super1[Bairro],mercado14)+SUMIFS(supercb[Qtde],supercb[Item],tab_alimentos[[#This Row],[Item]],supercb[Bairro],mercado14)</f>
        <v>0</v>
      </c>
      <c r="Z298" s="27" t="n">
        <f aca="false">SUMIFS(super1[Qtde],super1[Item],tab_alimentos[[#This Row],[Item]],super1[Bairro],mercado15)+SUMIFS(supercb[Qtde],supercb[Item],tab_alimentos[[#This Row],[Item]],supercb[Bairro],mercado15)</f>
        <v>0</v>
      </c>
      <c r="AA298" s="27" t="n">
        <f aca="false">SUMIFS(super1[Qtde],super1[Item],tab_alimentos[[#This Row],[Item]],super1[Bairro],mercado16)+SUMIFS(supercb[Qtde],supercb[Item],tab_alimentos[[#This Row],[Item]],supercb[Bairro],mercado16)</f>
        <v>0</v>
      </c>
      <c r="AB298" s="27" t="n">
        <f aca="false">SUMIFS(super1[Qtde],super1[Item],tab_alimentos[[#This Row],[Item]],super1[Bairro],mercado17)+SUMIFS(supercb[Qtde],supercb[Item],tab_alimentos[[#This Row],[Item]],supercb[Bairro],mercado17)</f>
        <v>0</v>
      </c>
      <c r="AC298" s="27" t="n">
        <f aca="false">SUMIFS(super1[Qtde],super1[Item],tab_alimentos[[#This Row],[Item]],super1[Bairro],mercado18)+SUMIFS(supercb[Qtde],supercb[Item],tab_alimentos[[#This Row],[Item]],supercb[Bairro],mercado18)</f>
        <v>0</v>
      </c>
      <c r="AD298" s="27" t="n">
        <f aca="false">SUMIFS(super1[Qtde],super1[Item],tab_alimentos[[#This Row],[Item]],super1[Bairro],extras)+SUMIFS(supercb[Qtde],supercb[Item],tab_alimentos[[#This Row],[Item]],supercb[Bairro],extras)</f>
        <v>0</v>
      </c>
      <c r="AE298" s="27" t="n">
        <f aca="false">SUM(L298:AC298)</f>
        <v>0</v>
      </c>
      <c r="AF298" s="27" t="n">
        <f aca="false">IFERROR(AE298*K298,0)</f>
        <v>0</v>
      </c>
      <c r="AG298" s="28" t="n">
        <f aca="false">IFERROR(J298*AE298,0)</f>
        <v>0</v>
      </c>
      <c r="AH298" s="37" t="e">
        <f aca="false">higiene[[#This Row],[Item]]</f>
        <v>#VALUE!</v>
      </c>
      <c r="AI298" s="38" t="n">
        <f aca="false">IFERROR(higiene[[#This Row],[Kg equivalente]],0)</f>
        <v>0</v>
      </c>
      <c r="AJ298" s="38" t="n">
        <f aca="false">IFERROR(higiene[[#This Row],[Preço por produto]],0)</f>
        <v>0</v>
      </c>
      <c r="AK298" s="27" t="n">
        <f aca="false">SUMIFS(super1[Qtde],super1[Item],tab_higiene[[#This Row],[Item]],super1[Bairro],mercado1)+SUMIFS(supercb[Qtde],supercb[Item],tab_higiene[[#This Row],[Item]],supercb[Bairro],mercado1)</f>
        <v>0</v>
      </c>
      <c r="AL298" s="27" t="n">
        <f aca="false">SUMIFS(super1[Qtde],super1[Item],tab_higiene[[#This Row],[Item]],super1[Bairro],mercado2)+SUMIFS(supercb[Qtde],supercb[Item],tab_higiene[[#This Row],[Item]],supercb[Bairro],mercado2)</f>
        <v>0</v>
      </c>
      <c r="AM298" s="27" t="n">
        <f aca="false">SUMIFS(super1[Qtde],super1[Item],tab_higiene[[#This Row],[Item]],super1[Bairro],mercado3)+SUMIFS(supercb[Qtde],supercb[Item],tab_higiene[[#This Row],[Item]],supercb[Bairro],mercado3)</f>
        <v>0</v>
      </c>
      <c r="AN298" s="27" t="n">
        <f aca="false">SUMIFS(super1[Qtde],super1[Item],tab_higiene[[#This Row],[Item]],super1[Bairro],mercado4)+SUMIFS(supercb[Qtde],supercb[Item],tab_higiene[[#This Row],[Item]],supercb[Bairro],mercado4)</f>
        <v>0</v>
      </c>
      <c r="AO298" s="27" t="n">
        <f aca="false">SUMIFS(super1[Qtde],super1[Item],tab_higiene[[#This Row],[Item]],super1[Bairro],mercado5)+SUMIFS(supercb[Qtde],supercb[Item],tab_higiene[[#This Row],[Item]],supercb[Bairro],mercado5)</f>
        <v>0</v>
      </c>
      <c r="AP298" s="27" t="n">
        <f aca="false">SUMIFS(super1[Qtde],super1[Item],tab_higiene[[#This Row],[Item]],super1[Bairro],mercado6)+SUMIFS(supercb[Qtde],supercb[Item],tab_higiene[[#This Row],[Item]],supercb[Bairro],mercado6)</f>
        <v>0</v>
      </c>
      <c r="AQ298" s="27" t="n">
        <f aca="false">SUMIFS(super1[Qtde],super1[Item],tab_higiene[[#This Row],[Item]],super1[Bairro],mercado7)+SUMIFS(supercb[Qtde],supercb[Item],tab_higiene[[#This Row],[Item]],supercb[Bairro],mercado7)</f>
        <v>0</v>
      </c>
      <c r="AR298" s="27" t="n">
        <f aca="false">SUMIFS(super1[Qtde],super1[Item],tab_higiene[[#This Row],[Item]],super1[Bairro],mercado8)+SUMIFS(supercb[Qtde],supercb[Item],tab_higiene[[#This Row],[Item]],supercb[Bairro],mercado8)</f>
        <v>0</v>
      </c>
      <c r="AS298" s="27" t="n">
        <f aca="false">SUMIFS(super1[Qtde],super1[Item],tab_higiene[[#This Row],[Item]],super1[Bairro],mercado9)+SUMIFS(supercb[Qtde],supercb[Item],tab_higiene[[#This Row],[Item]],supercb[Bairro],mercado9)</f>
        <v>0</v>
      </c>
      <c r="AT298" s="27" t="n">
        <f aca="false">SUMIFS(super1[Qtde],super1[Item],tab_higiene[[#This Row],[Item]],super1[Bairro],mercado10)+SUMIFS(supercb[Qtde],supercb[Item],tab_higiene[[#This Row],[Item]],supercb[Bairro],mercado10)</f>
        <v>0</v>
      </c>
      <c r="AU298" s="27" t="n">
        <f aca="false">SUMIFS(super1[Qtde],super1[Item],tab_higiene[[#This Row],[Item]],super1[Bairro],mercado11)+SUMIFS(supercb[Qtde],supercb[Item],tab_higiene[[#This Row],[Item]],supercb[Bairro],mercado11)</f>
        <v>0</v>
      </c>
      <c r="AV298" s="27" t="n">
        <f aca="false">SUMIFS(super1[Qtde],super1[Item],tab_higiene[[#This Row],[Item]],super1[Bairro],mercado12)+SUMIFS(supercb[Qtde],supercb[Item],tab_higiene[[#This Row],[Item]],supercb[Bairro],mercado12)</f>
        <v>0</v>
      </c>
      <c r="AW298" s="27" t="n">
        <f aca="false">SUMIFS(super1[Qtde],super1[Item],tab_higiene[[#This Row],[Item]],super1[Bairro],mercado13)+SUMIFS(supercb[Qtde],supercb[Item],tab_higiene[[#This Row],[Item]],supercb[Bairro],mercado13)</f>
        <v>0</v>
      </c>
      <c r="AX298" s="27" t="n">
        <f aca="false">SUMIFS(super1[Qtde],super1[Item],tab_higiene[[#This Row],[Item]],super1[Bairro],mercado14)+SUMIFS(supercb[Qtde],supercb[Item],tab_higiene[[#This Row],[Item]],supercb[Bairro],mercado14)</f>
        <v>0</v>
      </c>
      <c r="AY298" s="27" t="n">
        <f aca="false">SUMIFS(super1[Qtde],super1[Item],tab_higiene[[#This Row],[Item]],super1[Bairro],mercado15)+SUMIFS(supercb[Qtde],supercb[Item],tab_higiene[[#This Row],[Item]],supercb[Bairro],mercado15)</f>
        <v>0</v>
      </c>
      <c r="AZ298" s="27" t="n">
        <f aca="false">SUMIFS(super1[Qtde],super1[Item],tab_higiene[[#This Row],[Item]],super1[Bairro],mercado16)+SUMIFS(supercb[Qtde],supercb[Item],tab_higiene[[#This Row],[Item]],supercb[Bairro],mercado16)</f>
        <v>0</v>
      </c>
      <c r="BA298" s="27" t="n">
        <f aca="false">SUMIFS(super1[Qtde],super1[Item],tab_higiene[[#This Row],[Item]],super1[Bairro],mercado17)+SUMIFS(supercb[Qtde],supercb[Item],tab_higiene[[#This Row],[Item]],supercb[Bairro],mercado17)</f>
        <v>0</v>
      </c>
      <c r="BB298" s="27" t="n">
        <f aca="false">SUMIFS(super1[Qtde],super1[Item],tab_higiene[[#This Row],[Item]],super1[Bairro],mercado18)+SUMIFS(supercb[Qtde],supercb[Item],tab_higiene[[#This Row],[Item]],supercb[Bairro],mercado18)</f>
        <v>0</v>
      </c>
      <c r="BC298" s="39" t="n">
        <f aca="false">SUMIFS(super1[Qtde],super1[Item],tab_higiene[[#This Row],[Item]],super1[Bairro],extras)+SUMIFS(supercb[Qtde],supercb[Item],tab_higiene[[#This Row],[Item]],supercb[Bairro],extras)</f>
        <v>0</v>
      </c>
      <c r="BD298" s="38" t="n">
        <f aca="false">SUM(AK298:BB298)</f>
        <v>0</v>
      </c>
      <c r="BE298" s="38" t="n">
        <f aca="false">IFERROR(BD298*AJ298,0)</f>
        <v>0</v>
      </c>
      <c r="BF298" s="40" t="n">
        <f aca="false">IFERROR(AI298*BD298,0)</f>
        <v>0</v>
      </c>
    </row>
    <row r="299" customFormat="false" ht="15.75" hidden="false" customHeight="false" outlineLevel="0" collapsed="false">
      <c r="I299" s="26" t="e">
        <f aca="false">alimentos[[#This Row],[Item]]</f>
        <v>#VALUE!</v>
      </c>
      <c r="J299" s="27" t="n">
        <f aca="false">IFERROR(alimentos[[#This Row],[kg/embalagem]],0)</f>
        <v>0</v>
      </c>
      <c r="K299" s="27" t="n">
        <f aca="false">IFERROR(alimentos[[#This Row],[Preço]],0)</f>
        <v>0</v>
      </c>
      <c r="L299" s="27" t="n">
        <f aca="false">SUMIFS(super1[Qtde],super1[Item],tab_alimentos[[#This Row],[Item]],super1[Bairro],mercado1)+SUMIFS(supercb[Qtde],supercb[Item],tab_alimentos[[#This Row],[Item]],supercb[Bairro],mercado1)</f>
        <v>0</v>
      </c>
      <c r="M299" s="27" t="n">
        <f aca="false">SUMIFS(super1[Qtde],super1[Item],tab_alimentos[[#This Row],[Item]],super1[Bairro],mercado2)+SUMIFS(supercb[Qtde],supercb[Item],tab_alimentos[[#This Row],[Item]],supercb[Bairro],mercado2)</f>
        <v>0</v>
      </c>
      <c r="N299" s="27" t="n">
        <f aca="false">SUMIFS(super1[Qtde],super1[Item],tab_alimentos[[#This Row],[Item]],super1[Bairro],mercado3)+SUMIFS(supercb[Qtde],supercb[Item],tab_alimentos[[#This Row],[Item]],supercb[Bairro],mercado3)</f>
        <v>0</v>
      </c>
      <c r="O299" s="27" t="n">
        <f aca="false">SUMIFS(super1[Qtde],super1[Item],tab_alimentos[[#This Row],[Item]],super1[Bairro],mercado4)+SUMIFS(supercb[Qtde],supercb[Item],tab_alimentos[[#This Row],[Item]],supercb[Bairro],mercado4)</f>
        <v>0</v>
      </c>
      <c r="P299" s="27" t="n">
        <f aca="false">SUMIFS(super1[Qtde],super1[Item],tab_alimentos[[#This Row],[Item]],super1[Bairro],mercado5)+SUMIFS(supercb[Qtde],supercb[Item],tab_alimentos[[#This Row],[Item]],supercb[Bairro],mercado5)</f>
        <v>0</v>
      </c>
      <c r="Q299" s="27" t="n">
        <f aca="false">SUMIFS(super1[Qtde],super1[Item],tab_alimentos[[#This Row],[Item]],super1[Bairro],mercado6)+SUMIFS(supercb[Qtde],supercb[Item],tab_alimentos[[#This Row],[Item]],supercb[Bairro],mercado6)</f>
        <v>0</v>
      </c>
      <c r="R299" s="27" t="n">
        <f aca="false">SUMIFS(super1[Qtde],super1[Item],tab_alimentos[[#This Row],[Item]],super1[Bairro],mercado7)+SUMIFS(supercb[Qtde],supercb[Item],tab_alimentos[[#This Row],[Item]],supercb[Bairro],mercado7)</f>
        <v>0</v>
      </c>
      <c r="S299" s="27" t="n">
        <f aca="false">SUMIFS(super1[Qtde],super1[Item],tab_alimentos[[#This Row],[Item]],super1[Bairro],mercado8)+SUMIFS(supercb[Qtde],supercb[Item],tab_alimentos[[#This Row],[Item]],supercb[Bairro],mercado8)</f>
        <v>0</v>
      </c>
      <c r="T299" s="27" t="n">
        <f aca="false">SUMIFS(super1[Qtde],super1[Item],tab_alimentos[[#This Row],[Item]],super1[Bairro],mercado9)+SUMIFS(supercb[Qtde],supercb[Item],tab_alimentos[[#This Row],[Item]],supercb[Bairro],mercado9)</f>
        <v>0</v>
      </c>
      <c r="U299" s="27" t="n">
        <f aca="false">SUMIFS(super1[Qtde],super1[Item],tab_alimentos[[#This Row],[Item]],super1[Bairro],mercado10)+SUMIFS(supercb[Qtde],supercb[Item],tab_alimentos[[#This Row],[Item]],supercb[Bairro],mercado10)</f>
        <v>0</v>
      </c>
      <c r="V299" s="27" t="n">
        <f aca="false">SUMIFS(super1[Qtde],super1[Item],tab_alimentos[[#This Row],[Item]],super1[Bairro],mercado11)+SUMIFS(supercb[Qtde],supercb[Item],tab_alimentos[[#This Row],[Item]],supercb[Bairro],mercado11)</f>
        <v>0</v>
      </c>
      <c r="W299" s="27" t="n">
        <f aca="false">SUMIFS(super1[Qtde],super1[Item],tab_alimentos[[#This Row],[Item]],super1[Bairro],mercado12)+SUMIFS(supercb[Qtde],supercb[Item],tab_alimentos[[#This Row],[Item]],supercb[Bairro],mercado12)</f>
        <v>0</v>
      </c>
      <c r="X299" s="27" t="n">
        <f aca="false">SUMIFS(super1[Qtde],super1[Item],tab_alimentos[[#This Row],[Item]],super1[Bairro],mercado13)+SUMIFS(supercb[Qtde],supercb[Item],tab_alimentos[[#This Row],[Item]],supercb[Bairro],mercado13)</f>
        <v>0</v>
      </c>
      <c r="Y299" s="27" t="n">
        <f aca="false">SUMIFS(super1[Qtde],super1[Item],tab_alimentos[[#This Row],[Item]],super1[Bairro],mercado14)+SUMIFS(supercb[Qtde],supercb[Item],tab_alimentos[[#This Row],[Item]],supercb[Bairro],mercado14)</f>
        <v>0</v>
      </c>
      <c r="Z299" s="27" t="n">
        <f aca="false">SUMIFS(super1[Qtde],super1[Item],tab_alimentos[[#This Row],[Item]],super1[Bairro],mercado15)+SUMIFS(supercb[Qtde],supercb[Item],tab_alimentos[[#This Row],[Item]],supercb[Bairro],mercado15)</f>
        <v>0</v>
      </c>
      <c r="AA299" s="27" t="n">
        <f aca="false">SUMIFS(super1[Qtde],super1[Item],tab_alimentos[[#This Row],[Item]],super1[Bairro],mercado16)+SUMIFS(supercb[Qtde],supercb[Item],tab_alimentos[[#This Row],[Item]],supercb[Bairro],mercado16)</f>
        <v>0</v>
      </c>
      <c r="AB299" s="27" t="n">
        <f aca="false">SUMIFS(super1[Qtde],super1[Item],tab_alimentos[[#This Row],[Item]],super1[Bairro],mercado17)+SUMIFS(supercb[Qtde],supercb[Item],tab_alimentos[[#This Row],[Item]],supercb[Bairro],mercado17)</f>
        <v>0</v>
      </c>
      <c r="AC299" s="27" t="n">
        <f aca="false">SUMIFS(super1[Qtde],super1[Item],tab_alimentos[[#This Row],[Item]],super1[Bairro],mercado18)+SUMIFS(supercb[Qtde],supercb[Item],tab_alimentos[[#This Row],[Item]],supercb[Bairro],mercado18)</f>
        <v>0</v>
      </c>
      <c r="AD299" s="27" t="n">
        <f aca="false">SUMIFS(super1[Qtde],super1[Item],tab_alimentos[[#This Row],[Item]],super1[Bairro],extras)+SUMIFS(supercb[Qtde],supercb[Item],tab_alimentos[[#This Row],[Item]],supercb[Bairro],extras)</f>
        <v>0</v>
      </c>
      <c r="AE299" s="27" t="n">
        <f aca="false">SUM(L299:AC299)</f>
        <v>0</v>
      </c>
      <c r="AF299" s="27" t="n">
        <f aca="false">IFERROR(AE299*K299,0)</f>
        <v>0</v>
      </c>
      <c r="AG299" s="28" t="n">
        <f aca="false">IFERROR(J299*AE299,0)</f>
        <v>0</v>
      </c>
      <c r="AH299" s="37" t="e">
        <f aca="false">higiene[[#This Row],[Item]]</f>
        <v>#VALUE!</v>
      </c>
      <c r="AI299" s="38" t="n">
        <f aca="false">IFERROR(higiene[[#This Row],[Kg equivalente]],0)</f>
        <v>0</v>
      </c>
      <c r="AJ299" s="38" t="n">
        <f aca="false">IFERROR(higiene[[#This Row],[Preço por produto]],0)</f>
        <v>0</v>
      </c>
      <c r="AK299" s="27" t="n">
        <f aca="false">SUMIFS(super1[Qtde],super1[Item],tab_higiene[[#This Row],[Item]],super1[Bairro],mercado1)+SUMIFS(supercb[Qtde],supercb[Item],tab_higiene[[#This Row],[Item]],supercb[Bairro],mercado1)</f>
        <v>0</v>
      </c>
      <c r="AL299" s="27" t="n">
        <f aca="false">SUMIFS(super1[Qtde],super1[Item],tab_higiene[[#This Row],[Item]],super1[Bairro],mercado2)+SUMIFS(supercb[Qtde],supercb[Item],tab_higiene[[#This Row],[Item]],supercb[Bairro],mercado2)</f>
        <v>0</v>
      </c>
      <c r="AM299" s="27" t="n">
        <f aca="false">SUMIFS(super1[Qtde],super1[Item],tab_higiene[[#This Row],[Item]],super1[Bairro],mercado3)+SUMIFS(supercb[Qtde],supercb[Item],tab_higiene[[#This Row],[Item]],supercb[Bairro],mercado3)</f>
        <v>0</v>
      </c>
      <c r="AN299" s="27" t="n">
        <f aca="false">SUMIFS(super1[Qtde],super1[Item],tab_higiene[[#This Row],[Item]],super1[Bairro],mercado4)+SUMIFS(supercb[Qtde],supercb[Item],tab_higiene[[#This Row],[Item]],supercb[Bairro],mercado4)</f>
        <v>0</v>
      </c>
      <c r="AO299" s="27" t="n">
        <f aca="false">SUMIFS(super1[Qtde],super1[Item],tab_higiene[[#This Row],[Item]],super1[Bairro],mercado5)+SUMIFS(supercb[Qtde],supercb[Item],tab_higiene[[#This Row],[Item]],supercb[Bairro],mercado5)</f>
        <v>0</v>
      </c>
      <c r="AP299" s="27" t="n">
        <f aca="false">SUMIFS(super1[Qtde],super1[Item],tab_higiene[[#This Row],[Item]],super1[Bairro],mercado6)+SUMIFS(supercb[Qtde],supercb[Item],tab_higiene[[#This Row],[Item]],supercb[Bairro],mercado6)</f>
        <v>0</v>
      </c>
      <c r="AQ299" s="27" t="n">
        <f aca="false">SUMIFS(super1[Qtde],super1[Item],tab_higiene[[#This Row],[Item]],super1[Bairro],mercado7)+SUMIFS(supercb[Qtde],supercb[Item],tab_higiene[[#This Row],[Item]],supercb[Bairro],mercado7)</f>
        <v>0</v>
      </c>
      <c r="AR299" s="27" t="n">
        <f aca="false">SUMIFS(super1[Qtde],super1[Item],tab_higiene[[#This Row],[Item]],super1[Bairro],mercado8)+SUMIFS(supercb[Qtde],supercb[Item],tab_higiene[[#This Row],[Item]],supercb[Bairro],mercado8)</f>
        <v>0</v>
      </c>
      <c r="AS299" s="27" t="n">
        <f aca="false">SUMIFS(super1[Qtde],super1[Item],tab_higiene[[#This Row],[Item]],super1[Bairro],mercado9)+SUMIFS(supercb[Qtde],supercb[Item],tab_higiene[[#This Row],[Item]],supercb[Bairro],mercado9)</f>
        <v>0</v>
      </c>
      <c r="AT299" s="27" t="n">
        <f aca="false">SUMIFS(super1[Qtde],super1[Item],tab_higiene[[#This Row],[Item]],super1[Bairro],mercado10)+SUMIFS(supercb[Qtde],supercb[Item],tab_higiene[[#This Row],[Item]],supercb[Bairro],mercado10)</f>
        <v>0</v>
      </c>
      <c r="AU299" s="27" t="n">
        <f aca="false">SUMIFS(super1[Qtde],super1[Item],tab_higiene[[#This Row],[Item]],super1[Bairro],mercado11)+SUMIFS(supercb[Qtde],supercb[Item],tab_higiene[[#This Row],[Item]],supercb[Bairro],mercado11)</f>
        <v>0</v>
      </c>
      <c r="AV299" s="27" t="n">
        <f aca="false">SUMIFS(super1[Qtde],super1[Item],tab_higiene[[#This Row],[Item]],super1[Bairro],mercado12)+SUMIFS(supercb[Qtde],supercb[Item],tab_higiene[[#This Row],[Item]],supercb[Bairro],mercado12)</f>
        <v>0</v>
      </c>
      <c r="AW299" s="27" t="n">
        <f aca="false">SUMIFS(super1[Qtde],super1[Item],tab_higiene[[#This Row],[Item]],super1[Bairro],mercado13)+SUMIFS(supercb[Qtde],supercb[Item],tab_higiene[[#This Row],[Item]],supercb[Bairro],mercado13)</f>
        <v>0</v>
      </c>
      <c r="AX299" s="27" t="n">
        <f aca="false">SUMIFS(super1[Qtde],super1[Item],tab_higiene[[#This Row],[Item]],super1[Bairro],mercado14)+SUMIFS(supercb[Qtde],supercb[Item],tab_higiene[[#This Row],[Item]],supercb[Bairro],mercado14)</f>
        <v>0</v>
      </c>
      <c r="AY299" s="27" t="n">
        <f aca="false">SUMIFS(super1[Qtde],super1[Item],tab_higiene[[#This Row],[Item]],super1[Bairro],mercado15)+SUMIFS(supercb[Qtde],supercb[Item],tab_higiene[[#This Row],[Item]],supercb[Bairro],mercado15)</f>
        <v>0</v>
      </c>
      <c r="AZ299" s="27" t="n">
        <f aca="false">SUMIFS(super1[Qtde],super1[Item],tab_higiene[[#This Row],[Item]],super1[Bairro],mercado16)+SUMIFS(supercb[Qtde],supercb[Item],tab_higiene[[#This Row],[Item]],supercb[Bairro],mercado16)</f>
        <v>0</v>
      </c>
      <c r="BA299" s="27" t="n">
        <f aca="false">SUMIFS(super1[Qtde],super1[Item],tab_higiene[[#This Row],[Item]],super1[Bairro],mercado17)+SUMIFS(supercb[Qtde],supercb[Item],tab_higiene[[#This Row],[Item]],supercb[Bairro],mercado17)</f>
        <v>0</v>
      </c>
      <c r="BB299" s="27" t="n">
        <f aca="false">SUMIFS(super1[Qtde],super1[Item],tab_higiene[[#This Row],[Item]],super1[Bairro],mercado18)+SUMIFS(supercb[Qtde],supercb[Item],tab_higiene[[#This Row],[Item]],supercb[Bairro],mercado18)</f>
        <v>0</v>
      </c>
      <c r="BC299" s="39" t="n">
        <f aca="false">SUMIFS(super1[Qtde],super1[Item],tab_higiene[[#This Row],[Item]],super1[Bairro],extras)+SUMIFS(supercb[Qtde],supercb[Item],tab_higiene[[#This Row],[Item]],supercb[Bairro],extras)</f>
        <v>0</v>
      </c>
      <c r="BD299" s="38" t="n">
        <f aca="false">SUM(AK299:BB299)</f>
        <v>0</v>
      </c>
      <c r="BE299" s="38" t="n">
        <f aca="false">IFERROR(BD299*AJ299,0)</f>
        <v>0</v>
      </c>
      <c r="BF299" s="40" t="n">
        <f aca="false">IFERROR(AI299*BD299,0)</f>
        <v>0</v>
      </c>
    </row>
    <row r="300" customFormat="false" ht="15.75" hidden="false" customHeight="false" outlineLevel="0" collapsed="false">
      <c r="I300" s="26" t="e">
        <f aca="false">alimentos[[#This Row],[Item]]</f>
        <v>#VALUE!</v>
      </c>
      <c r="J300" s="27" t="n">
        <f aca="false">IFERROR(alimentos[[#This Row],[kg/embalagem]],0)</f>
        <v>0</v>
      </c>
      <c r="K300" s="27" t="n">
        <f aca="false">IFERROR(alimentos[[#This Row],[Preço]],0)</f>
        <v>0</v>
      </c>
      <c r="L300" s="27" t="n">
        <f aca="false">SUMIFS(super1[Qtde],super1[Item],tab_alimentos[[#This Row],[Item]],super1[Bairro],mercado1)+SUMIFS(supercb[Qtde],supercb[Item],tab_alimentos[[#This Row],[Item]],supercb[Bairro],mercado1)</f>
        <v>0</v>
      </c>
      <c r="M300" s="27" t="n">
        <f aca="false">SUMIFS(super1[Qtde],super1[Item],tab_alimentos[[#This Row],[Item]],super1[Bairro],mercado2)+SUMIFS(supercb[Qtde],supercb[Item],tab_alimentos[[#This Row],[Item]],supercb[Bairro],mercado2)</f>
        <v>0</v>
      </c>
      <c r="N300" s="27" t="n">
        <f aca="false">SUMIFS(super1[Qtde],super1[Item],tab_alimentos[[#This Row],[Item]],super1[Bairro],mercado3)+SUMIFS(supercb[Qtde],supercb[Item],tab_alimentos[[#This Row],[Item]],supercb[Bairro],mercado3)</f>
        <v>0</v>
      </c>
      <c r="O300" s="27" t="n">
        <f aca="false">SUMIFS(super1[Qtde],super1[Item],tab_alimentos[[#This Row],[Item]],super1[Bairro],mercado4)+SUMIFS(supercb[Qtde],supercb[Item],tab_alimentos[[#This Row],[Item]],supercb[Bairro],mercado4)</f>
        <v>0</v>
      </c>
      <c r="P300" s="27" t="n">
        <f aca="false">SUMIFS(super1[Qtde],super1[Item],tab_alimentos[[#This Row],[Item]],super1[Bairro],mercado5)+SUMIFS(supercb[Qtde],supercb[Item],tab_alimentos[[#This Row],[Item]],supercb[Bairro],mercado5)</f>
        <v>0</v>
      </c>
      <c r="Q300" s="27" t="n">
        <f aca="false">SUMIFS(super1[Qtde],super1[Item],tab_alimentos[[#This Row],[Item]],super1[Bairro],mercado6)+SUMIFS(supercb[Qtde],supercb[Item],tab_alimentos[[#This Row],[Item]],supercb[Bairro],mercado6)</f>
        <v>0</v>
      </c>
      <c r="R300" s="27" t="n">
        <f aca="false">SUMIFS(super1[Qtde],super1[Item],tab_alimentos[[#This Row],[Item]],super1[Bairro],mercado7)+SUMIFS(supercb[Qtde],supercb[Item],tab_alimentos[[#This Row],[Item]],supercb[Bairro],mercado7)</f>
        <v>0</v>
      </c>
      <c r="S300" s="27" t="n">
        <f aca="false">SUMIFS(super1[Qtde],super1[Item],tab_alimentos[[#This Row],[Item]],super1[Bairro],mercado8)+SUMIFS(supercb[Qtde],supercb[Item],tab_alimentos[[#This Row],[Item]],supercb[Bairro],mercado8)</f>
        <v>0</v>
      </c>
      <c r="T300" s="27" t="n">
        <f aca="false">SUMIFS(super1[Qtde],super1[Item],tab_alimentos[[#This Row],[Item]],super1[Bairro],mercado9)+SUMIFS(supercb[Qtde],supercb[Item],tab_alimentos[[#This Row],[Item]],supercb[Bairro],mercado9)</f>
        <v>0</v>
      </c>
      <c r="U300" s="27" t="n">
        <f aca="false">SUMIFS(super1[Qtde],super1[Item],tab_alimentos[[#This Row],[Item]],super1[Bairro],mercado10)+SUMIFS(supercb[Qtde],supercb[Item],tab_alimentos[[#This Row],[Item]],supercb[Bairro],mercado10)</f>
        <v>0</v>
      </c>
      <c r="V300" s="27" t="n">
        <f aca="false">SUMIFS(super1[Qtde],super1[Item],tab_alimentos[[#This Row],[Item]],super1[Bairro],mercado11)+SUMIFS(supercb[Qtde],supercb[Item],tab_alimentos[[#This Row],[Item]],supercb[Bairro],mercado11)</f>
        <v>0</v>
      </c>
      <c r="W300" s="27" t="n">
        <f aca="false">SUMIFS(super1[Qtde],super1[Item],tab_alimentos[[#This Row],[Item]],super1[Bairro],mercado12)+SUMIFS(supercb[Qtde],supercb[Item],tab_alimentos[[#This Row],[Item]],supercb[Bairro],mercado12)</f>
        <v>0</v>
      </c>
      <c r="X300" s="27" t="n">
        <f aca="false">SUMIFS(super1[Qtde],super1[Item],tab_alimentos[[#This Row],[Item]],super1[Bairro],mercado13)+SUMIFS(supercb[Qtde],supercb[Item],tab_alimentos[[#This Row],[Item]],supercb[Bairro],mercado13)</f>
        <v>0</v>
      </c>
      <c r="Y300" s="27" t="n">
        <f aca="false">SUMIFS(super1[Qtde],super1[Item],tab_alimentos[[#This Row],[Item]],super1[Bairro],mercado14)+SUMIFS(supercb[Qtde],supercb[Item],tab_alimentos[[#This Row],[Item]],supercb[Bairro],mercado14)</f>
        <v>0</v>
      </c>
      <c r="Z300" s="27" t="n">
        <f aca="false">SUMIFS(super1[Qtde],super1[Item],tab_alimentos[[#This Row],[Item]],super1[Bairro],mercado15)+SUMIFS(supercb[Qtde],supercb[Item],tab_alimentos[[#This Row],[Item]],supercb[Bairro],mercado15)</f>
        <v>0</v>
      </c>
      <c r="AA300" s="27" t="n">
        <f aca="false">SUMIFS(super1[Qtde],super1[Item],tab_alimentos[[#This Row],[Item]],super1[Bairro],mercado16)+SUMIFS(supercb[Qtde],supercb[Item],tab_alimentos[[#This Row],[Item]],supercb[Bairro],mercado16)</f>
        <v>0</v>
      </c>
      <c r="AB300" s="27" t="n">
        <f aca="false">SUMIFS(super1[Qtde],super1[Item],tab_alimentos[[#This Row],[Item]],super1[Bairro],mercado17)+SUMIFS(supercb[Qtde],supercb[Item],tab_alimentos[[#This Row],[Item]],supercb[Bairro],mercado17)</f>
        <v>0</v>
      </c>
      <c r="AC300" s="27" t="n">
        <f aca="false">SUMIFS(super1[Qtde],super1[Item],tab_alimentos[[#This Row],[Item]],super1[Bairro],mercado18)+SUMIFS(supercb[Qtde],supercb[Item],tab_alimentos[[#This Row],[Item]],supercb[Bairro],mercado18)</f>
        <v>0</v>
      </c>
      <c r="AD300" s="27" t="n">
        <f aca="false">SUMIFS(super1[Qtde],super1[Item],tab_alimentos[[#This Row],[Item]],super1[Bairro],extras)+SUMIFS(supercb[Qtde],supercb[Item],tab_alimentos[[#This Row],[Item]],supercb[Bairro],extras)</f>
        <v>0</v>
      </c>
      <c r="AE300" s="27" t="n">
        <f aca="false">SUM(L300:AC300)</f>
        <v>0</v>
      </c>
      <c r="AF300" s="27" t="n">
        <f aca="false">IFERROR(AE300*K300,0)</f>
        <v>0</v>
      </c>
      <c r="AG300" s="28" t="n">
        <f aca="false">IFERROR(J300*AE300,0)</f>
        <v>0</v>
      </c>
      <c r="AH300" s="37" t="e">
        <f aca="false">higiene[[#This Row],[Item]]</f>
        <v>#VALUE!</v>
      </c>
      <c r="AI300" s="38" t="n">
        <f aca="false">IFERROR(higiene[[#This Row],[Kg equivalente]],0)</f>
        <v>0</v>
      </c>
      <c r="AJ300" s="38" t="n">
        <f aca="false">IFERROR(higiene[[#This Row],[Preço por produto]],0)</f>
        <v>0</v>
      </c>
      <c r="AK300" s="27" t="n">
        <f aca="false">SUMIFS(super1[Qtde],super1[Item],tab_higiene[[#This Row],[Item]],super1[Bairro],mercado1)+SUMIFS(supercb[Qtde],supercb[Item],tab_higiene[[#This Row],[Item]],supercb[Bairro],mercado1)</f>
        <v>0</v>
      </c>
      <c r="AL300" s="27" t="n">
        <f aca="false">SUMIFS(super1[Qtde],super1[Item],tab_higiene[[#This Row],[Item]],super1[Bairro],mercado2)+SUMIFS(supercb[Qtde],supercb[Item],tab_higiene[[#This Row],[Item]],supercb[Bairro],mercado2)</f>
        <v>0</v>
      </c>
      <c r="AM300" s="27" t="n">
        <f aca="false">SUMIFS(super1[Qtde],super1[Item],tab_higiene[[#This Row],[Item]],super1[Bairro],mercado3)+SUMIFS(supercb[Qtde],supercb[Item],tab_higiene[[#This Row],[Item]],supercb[Bairro],mercado3)</f>
        <v>0</v>
      </c>
      <c r="AN300" s="27" t="n">
        <f aca="false">SUMIFS(super1[Qtde],super1[Item],tab_higiene[[#This Row],[Item]],super1[Bairro],mercado4)+SUMIFS(supercb[Qtde],supercb[Item],tab_higiene[[#This Row],[Item]],supercb[Bairro],mercado4)</f>
        <v>0</v>
      </c>
      <c r="AO300" s="27" t="n">
        <f aca="false">SUMIFS(super1[Qtde],super1[Item],tab_higiene[[#This Row],[Item]],super1[Bairro],mercado5)+SUMIFS(supercb[Qtde],supercb[Item],tab_higiene[[#This Row],[Item]],supercb[Bairro],mercado5)</f>
        <v>0</v>
      </c>
      <c r="AP300" s="27" t="n">
        <f aca="false">SUMIFS(super1[Qtde],super1[Item],tab_higiene[[#This Row],[Item]],super1[Bairro],mercado6)+SUMIFS(supercb[Qtde],supercb[Item],tab_higiene[[#This Row],[Item]],supercb[Bairro],mercado6)</f>
        <v>0</v>
      </c>
      <c r="AQ300" s="27" t="n">
        <f aca="false">SUMIFS(super1[Qtde],super1[Item],tab_higiene[[#This Row],[Item]],super1[Bairro],mercado7)+SUMIFS(supercb[Qtde],supercb[Item],tab_higiene[[#This Row],[Item]],supercb[Bairro],mercado7)</f>
        <v>0</v>
      </c>
      <c r="AR300" s="27" t="n">
        <f aca="false">SUMIFS(super1[Qtde],super1[Item],tab_higiene[[#This Row],[Item]],super1[Bairro],mercado8)+SUMIFS(supercb[Qtde],supercb[Item],tab_higiene[[#This Row],[Item]],supercb[Bairro],mercado8)</f>
        <v>0</v>
      </c>
      <c r="AS300" s="27" t="n">
        <f aca="false">SUMIFS(super1[Qtde],super1[Item],tab_higiene[[#This Row],[Item]],super1[Bairro],mercado9)+SUMIFS(supercb[Qtde],supercb[Item],tab_higiene[[#This Row],[Item]],supercb[Bairro],mercado9)</f>
        <v>0</v>
      </c>
      <c r="AT300" s="27" t="n">
        <f aca="false">SUMIFS(super1[Qtde],super1[Item],tab_higiene[[#This Row],[Item]],super1[Bairro],mercado10)+SUMIFS(supercb[Qtde],supercb[Item],tab_higiene[[#This Row],[Item]],supercb[Bairro],mercado10)</f>
        <v>0</v>
      </c>
      <c r="AU300" s="27" t="n">
        <f aca="false">SUMIFS(super1[Qtde],super1[Item],tab_higiene[[#This Row],[Item]],super1[Bairro],mercado11)+SUMIFS(supercb[Qtde],supercb[Item],tab_higiene[[#This Row],[Item]],supercb[Bairro],mercado11)</f>
        <v>0</v>
      </c>
      <c r="AV300" s="27" t="n">
        <f aca="false">SUMIFS(super1[Qtde],super1[Item],tab_higiene[[#This Row],[Item]],super1[Bairro],mercado12)+SUMIFS(supercb[Qtde],supercb[Item],tab_higiene[[#This Row],[Item]],supercb[Bairro],mercado12)</f>
        <v>0</v>
      </c>
      <c r="AW300" s="27" t="n">
        <f aca="false">SUMIFS(super1[Qtde],super1[Item],tab_higiene[[#This Row],[Item]],super1[Bairro],mercado13)+SUMIFS(supercb[Qtde],supercb[Item],tab_higiene[[#This Row],[Item]],supercb[Bairro],mercado13)</f>
        <v>0</v>
      </c>
      <c r="AX300" s="27" t="n">
        <f aca="false">SUMIFS(super1[Qtde],super1[Item],tab_higiene[[#This Row],[Item]],super1[Bairro],mercado14)+SUMIFS(supercb[Qtde],supercb[Item],tab_higiene[[#This Row],[Item]],supercb[Bairro],mercado14)</f>
        <v>0</v>
      </c>
      <c r="AY300" s="27" t="n">
        <f aca="false">SUMIFS(super1[Qtde],super1[Item],tab_higiene[[#This Row],[Item]],super1[Bairro],mercado15)+SUMIFS(supercb[Qtde],supercb[Item],tab_higiene[[#This Row],[Item]],supercb[Bairro],mercado15)</f>
        <v>0</v>
      </c>
      <c r="AZ300" s="27" t="n">
        <f aca="false">SUMIFS(super1[Qtde],super1[Item],tab_higiene[[#This Row],[Item]],super1[Bairro],mercado16)+SUMIFS(supercb[Qtde],supercb[Item],tab_higiene[[#This Row],[Item]],supercb[Bairro],mercado16)</f>
        <v>0</v>
      </c>
      <c r="BA300" s="27" t="n">
        <f aca="false">SUMIFS(super1[Qtde],super1[Item],tab_higiene[[#This Row],[Item]],super1[Bairro],mercado17)+SUMIFS(supercb[Qtde],supercb[Item],tab_higiene[[#This Row],[Item]],supercb[Bairro],mercado17)</f>
        <v>0</v>
      </c>
      <c r="BB300" s="27" t="n">
        <f aca="false">SUMIFS(super1[Qtde],super1[Item],tab_higiene[[#This Row],[Item]],super1[Bairro],mercado18)+SUMIFS(supercb[Qtde],supercb[Item],tab_higiene[[#This Row],[Item]],supercb[Bairro],mercado18)</f>
        <v>0</v>
      </c>
      <c r="BC300" s="39" t="n">
        <f aca="false">SUMIFS(super1[Qtde],super1[Item],tab_higiene[[#This Row],[Item]],super1[Bairro],extras)+SUMIFS(supercb[Qtde],supercb[Item],tab_higiene[[#This Row],[Item]],supercb[Bairro],extras)</f>
        <v>0</v>
      </c>
      <c r="BD300" s="38" t="n">
        <f aca="false">SUM(AK300:BB300)</f>
        <v>0</v>
      </c>
      <c r="BE300" s="38" t="n">
        <f aca="false">IFERROR(BD300*AJ300,0)</f>
        <v>0</v>
      </c>
      <c r="BF300" s="40" t="n">
        <f aca="false">IFERROR(AI300*BD300,0)</f>
        <v>0</v>
      </c>
    </row>
    <row r="301" customFormat="false" ht="15.75" hidden="false" customHeight="false" outlineLevel="0" collapsed="false">
      <c r="I301" s="26" t="e">
        <f aca="false">alimentos[[#This Row],[Item]]</f>
        <v>#VALUE!</v>
      </c>
      <c r="J301" s="27" t="n">
        <f aca="false">IFERROR(alimentos[[#This Row],[kg/embalagem]],0)</f>
        <v>0</v>
      </c>
      <c r="K301" s="27" t="n">
        <f aca="false">IFERROR(alimentos[[#This Row],[Preço]],0)</f>
        <v>0</v>
      </c>
      <c r="L301" s="27" t="n">
        <f aca="false">SUMIFS(super1[Qtde],super1[Item],tab_alimentos[[#This Row],[Item]],super1[Bairro],mercado1)+SUMIFS(supercb[Qtde],supercb[Item],tab_alimentos[[#This Row],[Item]],supercb[Bairro],mercado1)</f>
        <v>0</v>
      </c>
      <c r="M301" s="27" t="n">
        <f aca="false">SUMIFS(super1[Qtde],super1[Item],tab_alimentos[[#This Row],[Item]],super1[Bairro],mercado2)+SUMIFS(supercb[Qtde],supercb[Item],tab_alimentos[[#This Row],[Item]],supercb[Bairro],mercado2)</f>
        <v>0</v>
      </c>
      <c r="N301" s="27" t="n">
        <f aca="false">SUMIFS(super1[Qtde],super1[Item],tab_alimentos[[#This Row],[Item]],super1[Bairro],mercado3)+SUMIFS(supercb[Qtde],supercb[Item],tab_alimentos[[#This Row],[Item]],supercb[Bairro],mercado3)</f>
        <v>0</v>
      </c>
      <c r="O301" s="27" t="n">
        <f aca="false">SUMIFS(super1[Qtde],super1[Item],tab_alimentos[[#This Row],[Item]],super1[Bairro],mercado4)+SUMIFS(supercb[Qtde],supercb[Item],tab_alimentos[[#This Row],[Item]],supercb[Bairro],mercado4)</f>
        <v>0</v>
      </c>
      <c r="P301" s="27" t="n">
        <f aca="false">SUMIFS(super1[Qtde],super1[Item],tab_alimentos[[#This Row],[Item]],super1[Bairro],mercado5)+SUMIFS(supercb[Qtde],supercb[Item],tab_alimentos[[#This Row],[Item]],supercb[Bairro],mercado5)</f>
        <v>0</v>
      </c>
      <c r="Q301" s="27" t="n">
        <f aca="false">SUMIFS(super1[Qtde],super1[Item],tab_alimentos[[#This Row],[Item]],super1[Bairro],mercado6)+SUMIFS(supercb[Qtde],supercb[Item],tab_alimentos[[#This Row],[Item]],supercb[Bairro],mercado6)</f>
        <v>0</v>
      </c>
      <c r="R301" s="27" t="n">
        <f aca="false">SUMIFS(super1[Qtde],super1[Item],tab_alimentos[[#This Row],[Item]],super1[Bairro],mercado7)+SUMIFS(supercb[Qtde],supercb[Item],tab_alimentos[[#This Row],[Item]],supercb[Bairro],mercado7)</f>
        <v>0</v>
      </c>
      <c r="S301" s="27" t="n">
        <f aca="false">SUMIFS(super1[Qtde],super1[Item],tab_alimentos[[#This Row],[Item]],super1[Bairro],mercado8)+SUMIFS(supercb[Qtde],supercb[Item],tab_alimentos[[#This Row],[Item]],supercb[Bairro],mercado8)</f>
        <v>0</v>
      </c>
      <c r="T301" s="27" t="n">
        <f aca="false">SUMIFS(super1[Qtde],super1[Item],tab_alimentos[[#This Row],[Item]],super1[Bairro],mercado9)+SUMIFS(supercb[Qtde],supercb[Item],tab_alimentos[[#This Row],[Item]],supercb[Bairro],mercado9)</f>
        <v>0</v>
      </c>
      <c r="U301" s="27" t="n">
        <f aca="false">SUMIFS(super1[Qtde],super1[Item],tab_alimentos[[#This Row],[Item]],super1[Bairro],mercado10)+SUMIFS(supercb[Qtde],supercb[Item],tab_alimentos[[#This Row],[Item]],supercb[Bairro],mercado10)</f>
        <v>0</v>
      </c>
      <c r="V301" s="27" t="n">
        <f aca="false">SUMIFS(super1[Qtde],super1[Item],tab_alimentos[[#This Row],[Item]],super1[Bairro],mercado11)+SUMIFS(supercb[Qtde],supercb[Item],tab_alimentos[[#This Row],[Item]],supercb[Bairro],mercado11)</f>
        <v>0</v>
      </c>
      <c r="W301" s="27" t="n">
        <f aca="false">SUMIFS(super1[Qtde],super1[Item],tab_alimentos[[#This Row],[Item]],super1[Bairro],mercado12)+SUMIFS(supercb[Qtde],supercb[Item],tab_alimentos[[#This Row],[Item]],supercb[Bairro],mercado12)</f>
        <v>0</v>
      </c>
      <c r="X301" s="27" t="n">
        <f aca="false">SUMIFS(super1[Qtde],super1[Item],tab_alimentos[[#This Row],[Item]],super1[Bairro],mercado13)+SUMIFS(supercb[Qtde],supercb[Item],tab_alimentos[[#This Row],[Item]],supercb[Bairro],mercado13)</f>
        <v>0</v>
      </c>
      <c r="Y301" s="27" t="n">
        <f aca="false">SUMIFS(super1[Qtde],super1[Item],tab_alimentos[[#This Row],[Item]],super1[Bairro],mercado14)+SUMIFS(supercb[Qtde],supercb[Item],tab_alimentos[[#This Row],[Item]],supercb[Bairro],mercado14)</f>
        <v>0</v>
      </c>
      <c r="Z301" s="27" t="n">
        <f aca="false">SUMIFS(super1[Qtde],super1[Item],tab_alimentos[[#This Row],[Item]],super1[Bairro],mercado15)+SUMIFS(supercb[Qtde],supercb[Item],tab_alimentos[[#This Row],[Item]],supercb[Bairro],mercado15)</f>
        <v>0</v>
      </c>
      <c r="AA301" s="27" t="n">
        <f aca="false">SUMIFS(super1[Qtde],super1[Item],tab_alimentos[[#This Row],[Item]],super1[Bairro],mercado16)+SUMIFS(supercb[Qtde],supercb[Item],tab_alimentos[[#This Row],[Item]],supercb[Bairro],mercado16)</f>
        <v>0</v>
      </c>
      <c r="AB301" s="27" t="n">
        <f aca="false">SUMIFS(super1[Qtde],super1[Item],tab_alimentos[[#This Row],[Item]],super1[Bairro],mercado17)+SUMIFS(supercb[Qtde],supercb[Item],tab_alimentos[[#This Row],[Item]],supercb[Bairro],mercado17)</f>
        <v>0</v>
      </c>
      <c r="AC301" s="27" t="n">
        <f aca="false">SUMIFS(super1[Qtde],super1[Item],tab_alimentos[[#This Row],[Item]],super1[Bairro],mercado18)+SUMIFS(supercb[Qtde],supercb[Item],tab_alimentos[[#This Row],[Item]],supercb[Bairro],mercado18)</f>
        <v>0</v>
      </c>
      <c r="AD301" s="27" t="n">
        <f aca="false">SUMIFS(super1[Qtde],super1[Item],tab_alimentos[[#This Row],[Item]],super1[Bairro],extras)+SUMIFS(supercb[Qtde],supercb[Item],tab_alimentos[[#This Row],[Item]],supercb[Bairro],extras)</f>
        <v>0</v>
      </c>
      <c r="AE301" s="27" t="n">
        <f aca="false">SUM(L301:AC301)</f>
        <v>0</v>
      </c>
      <c r="AF301" s="27" t="n">
        <f aca="false">IFERROR(AE301*K301,0)</f>
        <v>0</v>
      </c>
      <c r="AG301" s="28" t="n">
        <f aca="false">IFERROR(J301*AE301,0)</f>
        <v>0</v>
      </c>
      <c r="AH301" s="37" t="e">
        <f aca="false">higiene[[#This Row],[Item]]</f>
        <v>#VALUE!</v>
      </c>
      <c r="AI301" s="38" t="n">
        <f aca="false">IFERROR(higiene[[#This Row],[Kg equivalente]],0)</f>
        <v>0</v>
      </c>
      <c r="AJ301" s="38" t="n">
        <f aca="false">IFERROR(higiene[[#This Row],[Preço por produto]],0)</f>
        <v>0</v>
      </c>
      <c r="AK301" s="27" t="n">
        <f aca="false">SUMIFS(super1[Qtde],super1[Item],tab_higiene[[#This Row],[Item]],super1[Bairro],mercado1)+SUMIFS(supercb[Qtde],supercb[Item],tab_higiene[[#This Row],[Item]],supercb[Bairro],mercado1)</f>
        <v>0</v>
      </c>
      <c r="AL301" s="27" t="n">
        <f aca="false">SUMIFS(super1[Qtde],super1[Item],tab_higiene[[#This Row],[Item]],super1[Bairro],mercado2)+SUMIFS(supercb[Qtde],supercb[Item],tab_higiene[[#This Row],[Item]],supercb[Bairro],mercado2)</f>
        <v>0</v>
      </c>
      <c r="AM301" s="27" t="n">
        <f aca="false">SUMIFS(super1[Qtde],super1[Item],tab_higiene[[#This Row],[Item]],super1[Bairro],mercado3)+SUMIFS(supercb[Qtde],supercb[Item],tab_higiene[[#This Row],[Item]],supercb[Bairro],mercado3)</f>
        <v>0</v>
      </c>
      <c r="AN301" s="27" t="n">
        <f aca="false">SUMIFS(super1[Qtde],super1[Item],tab_higiene[[#This Row],[Item]],super1[Bairro],mercado4)+SUMIFS(supercb[Qtde],supercb[Item],tab_higiene[[#This Row],[Item]],supercb[Bairro],mercado4)</f>
        <v>0</v>
      </c>
      <c r="AO301" s="27" t="n">
        <f aca="false">SUMIFS(super1[Qtde],super1[Item],tab_higiene[[#This Row],[Item]],super1[Bairro],mercado5)+SUMIFS(supercb[Qtde],supercb[Item],tab_higiene[[#This Row],[Item]],supercb[Bairro],mercado5)</f>
        <v>0</v>
      </c>
      <c r="AP301" s="27" t="n">
        <f aca="false">SUMIFS(super1[Qtde],super1[Item],tab_higiene[[#This Row],[Item]],super1[Bairro],mercado6)+SUMIFS(supercb[Qtde],supercb[Item],tab_higiene[[#This Row],[Item]],supercb[Bairro],mercado6)</f>
        <v>0</v>
      </c>
      <c r="AQ301" s="27" t="n">
        <f aca="false">SUMIFS(super1[Qtde],super1[Item],tab_higiene[[#This Row],[Item]],super1[Bairro],mercado7)+SUMIFS(supercb[Qtde],supercb[Item],tab_higiene[[#This Row],[Item]],supercb[Bairro],mercado7)</f>
        <v>0</v>
      </c>
      <c r="AR301" s="27" t="n">
        <f aca="false">SUMIFS(super1[Qtde],super1[Item],tab_higiene[[#This Row],[Item]],super1[Bairro],mercado8)+SUMIFS(supercb[Qtde],supercb[Item],tab_higiene[[#This Row],[Item]],supercb[Bairro],mercado8)</f>
        <v>0</v>
      </c>
      <c r="AS301" s="27" t="n">
        <f aca="false">SUMIFS(super1[Qtde],super1[Item],tab_higiene[[#This Row],[Item]],super1[Bairro],mercado9)+SUMIFS(supercb[Qtde],supercb[Item],tab_higiene[[#This Row],[Item]],supercb[Bairro],mercado9)</f>
        <v>0</v>
      </c>
      <c r="AT301" s="27" t="n">
        <f aca="false">SUMIFS(super1[Qtde],super1[Item],tab_higiene[[#This Row],[Item]],super1[Bairro],mercado10)+SUMIFS(supercb[Qtde],supercb[Item],tab_higiene[[#This Row],[Item]],supercb[Bairro],mercado10)</f>
        <v>0</v>
      </c>
      <c r="AU301" s="27" t="n">
        <f aca="false">SUMIFS(super1[Qtde],super1[Item],tab_higiene[[#This Row],[Item]],super1[Bairro],mercado11)+SUMIFS(supercb[Qtde],supercb[Item],tab_higiene[[#This Row],[Item]],supercb[Bairro],mercado11)</f>
        <v>0</v>
      </c>
      <c r="AV301" s="27" t="n">
        <f aca="false">SUMIFS(super1[Qtde],super1[Item],tab_higiene[[#This Row],[Item]],super1[Bairro],mercado12)+SUMIFS(supercb[Qtde],supercb[Item],tab_higiene[[#This Row],[Item]],supercb[Bairro],mercado12)</f>
        <v>0</v>
      </c>
      <c r="AW301" s="27" t="n">
        <f aca="false">SUMIFS(super1[Qtde],super1[Item],tab_higiene[[#This Row],[Item]],super1[Bairro],mercado13)+SUMIFS(supercb[Qtde],supercb[Item],tab_higiene[[#This Row],[Item]],supercb[Bairro],mercado13)</f>
        <v>0</v>
      </c>
      <c r="AX301" s="27" t="n">
        <f aca="false">SUMIFS(super1[Qtde],super1[Item],tab_higiene[[#This Row],[Item]],super1[Bairro],mercado14)+SUMIFS(supercb[Qtde],supercb[Item],tab_higiene[[#This Row],[Item]],supercb[Bairro],mercado14)</f>
        <v>0</v>
      </c>
      <c r="AY301" s="27" t="n">
        <f aca="false">SUMIFS(super1[Qtde],super1[Item],tab_higiene[[#This Row],[Item]],super1[Bairro],mercado15)+SUMIFS(supercb[Qtde],supercb[Item],tab_higiene[[#This Row],[Item]],supercb[Bairro],mercado15)</f>
        <v>0</v>
      </c>
      <c r="AZ301" s="27" t="n">
        <f aca="false">SUMIFS(super1[Qtde],super1[Item],tab_higiene[[#This Row],[Item]],super1[Bairro],mercado16)+SUMIFS(supercb[Qtde],supercb[Item],tab_higiene[[#This Row],[Item]],supercb[Bairro],mercado16)</f>
        <v>0</v>
      </c>
      <c r="BA301" s="27" t="n">
        <f aca="false">SUMIFS(super1[Qtde],super1[Item],tab_higiene[[#This Row],[Item]],super1[Bairro],mercado17)+SUMIFS(supercb[Qtde],supercb[Item],tab_higiene[[#This Row],[Item]],supercb[Bairro],mercado17)</f>
        <v>0</v>
      </c>
      <c r="BB301" s="27" t="n">
        <f aca="false">SUMIFS(super1[Qtde],super1[Item],tab_higiene[[#This Row],[Item]],super1[Bairro],mercado18)+SUMIFS(supercb[Qtde],supercb[Item],tab_higiene[[#This Row],[Item]],supercb[Bairro],mercado18)</f>
        <v>0</v>
      </c>
      <c r="BC301" s="39" t="n">
        <f aca="false">SUMIFS(super1[Qtde],super1[Item],tab_higiene[[#This Row],[Item]],super1[Bairro],extras)+SUMIFS(supercb[Qtde],supercb[Item],tab_higiene[[#This Row],[Item]],supercb[Bairro],extras)</f>
        <v>0</v>
      </c>
      <c r="BD301" s="38" t="n">
        <f aca="false">SUM(AK301:BB301)</f>
        <v>0</v>
      </c>
      <c r="BE301" s="38" t="n">
        <f aca="false">IFERROR(BD301*AJ301,0)</f>
        <v>0</v>
      </c>
      <c r="BF301" s="40" t="n">
        <f aca="false">IFERROR(AI301*BD301,0)</f>
        <v>0</v>
      </c>
    </row>
    <row r="302" customFormat="false" ht="15.75" hidden="false" customHeight="false" outlineLevel="0" collapsed="false">
      <c r="I302" s="26" t="e">
        <f aca="false">alimentos[[#This Row],[Item]]</f>
        <v>#VALUE!</v>
      </c>
      <c r="J302" s="27" t="n">
        <f aca="false">IFERROR(alimentos[[#This Row],[kg/embalagem]],0)</f>
        <v>0</v>
      </c>
      <c r="K302" s="27" t="n">
        <f aca="false">IFERROR(alimentos[[#This Row],[Preço]],0)</f>
        <v>0</v>
      </c>
      <c r="L302" s="27" t="n">
        <f aca="false">SUMIFS(super1[Qtde],super1[Item],tab_alimentos[[#This Row],[Item]],super1[Bairro],mercado1)+SUMIFS(supercb[Qtde],supercb[Item],tab_alimentos[[#This Row],[Item]],supercb[Bairro],mercado1)</f>
        <v>0</v>
      </c>
      <c r="M302" s="27" t="n">
        <f aca="false">SUMIFS(super1[Qtde],super1[Item],tab_alimentos[[#This Row],[Item]],super1[Bairro],mercado2)+SUMIFS(supercb[Qtde],supercb[Item],tab_alimentos[[#This Row],[Item]],supercb[Bairro],mercado2)</f>
        <v>0</v>
      </c>
      <c r="N302" s="27" t="n">
        <f aca="false">SUMIFS(super1[Qtde],super1[Item],tab_alimentos[[#This Row],[Item]],super1[Bairro],mercado3)+SUMIFS(supercb[Qtde],supercb[Item],tab_alimentos[[#This Row],[Item]],supercb[Bairro],mercado3)</f>
        <v>0</v>
      </c>
      <c r="O302" s="27" t="n">
        <f aca="false">SUMIFS(super1[Qtde],super1[Item],tab_alimentos[[#This Row],[Item]],super1[Bairro],mercado4)+SUMIFS(supercb[Qtde],supercb[Item],tab_alimentos[[#This Row],[Item]],supercb[Bairro],mercado4)</f>
        <v>0</v>
      </c>
      <c r="P302" s="27" t="n">
        <f aca="false">SUMIFS(super1[Qtde],super1[Item],tab_alimentos[[#This Row],[Item]],super1[Bairro],mercado5)+SUMIFS(supercb[Qtde],supercb[Item],tab_alimentos[[#This Row],[Item]],supercb[Bairro],mercado5)</f>
        <v>0</v>
      </c>
      <c r="Q302" s="27" t="n">
        <f aca="false">SUMIFS(super1[Qtde],super1[Item],tab_alimentos[[#This Row],[Item]],super1[Bairro],mercado6)+SUMIFS(supercb[Qtde],supercb[Item],tab_alimentos[[#This Row],[Item]],supercb[Bairro],mercado6)</f>
        <v>0</v>
      </c>
      <c r="R302" s="27" t="n">
        <f aca="false">SUMIFS(super1[Qtde],super1[Item],tab_alimentos[[#This Row],[Item]],super1[Bairro],mercado7)+SUMIFS(supercb[Qtde],supercb[Item],tab_alimentos[[#This Row],[Item]],supercb[Bairro],mercado7)</f>
        <v>0</v>
      </c>
      <c r="S302" s="27" t="n">
        <f aca="false">SUMIFS(super1[Qtde],super1[Item],tab_alimentos[[#This Row],[Item]],super1[Bairro],mercado8)+SUMIFS(supercb[Qtde],supercb[Item],tab_alimentos[[#This Row],[Item]],supercb[Bairro],mercado8)</f>
        <v>0</v>
      </c>
      <c r="T302" s="27" t="n">
        <f aca="false">SUMIFS(super1[Qtde],super1[Item],tab_alimentos[[#This Row],[Item]],super1[Bairro],mercado9)+SUMIFS(supercb[Qtde],supercb[Item],tab_alimentos[[#This Row],[Item]],supercb[Bairro],mercado9)</f>
        <v>0</v>
      </c>
      <c r="U302" s="27" t="n">
        <f aca="false">SUMIFS(super1[Qtde],super1[Item],tab_alimentos[[#This Row],[Item]],super1[Bairro],mercado10)+SUMIFS(supercb[Qtde],supercb[Item],tab_alimentos[[#This Row],[Item]],supercb[Bairro],mercado10)</f>
        <v>0</v>
      </c>
      <c r="V302" s="27" t="n">
        <f aca="false">SUMIFS(super1[Qtde],super1[Item],tab_alimentos[[#This Row],[Item]],super1[Bairro],mercado11)+SUMIFS(supercb[Qtde],supercb[Item],tab_alimentos[[#This Row],[Item]],supercb[Bairro],mercado11)</f>
        <v>0</v>
      </c>
      <c r="W302" s="27" t="n">
        <f aca="false">SUMIFS(super1[Qtde],super1[Item],tab_alimentos[[#This Row],[Item]],super1[Bairro],mercado12)+SUMIFS(supercb[Qtde],supercb[Item],tab_alimentos[[#This Row],[Item]],supercb[Bairro],mercado12)</f>
        <v>0</v>
      </c>
      <c r="X302" s="27" t="n">
        <f aca="false">SUMIFS(super1[Qtde],super1[Item],tab_alimentos[[#This Row],[Item]],super1[Bairro],mercado13)+SUMIFS(supercb[Qtde],supercb[Item],tab_alimentos[[#This Row],[Item]],supercb[Bairro],mercado13)</f>
        <v>0</v>
      </c>
      <c r="Y302" s="27" t="n">
        <f aca="false">SUMIFS(super1[Qtde],super1[Item],tab_alimentos[[#This Row],[Item]],super1[Bairro],mercado14)+SUMIFS(supercb[Qtde],supercb[Item],tab_alimentos[[#This Row],[Item]],supercb[Bairro],mercado14)</f>
        <v>0</v>
      </c>
      <c r="Z302" s="27" t="n">
        <f aca="false">SUMIFS(super1[Qtde],super1[Item],tab_alimentos[[#This Row],[Item]],super1[Bairro],mercado15)+SUMIFS(supercb[Qtde],supercb[Item],tab_alimentos[[#This Row],[Item]],supercb[Bairro],mercado15)</f>
        <v>0</v>
      </c>
      <c r="AA302" s="27" t="n">
        <f aca="false">SUMIFS(super1[Qtde],super1[Item],tab_alimentos[[#This Row],[Item]],super1[Bairro],mercado16)+SUMIFS(supercb[Qtde],supercb[Item],tab_alimentos[[#This Row],[Item]],supercb[Bairro],mercado16)</f>
        <v>0</v>
      </c>
      <c r="AB302" s="27" t="n">
        <f aca="false">SUMIFS(super1[Qtde],super1[Item],tab_alimentos[[#This Row],[Item]],super1[Bairro],mercado17)+SUMIFS(supercb[Qtde],supercb[Item],tab_alimentos[[#This Row],[Item]],supercb[Bairro],mercado17)</f>
        <v>0</v>
      </c>
      <c r="AC302" s="27" t="n">
        <f aca="false">SUMIFS(super1[Qtde],super1[Item],tab_alimentos[[#This Row],[Item]],super1[Bairro],mercado18)+SUMIFS(supercb[Qtde],supercb[Item],tab_alimentos[[#This Row],[Item]],supercb[Bairro],mercado18)</f>
        <v>0</v>
      </c>
      <c r="AD302" s="27" t="n">
        <f aca="false">SUMIFS(super1[Qtde],super1[Item],tab_alimentos[[#This Row],[Item]],super1[Bairro],extras)+SUMIFS(supercb[Qtde],supercb[Item],tab_alimentos[[#This Row],[Item]],supercb[Bairro],extras)</f>
        <v>0</v>
      </c>
      <c r="AE302" s="27" t="n">
        <f aca="false">SUM(L302:AC302)</f>
        <v>0</v>
      </c>
      <c r="AF302" s="27" t="n">
        <f aca="false">IFERROR(AE302*K302,0)</f>
        <v>0</v>
      </c>
      <c r="AG302" s="28" t="n">
        <f aca="false">IFERROR(J302*AE302,0)</f>
        <v>0</v>
      </c>
      <c r="AH302" s="37" t="e">
        <f aca="false">higiene[[#This Row],[Item]]</f>
        <v>#VALUE!</v>
      </c>
      <c r="AI302" s="38" t="n">
        <f aca="false">IFERROR(higiene[[#This Row],[Kg equivalente]],0)</f>
        <v>0</v>
      </c>
      <c r="AJ302" s="38" t="n">
        <f aca="false">IFERROR(higiene[[#This Row],[Preço por produto]],0)</f>
        <v>0</v>
      </c>
      <c r="AK302" s="27" t="n">
        <f aca="false">SUMIFS(super1[Qtde],super1[Item],tab_higiene[[#This Row],[Item]],super1[Bairro],mercado1)+SUMIFS(supercb[Qtde],supercb[Item],tab_higiene[[#This Row],[Item]],supercb[Bairro],mercado1)</f>
        <v>0</v>
      </c>
      <c r="AL302" s="27" t="n">
        <f aca="false">SUMIFS(super1[Qtde],super1[Item],tab_higiene[[#This Row],[Item]],super1[Bairro],mercado2)+SUMIFS(supercb[Qtde],supercb[Item],tab_higiene[[#This Row],[Item]],supercb[Bairro],mercado2)</f>
        <v>0</v>
      </c>
      <c r="AM302" s="27" t="n">
        <f aca="false">SUMIFS(super1[Qtde],super1[Item],tab_higiene[[#This Row],[Item]],super1[Bairro],mercado3)+SUMIFS(supercb[Qtde],supercb[Item],tab_higiene[[#This Row],[Item]],supercb[Bairro],mercado3)</f>
        <v>0</v>
      </c>
      <c r="AN302" s="27" t="n">
        <f aca="false">SUMIFS(super1[Qtde],super1[Item],tab_higiene[[#This Row],[Item]],super1[Bairro],mercado4)+SUMIFS(supercb[Qtde],supercb[Item],tab_higiene[[#This Row],[Item]],supercb[Bairro],mercado4)</f>
        <v>0</v>
      </c>
      <c r="AO302" s="27" t="n">
        <f aca="false">SUMIFS(super1[Qtde],super1[Item],tab_higiene[[#This Row],[Item]],super1[Bairro],mercado5)+SUMIFS(supercb[Qtde],supercb[Item],tab_higiene[[#This Row],[Item]],supercb[Bairro],mercado5)</f>
        <v>0</v>
      </c>
      <c r="AP302" s="27" t="n">
        <f aca="false">SUMIFS(super1[Qtde],super1[Item],tab_higiene[[#This Row],[Item]],super1[Bairro],mercado6)+SUMIFS(supercb[Qtde],supercb[Item],tab_higiene[[#This Row],[Item]],supercb[Bairro],mercado6)</f>
        <v>0</v>
      </c>
      <c r="AQ302" s="27" t="n">
        <f aca="false">SUMIFS(super1[Qtde],super1[Item],tab_higiene[[#This Row],[Item]],super1[Bairro],mercado7)+SUMIFS(supercb[Qtde],supercb[Item],tab_higiene[[#This Row],[Item]],supercb[Bairro],mercado7)</f>
        <v>0</v>
      </c>
      <c r="AR302" s="27" t="n">
        <f aca="false">SUMIFS(super1[Qtde],super1[Item],tab_higiene[[#This Row],[Item]],super1[Bairro],mercado8)+SUMIFS(supercb[Qtde],supercb[Item],tab_higiene[[#This Row],[Item]],supercb[Bairro],mercado8)</f>
        <v>0</v>
      </c>
      <c r="AS302" s="27" t="n">
        <f aca="false">SUMIFS(super1[Qtde],super1[Item],tab_higiene[[#This Row],[Item]],super1[Bairro],mercado9)+SUMIFS(supercb[Qtde],supercb[Item],tab_higiene[[#This Row],[Item]],supercb[Bairro],mercado9)</f>
        <v>0</v>
      </c>
      <c r="AT302" s="27" t="n">
        <f aca="false">SUMIFS(super1[Qtde],super1[Item],tab_higiene[[#This Row],[Item]],super1[Bairro],mercado10)+SUMIFS(supercb[Qtde],supercb[Item],tab_higiene[[#This Row],[Item]],supercb[Bairro],mercado10)</f>
        <v>0</v>
      </c>
      <c r="AU302" s="27" t="n">
        <f aca="false">SUMIFS(super1[Qtde],super1[Item],tab_higiene[[#This Row],[Item]],super1[Bairro],mercado11)+SUMIFS(supercb[Qtde],supercb[Item],tab_higiene[[#This Row],[Item]],supercb[Bairro],mercado11)</f>
        <v>0</v>
      </c>
      <c r="AV302" s="27" t="n">
        <f aca="false">SUMIFS(super1[Qtde],super1[Item],tab_higiene[[#This Row],[Item]],super1[Bairro],mercado12)+SUMIFS(supercb[Qtde],supercb[Item],tab_higiene[[#This Row],[Item]],supercb[Bairro],mercado12)</f>
        <v>0</v>
      </c>
      <c r="AW302" s="27" t="n">
        <f aca="false">SUMIFS(super1[Qtde],super1[Item],tab_higiene[[#This Row],[Item]],super1[Bairro],mercado13)+SUMIFS(supercb[Qtde],supercb[Item],tab_higiene[[#This Row],[Item]],supercb[Bairro],mercado13)</f>
        <v>0</v>
      </c>
      <c r="AX302" s="27" t="n">
        <f aca="false">SUMIFS(super1[Qtde],super1[Item],tab_higiene[[#This Row],[Item]],super1[Bairro],mercado14)+SUMIFS(supercb[Qtde],supercb[Item],tab_higiene[[#This Row],[Item]],supercb[Bairro],mercado14)</f>
        <v>0</v>
      </c>
      <c r="AY302" s="27" t="n">
        <f aca="false">SUMIFS(super1[Qtde],super1[Item],tab_higiene[[#This Row],[Item]],super1[Bairro],mercado15)+SUMIFS(supercb[Qtde],supercb[Item],tab_higiene[[#This Row],[Item]],supercb[Bairro],mercado15)</f>
        <v>0</v>
      </c>
      <c r="AZ302" s="27" t="n">
        <f aca="false">SUMIFS(super1[Qtde],super1[Item],tab_higiene[[#This Row],[Item]],super1[Bairro],mercado16)+SUMIFS(supercb[Qtde],supercb[Item],tab_higiene[[#This Row],[Item]],supercb[Bairro],mercado16)</f>
        <v>0</v>
      </c>
      <c r="BA302" s="27" t="n">
        <f aca="false">SUMIFS(super1[Qtde],super1[Item],tab_higiene[[#This Row],[Item]],super1[Bairro],mercado17)+SUMIFS(supercb[Qtde],supercb[Item],tab_higiene[[#This Row],[Item]],supercb[Bairro],mercado17)</f>
        <v>0</v>
      </c>
      <c r="BB302" s="27" t="n">
        <f aca="false">SUMIFS(super1[Qtde],super1[Item],tab_higiene[[#This Row],[Item]],super1[Bairro],mercado18)+SUMIFS(supercb[Qtde],supercb[Item],tab_higiene[[#This Row],[Item]],supercb[Bairro],mercado18)</f>
        <v>0</v>
      </c>
      <c r="BC302" s="39" t="n">
        <f aca="false">SUMIFS(super1[Qtde],super1[Item],tab_higiene[[#This Row],[Item]],super1[Bairro],extras)+SUMIFS(supercb[Qtde],supercb[Item],tab_higiene[[#This Row],[Item]],supercb[Bairro],extras)</f>
        <v>0</v>
      </c>
      <c r="BD302" s="38" t="n">
        <f aca="false">SUM(AK302:BB302)</f>
        <v>0</v>
      </c>
      <c r="BE302" s="38" t="n">
        <f aca="false">IFERROR(BD302*AJ302,0)</f>
        <v>0</v>
      </c>
      <c r="BF302" s="40" t="n">
        <f aca="false">IFERROR(AI302*BD302,0)</f>
        <v>0</v>
      </c>
    </row>
    <row r="303" customFormat="false" ht="15.75" hidden="false" customHeight="false" outlineLevel="0" collapsed="false">
      <c r="I303" s="26" t="e">
        <f aca="false">alimentos[[#This Row],[Item]]</f>
        <v>#VALUE!</v>
      </c>
      <c r="J303" s="27" t="n">
        <f aca="false">IFERROR(alimentos[[#This Row],[kg/embalagem]],0)</f>
        <v>0</v>
      </c>
      <c r="K303" s="27" t="n">
        <f aca="false">IFERROR(alimentos[[#This Row],[Preço]],0)</f>
        <v>0</v>
      </c>
      <c r="L303" s="27" t="n">
        <f aca="false">SUMIFS(super1[Qtde],super1[Item],tab_alimentos[[#This Row],[Item]],super1[Bairro],mercado1)+SUMIFS(supercb[Qtde],supercb[Item],tab_alimentos[[#This Row],[Item]],supercb[Bairro],mercado1)</f>
        <v>0</v>
      </c>
      <c r="M303" s="27" t="n">
        <f aca="false">SUMIFS(super1[Qtde],super1[Item],tab_alimentos[[#This Row],[Item]],super1[Bairro],mercado2)+SUMIFS(supercb[Qtde],supercb[Item],tab_alimentos[[#This Row],[Item]],supercb[Bairro],mercado2)</f>
        <v>0</v>
      </c>
      <c r="N303" s="27" t="n">
        <f aca="false">SUMIFS(super1[Qtde],super1[Item],tab_alimentos[[#This Row],[Item]],super1[Bairro],mercado3)+SUMIFS(supercb[Qtde],supercb[Item],tab_alimentos[[#This Row],[Item]],supercb[Bairro],mercado3)</f>
        <v>0</v>
      </c>
      <c r="O303" s="27" t="n">
        <f aca="false">SUMIFS(super1[Qtde],super1[Item],tab_alimentos[[#This Row],[Item]],super1[Bairro],mercado4)+SUMIFS(supercb[Qtde],supercb[Item],tab_alimentos[[#This Row],[Item]],supercb[Bairro],mercado4)</f>
        <v>0</v>
      </c>
      <c r="P303" s="27" t="n">
        <f aca="false">SUMIFS(super1[Qtde],super1[Item],tab_alimentos[[#This Row],[Item]],super1[Bairro],mercado5)+SUMIFS(supercb[Qtde],supercb[Item],tab_alimentos[[#This Row],[Item]],supercb[Bairro],mercado5)</f>
        <v>0</v>
      </c>
      <c r="Q303" s="27" t="n">
        <f aca="false">SUMIFS(super1[Qtde],super1[Item],tab_alimentos[[#This Row],[Item]],super1[Bairro],mercado6)+SUMIFS(supercb[Qtde],supercb[Item],tab_alimentos[[#This Row],[Item]],supercb[Bairro],mercado6)</f>
        <v>0</v>
      </c>
      <c r="R303" s="27" t="n">
        <f aca="false">SUMIFS(super1[Qtde],super1[Item],tab_alimentos[[#This Row],[Item]],super1[Bairro],mercado7)+SUMIFS(supercb[Qtde],supercb[Item],tab_alimentos[[#This Row],[Item]],supercb[Bairro],mercado7)</f>
        <v>0</v>
      </c>
      <c r="S303" s="27" t="n">
        <f aca="false">SUMIFS(super1[Qtde],super1[Item],tab_alimentos[[#This Row],[Item]],super1[Bairro],mercado8)+SUMIFS(supercb[Qtde],supercb[Item],tab_alimentos[[#This Row],[Item]],supercb[Bairro],mercado8)</f>
        <v>0</v>
      </c>
      <c r="T303" s="27" t="n">
        <f aca="false">SUMIFS(super1[Qtde],super1[Item],tab_alimentos[[#This Row],[Item]],super1[Bairro],mercado9)+SUMIFS(supercb[Qtde],supercb[Item],tab_alimentos[[#This Row],[Item]],supercb[Bairro],mercado9)</f>
        <v>0</v>
      </c>
      <c r="U303" s="27" t="n">
        <f aca="false">SUMIFS(super1[Qtde],super1[Item],tab_alimentos[[#This Row],[Item]],super1[Bairro],mercado10)+SUMIFS(supercb[Qtde],supercb[Item],tab_alimentos[[#This Row],[Item]],supercb[Bairro],mercado10)</f>
        <v>0</v>
      </c>
      <c r="V303" s="27" t="n">
        <f aca="false">SUMIFS(super1[Qtde],super1[Item],tab_alimentos[[#This Row],[Item]],super1[Bairro],mercado11)+SUMIFS(supercb[Qtde],supercb[Item],tab_alimentos[[#This Row],[Item]],supercb[Bairro],mercado11)</f>
        <v>0</v>
      </c>
      <c r="W303" s="27" t="n">
        <f aca="false">SUMIFS(super1[Qtde],super1[Item],tab_alimentos[[#This Row],[Item]],super1[Bairro],mercado12)+SUMIFS(supercb[Qtde],supercb[Item],tab_alimentos[[#This Row],[Item]],supercb[Bairro],mercado12)</f>
        <v>0</v>
      </c>
      <c r="X303" s="27" t="n">
        <f aca="false">SUMIFS(super1[Qtde],super1[Item],tab_alimentos[[#This Row],[Item]],super1[Bairro],mercado13)+SUMIFS(supercb[Qtde],supercb[Item],tab_alimentos[[#This Row],[Item]],supercb[Bairro],mercado13)</f>
        <v>0</v>
      </c>
      <c r="Y303" s="27" t="n">
        <f aca="false">SUMIFS(super1[Qtde],super1[Item],tab_alimentos[[#This Row],[Item]],super1[Bairro],mercado14)+SUMIFS(supercb[Qtde],supercb[Item],tab_alimentos[[#This Row],[Item]],supercb[Bairro],mercado14)</f>
        <v>0</v>
      </c>
      <c r="Z303" s="27" t="n">
        <f aca="false">SUMIFS(super1[Qtde],super1[Item],tab_alimentos[[#This Row],[Item]],super1[Bairro],mercado15)+SUMIFS(supercb[Qtde],supercb[Item],tab_alimentos[[#This Row],[Item]],supercb[Bairro],mercado15)</f>
        <v>0</v>
      </c>
      <c r="AA303" s="27" t="n">
        <f aca="false">SUMIFS(super1[Qtde],super1[Item],tab_alimentos[[#This Row],[Item]],super1[Bairro],mercado16)+SUMIFS(supercb[Qtde],supercb[Item],tab_alimentos[[#This Row],[Item]],supercb[Bairro],mercado16)</f>
        <v>0</v>
      </c>
      <c r="AB303" s="27" t="n">
        <f aca="false">SUMIFS(super1[Qtde],super1[Item],tab_alimentos[[#This Row],[Item]],super1[Bairro],mercado17)+SUMIFS(supercb[Qtde],supercb[Item],tab_alimentos[[#This Row],[Item]],supercb[Bairro],mercado17)</f>
        <v>0</v>
      </c>
      <c r="AC303" s="27" t="n">
        <f aca="false">SUMIFS(super1[Qtde],super1[Item],tab_alimentos[[#This Row],[Item]],super1[Bairro],mercado18)+SUMIFS(supercb[Qtde],supercb[Item],tab_alimentos[[#This Row],[Item]],supercb[Bairro],mercado18)</f>
        <v>0</v>
      </c>
      <c r="AD303" s="27" t="n">
        <f aca="false">SUMIFS(super1[Qtde],super1[Item],tab_alimentos[[#This Row],[Item]],super1[Bairro],extras)+SUMIFS(supercb[Qtde],supercb[Item],tab_alimentos[[#This Row],[Item]],supercb[Bairro],extras)</f>
        <v>0</v>
      </c>
      <c r="AE303" s="27" t="n">
        <f aca="false">SUM(L303:AC303)</f>
        <v>0</v>
      </c>
      <c r="AF303" s="27" t="n">
        <f aca="false">IFERROR(AE303*K303,0)</f>
        <v>0</v>
      </c>
      <c r="AG303" s="28" t="n">
        <f aca="false">IFERROR(J303*AE303,0)</f>
        <v>0</v>
      </c>
      <c r="AH303" s="37" t="e">
        <f aca="false">higiene[[#This Row],[Item]]</f>
        <v>#VALUE!</v>
      </c>
      <c r="AI303" s="38" t="n">
        <f aca="false">IFERROR(higiene[[#This Row],[Kg equivalente]],0)</f>
        <v>0</v>
      </c>
      <c r="AJ303" s="38" t="n">
        <f aca="false">IFERROR(higiene[[#This Row],[Preço por produto]],0)</f>
        <v>0</v>
      </c>
      <c r="AK303" s="27" t="n">
        <f aca="false">SUMIFS(super1[Qtde],super1[Item],tab_higiene[[#This Row],[Item]],super1[Bairro],mercado1)+SUMIFS(supercb[Qtde],supercb[Item],tab_higiene[[#This Row],[Item]],supercb[Bairro],mercado1)</f>
        <v>0</v>
      </c>
      <c r="AL303" s="27" t="n">
        <f aca="false">SUMIFS(super1[Qtde],super1[Item],tab_higiene[[#This Row],[Item]],super1[Bairro],mercado2)+SUMIFS(supercb[Qtde],supercb[Item],tab_higiene[[#This Row],[Item]],supercb[Bairro],mercado2)</f>
        <v>0</v>
      </c>
      <c r="AM303" s="27" t="n">
        <f aca="false">SUMIFS(super1[Qtde],super1[Item],tab_higiene[[#This Row],[Item]],super1[Bairro],mercado3)+SUMIFS(supercb[Qtde],supercb[Item],tab_higiene[[#This Row],[Item]],supercb[Bairro],mercado3)</f>
        <v>0</v>
      </c>
      <c r="AN303" s="27" t="n">
        <f aca="false">SUMIFS(super1[Qtde],super1[Item],tab_higiene[[#This Row],[Item]],super1[Bairro],mercado4)+SUMIFS(supercb[Qtde],supercb[Item],tab_higiene[[#This Row],[Item]],supercb[Bairro],mercado4)</f>
        <v>0</v>
      </c>
      <c r="AO303" s="27" t="n">
        <f aca="false">SUMIFS(super1[Qtde],super1[Item],tab_higiene[[#This Row],[Item]],super1[Bairro],mercado5)+SUMIFS(supercb[Qtde],supercb[Item],tab_higiene[[#This Row],[Item]],supercb[Bairro],mercado5)</f>
        <v>0</v>
      </c>
      <c r="AP303" s="27" t="n">
        <f aca="false">SUMIFS(super1[Qtde],super1[Item],tab_higiene[[#This Row],[Item]],super1[Bairro],mercado6)+SUMIFS(supercb[Qtde],supercb[Item],tab_higiene[[#This Row],[Item]],supercb[Bairro],mercado6)</f>
        <v>0</v>
      </c>
      <c r="AQ303" s="27" t="n">
        <f aca="false">SUMIFS(super1[Qtde],super1[Item],tab_higiene[[#This Row],[Item]],super1[Bairro],mercado7)+SUMIFS(supercb[Qtde],supercb[Item],tab_higiene[[#This Row],[Item]],supercb[Bairro],mercado7)</f>
        <v>0</v>
      </c>
      <c r="AR303" s="27" t="n">
        <f aca="false">SUMIFS(super1[Qtde],super1[Item],tab_higiene[[#This Row],[Item]],super1[Bairro],mercado8)+SUMIFS(supercb[Qtde],supercb[Item],tab_higiene[[#This Row],[Item]],supercb[Bairro],mercado8)</f>
        <v>0</v>
      </c>
      <c r="AS303" s="27" t="n">
        <f aca="false">SUMIFS(super1[Qtde],super1[Item],tab_higiene[[#This Row],[Item]],super1[Bairro],mercado9)+SUMIFS(supercb[Qtde],supercb[Item],tab_higiene[[#This Row],[Item]],supercb[Bairro],mercado9)</f>
        <v>0</v>
      </c>
      <c r="AT303" s="27" t="n">
        <f aca="false">SUMIFS(super1[Qtde],super1[Item],tab_higiene[[#This Row],[Item]],super1[Bairro],mercado10)+SUMIFS(supercb[Qtde],supercb[Item],tab_higiene[[#This Row],[Item]],supercb[Bairro],mercado10)</f>
        <v>0</v>
      </c>
      <c r="AU303" s="27" t="n">
        <f aca="false">SUMIFS(super1[Qtde],super1[Item],tab_higiene[[#This Row],[Item]],super1[Bairro],mercado11)+SUMIFS(supercb[Qtde],supercb[Item],tab_higiene[[#This Row],[Item]],supercb[Bairro],mercado11)</f>
        <v>0</v>
      </c>
      <c r="AV303" s="27" t="n">
        <f aca="false">SUMIFS(super1[Qtde],super1[Item],tab_higiene[[#This Row],[Item]],super1[Bairro],mercado12)+SUMIFS(supercb[Qtde],supercb[Item],tab_higiene[[#This Row],[Item]],supercb[Bairro],mercado12)</f>
        <v>0</v>
      </c>
      <c r="AW303" s="27" t="n">
        <f aca="false">SUMIFS(super1[Qtde],super1[Item],tab_higiene[[#This Row],[Item]],super1[Bairro],mercado13)+SUMIFS(supercb[Qtde],supercb[Item],tab_higiene[[#This Row],[Item]],supercb[Bairro],mercado13)</f>
        <v>0</v>
      </c>
      <c r="AX303" s="27" t="n">
        <f aca="false">SUMIFS(super1[Qtde],super1[Item],tab_higiene[[#This Row],[Item]],super1[Bairro],mercado14)+SUMIFS(supercb[Qtde],supercb[Item],tab_higiene[[#This Row],[Item]],supercb[Bairro],mercado14)</f>
        <v>0</v>
      </c>
      <c r="AY303" s="27" t="n">
        <f aca="false">SUMIFS(super1[Qtde],super1[Item],tab_higiene[[#This Row],[Item]],super1[Bairro],mercado15)+SUMIFS(supercb[Qtde],supercb[Item],tab_higiene[[#This Row],[Item]],supercb[Bairro],mercado15)</f>
        <v>0</v>
      </c>
      <c r="AZ303" s="27" t="n">
        <f aca="false">SUMIFS(super1[Qtde],super1[Item],tab_higiene[[#This Row],[Item]],super1[Bairro],mercado16)+SUMIFS(supercb[Qtde],supercb[Item],tab_higiene[[#This Row],[Item]],supercb[Bairro],mercado16)</f>
        <v>0</v>
      </c>
      <c r="BA303" s="27" t="n">
        <f aca="false">SUMIFS(super1[Qtde],super1[Item],tab_higiene[[#This Row],[Item]],super1[Bairro],mercado17)+SUMIFS(supercb[Qtde],supercb[Item],tab_higiene[[#This Row],[Item]],supercb[Bairro],mercado17)</f>
        <v>0</v>
      </c>
      <c r="BB303" s="27" t="n">
        <f aca="false">SUMIFS(super1[Qtde],super1[Item],tab_higiene[[#This Row],[Item]],super1[Bairro],mercado18)+SUMIFS(supercb[Qtde],supercb[Item],tab_higiene[[#This Row],[Item]],supercb[Bairro],mercado18)</f>
        <v>0</v>
      </c>
      <c r="BC303" s="39" t="n">
        <f aca="false">SUMIFS(super1[Qtde],super1[Item],tab_higiene[[#This Row],[Item]],super1[Bairro],extras)+SUMIFS(supercb[Qtde],supercb[Item],tab_higiene[[#This Row],[Item]],supercb[Bairro],extras)</f>
        <v>0</v>
      </c>
      <c r="BD303" s="38" t="n">
        <f aca="false">SUM(AK303:BB303)</f>
        <v>0</v>
      </c>
      <c r="BE303" s="38" t="n">
        <f aca="false">IFERROR(BD303*AJ303,0)</f>
        <v>0</v>
      </c>
      <c r="BF303" s="40" t="n">
        <f aca="false">IFERROR(AI303*BD303,0)</f>
        <v>0</v>
      </c>
    </row>
    <row r="304" customFormat="false" ht="15.75" hidden="false" customHeight="false" outlineLevel="0" collapsed="false">
      <c r="I304" s="26" t="e">
        <f aca="false">alimentos[[#This Row],[Item]]</f>
        <v>#VALUE!</v>
      </c>
      <c r="J304" s="27" t="n">
        <f aca="false">IFERROR(alimentos[[#This Row],[kg/embalagem]],0)</f>
        <v>0</v>
      </c>
      <c r="K304" s="27" t="n">
        <f aca="false">IFERROR(alimentos[[#This Row],[Preço]],0)</f>
        <v>0</v>
      </c>
      <c r="L304" s="27" t="n">
        <f aca="false">SUMIFS(super1[Qtde],super1[Item],tab_alimentos[[#This Row],[Item]],super1[Bairro],mercado1)+SUMIFS(supercb[Qtde],supercb[Item],tab_alimentos[[#This Row],[Item]],supercb[Bairro],mercado1)</f>
        <v>0</v>
      </c>
      <c r="M304" s="27" t="n">
        <f aca="false">SUMIFS(super1[Qtde],super1[Item],tab_alimentos[[#This Row],[Item]],super1[Bairro],mercado2)+SUMIFS(supercb[Qtde],supercb[Item],tab_alimentos[[#This Row],[Item]],supercb[Bairro],mercado2)</f>
        <v>0</v>
      </c>
      <c r="N304" s="27" t="n">
        <f aca="false">SUMIFS(super1[Qtde],super1[Item],tab_alimentos[[#This Row],[Item]],super1[Bairro],mercado3)+SUMIFS(supercb[Qtde],supercb[Item],tab_alimentos[[#This Row],[Item]],supercb[Bairro],mercado3)</f>
        <v>0</v>
      </c>
      <c r="O304" s="27" t="n">
        <f aca="false">SUMIFS(super1[Qtde],super1[Item],tab_alimentos[[#This Row],[Item]],super1[Bairro],mercado4)+SUMIFS(supercb[Qtde],supercb[Item],tab_alimentos[[#This Row],[Item]],supercb[Bairro],mercado4)</f>
        <v>0</v>
      </c>
      <c r="P304" s="27" t="n">
        <f aca="false">SUMIFS(super1[Qtde],super1[Item],tab_alimentos[[#This Row],[Item]],super1[Bairro],mercado5)+SUMIFS(supercb[Qtde],supercb[Item],tab_alimentos[[#This Row],[Item]],supercb[Bairro],mercado5)</f>
        <v>0</v>
      </c>
      <c r="Q304" s="27" t="n">
        <f aca="false">SUMIFS(super1[Qtde],super1[Item],tab_alimentos[[#This Row],[Item]],super1[Bairro],mercado6)+SUMIFS(supercb[Qtde],supercb[Item],tab_alimentos[[#This Row],[Item]],supercb[Bairro],mercado6)</f>
        <v>0</v>
      </c>
      <c r="R304" s="27" t="n">
        <f aca="false">SUMIFS(super1[Qtde],super1[Item],tab_alimentos[[#This Row],[Item]],super1[Bairro],mercado7)+SUMIFS(supercb[Qtde],supercb[Item],tab_alimentos[[#This Row],[Item]],supercb[Bairro],mercado7)</f>
        <v>0</v>
      </c>
      <c r="S304" s="27" t="n">
        <f aca="false">SUMIFS(super1[Qtde],super1[Item],tab_alimentos[[#This Row],[Item]],super1[Bairro],mercado8)+SUMIFS(supercb[Qtde],supercb[Item],tab_alimentos[[#This Row],[Item]],supercb[Bairro],mercado8)</f>
        <v>0</v>
      </c>
      <c r="T304" s="27" t="n">
        <f aca="false">SUMIFS(super1[Qtde],super1[Item],tab_alimentos[[#This Row],[Item]],super1[Bairro],mercado9)+SUMIFS(supercb[Qtde],supercb[Item],tab_alimentos[[#This Row],[Item]],supercb[Bairro],mercado9)</f>
        <v>0</v>
      </c>
      <c r="U304" s="27" t="n">
        <f aca="false">SUMIFS(super1[Qtde],super1[Item],tab_alimentos[[#This Row],[Item]],super1[Bairro],mercado10)+SUMIFS(supercb[Qtde],supercb[Item],tab_alimentos[[#This Row],[Item]],supercb[Bairro],mercado10)</f>
        <v>0</v>
      </c>
      <c r="V304" s="27" t="n">
        <f aca="false">SUMIFS(super1[Qtde],super1[Item],tab_alimentos[[#This Row],[Item]],super1[Bairro],mercado11)+SUMIFS(supercb[Qtde],supercb[Item],tab_alimentos[[#This Row],[Item]],supercb[Bairro],mercado11)</f>
        <v>0</v>
      </c>
      <c r="W304" s="27" t="n">
        <f aca="false">SUMIFS(super1[Qtde],super1[Item],tab_alimentos[[#This Row],[Item]],super1[Bairro],mercado12)+SUMIFS(supercb[Qtde],supercb[Item],tab_alimentos[[#This Row],[Item]],supercb[Bairro],mercado12)</f>
        <v>0</v>
      </c>
      <c r="X304" s="27" t="n">
        <f aca="false">SUMIFS(super1[Qtde],super1[Item],tab_alimentos[[#This Row],[Item]],super1[Bairro],mercado13)+SUMIFS(supercb[Qtde],supercb[Item],tab_alimentos[[#This Row],[Item]],supercb[Bairro],mercado13)</f>
        <v>0</v>
      </c>
      <c r="Y304" s="27" t="n">
        <f aca="false">SUMIFS(super1[Qtde],super1[Item],tab_alimentos[[#This Row],[Item]],super1[Bairro],mercado14)+SUMIFS(supercb[Qtde],supercb[Item],tab_alimentos[[#This Row],[Item]],supercb[Bairro],mercado14)</f>
        <v>0</v>
      </c>
      <c r="Z304" s="27" t="n">
        <f aca="false">SUMIFS(super1[Qtde],super1[Item],tab_alimentos[[#This Row],[Item]],super1[Bairro],mercado15)+SUMIFS(supercb[Qtde],supercb[Item],tab_alimentos[[#This Row],[Item]],supercb[Bairro],mercado15)</f>
        <v>0</v>
      </c>
      <c r="AA304" s="27" t="n">
        <f aca="false">SUMIFS(super1[Qtde],super1[Item],tab_alimentos[[#This Row],[Item]],super1[Bairro],mercado16)+SUMIFS(supercb[Qtde],supercb[Item],tab_alimentos[[#This Row],[Item]],supercb[Bairro],mercado16)</f>
        <v>0</v>
      </c>
      <c r="AB304" s="27" t="n">
        <f aca="false">SUMIFS(super1[Qtde],super1[Item],tab_alimentos[[#This Row],[Item]],super1[Bairro],mercado17)+SUMIFS(supercb[Qtde],supercb[Item],tab_alimentos[[#This Row],[Item]],supercb[Bairro],mercado17)</f>
        <v>0</v>
      </c>
      <c r="AC304" s="27" t="n">
        <f aca="false">SUMIFS(super1[Qtde],super1[Item],tab_alimentos[[#This Row],[Item]],super1[Bairro],mercado18)+SUMIFS(supercb[Qtde],supercb[Item],tab_alimentos[[#This Row],[Item]],supercb[Bairro],mercado18)</f>
        <v>0</v>
      </c>
      <c r="AD304" s="27" t="n">
        <f aca="false">SUMIFS(super1[Qtde],super1[Item],tab_alimentos[[#This Row],[Item]],super1[Bairro],extras)+SUMIFS(supercb[Qtde],supercb[Item],tab_alimentos[[#This Row],[Item]],supercb[Bairro],extras)</f>
        <v>0</v>
      </c>
      <c r="AE304" s="27" t="n">
        <f aca="false">SUM(L304:AC304)</f>
        <v>0</v>
      </c>
      <c r="AF304" s="27" t="n">
        <f aca="false">IFERROR(AE304*K304,0)</f>
        <v>0</v>
      </c>
      <c r="AG304" s="28" t="n">
        <f aca="false">IFERROR(J304*AE304,0)</f>
        <v>0</v>
      </c>
      <c r="AH304" s="37" t="e">
        <f aca="false">higiene[[#This Row],[Item]]</f>
        <v>#VALUE!</v>
      </c>
      <c r="AI304" s="38" t="n">
        <f aca="false">IFERROR(higiene[[#This Row],[Kg equivalente]],0)</f>
        <v>0</v>
      </c>
      <c r="AJ304" s="38" t="n">
        <f aca="false">IFERROR(higiene[[#This Row],[Preço por produto]],0)</f>
        <v>0</v>
      </c>
      <c r="AK304" s="27" t="n">
        <f aca="false">SUMIFS(super1[Qtde],super1[Item],tab_higiene[[#This Row],[Item]],super1[Bairro],mercado1)+SUMIFS(supercb[Qtde],supercb[Item],tab_higiene[[#This Row],[Item]],supercb[Bairro],mercado1)</f>
        <v>0</v>
      </c>
      <c r="AL304" s="27" t="n">
        <f aca="false">SUMIFS(super1[Qtde],super1[Item],tab_higiene[[#This Row],[Item]],super1[Bairro],mercado2)+SUMIFS(supercb[Qtde],supercb[Item],tab_higiene[[#This Row],[Item]],supercb[Bairro],mercado2)</f>
        <v>0</v>
      </c>
      <c r="AM304" s="27" t="n">
        <f aca="false">SUMIFS(super1[Qtde],super1[Item],tab_higiene[[#This Row],[Item]],super1[Bairro],mercado3)+SUMIFS(supercb[Qtde],supercb[Item],tab_higiene[[#This Row],[Item]],supercb[Bairro],mercado3)</f>
        <v>0</v>
      </c>
      <c r="AN304" s="27" t="n">
        <f aca="false">SUMIFS(super1[Qtde],super1[Item],tab_higiene[[#This Row],[Item]],super1[Bairro],mercado4)+SUMIFS(supercb[Qtde],supercb[Item],tab_higiene[[#This Row],[Item]],supercb[Bairro],mercado4)</f>
        <v>0</v>
      </c>
      <c r="AO304" s="27" t="n">
        <f aca="false">SUMIFS(super1[Qtde],super1[Item],tab_higiene[[#This Row],[Item]],super1[Bairro],mercado5)+SUMIFS(supercb[Qtde],supercb[Item],tab_higiene[[#This Row],[Item]],supercb[Bairro],mercado5)</f>
        <v>0</v>
      </c>
      <c r="AP304" s="27" t="n">
        <f aca="false">SUMIFS(super1[Qtde],super1[Item],tab_higiene[[#This Row],[Item]],super1[Bairro],mercado6)+SUMIFS(supercb[Qtde],supercb[Item],tab_higiene[[#This Row],[Item]],supercb[Bairro],mercado6)</f>
        <v>0</v>
      </c>
      <c r="AQ304" s="27" t="n">
        <f aca="false">SUMIFS(super1[Qtde],super1[Item],tab_higiene[[#This Row],[Item]],super1[Bairro],mercado7)+SUMIFS(supercb[Qtde],supercb[Item],tab_higiene[[#This Row],[Item]],supercb[Bairro],mercado7)</f>
        <v>0</v>
      </c>
      <c r="AR304" s="27" t="n">
        <f aca="false">SUMIFS(super1[Qtde],super1[Item],tab_higiene[[#This Row],[Item]],super1[Bairro],mercado8)+SUMIFS(supercb[Qtde],supercb[Item],tab_higiene[[#This Row],[Item]],supercb[Bairro],mercado8)</f>
        <v>0</v>
      </c>
      <c r="AS304" s="27" t="n">
        <f aca="false">SUMIFS(super1[Qtde],super1[Item],tab_higiene[[#This Row],[Item]],super1[Bairro],mercado9)+SUMIFS(supercb[Qtde],supercb[Item],tab_higiene[[#This Row],[Item]],supercb[Bairro],mercado9)</f>
        <v>0</v>
      </c>
      <c r="AT304" s="27" t="n">
        <f aca="false">SUMIFS(super1[Qtde],super1[Item],tab_higiene[[#This Row],[Item]],super1[Bairro],mercado10)+SUMIFS(supercb[Qtde],supercb[Item],tab_higiene[[#This Row],[Item]],supercb[Bairro],mercado10)</f>
        <v>0</v>
      </c>
      <c r="AU304" s="27" t="n">
        <f aca="false">SUMIFS(super1[Qtde],super1[Item],tab_higiene[[#This Row],[Item]],super1[Bairro],mercado11)+SUMIFS(supercb[Qtde],supercb[Item],tab_higiene[[#This Row],[Item]],supercb[Bairro],mercado11)</f>
        <v>0</v>
      </c>
      <c r="AV304" s="27" t="n">
        <f aca="false">SUMIFS(super1[Qtde],super1[Item],tab_higiene[[#This Row],[Item]],super1[Bairro],mercado12)+SUMIFS(supercb[Qtde],supercb[Item],tab_higiene[[#This Row],[Item]],supercb[Bairro],mercado12)</f>
        <v>0</v>
      </c>
      <c r="AW304" s="27" t="n">
        <f aca="false">SUMIFS(super1[Qtde],super1[Item],tab_higiene[[#This Row],[Item]],super1[Bairro],mercado13)+SUMIFS(supercb[Qtde],supercb[Item],tab_higiene[[#This Row],[Item]],supercb[Bairro],mercado13)</f>
        <v>0</v>
      </c>
      <c r="AX304" s="27" t="n">
        <f aca="false">SUMIFS(super1[Qtde],super1[Item],tab_higiene[[#This Row],[Item]],super1[Bairro],mercado14)+SUMIFS(supercb[Qtde],supercb[Item],tab_higiene[[#This Row],[Item]],supercb[Bairro],mercado14)</f>
        <v>0</v>
      </c>
      <c r="AY304" s="27" t="n">
        <f aca="false">SUMIFS(super1[Qtde],super1[Item],tab_higiene[[#This Row],[Item]],super1[Bairro],mercado15)+SUMIFS(supercb[Qtde],supercb[Item],tab_higiene[[#This Row],[Item]],supercb[Bairro],mercado15)</f>
        <v>0</v>
      </c>
      <c r="AZ304" s="27" t="n">
        <f aca="false">SUMIFS(super1[Qtde],super1[Item],tab_higiene[[#This Row],[Item]],super1[Bairro],mercado16)+SUMIFS(supercb[Qtde],supercb[Item],tab_higiene[[#This Row],[Item]],supercb[Bairro],mercado16)</f>
        <v>0</v>
      </c>
      <c r="BA304" s="27" t="n">
        <f aca="false">SUMIFS(super1[Qtde],super1[Item],tab_higiene[[#This Row],[Item]],super1[Bairro],mercado17)+SUMIFS(supercb[Qtde],supercb[Item],tab_higiene[[#This Row],[Item]],supercb[Bairro],mercado17)</f>
        <v>0</v>
      </c>
      <c r="BB304" s="27" t="n">
        <f aca="false">SUMIFS(super1[Qtde],super1[Item],tab_higiene[[#This Row],[Item]],super1[Bairro],mercado18)+SUMIFS(supercb[Qtde],supercb[Item],tab_higiene[[#This Row],[Item]],supercb[Bairro],mercado18)</f>
        <v>0</v>
      </c>
      <c r="BC304" s="39" t="n">
        <f aca="false">SUMIFS(super1[Qtde],super1[Item],tab_higiene[[#This Row],[Item]],super1[Bairro],extras)+SUMIFS(supercb[Qtde],supercb[Item],tab_higiene[[#This Row],[Item]],supercb[Bairro],extras)</f>
        <v>0</v>
      </c>
      <c r="BD304" s="38" t="n">
        <f aca="false">SUM(AK304:BB304)</f>
        <v>0</v>
      </c>
      <c r="BE304" s="38" t="n">
        <f aca="false">IFERROR(BD304*AJ304,0)</f>
        <v>0</v>
      </c>
      <c r="BF304" s="40" t="n">
        <f aca="false">IFERROR(AI304*BD304,0)</f>
        <v>0</v>
      </c>
    </row>
    <row r="305" customFormat="false" ht="15.75" hidden="false" customHeight="false" outlineLevel="0" collapsed="false">
      <c r="I305" s="26" t="e">
        <f aca="false">alimentos[[#This Row],[Item]]</f>
        <v>#VALUE!</v>
      </c>
      <c r="J305" s="27" t="n">
        <f aca="false">IFERROR(alimentos[[#This Row],[kg/embalagem]],0)</f>
        <v>0</v>
      </c>
      <c r="K305" s="27" t="n">
        <f aca="false">IFERROR(alimentos[[#This Row],[Preço]],0)</f>
        <v>0</v>
      </c>
      <c r="L305" s="27" t="n">
        <f aca="false">SUMIFS(super1[Qtde],super1[Item],tab_alimentos[[#This Row],[Item]],super1[Bairro],mercado1)+SUMIFS(supercb[Qtde],supercb[Item],tab_alimentos[[#This Row],[Item]],supercb[Bairro],mercado1)</f>
        <v>0</v>
      </c>
      <c r="M305" s="27" t="n">
        <f aca="false">SUMIFS(super1[Qtde],super1[Item],tab_alimentos[[#This Row],[Item]],super1[Bairro],mercado2)+SUMIFS(supercb[Qtde],supercb[Item],tab_alimentos[[#This Row],[Item]],supercb[Bairro],mercado2)</f>
        <v>0</v>
      </c>
      <c r="N305" s="27" t="n">
        <f aca="false">SUMIFS(super1[Qtde],super1[Item],tab_alimentos[[#This Row],[Item]],super1[Bairro],mercado3)+SUMIFS(supercb[Qtde],supercb[Item],tab_alimentos[[#This Row],[Item]],supercb[Bairro],mercado3)</f>
        <v>0</v>
      </c>
      <c r="O305" s="27" t="n">
        <f aca="false">SUMIFS(super1[Qtde],super1[Item],tab_alimentos[[#This Row],[Item]],super1[Bairro],mercado4)+SUMIFS(supercb[Qtde],supercb[Item],tab_alimentos[[#This Row],[Item]],supercb[Bairro],mercado4)</f>
        <v>0</v>
      </c>
      <c r="P305" s="27" t="n">
        <f aca="false">SUMIFS(super1[Qtde],super1[Item],tab_alimentos[[#This Row],[Item]],super1[Bairro],mercado5)+SUMIFS(supercb[Qtde],supercb[Item],tab_alimentos[[#This Row],[Item]],supercb[Bairro],mercado5)</f>
        <v>0</v>
      </c>
      <c r="Q305" s="27" t="n">
        <f aca="false">SUMIFS(super1[Qtde],super1[Item],tab_alimentos[[#This Row],[Item]],super1[Bairro],mercado6)+SUMIFS(supercb[Qtde],supercb[Item],tab_alimentos[[#This Row],[Item]],supercb[Bairro],mercado6)</f>
        <v>0</v>
      </c>
      <c r="R305" s="27" t="n">
        <f aca="false">SUMIFS(super1[Qtde],super1[Item],tab_alimentos[[#This Row],[Item]],super1[Bairro],mercado7)+SUMIFS(supercb[Qtde],supercb[Item],tab_alimentos[[#This Row],[Item]],supercb[Bairro],mercado7)</f>
        <v>0</v>
      </c>
      <c r="S305" s="27" t="n">
        <f aca="false">SUMIFS(super1[Qtde],super1[Item],tab_alimentos[[#This Row],[Item]],super1[Bairro],mercado8)+SUMIFS(supercb[Qtde],supercb[Item],tab_alimentos[[#This Row],[Item]],supercb[Bairro],mercado8)</f>
        <v>0</v>
      </c>
      <c r="T305" s="27" t="n">
        <f aca="false">SUMIFS(super1[Qtde],super1[Item],tab_alimentos[[#This Row],[Item]],super1[Bairro],mercado9)+SUMIFS(supercb[Qtde],supercb[Item],tab_alimentos[[#This Row],[Item]],supercb[Bairro],mercado9)</f>
        <v>0</v>
      </c>
      <c r="U305" s="27" t="n">
        <f aca="false">SUMIFS(super1[Qtde],super1[Item],tab_alimentos[[#This Row],[Item]],super1[Bairro],mercado10)+SUMIFS(supercb[Qtde],supercb[Item],tab_alimentos[[#This Row],[Item]],supercb[Bairro],mercado10)</f>
        <v>0</v>
      </c>
      <c r="V305" s="27" t="n">
        <f aca="false">SUMIFS(super1[Qtde],super1[Item],tab_alimentos[[#This Row],[Item]],super1[Bairro],mercado11)+SUMIFS(supercb[Qtde],supercb[Item],tab_alimentos[[#This Row],[Item]],supercb[Bairro],mercado11)</f>
        <v>0</v>
      </c>
      <c r="W305" s="27" t="n">
        <f aca="false">SUMIFS(super1[Qtde],super1[Item],tab_alimentos[[#This Row],[Item]],super1[Bairro],mercado12)+SUMIFS(supercb[Qtde],supercb[Item],tab_alimentos[[#This Row],[Item]],supercb[Bairro],mercado12)</f>
        <v>0</v>
      </c>
      <c r="X305" s="27" t="n">
        <f aca="false">SUMIFS(super1[Qtde],super1[Item],tab_alimentos[[#This Row],[Item]],super1[Bairro],mercado13)+SUMIFS(supercb[Qtde],supercb[Item],tab_alimentos[[#This Row],[Item]],supercb[Bairro],mercado13)</f>
        <v>0</v>
      </c>
      <c r="Y305" s="27" t="n">
        <f aca="false">SUMIFS(super1[Qtde],super1[Item],tab_alimentos[[#This Row],[Item]],super1[Bairro],mercado14)+SUMIFS(supercb[Qtde],supercb[Item],tab_alimentos[[#This Row],[Item]],supercb[Bairro],mercado14)</f>
        <v>0</v>
      </c>
      <c r="Z305" s="27" t="n">
        <f aca="false">SUMIFS(super1[Qtde],super1[Item],tab_alimentos[[#This Row],[Item]],super1[Bairro],mercado15)+SUMIFS(supercb[Qtde],supercb[Item],tab_alimentos[[#This Row],[Item]],supercb[Bairro],mercado15)</f>
        <v>0</v>
      </c>
      <c r="AA305" s="27" t="n">
        <f aca="false">SUMIFS(super1[Qtde],super1[Item],tab_alimentos[[#This Row],[Item]],super1[Bairro],mercado16)+SUMIFS(supercb[Qtde],supercb[Item],tab_alimentos[[#This Row],[Item]],supercb[Bairro],mercado16)</f>
        <v>0</v>
      </c>
      <c r="AB305" s="27" t="n">
        <f aca="false">SUMIFS(super1[Qtde],super1[Item],tab_alimentos[[#This Row],[Item]],super1[Bairro],mercado17)+SUMIFS(supercb[Qtde],supercb[Item],tab_alimentos[[#This Row],[Item]],supercb[Bairro],mercado17)</f>
        <v>0</v>
      </c>
      <c r="AC305" s="27" t="n">
        <f aca="false">SUMIFS(super1[Qtde],super1[Item],tab_alimentos[[#This Row],[Item]],super1[Bairro],mercado18)+SUMIFS(supercb[Qtde],supercb[Item],tab_alimentos[[#This Row],[Item]],supercb[Bairro],mercado18)</f>
        <v>0</v>
      </c>
      <c r="AD305" s="27" t="n">
        <f aca="false">SUMIFS(super1[Qtde],super1[Item],tab_alimentos[[#This Row],[Item]],super1[Bairro],extras)+SUMIFS(supercb[Qtde],supercb[Item],tab_alimentos[[#This Row],[Item]],supercb[Bairro],extras)</f>
        <v>0</v>
      </c>
      <c r="AE305" s="27" t="n">
        <f aca="false">SUM(L305:AC305)</f>
        <v>0</v>
      </c>
      <c r="AF305" s="27" t="n">
        <f aca="false">IFERROR(AE305*K305,0)</f>
        <v>0</v>
      </c>
      <c r="AG305" s="28" t="n">
        <f aca="false">IFERROR(J305*AE305,0)</f>
        <v>0</v>
      </c>
      <c r="AH305" s="37" t="e">
        <f aca="false">higiene[[#This Row],[Item]]</f>
        <v>#VALUE!</v>
      </c>
      <c r="AI305" s="38" t="n">
        <f aca="false">IFERROR(higiene[[#This Row],[Kg equivalente]],0)</f>
        <v>0</v>
      </c>
      <c r="AJ305" s="38" t="n">
        <f aca="false">IFERROR(higiene[[#This Row],[Preço por produto]],0)</f>
        <v>0</v>
      </c>
      <c r="AK305" s="27" t="n">
        <f aca="false">SUMIFS(super1[Qtde],super1[Item],tab_higiene[[#This Row],[Item]],super1[Bairro],mercado1)+SUMIFS(supercb[Qtde],supercb[Item],tab_higiene[[#This Row],[Item]],supercb[Bairro],mercado1)</f>
        <v>0</v>
      </c>
      <c r="AL305" s="27" t="n">
        <f aca="false">SUMIFS(super1[Qtde],super1[Item],tab_higiene[[#This Row],[Item]],super1[Bairro],mercado2)+SUMIFS(supercb[Qtde],supercb[Item],tab_higiene[[#This Row],[Item]],supercb[Bairro],mercado2)</f>
        <v>0</v>
      </c>
      <c r="AM305" s="27" t="n">
        <f aca="false">SUMIFS(super1[Qtde],super1[Item],tab_higiene[[#This Row],[Item]],super1[Bairro],mercado3)+SUMIFS(supercb[Qtde],supercb[Item],tab_higiene[[#This Row],[Item]],supercb[Bairro],mercado3)</f>
        <v>0</v>
      </c>
      <c r="AN305" s="27" t="n">
        <f aca="false">SUMIFS(super1[Qtde],super1[Item],tab_higiene[[#This Row],[Item]],super1[Bairro],mercado4)+SUMIFS(supercb[Qtde],supercb[Item],tab_higiene[[#This Row],[Item]],supercb[Bairro],mercado4)</f>
        <v>0</v>
      </c>
      <c r="AO305" s="27" t="n">
        <f aca="false">SUMIFS(super1[Qtde],super1[Item],tab_higiene[[#This Row],[Item]],super1[Bairro],mercado5)+SUMIFS(supercb[Qtde],supercb[Item],tab_higiene[[#This Row],[Item]],supercb[Bairro],mercado5)</f>
        <v>0</v>
      </c>
      <c r="AP305" s="27" t="n">
        <f aca="false">SUMIFS(super1[Qtde],super1[Item],tab_higiene[[#This Row],[Item]],super1[Bairro],mercado6)+SUMIFS(supercb[Qtde],supercb[Item],tab_higiene[[#This Row],[Item]],supercb[Bairro],mercado6)</f>
        <v>0</v>
      </c>
      <c r="AQ305" s="27" t="n">
        <f aca="false">SUMIFS(super1[Qtde],super1[Item],tab_higiene[[#This Row],[Item]],super1[Bairro],mercado7)+SUMIFS(supercb[Qtde],supercb[Item],tab_higiene[[#This Row],[Item]],supercb[Bairro],mercado7)</f>
        <v>0</v>
      </c>
      <c r="AR305" s="27" t="n">
        <f aca="false">SUMIFS(super1[Qtde],super1[Item],tab_higiene[[#This Row],[Item]],super1[Bairro],mercado8)+SUMIFS(supercb[Qtde],supercb[Item],tab_higiene[[#This Row],[Item]],supercb[Bairro],mercado8)</f>
        <v>0</v>
      </c>
      <c r="AS305" s="27" t="n">
        <f aca="false">SUMIFS(super1[Qtde],super1[Item],tab_higiene[[#This Row],[Item]],super1[Bairro],mercado9)+SUMIFS(supercb[Qtde],supercb[Item],tab_higiene[[#This Row],[Item]],supercb[Bairro],mercado9)</f>
        <v>0</v>
      </c>
      <c r="AT305" s="27" t="n">
        <f aca="false">SUMIFS(super1[Qtde],super1[Item],tab_higiene[[#This Row],[Item]],super1[Bairro],mercado10)+SUMIFS(supercb[Qtde],supercb[Item],tab_higiene[[#This Row],[Item]],supercb[Bairro],mercado10)</f>
        <v>0</v>
      </c>
      <c r="AU305" s="27" t="n">
        <f aca="false">SUMIFS(super1[Qtde],super1[Item],tab_higiene[[#This Row],[Item]],super1[Bairro],mercado11)+SUMIFS(supercb[Qtde],supercb[Item],tab_higiene[[#This Row],[Item]],supercb[Bairro],mercado11)</f>
        <v>0</v>
      </c>
      <c r="AV305" s="27" t="n">
        <f aca="false">SUMIFS(super1[Qtde],super1[Item],tab_higiene[[#This Row],[Item]],super1[Bairro],mercado12)+SUMIFS(supercb[Qtde],supercb[Item],tab_higiene[[#This Row],[Item]],supercb[Bairro],mercado12)</f>
        <v>0</v>
      </c>
      <c r="AW305" s="27" t="n">
        <f aca="false">SUMIFS(super1[Qtde],super1[Item],tab_higiene[[#This Row],[Item]],super1[Bairro],mercado13)+SUMIFS(supercb[Qtde],supercb[Item],tab_higiene[[#This Row],[Item]],supercb[Bairro],mercado13)</f>
        <v>0</v>
      </c>
      <c r="AX305" s="27" t="n">
        <f aca="false">SUMIFS(super1[Qtde],super1[Item],tab_higiene[[#This Row],[Item]],super1[Bairro],mercado14)+SUMIFS(supercb[Qtde],supercb[Item],tab_higiene[[#This Row],[Item]],supercb[Bairro],mercado14)</f>
        <v>0</v>
      </c>
      <c r="AY305" s="27" t="n">
        <f aca="false">SUMIFS(super1[Qtde],super1[Item],tab_higiene[[#This Row],[Item]],super1[Bairro],mercado15)+SUMIFS(supercb[Qtde],supercb[Item],tab_higiene[[#This Row],[Item]],supercb[Bairro],mercado15)</f>
        <v>0</v>
      </c>
      <c r="AZ305" s="27" t="n">
        <f aca="false">SUMIFS(super1[Qtde],super1[Item],tab_higiene[[#This Row],[Item]],super1[Bairro],mercado16)+SUMIFS(supercb[Qtde],supercb[Item],tab_higiene[[#This Row],[Item]],supercb[Bairro],mercado16)</f>
        <v>0</v>
      </c>
      <c r="BA305" s="27" t="n">
        <f aca="false">SUMIFS(super1[Qtde],super1[Item],tab_higiene[[#This Row],[Item]],super1[Bairro],mercado17)+SUMIFS(supercb[Qtde],supercb[Item],tab_higiene[[#This Row],[Item]],supercb[Bairro],mercado17)</f>
        <v>0</v>
      </c>
      <c r="BB305" s="27" t="n">
        <f aca="false">SUMIFS(super1[Qtde],super1[Item],tab_higiene[[#This Row],[Item]],super1[Bairro],mercado18)+SUMIFS(supercb[Qtde],supercb[Item],tab_higiene[[#This Row],[Item]],supercb[Bairro],mercado18)</f>
        <v>0</v>
      </c>
      <c r="BC305" s="39" t="n">
        <f aca="false">SUMIFS(super1[Qtde],super1[Item],tab_higiene[[#This Row],[Item]],super1[Bairro],extras)+SUMIFS(supercb[Qtde],supercb[Item],tab_higiene[[#This Row],[Item]],supercb[Bairro],extras)</f>
        <v>0</v>
      </c>
      <c r="BD305" s="38" t="n">
        <f aca="false">SUM(AK305:BB305)</f>
        <v>0</v>
      </c>
      <c r="BE305" s="38" t="n">
        <f aca="false">IFERROR(BD305*AJ305,0)</f>
        <v>0</v>
      </c>
      <c r="BF305" s="40" t="n">
        <f aca="false">IFERROR(AI305*BD305,0)</f>
        <v>0</v>
      </c>
    </row>
    <row r="306" customFormat="false" ht="15.75" hidden="false" customHeight="false" outlineLevel="0" collapsed="false">
      <c r="I306" s="26" t="e">
        <f aca="false">alimentos[[#This Row],[Item]]</f>
        <v>#VALUE!</v>
      </c>
      <c r="J306" s="27" t="n">
        <f aca="false">IFERROR(alimentos[[#This Row],[kg/embalagem]],0)</f>
        <v>0</v>
      </c>
      <c r="K306" s="27" t="n">
        <f aca="false">IFERROR(alimentos[[#This Row],[Preço]],0)</f>
        <v>0</v>
      </c>
      <c r="L306" s="27" t="n">
        <f aca="false">SUMIFS(super1[Qtde],super1[Item],tab_alimentos[[#This Row],[Item]],super1[Bairro],mercado1)+SUMIFS(supercb[Qtde],supercb[Item],tab_alimentos[[#This Row],[Item]],supercb[Bairro],mercado1)</f>
        <v>0</v>
      </c>
      <c r="M306" s="27" t="n">
        <f aca="false">SUMIFS(super1[Qtde],super1[Item],tab_alimentos[[#This Row],[Item]],super1[Bairro],mercado2)+SUMIFS(supercb[Qtde],supercb[Item],tab_alimentos[[#This Row],[Item]],supercb[Bairro],mercado2)</f>
        <v>0</v>
      </c>
      <c r="N306" s="27" t="n">
        <f aca="false">SUMIFS(super1[Qtde],super1[Item],tab_alimentos[[#This Row],[Item]],super1[Bairro],mercado3)+SUMIFS(supercb[Qtde],supercb[Item],tab_alimentos[[#This Row],[Item]],supercb[Bairro],mercado3)</f>
        <v>0</v>
      </c>
      <c r="O306" s="27" t="n">
        <f aca="false">SUMIFS(super1[Qtde],super1[Item],tab_alimentos[[#This Row],[Item]],super1[Bairro],mercado4)+SUMIFS(supercb[Qtde],supercb[Item],tab_alimentos[[#This Row],[Item]],supercb[Bairro],mercado4)</f>
        <v>0</v>
      </c>
      <c r="P306" s="27" t="n">
        <f aca="false">SUMIFS(super1[Qtde],super1[Item],tab_alimentos[[#This Row],[Item]],super1[Bairro],mercado5)+SUMIFS(supercb[Qtde],supercb[Item],tab_alimentos[[#This Row],[Item]],supercb[Bairro],mercado5)</f>
        <v>0</v>
      </c>
      <c r="Q306" s="27" t="n">
        <f aca="false">SUMIFS(super1[Qtde],super1[Item],tab_alimentos[[#This Row],[Item]],super1[Bairro],mercado6)+SUMIFS(supercb[Qtde],supercb[Item],tab_alimentos[[#This Row],[Item]],supercb[Bairro],mercado6)</f>
        <v>0</v>
      </c>
      <c r="R306" s="27" t="n">
        <f aca="false">SUMIFS(super1[Qtde],super1[Item],tab_alimentos[[#This Row],[Item]],super1[Bairro],mercado7)+SUMIFS(supercb[Qtde],supercb[Item],tab_alimentos[[#This Row],[Item]],supercb[Bairro],mercado7)</f>
        <v>0</v>
      </c>
      <c r="S306" s="27" t="n">
        <f aca="false">SUMIFS(super1[Qtde],super1[Item],tab_alimentos[[#This Row],[Item]],super1[Bairro],mercado8)+SUMIFS(supercb[Qtde],supercb[Item],tab_alimentos[[#This Row],[Item]],supercb[Bairro],mercado8)</f>
        <v>0</v>
      </c>
      <c r="T306" s="27" t="n">
        <f aca="false">SUMIFS(super1[Qtde],super1[Item],tab_alimentos[[#This Row],[Item]],super1[Bairro],mercado9)+SUMIFS(supercb[Qtde],supercb[Item],tab_alimentos[[#This Row],[Item]],supercb[Bairro],mercado9)</f>
        <v>0</v>
      </c>
      <c r="U306" s="27" t="n">
        <f aca="false">SUMIFS(super1[Qtde],super1[Item],tab_alimentos[[#This Row],[Item]],super1[Bairro],mercado10)+SUMIFS(supercb[Qtde],supercb[Item],tab_alimentos[[#This Row],[Item]],supercb[Bairro],mercado10)</f>
        <v>0</v>
      </c>
      <c r="V306" s="27" t="n">
        <f aca="false">SUMIFS(super1[Qtde],super1[Item],tab_alimentos[[#This Row],[Item]],super1[Bairro],mercado11)+SUMIFS(supercb[Qtde],supercb[Item],tab_alimentos[[#This Row],[Item]],supercb[Bairro],mercado11)</f>
        <v>0</v>
      </c>
      <c r="W306" s="27" t="n">
        <f aca="false">SUMIFS(super1[Qtde],super1[Item],tab_alimentos[[#This Row],[Item]],super1[Bairro],mercado12)+SUMIFS(supercb[Qtde],supercb[Item],tab_alimentos[[#This Row],[Item]],supercb[Bairro],mercado12)</f>
        <v>0</v>
      </c>
      <c r="X306" s="27" t="n">
        <f aca="false">SUMIFS(super1[Qtde],super1[Item],tab_alimentos[[#This Row],[Item]],super1[Bairro],mercado13)+SUMIFS(supercb[Qtde],supercb[Item],tab_alimentos[[#This Row],[Item]],supercb[Bairro],mercado13)</f>
        <v>0</v>
      </c>
      <c r="Y306" s="27" t="n">
        <f aca="false">SUMIFS(super1[Qtde],super1[Item],tab_alimentos[[#This Row],[Item]],super1[Bairro],mercado14)+SUMIFS(supercb[Qtde],supercb[Item],tab_alimentos[[#This Row],[Item]],supercb[Bairro],mercado14)</f>
        <v>0</v>
      </c>
      <c r="Z306" s="27" t="n">
        <f aca="false">SUMIFS(super1[Qtde],super1[Item],tab_alimentos[[#This Row],[Item]],super1[Bairro],mercado15)+SUMIFS(supercb[Qtde],supercb[Item],tab_alimentos[[#This Row],[Item]],supercb[Bairro],mercado15)</f>
        <v>0</v>
      </c>
      <c r="AA306" s="27" t="n">
        <f aca="false">SUMIFS(super1[Qtde],super1[Item],tab_alimentos[[#This Row],[Item]],super1[Bairro],mercado16)+SUMIFS(supercb[Qtde],supercb[Item],tab_alimentos[[#This Row],[Item]],supercb[Bairro],mercado16)</f>
        <v>0</v>
      </c>
      <c r="AB306" s="27" t="n">
        <f aca="false">SUMIFS(super1[Qtde],super1[Item],tab_alimentos[[#This Row],[Item]],super1[Bairro],mercado17)+SUMIFS(supercb[Qtde],supercb[Item],tab_alimentos[[#This Row],[Item]],supercb[Bairro],mercado17)</f>
        <v>0</v>
      </c>
      <c r="AC306" s="27" t="n">
        <f aca="false">SUMIFS(super1[Qtde],super1[Item],tab_alimentos[[#This Row],[Item]],super1[Bairro],mercado18)+SUMIFS(supercb[Qtde],supercb[Item],tab_alimentos[[#This Row],[Item]],supercb[Bairro],mercado18)</f>
        <v>0</v>
      </c>
      <c r="AD306" s="27" t="n">
        <f aca="false">SUMIFS(super1[Qtde],super1[Item],tab_alimentos[[#This Row],[Item]],super1[Bairro],extras)+SUMIFS(supercb[Qtde],supercb[Item],tab_alimentos[[#This Row],[Item]],supercb[Bairro],extras)</f>
        <v>0</v>
      </c>
      <c r="AE306" s="27" t="n">
        <f aca="false">SUM(L306:AC306)</f>
        <v>0</v>
      </c>
      <c r="AF306" s="27" t="n">
        <f aca="false">IFERROR(AE306*K306,0)</f>
        <v>0</v>
      </c>
      <c r="AG306" s="28" t="n">
        <f aca="false">IFERROR(J306*AE306,0)</f>
        <v>0</v>
      </c>
      <c r="AH306" s="37" t="e">
        <f aca="false">higiene[[#This Row],[Item]]</f>
        <v>#VALUE!</v>
      </c>
      <c r="AI306" s="38" t="n">
        <f aca="false">IFERROR(higiene[[#This Row],[Kg equivalente]],0)</f>
        <v>0</v>
      </c>
      <c r="AJ306" s="38" t="n">
        <f aca="false">IFERROR(higiene[[#This Row],[Preço por produto]],0)</f>
        <v>0</v>
      </c>
      <c r="AK306" s="27" t="n">
        <f aca="false">SUMIFS(super1[Qtde],super1[Item],tab_higiene[[#This Row],[Item]],super1[Bairro],mercado1)+SUMIFS(supercb[Qtde],supercb[Item],tab_higiene[[#This Row],[Item]],supercb[Bairro],mercado1)</f>
        <v>0</v>
      </c>
      <c r="AL306" s="27" t="n">
        <f aca="false">SUMIFS(super1[Qtde],super1[Item],tab_higiene[[#This Row],[Item]],super1[Bairro],mercado2)+SUMIFS(supercb[Qtde],supercb[Item],tab_higiene[[#This Row],[Item]],supercb[Bairro],mercado2)</f>
        <v>0</v>
      </c>
      <c r="AM306" s="27" t="n">
        <f aca="false">SUMIFS(super1[Qtde],super1[Item],tab_higiene[[#This Row],[Item]],super1[Bairro],mercado3)+SUMIFS(supercb[Qtde],supercb[Item],tab_higiene[[#This Row],[Item]],supercb[Bairro],mercado3)</f>
        <v>0</v>
      </c>
      <c r="AN306" s="27" t="n">
        <f aca="false">SUMIFS(super1[Qtde],super1[Item],tab_higiene[[#This Row],[Item]],super1[Bairro],mercado4)+SUMIFS(supercb[Qtde],supercb[Item],tab_higiene[[#This Row],[Item]],supercb[Bairro],mercado4)</f>
        <v>0</v>
      </c>
      <c r="AO306" s="27" t="n">
        <f aca="false">SUMIFS(super1[Qtde],super1[Item],tab_higiene[[#This Row],[Item]],super1[Bairro],mercado5)+SUMIFS(supercb[Qtde],supercb[Item],tab_higiene[[#This Row],[Item]],supercb[Bairro],mercado5)</f>
        <v>0</v>
      </c>
      <c r="AP306" s="27" t="n">
        <f aca="false">SUMIFS(super1[Qtde],super1[Item],tab_higiene[[#This Row],[Item]],super1[Bairro],mercado6)+SUMIFS(supercb[Qtde],supercb[Item],tab_higiene[[#This Row],[Item]],supercb[Bairro],mercado6)</f>
        <v>0</v>
      </c>
      <c r="AQ306" s="27" t="n">
        <f aca="false">SUMIFS(super1[Qtde],super1[Item],tab_higiene[[#This Row],[Item]],super1[Bairro],mercado7)+SUMIFS(supercb[Qtde],supercb[Item],tab_higiene[[#This Row],[Item]],supercb[Bairro],mercado7)</f>
        <v>0</v>
      </c>
      <c r="AR306" s="27" t="n">
        <f aca="false">SUMIFS(super1[Qtde],super1[Item],tab_higiene[[#This Row],[Item]],super1[Bairro],mercado8)+SUMIFS(supercb[Qtde],supercb[Item],tab_higiene[[#This Row],[Item]],supercb[Bairro],mercado8)</f>
        <v>0</v>
      </c>
      <c r="AS306" s="27" t="n">
        <f aca="false">SUMIFS(super1[Qtde],super1[Item],tab_higiene[[#This Row],[Item]],super1[Bairro],mercado9)+SUMIFS(supercb[Qtde],supercb[Item],tab_higiene[[#This Row],[Item]],supercb[Bairro],mercado9)</f>
        <v>0</v>
      </c>
      <c r="AT306" s="27" t="n">
        <f aca="false">SUMIFS(super1[Qtde],super1[Item],tab_higiene[[#This Row],[Item]],super1[Bairro],mercado10)+SUMIFS(supercb[Qtde],supercb[Item],tab_higiene[[#This Row],[Item]],supercb[Bairro],mercado10)</f>
        <v>0</v>
      </c>
      <c r="AU306" s="27" t="n">
        <f aca="false">SUMIFS(super1[Qtde],super1[Item],tab_higiene[[#This Row],[Item]],super1[Bairro],mercado11)+SUMIFS(supercb[Qtde],supercb[Item],tab_higiene[[#This Row],[Item]],supercb[Bairro],mercado11)</f>
        <v>0</v>
      </c>
      <c r="AV306" s="27" t="n">
        <f aca="false">SUMIFS(super1[Qtde],super1[Item],tab_higiene[[#This Row],[Item]],super1[Bairro],mercado12)+SUMIFS(supercb[Qtde],supercb[Item],tab_higiene[[#This Row],[Item]],supercb[Bairro],mercado12)</f>
        <v>0</v>
      </c>
      <c r="AW306" s="27" t="n">
        <f aca="false">SUMIFS(super1[Qtde],super1[Item],tab_higiene[[#This Row],[Item]],super1[Bairro],mercado13)+SUMIFS(supercb[Qtde],supercb[Item],tab_higiene[[#This Row],[Item]],supercb[Bairro],mercado13)</f>
        <v>0</v>
      </c>
      <c r="AX306" s="27" t="n">
        <f aca="false">SUMIFS(super1[Qtde],super1[Item],tab_higiene[[#This Row],[Item]],super1[Bairro],mercado14)+SUMIFS(supercb[Qtde],supercb[Item],tab_higiene[[#This Row],[Item]],supercb[Bairro],mercado14)</f>
        <v>0</v>
      </c>
      <c r="AY306" s="27" t="n">
        <f aca="false">SUMIFS(super1[Qtde],super1[Item],tab_higiene[[#This Row],[Item]],super1[Bairro],mercado15)+SUMIFS(supercb[Qtde],supercb[Item],tab_higiene[[#This Row],[Item]],supercb[Bairro],mercado15)</f>
        <v>0</v>
      </c>
      <c r="AZ306" s="27" t="n">
        <f aca="false">SUMIFS(super1[Qtde],super1[Item],tab_higiene[[#This Row],[Item]],super1[Bairro],mercado16)+SUMIFS(supercb[Qtde],supercb[Item],tab_higiene[[#This Row],[Item]],supercb[Bairro],mercado16)</f>
        <v>0</v>
      </c>
      <c r="BA306" s="27" t="n">
        <f aca="false">SUMIFS(super1[Qtde],super1[Item],tab_higiene[[#This Row],[Item]],super1[Bairro],mercado17)+SUMIFS(supercb[Qtde],supercb[Item],tab_higiene[[#This Row],[Item]],supercb[Bairro],mercado17)</f>
        <v>0</v>
      </c>
      <c r="BB306" s="27" t="n">
        <f aca="false">SUMIFS(super1[Qtde],super1[Item],tab_higiene[[#This Row],[Item]],super1[Bairro],mercado18)+SUMIFS(supercb[Qtde],supercb[Item],tab_higiene[[#This Row],[Item]],supercb[Bairro],mercado18)</f>
        <v>0</v>
      </c>
      <c r="BC306" s="39" t="n">
        <f aca="false">SUMIFS(super1[Qtde],super1[Item],tab_higiene[[#This Row],[Item]],super1[Bairro],extras)+SUMIFS(supercb[Qtde],supercb[Item],tab_higiene[[#This Row],[Item]],supercb[Bairro],extras)</f>
        <v>0</v>
      </c>
      <c r="BD306" s="38" t="n">
        <f aca="false">SUM(AK306:BB306)</f>
        <v>0</v>
      </c>
      <c r="BE306" s="38" t="n">
        <f aca="false">IFERROR(BD306*AJ306,0)</f>
        <v>0</v>
      </c>
      <c r="BF306" s="40" t="n">
        <f aca="false">IFERROR(AI306*BD306,0)</f>
        <v>0</v>
      </c>
    </row>
    <row r="307" customFormat="false" ht="15.75" hidden="false" customHeight="false" outlineLevel="0" collapsed="false">
      <c r="I307" s="26" t="e">
        <f aca="false">alimentos[[#This Row],[Item]]</f>
        <v>#VALUE!</v>
      </c>
      <c r="J307" s="27" t="n">
        <f aca="false">IFERROR(alimentos[[#This Row],[kg/embalagem]],0)</f>
        <v>0</v>
      </c>
      <c r="K307" s="27" t="n">
        <f aca="false">IFERROR(alimentos[[#This Row],[Preço]],0)</f>
        <v>0</v>
      </c>
      <c r="L307" s="27" t="n">
        <f aca="false">SUMIFS(super1[Qtde],super1[Item],tab_alimentos[[#This Row],[Item]],super1[Bairro],mercado1)+SUMIFS(supercb[Qtde],supercb[Item],tab_alimentos[[#This Row],[Item]],supercb[Bairro],mercado1)</f>
        <v>0</v>
      </c>
      <c r="M307" s="27" t="n">
        <f aca="false">SUMIFS(super1[Qtde],super1[Item],tab_alimentos[[#This Row],[Item]],super1[Bairro],mercado2)+SUMIFS(supercb[Qtde],supercb[Item],tab_alimentos[[#This Row],[Item]],supercb[Bairro],mercado2)</f>
        <v>0</v>
      </c>
      <c r="N307" s="27" t="n">
        <f aca="false">SUMIFS(super1[Qtde],super1[Item],tab_alimentos[[#This Row],[Item]],super1[Bairro],mercado3)+SUMIFS(supercb[Qtde],supercb[Item],tab_alimentos[[#This Row],[Item]],supercb[Bairro],mercado3)</f>
        <v>0</v>
      </c>
      <c r="O307" s="27" t="n">
        <f aca="false">SUMIFS(super1[Qtde],super1[Item],tab_alimentos[[#This Row],[Item]],super1[Bairro],mercado4)+SUMIFS(supercb[Qtde],supercb[Item],tab_alimentos[[#This Row],[Item]],supercb[Bairro],mercado4)</f>
        <v>0</v>
      </c>
      <c r="P307" s="27" t="n">
        <f aca="false">SUMIFS(super1[Qtde],super1[Item],tab_alimentos[[#This Row],[Item]],super1[Bairro],mercado5)+SUMIFS(supercb[Qtde],supercb[Item],tab_alimentos[[#This Row],[Item]],supercb[Bairro],mercado5)</f>
        <v>0</v>
      </c>
      <c r="Q307" s="27" t="n">
        <f aca="false">SUMIFS(super1[Qtde],super1[Item],tab_alimentos[[#This Row],[Item]],super1[Bairro],mercado6)+SUMIFS(supercb[Qtde],supercb[Item],tab_alimentos[[#This Row],[Item]],supercb[Bairro],mercado6)</f>
        <v>0</v>
      </c>
      <c r="R307" s="27" t="n">
        <f aca="false">SUMIFS(super1[Qtde],super1[Item],tab_alimentos[[#This Row],[Item]],super1[Bairro],mercado7)+SUMIFS(supercb[Qtde],supercb[Item],tab_alimentos[[#This Row],[Item]],supercb[Bairro],mercado7)</f>
        <v>0</v>
      </c>
      <c r="S307" s="27" t="n">
        <f aca="false">SUMIFS(super1[Qtde],super1[Item],tab_alimentos[[#This Row],[Item]],super1[Bairro],mercado8)+SUMIFS(supercb[Qtde],supercb[Item],tab_alimentos[[#This Row],[Item]],supercb[Bairro],mercado8)</f>
        <v>0</v>
      </c>
      <c r="T307" s="27" t="n">
        <f aca="false">SUMIFS(super1[Qtde],super1[Item],tab_alimentos[[#This Row],[Item]],super1[Bairro],mercado9)+SUMIFS(supercb[Qtde],supercb[Item],tab_alimentos[[#This Row],[Item]],supercb[Bairro],mercado9)</f>
        <v>0</v>
      </c>
      <c r="U307" s="27" t="n">
        <f aca="false">SUMIFS(super1[Qtde],super1[Item],tab_alimentos[[#This Row],[Item]],super1[Bairro],mercado10)+SUMIFS(supercb[Qtde],supercb[Item],tab_alimentos[[#This Row],[Item]],supercb[Bairro],mercado10)</f>
        <v>0</v>
      </c>
      <c r="V307" s="27" t="n">
        <f aca="false">SUMIFS(super1[Qtde],super1[Item],tab_alimentos[[#This Row],[Item]],super1[Bairro],mercado11)+SUMIFS(supercb[Qtde],supercb[Item],tab_alimentos[[#This Row],[Item]],supercb[Bairro],mercado11)</f>
        <v>0</v>
      </c>
      <c r="W307" s="27" t="n">
        <f aca="false">SUMIFS(super1[Qtde],super1[Item],tab_alimentos[[#This Row],[Item]],super1[Bairro],mercado12)+SUMIFS(supercb[Qtde],supercb[Item],tab_alimentos[[#This Row],[Item]],supercb[Bairro],mercado12)</f>
        <v>0</v>
      </c>
      <c r="X307" s="27" t="n">
        <f aca="false">SUMIFS(super1[Qtde],super1[Item],tab_alimentos[[#This Row],[Item]],super1[Bairro],mercado13)+SUMIFS(supercb[Qtde],supercb[Item],tab_alimentos[[#This Row],[Item]],supercb[Bairro],mercado13)</f>
        <v>0</v>
      </c>
      <c r="Y307" s="27" t="n">
        <f aca="false">SUMIFS(super1[Qtde],super1[Item],tab_alimentos[[#This Row],[Item]],super1[Bairro],mercado14)+SUMIFS(supercb[Qtde],supercb[Item],tab_alimentos[[#This Row],[Item]],supercb[Bairro],mercado14)</f>
        <v>0</v>
      </c>
      <c r="Z307" s="27" t="n">
        <f aca="false">SUMIFS(super1[Qtde],super1[Item],tab_alimentos[[#This Row],[Item]],super1[Bairro],mercado15)+SUMIFS(supercb[Qtde],supercb[Item],tab_alimentos[[#This Row],[Item]],supercb[Bairro],mercado15)</f>
        <v>0</v>
      </c>
      <c r="AA307" s="27" t="n">
        <f aca="false">SUMIFS(super1[Qtde],super1[Item],tab_alimentos[[#This Row],[Item]],super1[Bairro],mercado16)+SUMIFS(supercb[Qtde],supercb[Item],tab_alimentos[[#This Row],[Item]],supercb[Bairro],mercado16)</f>
        <v>0</v>
      </c>
      <c r="AB307" s="27" t="n">
        <f aca="false">SUMIFS(super1[Qtde],super1[Item],tab_alimentos[[#This Row],[Item]],super1[Bairro],mercado17)+SUMIFS(supercb[Qtde],supercb[Item],tab_alimentos[[#This Row],[Item]],supercb[Bairro],mercado17)</f>
        <v>0</v>
      </c>
      <c r="AC307" s="27" t="n">
        <f aca="false">SUMIFS(super1[Qtde],super1[Item],tab_alimentos[[#This Row],[Item]],super1[Bairro],mercado18)+SUMIFS(supercb[Qtde],supercb[Item],tab_alimentos[[#This Row],[Item]],supercb[Bairro],mercado18)</f>
        <v>0</v>
      </c>
      <c r="AD307" s="27" t="n">
        <f aca="false">SUMIFS(super1[Qtde],super1[Item],tab_alimentos[[#This Row],[Item]],super1[Bairro],extras)+SUMIFS(supercb[Qtde],supercb[Item],tab_alimentos[[#This Row],[Item]],supercb[Bairro],extras)</f>
        <v>0</v>
      </c>
      <c r="AE307" s="27" t="n">
        <f aca="false">SUM(L307:AC307)</f>
        <v>0</v>
      </c>
      <c r="AF307" s="27" t="n">
        <f aca="false">IFERROR(AE307*K307,0)</f>
        <v>0</v>
      </c>
      <c r="AG307" s="28" t="n">
        <f aca="false">IFERROR(J307*AE307,0)</f>
        <v>0</v>
      </c>
      <c r="AH307" s="37" t="e">
        <f aca="false">higiene[[#This Row],[Item]]</f>
        <v>#VALUE!</v>
      </c>
      <c r="AI307" s="38" t="n">
        <f aca="false">IFERROR(higiene[[#This Row],[Kg equivalente]],0)</f>
        <v>0</v>
      </c>
      <c r="AJ307" s="38" t="n">
        <f aca="false">IFERROR(higiene[[#This Row],[Preço por produto]],0)</f>
        <v>0</v>
      </c>
      <c r="AK307" s="27" t="n">
        <f aca="false">SUMIFS(super1[Qtde],super1[Item],tab_higiene[[#This Row],[Item]],super1[Bairro],mercado1)+SUMIFS(supercb[Qtde],supercb[Item],tab_higiene[[#This Row],[Item]],supercb[Bairro],mercado1)</f>
        <v>0</v>
      </c>
      <c r="AL307" s="27" t="n">
        <f aca="false">SUMIFS(super1[Qtde],super1[Item],tab_higiene[[#This Row],[Item]],super1[Bairro],mercado2)+SUMIFS(supercb[Qtde],supercb[Item],tab_higiene[[#This Row],[Item]],supercb[Bairro],mercado2)</f>
        <v>0</v>
      </c>
      <c r="AM307" s="27" t="n">
        <f aca="false">SUMIFS(super1[Qtde],super1[Item],tab_higiene[[#This Row],[Item]],super1[Bairro],mercado3)+SUMIFS(supercb[Qtde],supercb[Item],tab_higiene[[#This Row],[Item]],supercb[Bairro],mercado3)</f>
        <v>0</v>
      </c>
      <c r="AN307" s="27" t="n">
        <f aca="false">SUMIFS(super1[Qtde],super1[Item],tab_higiene[[#This Row],[Item]],super1[Bairro],mercado4)+SUMIFS(supercb[Qtde],supercb[Item],tab_higiene[[#This Row],[Item]],supercb[Bairro],mercado4)</f>
        <v>0</v>
      </c>
      <c r="AO307" s="27" t="n">
        <f aca="false">SUMIFS(super1[Qtde],super1[Item],tab_higiene[[#This Row],[Item]],super1[Bairro],mercado5)+SUMIFS(supercb[Qtde],supercb[Item],tab_higiene[[#This Row],[Item]],supercb[Bairro],mercado5)</f>
        <v>0</v>
      </c>
      <c r="AP307" s="27" t="n">
        <f aca="false">SUMIFS(super1[Qtde],super1[Item],tab_higiene[[#This Row],[Item]],super1[Bairro],mercado6)+SUMIFS(supercb[Qtde],supercb[Item],tab_higiene[[#This Row],[Item]],supercb[Bairro],mercado6)</f>
        <v>0</v>
      </c>
      <c r="AQ307" s="27" t="n">
        <f aca="false">SUMIFS(super1[Qtde],super1[Item],tab_higiene[[#This Row],[Item]],super1[Bairro],mercado7)+SUMIFS(supercb[Qtde],supercb[Item],tab_higiene[[#This Row],[Item]],supercb[Bairro],mercado7)</f>
        <v>0</v>
      </c>
      <c r="AR307" s="27" t="n">
        <f aca="false">SUMIFS(super1[Qtde],super1[Item],tab_higiene[[#This Row],[Item]],super1[Bairro],mercado8)+SUMIFS(supercb[Qtde],supercb[Item],tab_higiene[[#This Row],[Item]],supercb[Bairro],mercado8)</f>
        <v>0</v>
      </c>
      <c r="AS307" s="27" t="n">
        <f aca="false">SUMIFS(super1[Qtde],super1[Item],tab_higiene[[#This Row],[Item]],super1[Bairro],mercado9)+SUMIFS(supercb[Qtde],supercb[Item],tab_higiene[[#This Row],[Item]],supercb[Bairro],mercado9)</f>
        <v>0</v>
      </c>
      <c r="AT307" s="27" t="n">
        <f aca="false">SUMIFS(super1[Qtde],super1[Item],tab_higiene[[#This Row],[Item]],super1[Bairro],mercado10)+SUMIFS(supercb[Qtde],supercb[Item],tab_higiene[[#This Row],[Item]],supercb[Bairro],mercado10)</f>
        <v>0</v>
      </c>
      <c r="AU307" s="27" t="n">
        <f aca="false">SUMIFS(super1[Qtde],super1[Item],tab_higiene[[#This Row],[Item]],super1[Bairro],mercado11)+SUMIFS(supercb[Qtde],supercb[Item],tab_higiene[[#This Row],[Item]],supercb[Bairro],mercado11)</f>
        <v>0</v>
      </c>
      <c r="AV307" s="27" t="n">
        <f aca="false">SUMIFS(super1[Qtde],super1[Item],tab_higiene[[#This Row],[Item]],super1[Bairro],mercado12)+SUMIFS(supercb[Qtde],supercb[Item],tab_higiene[[#This Row],[Item]],supercb[Bairro],mercado12)</f>
        <v>0</v>
      </c>
      <c r="AW307" s="27" t="n">
        <f aca="false">SUMIFS(super1[Qtde],super1[Item],tab_higiene[[#This Row],[Item]],super1[Bairro],mercado13)+SUMIFS(supercb[Qtde],supercb[Item],tab_higiene[[#This Row],[Item]],supercb[Bairro],mercado13)</f>
        <v>0</v>
      </c>
      <c r="AX307" s="27" t="n">
        <f aca="false">SUMIFS(super1[Qtde],super1[Item],tab_higiene[[#This Row],[Item]],super1[Bairro],mercado14)+SUMIFS(supercb[Qtde],supercb[Item],tab_higiene[[#This Row],[Item]],supercb[Bairro],mercado14)</f>
        <v>0</v>
      </c>
      <c r="AY307" s="27" t="n">
        <f aca="false">SUMIFS(super1[Qtde],super1[Item],tab_higiene[[#This Row],[Item]],super1[Bairro],mercado15)+SUMIFS(supercb[Qtde],supercb[Item],tab_higiene[[#This Row],[Item]],supercb[Bairro],mercado15)</f>
        <v>0</v>
      </c>
      <c r="AZ307" s="27" t="n">
        <f aca="false">SUMIFS(super1[Qtde],super1[Item],tab_higiene[[#This Row],[Item]],super1[Bairro],mercado16)+SUMIFS(supercb[Qtde],supercb[Item],tab_higiene[[#This Row],[Item]],supercb[Bairro],mercado16)</f>
        <v>0</v>
      </c>
      <c r="BA307" s="27" t="n">
        <f aca="false">SUMIFS(super1[Qtde],super1[Item],tab_higiene[[#This Row],[Item]],super1[Bairro],mercado17)+SUMIFS(supercb[Qtde],supercb[Item],tab_higiene[[#This Row],[Item]],supercb[Bairro],mercado17)</f>
        <v>0</v>
      </c>
      <c r="BB307" s="27" t="n">
        <f aca="false">SUMIFS(super1[Qtde],super1[Item],tab_higiene[[#This Row],[Item]],super1[Bairro],mercado18)+SUMIFS(supercb[Qtde],supercb[Item],tab_higiene[[#This Row],[Item]],supercb[Bairro],mercado18)</f>
        <v>0</v>
      </c>
      <c r="BC307" s="39" t="n">
        <f aca="false">SUMIFS(super1[Qtde],super1[Item],tab_higiene[[#This Row],[Item]],super1[Bairro],extras)+SUMIFS(supercb[Qtde],supercb[Item],tab_higiene[[#This Row],[Item]],supercb[Bairro],extras)</f>
        <v>0</v>
      </c>
      <c r="BD307" s="38" t="n">
        <f aca="false">SUM(AK307:BB307)</f>
        <v>0</v>
      </c>
      <c r="BE307" s="38" t="n">
        <f aca="false">IFERROR(BD307*AJ307,0)</f>
        <v>0</v>
      </c>
      <c r="BF307" s="40" t="n">
        <f aca="false">IFERROR(AI307*BD307,0)</f>
        <v>0</v>
      </c>
    </row>
    <row r="308" customFormat="false" ht="15.75" hidden="false" customHeight="false" outlineLevel="0" collapsed="false">
      <c r="I308" s="26" t="e">
        <f aca="false">alimentos[[#This Row],[Item]]</f>
        <v>#VALUE!</v>
      </c>
      <c r="J308" s="27" t="n">
        <f aca="false">IFERROR(alimentos[[#This Row],[kg/embalagem]],0)</f>
        <v>0</v>
      </c>
      <c r="K308" s="27" t="n">
        <f aca="false">IFERROR(alimentos[[#This Row],[Preço]],0)</f>
        <v>0</v>
      </c>
      <c r="L308" s="27" t="n">
        <f aca="false">SUMIFS(super1[Qtde],super1[Item],tab_alimentos[[#This Row],[Item]],super1[Bairro],mercado1)+SUMIFS(supercb[Qtde],supercb[Item],tab_alimentos[[#This Row],[Item]],supercb[Bairro],mercado1)</f>
        <v>0</v>
      </c>
      <c r="M308" s="27" t="n">
        <f aca="false">SUMIFS(super1[Qtde],super1[Item],tab_alimentos[[#This Row],[Item]],super1[Bairro],mercado2)+SUMIFS(supercb[Qtde],supercb[Item],tab_alimentos[[#This Row],[Item]],supercb[Bairro],mercado2)</f>
        <v>0</v>
      </c>
      <c r="N308" s="27" t="n">
        <f aca="false">SUMIFS(super1[Qtde],super1[Item],tab_alimentos[[#This Row],[Item]],super1[Bairro],mercado3)+SUMIFS(supercb[Qtde],supercb[Item],tab_alimentos[[#This Row],[Item]],supercb[Bairro],mercado3)</f>
        <v>0</v>
      </c>
      <c r="O308" s="27" t="n">
        <f aca="false">SUMIFS(super1[Qtde],super1[Item],tab_alimentos[[#This Row],[Item]],super1[Bairro],mercado4)+SUMIFS(supercb[Qtde],supercb[Item],tab_alimentos[[#This Row],[Item]],supercb[Bairro],mercado4)</f>
        <v>0</v>
      </c>
      <c r="P308" s="27" t="n">
        <f aca="false">SUMIFS(super1[Qtde],super1[Item],tab_alimentos[[#This Row],[Item]],super1[Bairro],mercado5)+SUMIFS(supercb[Qtde],supercb[Item],tab_alimentos[[#This Row],[Item]],supercb[Bairro],mercado5)</f>
        <v>0</v>
      </c>
      <c r="Q308" s="27" t="n">
        <f aca="false">SUMIFS(super1[Qtde],super1[Item],tab_alimentos[[#This Row],[Item]],super1[Bairro],mercado6)+SUMIFS(supercb[Qtde],supercb[Item],tab_alimentos[[#This Row],[Item]],supercb[Bairro],mercado6)</f>
        <v>0</v>
      </c>
      <c r="R308" s="27" t="n">
        <f aca="false">SUMIFS(super1[Qtde],super1[Item],tab_alimentos[[#This Row],[Item]],super1[Bairro],mercado7)+SUMIFS(supercb[Qtde],supercb[Item],tab_alimentos[[#This Row],[Item]],supercb[Bairro],mercado7)</f>
        <v>0</v>
      </c>
      <c r="S308" s="27" t="n">
        <f aca="false">SUMIFS(super1[Qtde],super1[Item],tab_alimentos[[#This Row],[Item]],super1[Bairro],mercado8)+SUMIFS(supercb[Qtde],supercb[Item],tab_alimentos[[#This Row],[Item]],supercb[Bairro],mercado8)</f>
        <v>0</v>
      </c>
      <c r="T308" s="27" t="n">
        <f aca="false">SUMIFS(super1[Qtde],super1[Item],tab_alimentos[[#This Row],[Item]],super1[Bairro],mercado9)+SUMIFS(supercb[Qtde],supercb[Item],tab_alimentos[[#This Row],[Item]],supercb[Bairro],mercado9)</f>
        <v>0</v>
      </c>
      <c r="U308" s="27" t="n">
        <f aca="false">SUMIFS(super1[Qtde],super1[Item],tab_alimentos[[#This Row],[Item]],super1[Bairro],mercado10)+SUMIFS(supercb[Qtde],supercb[Item],tab_alimentos[[#This Row],[Item]],supercb[Bairro],mercado10)</f>
        <v>0</v>
      </c>
      <c r="V308" s="27" t="n">
        <f aca="false">SUMIFS(super1[Qtde],super1[Item],tab_alimentos[[#This Row],[Item]],super1[Bairro],mercado11)+SUMIFS(supercb[Qtde],supercb[Item],tab_alimentos[[#This Row],[Item]],supercb[Bairro],mercado11)</f>
        <v>0</v>
      </c>
      <c r="W308" s="27" t="n">
        <f aca="false">SUMIFS(super1[Qtde],super1[Item],tab_alimentos[[#This Row],[Item]],super1[Bairro],mercado12)+SUMIFS(supercb[Qtde],supercb[Item],tab_alimentos[[#This Row],[Item]],supercb[Bairro],mercado12)</f>
        <v>0</v>
      </c>
      <c r="X308" s="27" t="n">
        <f aca="false">SUMIFS(super1[Qtde],super1[Item],tab_alimentos[[#This Row],[Item]],super1[Bairro],mercado13)+SUMIFS(supercb[Qtde],supercb[Item],tab_alimentos[[#This Row],[Item]],supercb[Bairro],mercado13)</f>
        <v>0</v>
      </c>
      <c r="Y308" s="27" t="n">
        <f aca="false">SUMIFS(super1[Qtde],super1[Item],tab_alimentos[[#This Row],[Item]],super1[Bairro],mercado14)+SUMIFS(supercb[Qtde],supercb[Item],tab_alimentos[[#This Row],[Item]],supercb[Bairro],mercado14)</f>
        <v>0</v>
      </c>
      <c r="Z308" s="27" t="n">
        <f aca="false">SUMIFS(super1[Qtde],super1[Item],tab_alimentos[[#This Row],[Item]],super1[Bairro],mercado15)+SUMIFS(supercb[Qtde],supercb[Item],tab_alimentos[[#This Row],[Item]],supercb[Bairro],mercado15)</f>
        <v>0</v>
      </c>
      <c r="AA308" s="27" t="n">
        <f aca="false">SUMIFS(super1[Qtde],super1[Item],tab_alimentos[[#This Row],[Item]],super1[Bairro],mercado16)+SUMIFS(supercb[Qtde],supercb[Item],tab_alimentos[[#This Row],[Item]],supercb[Bairro],mercado16)</f>
        <v>0</v>
      </c>
      <c r="AB308" s="27" t="n">
        <f aca="false">SUMIFS(super1[Qtde],super1[Item],tab_alimentos[[#This Row],[Item]],super1[Bairro],mercado17)+SUMIFS(supercb[Qtde],supercb[Item],tab_alimentos[[#This Row],[Item]],supercb[Bairro],mercado17)</f>
        <v>0</v>
      </c>
      <c r="AC308" s="27" t="n">
        <f aca="false">SUMIFS(super1[Qtde],super1[Item],tab_alimentos[[#This Row],[Item]],super1[Bairro],mercado18)+SUMIFS(supercb[Qtde],supercb[Item],tab_alimentos[[#This Row],[Item]],supercb[Bairro],mercado18)</f>
        <v>0</v>
      </c>
      <c r="AD308" s="27" t="n">
        <f aca="false">SUMIFS(super1[Qtde],super1[Item],tab_alimentos[[#This Row],[Item]],super1[Bairro],extras)+SUMIFS(supercb[Qtde],supercb[Item],tab_alimentos[[#This Row],[Item]],supercb[Bairro],extras)</f>
        <v>0</v>
      </c>
      <c r="AE308" s="27" t="n">
        <f aca="false">SUM(L308:AC308)</f>
        <v>0</v>
      </c>
      <c r="AF308" s="27" t="n">
        <f aca="false">IFERROR(AE308*K308,0)</f>
        <v>0</v>
      </c>
      <c r="AG308" s="28" t="n">
        <f aca="false">IFERROR(J308*AE308,0)</f>
        <v>0</v>
      </c>
      <c r="AH308" s="37" t="e">
        <f aca="false">higiene[[#This Row],[Item]]</f>
        <v>#VALUE!</v>
      </c>
      <c r="AI308" s="38" t="n">
        <f aca="false">IFERROR(higiene[[#This Row],[Kg equivalente]],0)</f>
        <v>0</v>
      </c>
      <c r="AJ308" s="38" t="n">
        <f aca="false">IFERROR(higiene[[#This Row],[Preço por produto]],0)</f>
        <v>0</v>
      </c>
      <c r="AK308" s="27" t="n">
        <f aca="false">SUMIFS(super1[Qtde],super1[Item],tab_higiene[[#This Row],[Item]],super1[Bairro],mercado1)+SUMIFS(supercb[Qtde],supercb[Item],tab_higiene[[#This Row],[Item]],supercb[Bairro],mercado1)</f>
        <v>0</v>
      </c>
      <c r="AL308" s="27" t="n">
        <f aca="false">SUMIFS(super1[Qtde],super1[Item],tab_higiene[[#This Row],[Item]],super1[Bairro],mercado2)+SUMIFS(supercb[Qtde],supercb[Item],tab_higiene[[#This Row],[Item]],supercb[Bairro],mercado2)</f>
        <v>0</v>
      </c>
      <c r="AM308" s="27" t="n">
        <f aca="false">SUMIFS(super1[Qtde],super1[Item],tab_higiene[[#This Row],[Item]],super1[Bairro],mercado3)+SUMIFS(supercb[Qtde],supercb[Item],tab_higiene[[#This Row],[Item]],supercb[Bairro],mercado3)</f>
        <v>0</v>
      </c>
      <c r="AN308" s="27" t="n">
        <f aca="false">SUMIFS(super1[Qtde],super1[Item],tab_higiene[[#This Row],[Item]],super1[Bairro],mercado4)+SUMIFS(supercb[Qtde],supercb[Item],tab_higiene[[#This Row],[Item]],supercb[Bairro],mercado4)</f>
        <v>0</v>
      </c>
      <c r="AO308" s="27" t="n">
        <f aca="false">SUMIFS(super1[Qtde],super1[Item],tab_higiene[[#This Row],[Item]],super1[Bairro],mercado5)+SUMIFS(supercb[Qtde],supercb[Item],tab_higiene[[#This Row],[Item]],supercb[Bairro],mercado5)</f>
        <v>0</v>
      </c>
      <c r="AP308" s="27" t="n">
        <f aca="false">SUMIFS(super1[Qtde],super1[Item],tab_higiene[[#This Row],[Item]],super1[Bairro],mercado6)+SUMIFS(supercb[Qtde],supercb[Item],tab_higiene[[#This Row],[Item]],supercb[Bairro],mercado6)</f>
        <v>0</v>
      </c>
      <c r="AQ308" s="27" t="n">
        <f aca="false">SUMIFS(super1[Qtde],super1[Item],tab_higiene[[#This Row],[Item]],super1[Bairro],mercado7)+SUMIFS(supercb[Qtde],supercb[Item],tab_higiene[[#This Row],[Item]],supercb[Bairro],mercado7)</f>
        <v>0</v>
      </c>
      <c r="AR308" s="27" t="n">
        <f aca="false">SUMIFS(super1[Qtde],super1[Item],tab_higiene[[#This Row],[Item]],super1[Bairro],mercado8)+SUMIFS(supercb[Qtde],supercb[Item],tab_higiene[[#This Row],[Item]],supercb[Bairro],mercado8)</f>
        <v>0</v>
      </c>
      <c r="AS308" s="27" t="n">
        <f aca="false">SUMIFS(super1[Qtde],super1[Item],tab_higiene[[#This Row],[Item]],super1[Bairro],mercado9)+SUMIFS(supercb[Qtde],supercb[Item],tab_higiene[[#This Row],[Item]],supercb[Bairro],mercado9)</f>
        <v>0</v>
      </c>
      <c r="AT308" s="27" t="n">
        <f aca="false">SUMIFS(super1[Qtde],super1[Item],tab_higiene[[#This Row],[Item]],super1[Bairro],mercado10)+SUMIFS(supercb[Qtde],supercb[Item],tab_higiene[[#This Row],[Item]],supercb[Bairro],mercado10)</f>
        <v>0</v>
      </c>
      <c r="AU308" s="27" t="n">
        <f aca="false">SUMIFS(super1[Qtde],super1[Item],tab_higiene[[#This Row],[Item]],super1[Bairro],mercado11)+SUMIFS(supercb[Qtde],supercb[Item],tab_higiene[[#This Row],[Item]],supercb[Bairro],mercado11)</f>
        <v>0</v>
      </c>
      <c r="AV308" s="27" t="n">
        <f aca="false">SUMIFS(super1[Qtde],super1[Item],tab_higiene[[#This Row],[Item]],super1[Bairro],mercado12)+SUMIFS(supercb[Qtde],supercb[Item],tab_higiene[[#This Row],[Item]],supercb[Bairro],mercado12)</f>
        <v>0</v>
      </c>
      <c r="AW308" s="27" t="n">
        <f aca="false">SUMIFS(super1[Qtde],super1[Item],tab_higiene[[#This Row],[Item]],super1[Bairro],mercado13)+SUMIFS(supercb[Qtde],supercb[Item],tab_higiene[[#This Row],[Item]],supercb[Bairro],mercado13)</f>
        <v>0</v>
      </c>
      <c r="AX308" s="27" t="n">
        <f aca="false">SUMIFS(super1[Qtde],super1[Item],tab_higiene[[#This Row],[Item]],super1[Bairro],mercado14)+SUMIFS(supercb[Qtde],supercb[Item],tab_higiene[[#This Row],[Item]],supercb[Bairro],mercado14)</f>
        <v>0</v>
      </c>
      <c r="AY308" s="27" t="n">
        <f aca="false">SUMIFS(super1[Qtde],super1[Item],tab_higiene[[#This Row],[Item]],super1[Bairro],mercado15)+SUMIFS(supercb[Qtde],supercb[Item],tab_higiene[[#This Row],[Item]],supercb[Bairro],mercado15)</f>
        <v>0</v>
      </c>
      <c r="AZ308" s="27" t="n">
        <f aca="false">SUMIFS(super1[Qtde],super1[Item],tab_higiene[[#This Row],[Item]],super1[Bairro],mercado16)+SUMIFS(supercb[Qtde],supercb[Item],tab_higiene[[#This Row],[Item]],supercb[Bairro],mercado16)</f>
        <v>0</v>
      </c>
      <c r="BA308" s="27" t="n">
        <f aca="false">SUMIFS(super1[Qtde],super1[Item],tab_higiene[[#This Row],[Item]],super1[Bairro],mercado17)+SUMIFS(supercb[Qtde],supercb[Item],tab_higiene[[#This Row],[Item]],supercb[Bairro],mercado17)</f>
        <v>0</v>
      </c>
      <c r="BB308" s="27" t="n">
        <f aca="false">SUMIFS(super1[Qtde],super1[Item],tab_higiene[[#This Row],[Item]],super1[Bairro],mercado18)+SUMIFS(supercb[Qtde],supercb[Item],tab_higiene[[#This Row],[Item]],supercb[Bairro],mercado18)</f>
        <v>0</v>
      </c>
      <c r="BC308" s="39" t="n">
        <f aca="false">SUMIFS(super1[Qtde],super1[Item],tab_higiene[[#This Row],[Item]],super1[Bairro],extras)+SUMIFS(supercb[Qtde],supercb[Item],tab_higiene[[#This Row],[Item]],supercb[Bairro],extras)</f>
        <v>0</v>
      </c>
      <c r="BD308" s="38" t="n">
        <f aca="false">SUM(AK308:BB308)</f>
        <v>0</v>
      </c>
      <c r="BE308" s="38" t="n">
        <f aca="false">IFERROR(BD308*AJ308,0)</f>
        <v>0</v>
      </c>
      <c r="BF308" s="40" t="n">
        <f aca="false">IFERROR(AI308*BD308,0)</f>
        <v>0</v>
      </c>
    </row>
    <row r="309" customFormat="false" ht="15.75" hidden="false" customHeight="false" outlineLevel="0" collapsed="false">
      <c r="I309" s="26" t="e">
        <f aca="false">alimentos[[#This Row],[Item]]</f>
        <v>#VALUE!</v>
      </c>
      <c r="J309" s="27" t="n">
        <f aca="false">IFERROR(alimentos[[#This Row],[kg/embalagem]],0)</f>
        <v>0</v>
      </c>
      <c r="K309" s="27" t="n">
        <f aca="false">IFERROR(alimentos[[#This Row],[Preço]],0)</f>
        <v>0</v>
      </c>
      <c r="L309" s="27" t="n">
        <f aca="false">SUMIFS(super1[Qtde],super1[Item],tab_alimentos[[#This Row],[Item]],super1[Bairro],mercado1)+SUMIFS(supercb[Qtde],supercb[Item],tab_alimentos[[#This Row],[Item]],supercb[Bairro],mercado1)</f>
        <v>0</v>
      </c>
      <c r="M309" s="27" t="n">
        <f aca="false">SUMIFS(super1[Qtde],super1[Item],tab_alimentos[[#This Row],[Item]],super1[Bairro],mercado2)+SUMIFS(supercb[Qtde],supercb[Item],tab_alimentos[[#This Row],[Item]],supercb[Bairro],mercado2)</f>
        <v>0</v>
      </c>
      <c r="N309" s="27" t="n">
        <f aca="false">SUMIFS(super1[Qtde],super1[Item],tab_alimentos[[#This Row],[Item]],super1[Bairro],mercado3)+SUMIFS(supercb[Qtde],supercb[Item],tab_alimentos[[#This Row],[Item]],supercb[Bairro],mercado3)</f>
        <v>0</v>
      </c>
      <c r="O309" s="27" t="n">
        <f aca="false">SUMIFS(super1[Qtde],super1[Item],tab_alimentos[[#This Row],[Item]],super1[Bairro],mercado4)+SUMIFS(supercb[Qtde],supercb[Item],tab_alimentos[[#This Row],[Item]],supercb[Bairro],mercado4)</f>
        <v>0</v>
      </c>
      <c r="P309" s="27" t="n">
        <f aca="false">SUMIFS(super1[Qtde],super1[Item],tab_alimentos[[#This Row],[Item]],super1[Bairro],mercado5)+SUMIFS(supercb[Qtde],supercb[Item],tab_alimentos[[#This Row],[Item]],supercb[Bairro],mercado5)</f>
        <v>0</v>
      </c>
      <c r="Q309" s="27" t="n">
        <f aca="false">SUMIFS(super1[Qtde],super1[Item],tab_alimentos[[#This Row],[Item]],super1[Bairro],mercado6)+SUMIFS(supercb[Qtde],supercb[Item],tab_alimentos[[#This Row],[Item]],supercb[Bairro],mercado6)</f>
        <v>0</v>
      </c>
      <c r="R309" s="27" t="n">
        <f aca="false">SUMIFS(super1[Qtde],super1[Item],tab_alimentos[[#This Row],[Item]],super1[Bairro],mercado7)+SUMIFS(supercb[Qtde],supercb[Item],tab_alimentos[[#This Row],[Item]],supercb[Bairro],mercado7)</f>
        <v>0</v>
      </c>
      <c r="S309" s="27" t="n">
        <f aca="false">SUMIFS(super1[Qtde],super1[Item],tab_alimentos[[#This Row],[Item]],super1[Bairro],mercado8)+SUMIFS(supercb[Qtde],supercb[Item],tab_alimentos[[#This Row],[Item]],supercb[Bairro],mercado8)</f>
        <v>0</v>
      </c>
      <c r="T309" s="27" t="n">
        <f aca="false">SUMIFS(super1[Qtde],super1[Item],tab_alimentos[[#This Row],[Item]],super1[Bairro],mercado9)+SUMIFS(supercb[Qtde],supercb[Item],tab_alimentos[[#This Row],[Item]],supercb[Bairro],mercado9)</f>
        <v>0</v>
      </c>
      <c r="U309" s="27" t="n">
        <f aca="false">SUMIFS(super1[Qtde],super1[Item],tab_alimentos[[#This Row],[Item]],super1[Bairro],mercado10)+SUMIFS(supercb[Qtde],supercb[Item],tab_alimentos[[#This Row],[Item]],supercb[Bairro],mercado10)</f>
        <v>0</v>
      </c>
      <c r="V309" s="27" t="n">
        <f aca="false">SUMIFS(super1[Qtde],super1[Item],tab_alimentos[[#This Row],[Item]],super1[Bairro],mercado11)+SUMIFS(supercb[Qtde],supercb[Item],tab_alimentos[[#This Row],[Item]],supercb[Bairro],mercado11)</f>
        <v>0</v>
      </c>
      <c r="W309" s="27" t="n">
        <f aca="false">SUMIFS(super1[Qtde],super1[Item],tab_alimentos[[#This Row],[Item]],super1[Bairro],mercado12)+SUMIFS(supercb[Qtde],supercb[Item],tab_alimentos[[#This Row],[Item]],supercb[Bairro],mercado12)</f>
        <v>0</v>
      </c>
      <c r="X309" s="27" t="n">
        <f aca="false">SUMIFS(super1[Qtde],super1[Item],tab_alimentos[[#This Row],[Item]],super1[Bairro],mercado13)+SUMIFS(supercb[Qtde],supercb[Item],tab_alimentos[[#This Row],[Item]],supercb[Bairro],mercado13)</f>
        <v>0</v>
      </c>
      <c r="Y309" s="27" t="n">
        <f aca="false">SUMIFS(super1[Qtde],super1[Item],tab_alimentos[[#This Row],[Item]],super1[Bairro],mercado14)+SUMIFS(supercb[Qtde],supercb[Item],tab_alimentos[[#This Row],[Item]],supercb[Bairro],mercado14)</f>
        <v>0</v>
      </c>
      <c r="Z309" s="27" t="n">
        <f aca="false">SUMIFS(super1[Qtde],super1[Item],tab_alimentos[[#This Row],[Item]],super1[Bairro],mercado15)+SUMIFS(supercb[Qtde],supercb[Item],tab_alimentos[[#This Row],[Item]],supercb[Bairro],mercado15)</f>
        <v>0</v>
      </c>
      <c r="AA309" s="27" t="n">
        <f aca="false">SUMIFS(super1[Qtde],super1[Item],tab_alimentos[[#This Row],[Item]],super1[Bairro],mercado16)+SUMIFS(supercb[Qtde],supercb[Item],tab_alimentos[[#This Row],[Item]],supercb[Bairro],mercado16)</f>
        <v>0</v>
      </c>
      <c r="AB309" s="27" t="n">
        <f aca="false">SUMIFS(super1[Qtde],super1[Item],tab_alimentos[[#This Row],[Item]],super1[Bairro],mercado17)+SUMIFS(supercb[Qtde],supercb[Item],tab_alimentos[[#This Row],[Item]],supercb[Bairro],mercado17)</f>
        <v>0</v>
      </c>
      <c r="AC309" s="27" t="n">
        <f aca="false">SUMIFS(super1[Qtde],super1[Item],tab_alimentos[[#This Row],[Item]],super1[Bairro],mercado18)+SUMIFS(supercb[Qtde],supercb[Item],tab_alimentos[[#This Row],[Item]],supercb[Bairro],mercado18)</f>
        <v>0</v>
      </c>
      <c r="AD309" s="27" t="n">
        <f aca="false">SUMIFS(super1[Qtde],super1[Item],tab_alimentos[[#This Row],[Item]],super1[Bairro],extras)+SUMIFS(supercb[Qtde],supercb[Item],tab_alimentos[[#This Row],[Item]],supercb[Bairro],extras)</f>
        <v>0</v>
      </c>
      <c r="AE309" s="27" t="n">
        <f aca="false">SUM(L309:AC309)</f>
        <v>0</v>
      </c>
      <c r="AF309" s="27" t="n">
        <f aca="false">IFERROR(AE309*K309,0)</f>
        <v>0</v>
      </c>
      <c r="AG309" s="28" t="n">
        <f aca="false">IFERROR(J309*AE309,0)</f>
        <v>0</v>
      </c>
      <c r="AH309" s="37" t="e">
        <f aca="false">higiene[[#This Row],[Item]]</f>
        <v>#VALUE!</v>
      </c>
      <c r="AI309" s="38" t="n">
        <f aca="false">IFERROR(higiene[[#This Row],[Kg equivalente]],0)</f>
        <v>0</v>
      </c>
      <c r="AJ309" s="38" t="n">
        <f aca="false">IFERROR(higiene[[#This Row],[Preço por produto]],0)</f>
        <v>0</v>
      </c>
      <c r="AK309" s="27" t="n">
        <f aca="false">SUMIFS(super1[Qtde],super1[Item],tab_higiene[[#This Row],[Item]],super1[Bairro],mercado1)+SUMIFS(supercb[Qtde],supercb[Item],tab_higiene[[#This Row],[Item]],supercb[Bairro],mercado1)</f>
        <v>0</v>
      </c>
      <c r="AL309" s="27" t="n">
        <f aca="false">SUMIFS(super1[Qtde],super1[Item],tab_higiene[[#This Row],[Item]],super1[Bairro],mercado2)+SUMIFS(supercb[Qtde],supercb[Item],tab_higiene[[#This Row],[Item]],supercb[Bairro],mercado2)</f>
        <v>0</v>
      </c>
      <c r="AM309" s="27" t="n">
        <f aca="false">SUMIFS(super1[Qtde],super1[Item],tab_higiene[[#This Row],[Item]],super1[Bairro],mercado3)+SUMIFS(supercb[Qtde],supercb[Item],tab_higiene[[#This Row],[Item]],supercb[Bairro],mercado3)</f>
        <v>0</v>
      </c>
      <c r="AN309" s="27" t="n">
        <f aca="false">SUMIFS(super1[Qtde],super1[Item],tab_higiene[[#This Row],[Item]],super1[Bairro],mercado4)+SUMIFS(supercb[Qtde],supercb[Item],tab_higiene[[#This Row],[Item]],supercb[Bairro],mercado4)</f>
        <v>0</v>
      </c>
      <c r="AO309" s="27" t="n">
        <f aca="false">SUMIFS(super1[Qtde],super1[Item],tab_higiene[[#This Row],[Item]],super1[Bairro],mercado5)+SUMIFS(supercb[Qtde],supercb[Item],tab_higiene[[#This Row],[Item]],supercb[Bairro],mercado5)</f>
        <v>0</v>
      </c>
      <c r="AP309" s="27" t="n">
        <f aca="false">SUMIFS(super1[Qtde],super1[Item],tab_higiene[[#This Row],[Item]],super1[Bairro],mercado6)+SUMIFS(supercb[Qtde],supercb[Item],tab_higiene[[#This Row],[Item]],supercb[Bairro],mercado6)</f>
        <v>0</v>
      </c>
      <c r="AQ309" s="27" t="n">
        <f aca="false">SUMIFS(super1[Qtde],super1[Item],tab_higiene[[#This Row],[Item]],super1[Bairro],mercado7)+SUMIFS(supercb[Qtde],supercb[Item],tab_higiene[[#This Row],[Item]],supercb[Bairro],mercado7)</f>
        <v>0</v>
      </c>
      <c r="AR309" s="27" t="n">
        <f aca="false">SUMIFS(super1[Qtde],super1[Item],tab_higiene[[#This Row],[Item]],super1[Bairro],mercado8)+SUMIFS(supercb[Qtde],supercb[Item],tab_higiene[[#This Row],[Item]],supercb[Bairro],mercado8)</f>
        <v>0</v>
      </c>
      <c r="AS309" s="27" t="n">
        <f aca="false">SUMIFS(super1[Qtde],super1[Item],tab_higiene[[#This Row],[Item]],super1[Bairro],mercado9)+SUMIFS(supercb[Qtde],supercb[Item],tab_higiene[[#This Row],[Item]],supercb[Bairro],mercado9)</f>
        <v>0</v>
      </c>
      <c r="AT309" s="27" t="n">
        <f aca="false">SUMIFS(super1[Qtde],super1[Item],tab_higiene[[#This Row],[Item]],super1[Bairro],mercado10)+SUMIFS(supercb[Qtde],supercb[Item],tab_higiene[[#This Row],[Item]],supercb[Bairro],mercado10)</f>
        <v>0</v>
      </c>
      <c r="AU309" s="27" t="n">
        <f aca="false">SUMIFS(super1[Qtde],super1[Item],tab_higiene[[#This Row],[Item]],super1[Bairro],mercado11)+SUMIFS(supercb[Qtde],supercb[Item],tab_higiene[[#This Row],[Item]],supercb[Bairro],mercado11)</f>
        <v>0</v>
      </c>
      <c r="AV309" s="27" t="n">
        <f aca="false">SUMIFS(super1[Qtde],super1[Item],tab_higiene[[#This Row],[Item]],super1[Bairro],mercado12)+SUMIFS(supercb[Qtde],supercb[Item],tab_higiene[[#This Row],[Item]],supercb[Bairro],mercado12)</f>
        <v>0</v>
      </c>
      <c r="AW309" s="27" t="n">
        <f aca="false">SUMIFS(super1[Qtde],super1[Item],tab_higiene[[#This Row],[Item]],super1[Bairro],mercado13)+SUMIFS(supercb[Qtde],supercb[Item],tab_higiene[[#This Row],[Item]],supercb[Bairro],mercado13)</f>
        <v>0</v>
      </c>
      <c r="AX309" s="27" t="n">
        <f aca="false">SUMIFS(super1[Qtde],super1[Item],tab_higiene[[#This Row],[Item]],super1[Bairro],mercado14)+SUMIFS(supercb[Qtde],supercb[Item],tab_higiene[[#This Row],[Item]],supercb[Bairro],mercado14)</f>
        <v>0</v>
      </c>
      <c r="AY309" s="27" t="n">
        <f aca="false">SUMIFS(super1[Qtde],super1[Item],tab_higiene[[#This Row],[Item]],super1[Bairro],mercado15)+SUMIFS(supercb[Qtde],supercb[Item],tab_higiene[[#This Row],[Item]],supercb[Bairro],mercado15)</f>
        <v>0</v>
      </c>
      <c r="AZ309" s="27" t="n">
        <f aca="false">SUMIFS(super1[Qtde],super1[Item],tab_higiene[[#This Row],[Item]],super1[Bairro],mercado16)+SUMIFS(supercb[Qtde],supercb[Item],tab_higiene[[#This Row],[Item]],supercb[Bairro],mercado16)</f>
        <v>0</v>
      </c>
      <c r="BA309" s="27" t="n">
        <f aca="false">SUMIFS(super1[Qtde],super1[Item],tab_higiene[[#This Row],[Item]],super1[Bairro],mercado17)+SUMIFS(supercb[Qtde],supercb[Item],tab_higiene[[#This Row],[Item]],supercb[Bairro],mercado17)</f>
        <v>0</v>
      </c>
      <c r="BB309" s="27" t="n">
        <f aca="false">SUMIFS(super1[Qtde],super1[Item],tab_higiene[[#This Row],[Item]],super1[Bairro],mercado18)+SUMIFS(supercb[Qtde],supercb[Item],tab_higiene[[#This Row],[Item]],supercb[Bairro],mercado18)</f>
        <v>0</v>
      </c>
      <c r="BC309" s="39" t="n">
        <f aca="false">SUMIFS(super1[Qtde],super1[Item],tab_higiene[[#This Row],[Item]],super1[Bairro],extras)+SUMIFS(supercb[Qtde],supercb[Item],tab_higiene[[#This Row],[Item]],supercb[Bairro],extras)</f>
        <v>0</v>
      </c>
      <c r="BD309" s="38" t="n">
        <f aca="false">SUM(AK309:BB309)</f>
        <v>0</v>
      </c>
      <c r="BE309" s="38" t="n">
        <f aca="false">IFERROR(BD309*AJ309,0)</f>
        <v>0</v>
      </c>
      <c r="BF309" s="40" t="n">
        <f aca="false">IFERROR(AI309*BD309,0)</f>
        <v>0</v>
      </c>
    </row>
    <row r="310" customFormat="false" ht="15.75" hidden="false" customHeight="false" outlineLevel="0" collapsed="false">
      <c r="I310" s="26" t="e">
        <f aca="false">alimentos[[#This Row],[Item]]</f>
        <v>#VALUE!</v>
      </c>
      <c r="J310" s="27" t="n">
        <f aca="false">IFERROR(alimentos[[#This Row],[kg/embalagem]],0)</f>
        <v>0</v>
      </c>
      <c r="K310" s="27" t="n">
        <f aca="false">IFERROR(alimentos[[#This Row],[Preço]],0)</f>
        <v>0</v>
      </c>
      <c r="L310" s="27" t="n">
        <f aca="false">SUMIFS(super1[Qtde],super1[Item],tab_alimentos[[#This Row],[Item]],super1[Bairro],mercado1)+SUMIFS(supercb[Qtde],supercb[Item],tab_alimentos[[#This Row],[Item]],supercb[Bairro],mercado1)</f>
        <v>0</v>
      </c>
      <c r="M310" s="27" t="n">
        <f aca="false">SUMIFS(super1[Qtde],super1[Item],tab_alimentos[[#This Row],[Item]],super1[Bairro],mercado2)+SUMIFS(supercb[Qtde],supercb[Item],tab_alimentos[[#This Row],[Item]],supercb[Bairro],mercado2)</f>
        <v>0</v>
      </c>
      <c r="N310" s="27" t="n">
        <f aca="false">SUMIFS(super1[Qtde],super1[Item],tab_alimentos[[#This Row],[Item]],super1[Bairro],mercado3)+SUMIFS(supercb[Qtde],supercb[Item],tab_alimentos[[#This Row],[Item]],supercb[Bairro],mercado3)</f>
        <v>0</v>
      </c>
      <c r="O310" s="27" t="n">
        <f aca="false">SUMIFS(super1[Qtde],super1[Item],tab_alimentos[[#This Row],[Item]],super1[Bairro],mercado4)+SUMIFS(supercb[Qtde],supercb[Item],tab_alimentos[[#This Row],[Item]],supercb[Bairro],mercado4)</f>
        <v>0</v>
      </c>
      <c r="P310" s="27" t="n">
        <f aca="false">SUMIFS(super1[Qtde],super1[Item],tab_alimentos[[#This Row],[Item]],super1[Bairro],mercado5)+SUMIFS(supercb[Qtde],supercb[Item],tab_alimentos[[#This Row],[Item]],supercb[Bairro],mercado5)</f>
        <v>0</v>
      </c>
      <c r="Q310" s="27" t="n">
        <f aca="false">SUMIFS(super1[Qtde],super1[Item],tab_alimentos[[#This Row],[Item]],super1[Bairro],mercado6)+SUMIFS(supercb[Qtde],supercb[Item],tab_alimentos[[#This Row],[Item]],supercb[Bairro],mercado6)</f>
        <v>0</v>
      </c>
      <c r="R310" s="27" t="n">
        <f aca="false">SUMIFS(super1[Qtde],super1[Item],tab_alimentos[[#This Row],[Item]],super1[Bairro],mercado7)+SUMIFS(supercb[Qtde],supercb[Item],tab_alimentos[[#This Row],[Item]],supercb[Bairro],mercado7)</f>
        <v>0</v>
      </c>
      <c r="S310" s="27" t="n">
        <f aca="false">SUMIFS(super1[Qtde],super1[Item],tab_alimentos[[#This Row],[Item]],super1[Bairro],mercado8)+SUMIFS(supercb[Qtde],supercb[Item],tab_alimentos[[#This Row],[Item]],supercb[Bairro],mercado8)</f>
        <v>0</v>
      </c>
      <c r="T310" s="27" t="n">
        <f aca="false">SUMIFS(super1[Qtde],super1[Item],tab_alimentos[[#This Row],[Item]],super1[Bairro],mercado9)+SUMIFS(supercb[Qtde],supercb[Item],tab_alimentos[[#This Row],[Item]],supercb[Bairro],mercado9)</f>
        <v>0</v>
      </c>
      <c r="U310" s="27" t="n">
        <f aca="false">SUMIFS(super1[Qtde],super1[Item],tab_alimentos[[#This Row],[Item]],super1[Bairro],mercado10)+SUMIFS(supercb[Qtde],supercb[Item],tab_alimentos[[#This Row],[Item]],supercb[Bairro],mercado10)</f>
        <v>0</v>
      </c>
      <c r="V310" s="27" t="n">
        <f aca="false">SUMIFS(super1[Qtde],super1[Item],tab_alimentos[[#This Row],[Item]],super1[Bairro],mercado11)+SUMIFS(supercb[Qtde],supercb[Item],tab_alimentos[[#This Row],[Item]],supercb[Bairro],mercado11)</f>
        <v>0</v>
      </c>
      <c r="W310" s="27" t="n">
        <f aca="false">SUMIFS(super1[Qtde],super1[Item],tab_alimentos[[#This Row],[Item]],super1[Bairro],mercado12)+SUMIFS(supercb[Qtde],supercb[Item],tab_alimentos[[#This Row],[Item]],supercb[Bairro],mercado12)</f>
        <v>0</v>
      </c>
      <c r="X310" s="27" t="n">
        <f aca="false">SUMIFS(super1[Qtde],super1[Item],tab_alimentos[[#This Row],[Item]],super1[Bairro],mercado13)+SUMIFS(supercb[Qtde],supercb[Item],tab_alimentos[[#This Row],[Item]],supercb[Bairro],mercado13)</f>
        <v>0</v>
      </c>
      <c r="Y310" s="27" t="n">
        <f aca="false">SUMIFS(super1[Qtde],super1[Item],tab_alimentos[[#This Row],[Item]],super1[Bairro],mercado14)+SUMIFS(supercb[Qtde],supercb[Item],tab_alimentos[[#This Row],[Item]],supercb[Bairro],mercado14)</f>
        <v>0</v>
      </c>
      <c r="Z310" s="27" t="n">
        <f aca="false">SUMIFS(super1[Qtde],super1[Item],tab_alimentos[[#This Row],[Item]],super1[Bairro],mercado15)+SUMIFS(supercb[Qtde],supercb[Item],tab_alimentos[[#This Row],[Item]],supercb[Bairro],mercado15)</f>
        <v>0</v>
      </c>
      <c r="AA310" s="27" t="n">
        <f aca="false">SUMIFS(super1[Qtde],super1[Item],tab_alimentos[[#This Row],[Item]],super1[Bairro],mercado16)+SUMIFS(supercb[Qtde],supercb[Item],tab_alimentos[[#This Row],[Item]],supercb[Bairro],mercado16)</f>
        <v>0</v>
      </c>
      <c r="AB310" s="27" t="n">
        <f aca="false">SUMIFS(super1[Qtde],super1[Item],tab_alimentos[[#This Row],[Item]],super1[Bairro],mercado17)+SUMIFS(supercb[Qtde],supercb[Item],tab_alimentos[[#This Row],[Item]],supercb[Bairro],mercado17)</f>
        <v>0</v>
      </c>
      <c r="AC310" s="27" t="n">
        <f aca="false">SUMIFS(super1[Qtde],super1[Item],tab_alimentos[[#This Row],[Item]],super1[Bairro],mercado18)+SUMIFS(supercb[Qtde],supercb[Item],tab_alimentos[[#This Row],[Item]],supercb[Bairro],mercado18)</f>
        <v>0</v>
      </c>
      <c r="AD310" s="27" t="n">
        <f aca="false">SUMIFS(super1[Qtde],super1[Item],tab_alimentos[[#This Row],[Item]],super1[Bairro],extras)+SUMIFS(supercb[Qtde],supercb[Item],tab_alimentos[[#This Row],[Item]],supercb[Bairro],extras)</f>
        <v>0</v>
      </c>
      <c r="AE310" s="27" t="n">
        <f aca="false">SUM(L310:AC310)</f>
        <v>0</v>
      </c>
      <c r="AF310" s="27" t="n">
        <f aca="false">IFERROR(AE310*K310,0)</f>
        <v>0</v>
      </c>
      <c r="AG310" s="28" t="n">
        <f aca="false">IFERROR(J310*AE310,0)</f>
        <v>0</v>
      </c>
      <c r="AH310" s="37" t="e">
        <f aca="false">higiene[[#This Row],[Item]]</f>
        <v>#VALUE!</v>
      </c>
      <c r="AI310" s="38" t="n">
        <f aca="false">IFERROR(higiene[[#This Row],[Kg equivalente]],0)</f>
        <v>0</v>
      </c>
      <c r="AJ310" s="38" t="n">
        <f aca="false">IFERROR(higiene[[#This Row],[Preço por produto]],0)</f>
        <v>0</v>
      </c>
      <c r="AK310" s="27" t="n">
        <f aca="false">SUMIFS(super1[Qtde],super1[Item],tab_higiene[[#This Row],[Item]],super1[Bairro],mercado1)+SUMIFS(supercb[Qtde],supercb[Item],tab_higiene[[#This Row],[Item]],supercb[Bairro],mercado1)</f>
        <v>0</v>
      </c>
      <c r="AL310" s="27" t="n">
        <f aca="false">SUMIFS(super1[Qtde],super1[Item],tab_higiene[[#This Row],[Item]],super1[Bairro],mercado2)+SUMIFS(supercb[Qtde],supercb[Item],tab_higiene[[#This Row],[Item]],supercb[Bairro],mercado2)</f>
        <v>0</v>
      </c>
      <c r="AM310" s="27" t="n">
        <f aca="false">SUMIFS(super1[Qtde],super1[Item],tab_higiene[[#This Row],[Item]],super1[Bairro],mercado3)+SUMIFS(supercb[Qtde],supercb[Item],tab_higiene[[#This Row],[Item]],supercb[Bairro],mercado3)</f>
        <v>0</v>
      </c>
      <c r="AN310" s="27" t="n">
        <f aca="false">SUMIFS(super1[Qtde],super1[Item],tab_higiene[[#This Row],[Item]],super1[Bairro],mercado4)+SUMIFS(supercb[Qtde],supercb[Item],tab_higiene[[#This Row],[Item]],supercb[Bairro],mercado4)</f>
        <v>0</v>
      </c>
      <c r="AO310" s="27" t="n">
        <f aca="false">SUMIFS(super1[Qtde],super1[Item],tab_higiene[[#This Row],[Item]],super1[Bairro],mercado5)+SUMIFS(supercb[Qtde],supercb[Item],tab_higiene[[#This Row],[Item]],supercb[Bairro],mercado5)</f>
        <v>0</v>
      </c>
      <c r="AP310" s="27" t="n">
        <f aca="false">SUMIFS(super1[Qtde],super1[Item],tab_higiene[[#This Row],[Item]],super1[Bairro],mercado6)+SUMIFS(supercb[Qtde],supercb[Item],tab_higiene[[#This Row],[Item]],supercb[Bairro],mercado6)</f>
        <v>0</v>
      </c>
      <c r="AQ310" s="27" t="n">
        <f aca="false">SUMIFS(super1[Qtde],super1[Item],tab_higiene[[#This Row],[Item]],super1[Bairro],mercado7)+SUMIFS(supercb[Qtde],supercb[Item],tab_higiene[[#This Row],[Item]],supercb[Bairro],mercado7)</f>
        <v>0</v>
      </c>
      <c r="AR310" s="27" t="n">
        <f aca="false">SUMIFS(super1[Qtde],super1[Item],tab_higiene[[#This Row],[Item]],super1[Bairro],mercado8)+SUMIFS(supercb[Qtde],supercb[Item],tab_higiene[[#This Row],[Item]],supercb[Bairro],mercado8)</f>
        <v>0</v>
      </c>
      <c r="AS310" s="27" t="n">
        <f aca="false">SUMIFS(super1[Qtde],super1[Item],tab_higiene[[#This Row],[Item]],super1[Bairro],mercado9)+SUMIFS(supercb[Qtde],supercb[Item],tab_higiene[[#This Row],[Item]],supercb[Bairro],mercado9)</f>
        <v>0</v>
      </c>
      <c r="AT310" s="27" t="n">
        <f aca="false">SUMIFS(super1[Qtde],super1[Item],tab_higiene[[#This Row],[Item]],super1[Bairro],mercado10)+SUMIFS(supercb[Qtde],supercb[Item],tab_higiene[[#This Row],[Item]],supercb[Bairro],mercado10)</f>
        <v>0</v>
      </c>
      <c r="AU310" s="27" t="n">
        <f aca="false">SUMIFS(super1[Qtde],super1[Item],tab_higiene[[#This Row],[Item]],super1[Bairro],mercado11)+SUMIFS(supercb[Qtde],supercb[Item],tab_higiene[[#This Row],[Item]],supercb[Bairro],mercado11)</f>
        <v>0</v>
      </c>
      <c r="AV310" s="27" t="n">
        <f aca="false">SUMIFS(super1[Qtde],super1[Item],tab_higiene[[#This Row],[Item]],super1[Bairro],mercado12)+SUMIFS(supercb[Qtde],supercb[Item],tab_higiene[[#This Row],[Item]],supercb[Bairro],mercado12)</f>
        <v>0</v>
      </c>
      <c r="AW310" s="27" t="n">
        <f aca="false">SUMIFS(super1[Qtde],super1[Item],tab_higiene[[#This Row],[Item]],super1[Bairro],mercado13)+SUMIFS(supercb[Qtde],supercb[Item],tab_higiene[[#This Row],[Item]],supercb[Bairro],mercado13)</f>
        <v>0</v>
      </c>
      <c r="AX310" s="27" t="n">
        <f aca="false">SUMIFS(super1[Qtde],super1[Item],tab_higiene[[#This Row],[Item]],super1[Bairro],mercado14)+SUMIFS(supercb[Qtde],supercb[Item],tab_higiene[[#This Row],[Item]],supercb[Bairro],mercado14)</f>
        <v>0</v>
      </c>
      <c r="AY310" s="27" t="n">
        <f aca="false">SUMIFS(super1[Qtde],super1[Item],tab_higiene[[#This Row],[Item]],super1[Bairro],mercado15)+SUMIFS(supercb[Qtde],supercb[Item],tab_higiene[[#This Row],[Item]],supercb[Bairro],mercado15)</f>
        <v>0</v>
      </c>
      <c r="AZ310" s="27" t="n">
        <f aca="false">SUMIFS(super1[Qtde],super1[Item],tab_higiene[[#This Row],[Item]],super1[Bairro],mercado16)+SUMIFS(supercb[Qtde],supercb[Item],tab_higiene[[#This Row],[Item]],supercb[Bairro],mercado16)</f>
        <v>0</v>
      </c>
      <c r="BA310" s="27" t="n">
        <f aca="false">SUMIFS(super1[Qtde],super1[Item],tab_higiene[[#This Row],[Item]],super1[Bairro],mercado17)+SUMIFS(supercb[Qtde],supercb[Item],tab_higiene[[#This Row],[Item]],supercb[Bairro],mercado17)</f>
        <v>0</v>
      </c>
      <c r="BB310" s="27" t="n">
        <f aca="false">SUMIFS(super1[Qtde],super1[Item],tab_higiene[[#This Row],[Item]],super1[Bairro],mercado18)+SUMIFS(supercb[Qtde],supercb[Item],tab_higiene[[#This Row],[Item]],supercb[Bairro],mercado18)</f>
        <v>0</v>
      </c>
      <c r="BC310" s="39" t="n">
        <f aca="false">SUMIFS(super1[Qtde],super1[Item],tab_higiene[[#This Row],[Item]],super1[Bairro],extras)+SUMIFS(supercb[Qtde],supercb[Item],tab_higiene[[#This Row],[Item]],supercb[Bairro],extras)</f>
        <v>0</v>
      </c>
      <c r="BD310" s="38" t="n">
        <f aca="false">SUM(AK310:BB310)</f>
        <v>0</v>
      </c>
      <c r="BE310" s="38" t="n">
        <f aca="false">IFERROR(BD310*AJ310,0)</f>
        <v>0</v>
      </c>
      <c r="BF310" s="40" t="n">
        <f aca="false">IFERROR(AI310*BD310,0)</f>
        <v>0</v>
      </c>
    </row>
    <row r="311" customFormat="false" ht="15.75" hidden="false" customHeight="false" outlineLevel="0" collapsed="false">
      <c r="I311" s="26" t="e">
        <f aca="false">alimentos[[#This Row],[Item]]</f>
        <v>#VALUE!</v>
      </c>
      <c r="J311" s="27" t="n">
        <f aca="false">IFERROR(alimentos[[#This Row],[kg/embalagem]],0)</f>
        <v>0</v>
      </c>
      <c r="K311" s="27" t="n">
        <f aca="false">IFERROR(alimentos[[#This Row],[Preço]],0)</f>
        <v>0</v>
      </c>
      <c r="L311" s="27" t="n">
        <f aca="false">SUMIFS(super1[Qtde],super1[Item],tab_alimentos[[#This Row],[Item]],super1[Bairro],mercado1)+SUMIFS(supercb[Qtde],supercb[Item],tab_alimentos[[#This Row],[Item]],supercb[Bairro],mercado1)</f>
        <v>0</v>
      </c>
      <c r="M311" s="27" t="n">
        <f aca="false">SUMIFS(super1[Qtde],super1[Item],tab_alimentos[[#This Row],[Item]],super1[Bairro],mercado2)+SUMIFS(supercb[Qtde],supercb[Item],tab_alimentos[[#This Row],[Item]],supercb[Bairro],mercado2)</f>
        <v>0</v>
      </c>
      <c r="N311" s="27" t="n">
        <f aca="false">SUMIFS(super1[Qtde],super1[Item],tab_alimentos[[#This Row],[Item]],super1[Bairro],mercado3)+SUMIFS(supercb[Qtde],supercb[Item],tab_alimentos[[#This Row],[Item]],supercb[Bairro],mercado3)</f>
        <v>0</v>
      </c>
      <c r="O311" s="27" t="n">
        <f aca="false">SUMIFS(super1[Qtde],super1[Item],tab_alimentos[[#This Row],[Item]],super1[Bairro],mercado4)+SUMIFS(supercb[Qtde],supercb[Item],tab_alimentos[[#This Row],[Item]],supercb[Bairro],mercado4)</f>
        <v>0</v>
      </c>
      <c r="P311" s="27" t="n">
        <f aca="false">SUMIFS(super1[Qtde],super1[Item],tab_alimentos[[#This Row],[Item]],super1[Bairro],mercado5)+SUMIFS(supercb[Qtde],supercb[Item],tab_alimentos[[#This Row],[Item]],supercb[Bairro],mercado5)</f>
        <v>0</v>
      </c>
      <c r="Q311" s="27" t="n">
        <f aca="false">SUMIFS(super1[Qtde],super1[Item],tab_alimentos[[#This Row],[Item]],super1[Bairro],mercado6)+SUMIFS(supercb[Qtde],supercb[Item],tab_alimentos[[#This Row],[Item]],supercb[Bairro],mercado6)</f>
        <v>0</v>
      </c>
      <c r="R311" s="27" t="n">
        <f aca="false">SUMIFS(super1[Qtde],super1[Item],tab_alimentos[[#This Row],[Item]],super1[Bairro],mercado7)+SUMIFS(supercb[Qtde],supercb[Item],tab_alimentos[[#This Row],[Item]],supercb[Bairro],mercado7)</f>
        <v>0</v>
      </c>
      <c r="S311" s="27" t="n">
        <f aca="false">SUMIFS(super1[Qtde],super1[Item],tab_alimentos[[#This Row],[Item]],super1[Bairro],mercado8)+SUMIFS(supercb[Qtde],supercb[Item],tab_alimentos[[#This Row],[Item]],supercb[Bairro],mercado8)</f>
        <v>0</v>
      </c>
      <c r="T311" s="27" t="n">
        <f aca="false">SUMIFS(super1[Qtde],super1[Item],tab_alimentos[[#This Row],[Item]],super1[Bairro],mercado9)+SUMIFS(supercb[Qtde],supercb[Item],tab_alimentos[[#This Row],[Item]],supercb[Bairro],mercado9)</f>
        <v>0</v>
      </c>
      <c r="U311" s="27" t="n">
        <f aca="false">SUMIFS(super1[Qtde],super1[Item],tab_alimentos[[#This Row],[Item]],super1[Bairro],mercado10)+SUMIFS(supercb[Qtde],supercb[Item],tab_alimentos[[#This Row],[Item]],supercb[Bairro],mercado10)</f>
        <v>0</v>
      </c>
      <c r="V311" s="27" t="n">
        <f aca="false">SUMIFS(super1[Qtde],super1[Item],tab_alimentos[[#This Row],[Item]],super1[Bairro],mercado11)+SUMIFS(supercb[Qtde],supercb[Item],tab_alimentos[[#This Row],[Item]],supercb[Bairro],mercado11)</f>
        <v>0</v>
      </c>
      <c r="W311" s="27" t="n">
        <f aca="false">SUMIFS(super1[Qtde],super1[Item],tab_alimentos[[#This Row],[Item]],super1[Bairro],mercado12)+SUMIFS(supercb[Qtde],supercb[Item],tab_alimentos[[#This Row],[Item]],supercb[Bairro],mercado12)</f>
        <v>0</v>
      </c>
      <c r="X311" s="27" t="n">
        <f aca="false">SUMIFS(super1[Qtde],super1[Item],tab_alimentos[[#This Row],[Item]],super1[Bairro],mercado13)+SUMIFS(supercb[Qtde],supercb[Item],tab_alimentos[[#This Row],[Item]],supercb[Bairro],mercado13)</f>
        <v>0</v>
      </c>
      <c r="Y311" s="27" t="n">
        <f aca="false">SUMIFS(super1[Qtde],super1[Item],tab_alimentos[[#This Row],[Item]],super1[Bairro],mercado14)+SUMIFS(supercb[Qtde],supercb[Item],tab_alimentos[[#This Row],[Item]],supercb[Bairro],mercado14)</f>
        <v>0</v>
      </c>
      <c r="Z311" s="27" t="n">
        <f aca="false">SUMIFS(super1[Qtde],super1[Item],tab_alimentos[[#This Row],[Item]],super1[Bairro],mercado15)+SUMIFS(supercb[Qtde],supercb[Item],tab_alimentos[[#This Row],[Item]],supercb[Bairro],mercado15)</f>
        <v>0</v>
      </c>
      <c r="AA311" s="27" t="n">
        <f aca="false">SUMIFS(super1[Qtde],super1[Item],tab_alimentos[[#This Row],[Item]],super1[Bairro],mercado16)+SUMIFS(supercb[Qtde],supercb[Item],tab_alimentos[[#This Row],[Item]],supercb[Bairro],mercado16)</f>
        <v>0</v>
      </c>
      <c r="AB311" s="27" t="n">
        <f aca="false">SUMIFS(super1[Qtde],super1[Item],tab_alimentos[[#This Row],[Item]],super1[Bairro],mercado17)+SUMIFS(supercb[Qtde],supercb[Item],tab_alimentos[[#This Row],[Item]],supercb[Bairro],mercado17)</f>
        <v>0</v>
      </c>
      <c r="AC311" s="27" t="n">
        <f aca="false">SUMIFS(super1[Qtde],super1[Item],tab_alimentos[[#This Row],[Item]],super1[Bairro],mercado18)+SUMIFS(supercb[Qtde],supercb[Item],tab_alimentos[[#This Row],[Item]],supercb[Bairro],mercado18)</f>
        <v>0</v>
      </c>
      <c r="AD311" s="27" t="n">
        <f aca="false">SUMIFS(super1[Qtde],super1[Item],tab_alimentos[[#This Row],[Item]],super1[Bairro],extras)+SUMIFS(supercb[Qtde],supercb[Item],tab_alimentos[[#This Row],[Item]],supercb[Bairro],extras)</f>
        <v>0</v>
      </c>
      <c r="AE311" s="27" t="n">
        <f aca="false">SUM(L311:AC311)</f>
        <v>0</v>
      </c>
      <c r="AF311" s="27" t="n">
        <f aca="false">IFERROR(AE311*K311,0)</f>
        <v>0</v>
      </c>
      <c r="AG311" s="28" t="n">
        <f aca="false">IFERROR(J311*AE311,0)</f>
        <v>0</v>
      </c>
      <c r="AH311" s="37" t="e">
        <f aca="false">higiene[[#This Row],[Item]]</f>
        <v>#VALUE!</v>
      </c>
      <c r="AI311" s="38" t="n">
        <f aca="false">IFERROR(higiene[[#This Row],[Kg equivalente]],0)</f>
        <v>0</v>
      </c>
      <c r="AJ311" s="38" t="n">
        <f aca="false">IFERROR(higiene[[#This Row],[Preço por produto]],0)</f>
        <v>0</v>
      </c>
      <c r="AK311" s="27" t="n">
        <f aca="false">SUMIFS(super1[Qtde],super1[Item],tab_higiene[[#This Row],[Item]],super1[Bairro],mercado1)+SUMIFS(supercb[Qtde],supercb[Item],tab_higiene[[#This Row],[Item]],supercb[Bairro],mercado1)</f>
        <v>0</v>
      </c>
      <c r="AL311" s="27" t="n">
        <f aca="false">SUMIFS(super1[Qtde],super1[Item],tab_higiene[[#This Row],[Item]],super1[Bairro],mercado2)+SUMIFS(supercb[Qtde],supercb[Item],tab_higiene[[#This Row],[Item]],supercb[Bairro],mercado2)</f>
        <v>0</v>
      </c>
      <c r="AM311" s="27" t="n">
        <f aca="false">SUMIFS(super1[Qtde],super1[Item],tab_higiene[[#This Row],[Item]],super1[Bairro],mercado3)+SUMIFS(supercb[Qtde],supercb[Item],tab_higiene[[#This Row],[Item]],supercb[Bairro],mercado3)</f>
        <v>0</v>
      </c>
      <c r="AN311" s="27" t="n">
        <f aca="false">SUMIFS(super1[Qtde],super1[Item],tab_higiene[[#This Row],[Item]],super1[Bairro],mercado4)+SUMIFS(supercb[Qtde],supercb[Item],tab_higiene[[#This Row],[Item]],supercb[Bairro],mercado4)</f>
        <v>0</v>
      </c>
      <c r="AO311" s="27" t="n">
        <f aca="false">SUMIFS(super1[Qtde],super1[Item],tab_higiene[[#This Row],[Item]],super1[Bairro],mercado5)+SUMIFS(supercb[Qtde],supercb[Item],tab_higiene[[#This Row],[Item]],supercb[Bairro],mercado5)</f>
        <v>0</v>
      </c>
      <c r="AP311" s="27" t="n">
        <f aca="false">SUMIFS(super1[Qtde],super1[Item],tab_higiene[[#This Row],[Item]],super1[Bairro],mercado6)+SUMIFS(supercb[Qtde],supercb[Item],tab_higiene[[#This Row],[Item]],supercb[Bairro],mercado6)</f>
        <v>0</v>
      </c>
      <c r="AQ311" s="27" t="n">
        <f aca="false">SUMIFS(super1[Qtde],super1[Item],tab_higiene[[#This Row],[Item]],super1[Bairro],mercado7)+SUMIFS(supercb[Qtde],supercb[Item],tab_higiene[[#This Row],[Item]],supercb[Bairro],mercado7)</f>
        <v>0</v>
      </c>
      <c r="AR311" s="27" t="n">
        <f aca="false">SUMIFS(super1[Qtde],super1[Item],tab_higiene[[#This Row],[Item]],super1[Bairro],mercado8)+SUMIFS(supercb[Qtde],supercb[Item],tab_higiene[[#This Row],[Item]],supercb[Bairro],mercado8)</f>
        <v>0</v>
      </c>
      <c r="AS311" s="27" t="n">
        <f aca="false">SUMIFS(super1[Qtde],super1[Item],tab_higiene[[#This Row],[Item]],super1[Bairro],mercado9)+SUMIFS(supercb[Qtde],supercb[Item],tab_higiene[[#This Row],[Item]],supercb[Bairro],mercado9)</f>
        <v>0</v>
      </c>
      <c r="AT311" s="27" t="n">
        <f aca="false">SUMIFS(super1[Qtde],super1[Item],tab_higiene[[#This Row],[Item]],super1[Bairro],mercado10)+SUMIFS(supercb[Qtde],supercb[Item],tab_higiene[[#This Row],[Item]],supercb[Bairro],mercado10)</f>
        <v>0</v>
      </c>
      <c r="AU311" s="27" t="n">
        <f aca="false">SUMIFS(super1[Qtde],super1[Item],tab_higiene[[#This Row],[Item]],super1[Bairro],mercado11)+SUMIFS(supercb[Qtde],supercb[Item],tab_higiene[[#This Row],[Item]],supercb[Bairro],mercado11)</f>
        <v>0</v>
      </c>
      <c r="AV311" s="27" t="n">
        <f aca="false">SUMIFS(super1[Qtde],super1[Item],tab_higiene[[#This Row],[Item]],super1[Bairro],mercado12)+SUMIFS(supercb[Qtde],supercb[Item],tab_higiene[[#This Row],[Item]],supercb[Bairro],mercado12)</f>
        <v>0</v>
      </c>
      <c r="AW311" s="27" t="n">
        <f aca="false">SUMIFS(super1[Qtde],super1[Item],tab_higiene[[#This Row],[Item]],super1[Bairro],mercado13)+SUMIFS(supercb[Qtde],supercb[Item],tab_higiene[[#This Row],[Item]],supercb[Bairro],mercado13)</f>
        <v>0</v>
      </c>
      <c r="AX311" s="27" t="n">
        <f aca="false">SUMIFS(super1[Qtde],super1[Item],tab_higiene[[#This Row],[Item]],super1[Bairro],mercado14)+SUMIFS(supercb[Qtde],supercb[Item],tab_higiene[[#This Row],[Item]],supercb[Bairro],mercado14)</f>
        <v>0</v>
      </c>
      <c r="AY311" s="27" t="n">
        <f aca="false">SUMIFS(super1[Qtde],super1[Item],tab_higiene[[#This Row],[Item]],super1[Bairro],mercado15)+SUMIFS(supercb[Qtde],supercb[Item],tab_higiene[[#This Row],[Item]],supercb[Bairro],mercado15)</f>
        <v>0</v>
      </c>
      <c r="AZ311" s="27" t="n">
        <f aca="false">SUMIFS(super1[Qtde],super1[Item],tab_higiene[[#This Row],[Item]],super1[Bairro],mercado16)+SUMIFS(supercb[Qtde],supercb[Item],tab_higiene[[#This Row],[Item]],supercb[Bairro],mercado16)</f>
        <v>0</v>
      </c>
      <c r="BA311" s="27" t="n">
        <f aca="false">SUMIFS(super1[Qtde],super1[Item],tab_higiene[[#This Row],[Item]],super1[Bairro],mercado17)+SUMIFS(supercb[Qtde],supercb[Item],tab_higiene[[#This Row],[Item]],supercb[Bairro],mercado17)</f>
        <v>0</v>
      </c>
      <c r="BB311" s="27" t="n">
        <f aca="false">SUMIFS(super1[Qtde],super1[Item],tab_higiene[[#This Row],[Item]],super1[Bairro],mercado18)+SUMIFS(supercb[Qtde],supercb[Item],tab_higiene[[#This Row],[Item]],supercb[Bairro],mercado18)</f>
        <v>0</v>
      </c>
      <c r="BC311" s="39" t="n">
        <f aca="false">SUMIFS(super1[Qtde],super1[Item],tab_higiene[[#This Row],[Item]],super1[Bairro],extras)+SUMIFS(supercb[Qtde],supercb[Item],tab_higiene[[#This Row],[Item]],supercb[Bairro],extras)</f>
        <v>0</v>
      </c>
      <c r="BD311" s="38" t="n">
        <f aca="false">SUM(AK311:BB311)</f>
        <v>0</v>
      </c>
      <c r="BE311" s="38" t="n">
        <f aca="false">IFERROR(BD311*AJ311,0)</f>
        <v>0</v>
      </c>
      <c r="BF311" s="40" t="n">
        <f aca="false">IFERROR(AI311*BD311,0)</f>
        <v>0</v>
      </c>
    </row>
    <row r="312" customFormat="false" ht="15.75" hidden="false" customHeight="false" outlineLevel="0" collapsed="false">
      <c r="I312" s="26" t="e">
        <f aca="false">alimentos[[#This Row],[Item]]</f>
        <v>#VALUE!</v>
      </c>
      <c r="J312" s="27" t="n">
        <f aca="false">IFERROR(alimentos[[#This Row],[kg/embalagem]],0)</f>
        <v>0</v>
      </c>
      <c r="K312" s="27" t="n">
        <f aca="false">IFERROR(alimentos[[#This Row],[Preço]],0)</f>
        <v>0</v>
      </c>
      <c r="L312" s="27" t="n">
        <f aca="false">SUMIFS(super1[Qtde],super1[Item],tab_alimentos[[#This Row],[Item]],super1[Bairro],mercado1)+SUMIFS(supercb[Qtde],supercb[Item],tab_alimentos[[#This Row],[Item]],supercb[Bairro],mercado1)</f>
        <v>0</v>
      </c>
      <c r="M312" s="27" t="n">
        <f aca="false">SUMIFS(super1[Qtde],super1[Item],tab_alimentos[[#This Row],[Item]],super1[Bairro],mercado2)+SUMIFS(supercb[Qtde],supercb[Item],tab_alimentos[[#This Row],[Item]],supercb[Bairro],mercado2)</f>
        <v>0</v>
      </c>
      <c r="N312" s="27" t="n">
        <f aca="false">SUMIFS(super1[Qtde],super1[Item],tab_alimentos[[#This Row],[Item]],super1[Bairro],mercado3)+SUMIFS(supercb[Qtde],supercb[Item],tab_alimentos[[#This Row],[Item]],supercb[Bairro],mercado3)</f>
        <v>0</v>
      </c>
      <c r="O312" s="27" t="n">
        <f aca="false">SUMIFS(super1[Qtde],super1[Item],tab_alimentos[[#This Row],[Item]],super1[Bairro],mercado4)+SUMIFS(supercb[Qtde],supercb[Item],tab_alimentos[[#This Row],[Item]],supercb[Bairro],mercado4)</f>
        <v>0</v>
      </c>
      <c r="P312" s="27" t="n">
        <f aca="false">SUMIFS(super1[Qtde],super1[Item],tab_alimentos[[#This Row],[Item]],super1[Bairro],mercado5)+SUMIFS(supercb[Qtde],supercb[Item],tab_alimentos[[#This Row],[Item]],supercb[Bairro],mercado5)</f>
        <v>0</v>
      </c>
      <c r="Q312" s="27" t="n">
        <f aca="false">SUMIFS(super1[Qtde],super1[Item],tab_alimentos[[#This Row],[Item]],super1[Bairro],mercado6)+SUMIFS(supercb[Qtde],supercb[Item],tab_alimentos[[#This Row],[Item]],supercb[Bairro],mercado6)</f>
        <v>0</v>
      </c>
      <c r="R312" s="27" t="n">
        <f aca="false">SUMIFS(super1[Qtde],super1[Item],tab_alimentos[[#This Row],[Item]],super1[Bairro],mercado7)+SUMIFS(supercb[Qtde],supercb[Item],tab_alimentos[[#This Row],[Item]],supercb[Bairro],mercado7)</f>
        <v>0</v>
      </c>
      <c r="S312" s="27" t="n">
        <f aca="false">SUMIFS(super1[Qtde],super1[Item],tab_alimentos[[#This Row],[Item]],super1[Bairro],mercado8)+SUMIFS(supercb[Qtde],supercb[Item],tab_alimentos[[#This Row],[Item]],supercb[Bairro],mercado8)</f>
        <v>0</v>
      </c>
      <c r="T312" s="27" t="n">
        <f aca="false">SUMIFS(super1[Qtde],super1[Item],tab_alimentos[[#This Row],[Item]],super1[Bairro],mercado9)+SUMIFS(supercb[Qtde],supercb[Item],tab_alimentos[[#This Row],[Item]],supercb[Bairro],mercado9)</f>
        <v>0</v>
      </c>
      <c r="U312" s="27" t="n">
        <f aca="false">SUMIFS(super1[Qtde],super1[Item],tab_alimentos[[#This Row],[Item]],super1[Bairro],mercado10)+SUMIFS(supercb[Qtde],supercb[Item],tab_alimentos[[#This Row],[Item]],supercb[Bairro],mercado10)</f>
        <v>0</v>
      </c>
      <c r="V312" s="27" t="n">
        <f aca="false">SUMIFS(super1[Qtde],super1[Item],tab_alimentos[[#This Row],[Item]],super1[Bairro],mercado11)+SUMIFS(supercb[Qtde],supercb[Item],tab_alimentos[[#This Row],[Item]],supercb[Bairro],mercado11)</f>
        <v>0</v>
      </c>
      <c r="W312" s="27" t="n">
        <f aca="false">SUMIFS(super1[Qtde],super1[Item],tab_alimentos[[#This Row],[Item]],super1[Bairro],mercado12)+SUMIFS(supercb[Qtde],supercb[Item],tab_alimentos[[#This Row],[Item]],supercb[Bairro],mercado12)</f>
        <v>0</v>
      </c>
      <c r="X312" s="27" t="n">
        <f aca="false">SUMIFS(super1[Qtde],super1[Item],tab_alimentos[[#This Row],[Item]],super1[Bairro],mercado13)+SUMIFS(supercb[Qtde],supercb[Item],tab_alimentos[[#This Row],[Item]],supercb[Bairro],mercado13)</f>
        <v>0</v>
      </c>
      <c r="Y312" s="27" t="n">
        <f aca="false">SUMIFS(super1[Qtde],super1[Item],tab_alimentos[[#This Row],[Item]],super1[Bairro],mercado14)+SUMIFS(supercb[Qtde],supercb[Item],tab_alimentos[[#This Row],[Item]],supercb[Bairro],mercado14)</f>
        <v>0</v>
      </c>
      <c r="Z312" s="27" t="n">
        <f aca="false">SUMIFS(super1[Qtde],super1[Item],tab_alimentos[[#This Row],[Item]],super1[Bairro],mercado15)+SUMIFS(supercb[Qtde],supercb[Item],tab_alimentos[[#This Row],[Item]],supercb[Bairro],mercado15)</f>
        <v>0</v>
      </c>
      <c r="AA312" s="27" t="n">
        <f aca="false">SUMIFS(super1[Qtde],super1[Item],tab_alimentos[[#This Row],[Item]],super1[Bairro],mercado16)+SUMIFS(supercb[Qtde],supercb[Item],tab_alimentos[[#This Row],[Item]],supercb[Bairro],mercado16)</f>
        <v>0</v>
      </c>
      <c r="AB312" s="27" t="n">
        <f aca="false">SUMIFS(super1[Qtde],super1[Item],tab_alimentos[[#This Row],[Item]],super1[Bairro],mercado17)+SUMIFS(supercb[Qtde],supercb[Item],tab_alimentos[[#This Row],[Item]],supercb[Bairro],mercado17)</f>
        <v>0</v>
      </c>
      <c r="AC312" s="27" t="n">
        <f aca="false">SUMIFS(super1[Qtde],super1[Item],tab_alimentos[[#This Row],[Item]],super1[Bairro],mercado18)+SUMIFS(supercb[Qtde],supercb[Item],tab_alimentos[[#This Row],[Item]],supercb[Bairro],mercado18)</f>
        <v>0</v>
      </c>
      <c r="AD312" s="27" t="n">
        <f aca="false">SUMIFS(super1[Qtde],super1[Item],tab_alimentos[[#This Row],[Item]],super1[Bairro],extras)+SUMIFS(supercb[Qtde],supercb[Item],tab_alimentos[[#This Row],[Item]],supercb[Bairro],extras)</f>
        <v>0</v>
      </c>
      <c r="AE312" s="27" t="n">
        <f aca="false">SUM(L312:AC312)</f>
        <v>0</v>
      </c>
      <c r="AF312" s="27" t="n">
        <f aca="false">IFERROR(AE312*K312,0)</f>
        <v>0</v>
      </c>
      <c r="AG312" s="28" t="n">
        <f aca="false">IFERROR(J312*AE312,0)</f>
        <v>0</v>
      </c>
      <c r="AH312" s="37" t="e">
        <f aca="false">higiene[[#This Row],[Item]]</f>
        <v>#VALUE!</v>
      </c>
      <c r="AI312" s="38" t="n">
        <f aca="false">IFERROR(higiene[[#This Row],[Kg equivalente]],0)</f>
        <v>0</v>
      </c>
      <c r="AJ312" s="38" t="n">
        <f aca="false">IFERROR(higiene[[#This Row],[Preço por produto]],0)</f>
        <v>0</v>
      </c>
      <c r="AK312" s="27" t="n">
        <f aca="false">SUMIFS(super1[Qtde],super1[Item],tab_higiene[[#This Row],[Item]],super1[Bairro],mercado1)+SUMIFS(supercb[Qtde],supercb[Item],tab_higiene[[#This Row],[Item]],supercb[Bairro],mercado1)</f>
        <v>0</v>
      </c>
      <c r="AL312" s="27" t="n">
        <f aca="false">SUMIFS(super1[Qtde],super1[Item],tab_higiene[[#This Row],[Item]],super1[Bairro],mercado2)+SUMIFS(supercb[Qtde],supercb[Item],tab_higiene[[#This Row],[Item]],supercb[Bairro],mercado2)</f>
        <v>0</v>
      </c>
      <c r="AM312" s="27" t="n">
        <f aca="false">SUMIFS(super1[Qtde],super1[Item],tab_higiene[[#This Row],[Item]],super1[Bairro],mercado3)+SUMIFS(supercb[Qtde],supercb[Item],tab_higiene[[#This Row],[Item]],supercb[Bairro],mercado3)</f>
        <v>0</v>
      </c>
      <c r="AN312" s="27" t="n">
        <f aca="false">SUMIFS(super1[Qtde],super1[Item],tab_higiene[[#This Row],[Item]],super1[Bairro],mercado4)+SUMIFS(supercb[Qtde],supercb[Item],tab_higiene[[#This Row],[Item]],supercb[Bairro],mercado4)</f>
        <v>0</v>
      </c>
      <c r="AO312" s="27" t="n">
        <f aca="false">SUMIFS(super1[Qtde],super1[Item],tab_higiene[[#This Row],[Item]],super1[Bairro],mercado5)+SUMIFS(supercb[Qtde],supercb[Item],tab_higiene[[#This Row],[Item]],supercb[Bairro],mercado5)</f>
        <v>0</v>
      </c>
      <c r="AP312" s="27" t="n">
        <f aca="false">SUMIFS(super1[Qtde],super1[Item],tab_higiene[[#This Row],[Item]],super1[Bairro],mercado6)+SUMIFS(supercb[Qtde],supercb[Item],tab_higiene[[#This Row],[Item]],supercb[Bairro],mercado6)</f>
        <v>0</v>
      </c>
      <c r="AQ312" s="27" t="n">
        <f aca="false">SUMIFS(super1[Qtde],super1[Item],tab_higiene[[#This Row],[Item]],super1[Bairro],mercado7)+SUMIFS(supercb[Qtde],supercb[Item],tab_higiene[[#This Row],[Item]],supercb[Bairro],mercado7)</f>
        <v>0</v>
      </c>
      <c r="AR312" s="27" t="n">
        <f aca="false">SUMIFS(super1[Qtde],super1[Item],tab_higiene[[#This Row],[Item]],super1[Bairro],mercado8)+SUMIFS(supercb[Qtde],supercb[Item],tab_higiene[[#This Row],[Item]],supercb[Bairro],mercado8)</f>
        <v>0</v>
      </c>
      <c r="AS312" s="27" t="n">
        <f aca="false">SUMIFS(super1[Qtde],super1[Item],tab_higiene[[#This Row],[Item]],super1[Bairro],mercado9)+SUMIFS(supercb[Qtde],supercb[Item],tab_higiene[[#This Row],[Item]],supercb[Bairro],mercado9)</f>
        <v>0</v>
      </c>
      <c r="AT312" s="27" t="n">
        <f aca="false">SUMIFS(super1[Qtde],super1[Item],tab_higiene[[#This Row],[Item]],super1[Bairro],mercado10)+SUMIFS(supercb[Qtde],supercb[Item],tab_higiene[[#This Row],[Item]],supercb[Bairro],mercado10)</f>
        <v>0</v>
      </c>
      <c r="AU312" s="27" t="n">
        <f aca="false">SUMIFS(super1[Qtde],super1[Item],tab_higiene[[#This Row],[Item]],super1[Bairro],mercado11)+SUMIFS(supercb[Qtde],supercb[Item],tab_higiene[[#This Row],[Item]],supercb[Bairro],mercado11)</f>
        <v>0</v>
      </c>
      <c r="AV312" s="27" t="n">
        <f aca="false">SUMIFS(super1[Qtde],super1[Item],tab_higiene[[#This Row],[Item]],super1[Bairro],mercado12)+SUMIFS(supercb[Qtde],supercb[Item],tab_higiene[[#This Row],[Item]],supercb[Bairro],mercado12)</f>
        <v>0</v>
      </c>
      <c r="AW312" s="27" t="n">
        <f aca="false">SUMIFS(super1[Qtde],super1[Item],tab_higiene[[#This Row],[Item]],super1[Bairro],mercado13)+SUMIFS(supercb[Qtde],supercb[Item],tab_higiene[[#This Row],[Item]],supercb[Bairro],mercado13)</f>
        <v>0</v>
      </c>
      <c r="AX312" s="27" t="n">
        <f aca="false">SUMIFS(super1[Qtde],super1[Item],tab_higiene[[#This Row],[Item]],super1[Bairro],mercado14)+SUMIFS(supercb[Qtde],supercb[Item],tab_higiene[[#This Row],[Item]],supercb[Bairro],mercado14)</f>
        <v>0</v>
      </c>
      <c r="AY312" s="27" t="n">
        <f aca="false">SUMIFS(super1[Qtde],super1[Item],tab_higiene[[#This Row],[Item]],super1[Bairro],mercado15)+SUMIFS(supercb[Qtde],supercb[Item],tab_higiene[[#This Row],[Item]],supercb[Bairro],mercado15)</f>
        <v>0</v>
      </c>
      <c r="AZ312" s="27" t="n">
        <f aca="false">SUMIFS(super1[Qtde],super1[Item],tab_higiene[[#This Row],[Item]],super1[Bairro],mercado16)+SUMIFS(supercb[Qtde],supercb[Item],tab_higiene[[#This Row],[Item]],supercb[Bairro],mercado16)</f>
        <v>0</v>
      </c>
      <c r="BA312" s="27" t="n">
        <f aca="false">SUMIFS(super1[Qtde],super1[Item],tab_higiene[[#This Row],[Item]],super1[Bairro],mercado17)+SUMIFS(supercb[Qtde],supercb[Item],tab_higiene[[#This Row],[Item]],supercb[Bairro],mercado17)</f>
        <v>0</v>
      </c>
      <c r="BB312" s="27" t="n">
        <f aca="false">SUMIFS(super1[Qtde],super1[Item],tab_higiene[[#This Row],[Item]],super1[Bairro],mercado18)+SUMIFS(supercb[Qtde],supercb[Item],tab_higiene[[#This Row],[Item]],supercb[Bairro],mercado18)</f>
        <v>0</v>
      </c>
      <c r="BC312" s="39" t="n">
        <f aca="false">SUMIFS(super1[Qtde],super1[Item],tab_higiene[[#This Row],[Item]],super1[Bairro],extras)+SUMIFS(supercb[Qtde],supercb[Item],tab_higiene[[#This Row],[Item]],supercb[Bairro],extras)</f>
        <v>0</v>
      </c>
      <c r="BD312" s="38" t="n">
        <f aca="false">SUM(AK312:BB312)</f>
        <v>0</v>
      </c>
      <c r="BE312" s="38" t="n">
        <f aca="false">IFERROR(BD312*AJ312,0)</f>
        <v>0</v>
      </c>
      <c r="BF312" s="40" t="n">
        <f aca="false">IFERROR(AI312*BD312,0)</f>
        <v>0</v>
      </c>
    </row>
    <row r="313" customFormat="false" ht="15.75" hidden="false" customHeight="false" outlineLevel="0" collapsed="false">
      <c r="I313" s="26" t="e">
        <f aca="false">alimentos[[#This Row],[Item]]</f>
        <v>#VALUE!</v>
      </c>
      <c r="J313" s="27" t="n">
        <f aca="false">IFERROR(alimentos[[#This Row],[kg/embalagem]],0)</f>
        <v>0</v>
      </c>
      <c r="K313" s="27" t="n">
        <f aca="false">IFERROR(alimentos[[#This Row],[Preço]],0)</f>
        <v>0</v>
      </c>
      <c r="L313" s="27" t="n">
        <f aca="false">SUMIFS(super1[Qtde],super1[Item],tab_alimentos[[#This Row],[Item]],super1[Bairro],mercado1)+SUMIFS(supercb[Qtde],supercb[Item],tab_alimentos[[#This Row],[Item]],supercb[Bairro],mercado1)</f>
        <v>0</v>
      </c>
      <c r="M313" s="27" t="n">
        <f aca="false">SUMIFS(super1[Qtde],super1[Item],tab_alimentos[[#This Row],[Item]],super1[Bairro],mercado2)+SUMIFS(supercb[Qtde],supercb[Item],tab_alimentos[[#This Row],[Item]],supercb[Bairro],mercado2)</f>
        <v>0</v>
      </c>
      <c r="N313" s="27" t="n">
        <f aca="false">SUMIFS(super1[Qtde],super1[Item],tab_alimentos[[#This Row],[Item]],super1[Bairro],mercado3)+SUMIFS(supercb[Qtde],supercb[Item],tab_alimentos[[#This Row],[Item]],supercb[Bairro],mercado3)</f>
        <v>0</v>
      </c>
      <c r="O313" s="27" t="n">
        <f aca="false">SUMIFS(super1[Qtde],super1[Item],tab_alimentos[[#This Row],[Item]],super1[Bairro],mercado4)+SUMIFS(supercb[Qtde],supercb[Item],tab_alimentos[[#This Row],[Item]],supercb[Bairro],mercado4)</f>
        <v>0</v>
      </c>
      <c r="P313" s="27" t="n">
        <f aca="false">SUMIFS(super1[Qtde],super1[Item],tab_alimentos[[#This Row],[Item]],super1[Bairro],mercado5)+SUMIFS(supercb[Qtde],supercb[Item],tab_alimentos[[#This Row],[Item]],supercb[Bairro],mercado5)</f>
        <v>0</v>
      </c>
      <c r="Q313" s="27" t="n">
        <f aca="false">SUMIFS(super1[Qtde],super1[Item],tab_alimentos[[#This Row],[Item]],super1[Bairro],mercado6)+SUMIFS(supercb[Qtde],supercb[Item],tab_alimentos[[#This Row],[Item]],supercb[Bairro],mercado6)</f>
        <v>0</v>
      </c>
      <c r="R313" s="27" t="n">
        <f aca="false">SUMIFS(super1[Qtde],super1[Item],tab_alimentos[[#This Row],[Item]],super1[Bairro],mercado7)+SUMIFS(supercb[Qtde],supercb[Item],tab_alimentos[[#This Row],[Item]],supercb[Bairro],mercado7)</f>
        <v>0</v>
      </c>
      <c r="S313" s="27" t="n">
        <f aca="false">SUMIFS(super1[Qtde],super1[Item],tab_alimentos[[#This Row],[Item]],super1[Bairro],mercado8)+SUMIFS(supercb[Qtde],supercb[Item],tab_alimentos[[#This Row],[Item]],supercb[Bairro],mercado8)</f>
        <v>0</v>
      </c>
      <c r="T313" s="27" t="n">
        <f aca="false">SUMIFS(super1[Qtde],super1[Item],tab_alimentos[[#This Row],[Item]],super1[Bairro],mercado9)+SUMIFS(supercb[Qtde],supercb[Item],tab_alimentos[[#This Row],[Item]],supercb[Bairro],mercado9)</f>
        <v>0</v>
      </c>
      <c r="U313" s="27" t="n">
        <f aca="false">SUMIFS(super1[Qtde],super1[Item],tab_alimentos[[#This Row],[Item]],super1[Bairro],mercado10)+SUMIFS(supercb[Qtde],supercb[Item],tab_alimentos[[#This Row],[Item]],supercb[Bairro],mercado10)</f>
        <v>0</v>
      </c>
      <c r="V313" s="27" t="n">
        <f aca="false">SUMIFS(super1[Qtde],super1[Item],tab_alimentos[[#This Row],[Item]],super1[Bairro],mercado11)+SUMIFS(supercb[Qtde],supercb[Item],tab_alimentos[[#This Row],[Item]],supercb[Bairro],mercado11)</f>
        <v>0</v>
      </c>
      <c r="W313" s="27" t="n">
        <f aca="false">SUMIFS(super1[Qtde],super1[Item],tab_alimentos[[#This Row],[Item]],super1[Bairro],mercado12)+SUMIFS(supercb[Qtde],supercb[Item],tab_alimentos[[#This Row],[Item]],supercb[Bairro],mercado12)</f>
        <v>0</v>
      </c>
      <c r="X313" s="27" t="n">
        <f aca="false">SUMIFS(super1[Qtde],super1[Item],tab_alimentos[[#This Row],[Item]],super1[Bairro],mercado13)+SUMIFS(supercb[Qtde],supercb[Item],tab_alimentos[[#This Row],[Item]],supercb[Bairro],mercado13)</f>
        <v>0</v>
      </c>
      <c r="Y313" s="27" t="n">
        <f aca="false">SUMIFS(super1[Qtde],super1[Item],tab_alimentos[[#This Row],[Item]],super1[Bairro],mercado14)+SUMIFS(supercb[Qtde],supercb[Item],tab_alimentos[[#This Row],[Item]],supercb[Bairro],mercado14)</f>
        <v>0</v>
      </c>
      <c r="Z313" s="27" t="n">
        <f aca="false">SUMIFS(super1[Qtde],super1[Item],tab_alimentos[[#This Row],[Item]],super1[Bairro],mercado15)+SUMIFS(supercb[Qtde],supercb[Item],tab_alimentos[[#This Row],[Item]],supercb[Bairro],mercado15)</f>
        <v>0</v>
      </c>
      <c r="AA313" s="27" t="n">
        <f aca="false">SUMIFS(super1[Qtde],super1[Item],tab_alimentos[[#This Row],[Item]],super1[Bairro],mercado16)+SUMIFS(supercb[Qtde],supercb[Item],tab_alimentos[[#This Row],[Item]],supercb[Bairro],mercado16)</f>
        <v>0</v>
      </c>
      <c r="AB313" s="27" t="n">
        <f aca="false">SUMIFS(super1[Qtde],super1[Item],tab_alimentos[[#This Row],[Item]],super1[Bairro],mercado17)+SUMIFS(supercb[Qtde],supercb[Item],tab_alimentos[[#This Row],[Item]],supercb[Bairro],mercado17)</f>
        <v>0</v>
      </c>
      <c r="AC313" s="27" t="n">
        <f aca="false">SUMIFS(super1[Qtde],super1[Item],tab_alimentos[[#This Row],[Item]],super1[Bairro],mercado18)+SUMIFS(supercb[Qtde],supercb[Item],tab_alimentos[[#This Row],[Item]],supercb[Bairro],mercado18)</f>
        <v>0</v>
      </c>
      <c r="AD313" s="27" t="n">
        <f aca="false">SUMIFS(super1[Qtde],super1[Item],tab_alimentos[[#This Row],[Item]],super1[Bairro],extras)+SUMIFS(supercb[Qtde],supercb[Item],tab_alimentos[[#This Row],[Item]],supercb[Bairro],extras)</f>
        <v>0</v>
      </c>
      <c r="AE313" s="27" t="n">
        <f aca="false">SUM(L313:AC313)</f>
        <v>0</v>
      </c>
      <c r="AF313" s="27" t="n">
        <f aca="false">IFERROR(AE313*K313,0)</f>
        <v>0</v>
      </c>
      <c r="AG313" s="28" t="n">
        <f aca="false">IFERROR(J313*AE313,0)</f>
        <v>0</v>
      </c>
      <c r="AH313" s="37" t="e">
        <f aca="false">higiene[[#This Row],[Item]]</f>
        <v>#VALUE!</v>
      </c>
      <c r="AI313" s="38" t="n">
        <f aca="false">IFERROR(higiene[[#This Row],[Kg equivalente]],0)</f>
        <v>0</v>
      </c>
      <c r="AJ313" s="38" t="n">
        <f aca="false">IFERROR(higiene[[#This Row],[Preço por produto]],0)</f>
        <v>0</v>
      </c>
      <c r="AK313" s="27" t="n">
        <f aca="false">SUMIFS(super1[Qtde],super1[Item],tab_higiene[[#This Row],[Item]],super1[Bairro],mercado1)+SUMIFS(supercb[Qtde],supercb[Item],tab_higiene[[#This Row],[Item]],supercb[Bairro],mercado1)</f>
        <v>0</v>
      </c>
      <c r="AL313" s="27" t="n">
        <f aca="false">SUMIFS(super1[Qtde],super1[Item],tab_higiene[[#This Row],[Item]],super1[Bairro],mercado2)+SUMIFS(supercb[Qtde],supercb[Item],tab_higiene[[#This Row],[Item]],supercb[Bairro],mercado2)</f>
        <v>0</v>
      </c>
      <c r="AM313" s="27" t="n">
        <f aca="false">SUMIFS(super1[Qtde],super1[Item],tab_higiene[[#This Row],[Item]],super1[Bairro],mercado3)+SUMIFS(supercb[Qtde],supercb[Item],tab_higiene[[#This Row],[Item]],supercb[Bairro],mercado3)</f>
        <v>0</v>
      </c>
      <c r="AN313" s="27" t="n">
        <f aca="false">SUMIFS(super1[Qtde],super1[Item],tab_higiene[[#This Row],[Item]],super1[Bairro],mercado4)+SUMIFS(supercb[Qtde],supercb[Item],tab_higiene[[#This Row],[Item]],supercb[Bairro],mercado4)</f>
        <v>0</v>
      </c>
      <c r="AO313" s="27" t="n">
        <f aca="false">SUMIFS(super1[Qtde],super1[Item],tab_higiene[[#This Row],[Item]],super1[Bairro],mercado5)+SUMIFS(supercb[Qtde],supercb[Item],tab_higiene[[#This Row],[Item]],supercb[Bairro],mercado5)</f>
        <v>0</v>
      </c>
      <c r="AP313" s="27" t="n">
        <f aca="false">SUMIFS(super1[Qtde],super1[Item],tab_higiene[[#This Row],[Item]],super1[Bairro],mercado6)+SUMIFS(supercb[Qtde],supercb[Item],tab_higiene[[#This Row],[Item]],supercb[Bairro],mercado6)</f>
        <v>0</v>
      </c>
      <c r="AQ313" s="27" t="n">
        <f aca="false">SUMIFS(super1[Qtde],super1[Item],tab_higiene[[#This Row],[Item]],super1[Bairro],mercado7)+SUMIFS(supercb[Qtde],supercb[Item],tab_higiene[[#This Row],[Item]],supercb[Bairro],mercado7)</f>
        <v>0</v>
      </c>
      <c r="AR313" s="27" t="n">
        <f aca="false">SUMIFS(super1[Qtde],super1[Item],tab_higiene[[#This Row],[Item]],super1[Bairro],mercado8)+SUMIFS(supercb[Qtde],supercb[Item],tab_higiene[[#This Row],[Item]],supercb[Bairro],mercado8)</f>
        <v>0</v>
      </c>
      <c r="AS313" s="27" t="n">
        <f aca="false">SUMIFS(super1[Qtde],super1[Item],tab_higiene[[#This Row],[Item]],super1[Bairro],mercado9)+SUMIFS(supercb[Qtde],supercb[Item],tab_higiene[[#This Row],[Item]],supercb[Bairro],mercado9)</f>
        <v>0</v>
      </c>
      <c r="AT313" s="27" t="n">
        <f aca="false">SUMIFS(super1[Qtde],super1[Item],tab_higiene[[#This Row],[Item]],super1[Bairro],mercado10)+SUMIFS(supercb[Qtde],supercb[Item],tab_higiene[[#This Row],[Item]],supercb[Bairro],mercado10)</f>
        <v>0</v>
      </c>
      <c r="AU313" s="27" t="n">
        <f aca="false">SUMIFS(super1[Qtde],super1[Item],tab_higiene[[#This Row],[Item]],super1[Bairro],mercado11)+SUMIFS(supercb[Qtde],supercb[Item],tab_higiene[[#This Row],[Item]],supercb[Bairro],mercado11)</f>
        <v>0</v>
      </c>
      <c r="AV313" s="27" t="n">
        <f aca="false">SUMIFS(super1[Qtde],super1[Item],tab_higiene[[#This Row],[Item]],super1[Bairro],mercado12)+SUMIFS(supercb[Qtde],supercb[Item],tab_higiene[[#This Row],[Item]],supercb[Bairro],mercado12)</f>
        <v>0</v>
      </c>
      <c r="AW313" s="27" t="n">
        <f aca="false">SUMIFS(super1[Qtde],super1[Item],tab_higiene[[#This Row],[Item]],super1[Bairro],mercado13)+SUMIFS(supercb[Qtde],supercb[Item],tab_higiene[[#This Row],[Item]],supercb[Bairro],mercado13)</f>
        <v>0</v>
      </c>
      <c r="AX313" s="27" t="n">
        <f aca="false">SUMIFS(super1[Qtde],super1[Item],tab_higiene[[#This Row],[Item]],super1[Bairro],mercado14)+SUMIFS(supercb[Qtde],supercb[Item],tab_higiene[[#This Row],[Item]],supercb[Bairro],mercado14)</f>
        <v>0</v>
      </c>
      <c r="AY313" s="27" t="n">
        <f aca="false">SUMIFS(super1[Qtde],super1[Item],tab_higiene[[#This Row],[Item]],super1[Bairro],mercado15)+SUMIFS(supercb[Qtde],supercb[Item],tab_higiene[[#This Row],[Item]],supercb[Bairro],mercado15)</f>
        <v>0</v>
      </c>
      <c r="AZ313" s="27" t="n">
        <f aca="false">SUMIFS(super1[Qtde],super1[Item],tab_higiene[[#This Row],[Item]],super1[Bairro],mercado16)+SUMIFS(supercb[Qtde],supercb[Item],tab_higiene[[#This Row],[Item]],supercb[Bairro],mercado16)</f>
        <v>0</v>
      </c>
      <c r="BA313" s="27" t="n">
        <f aca="false">SUMIFS(super1[Qtde],super1[Item],tab_higiene[[#This Row],[Item]],super1[Bairro],mercado17)+SUMIFS(supercb[Qtde],supercb[Item],tab_higiene[[#This Row],[Item]],supercb[Bairro],mercado17)</f>
        <v>0</v>
      </c>
      <c r="BB313" s="27" t="n">
        <f aca="false">SUMIFS(super1[Qtde],super1[Item],tab_higiene[[#This Row],[Item]],super1[Bairro],mercado18)+SUMIFS(supercb[Qtde],supercb[Item],tab_higiene[[#This Row],[Item]],supercb[Bairro],mercado18)</f>
        <v>0</v>
      </c>
      <c r="BC313" s="39" t="n">
        <f aca="false">SUMIFS(super1[Qtde],super1[Item],tab_higiene[[#This Row],[Item]],super1[Bairro],extras)+SUMIFS(supercb[Qtde],supercb[Item],tab_higiene[[#This Row],[Item]],supercb[Bairro],extras)</f>
        <v>0</v>
      </c>
      <c r="BD313" s="38" t="n">
        <f aca="false">SUM(AK313:BB313)</f>
        <v>0</v>
      </c>
      <c r="BE313" s="38" t="n">
        <f aca="false">IFERROR(BD313*AJ313,0)</f>
        <v>0</v>
      </c>
      <c r="BF313" s="40" t="n">
        <f aca="false">IFERROR(AI313*BD313,0)</f>
        <v>0</v>
      </c>
    </row>
    <row r="314" customFormat="false" ht="15.75" hidden="false" customHeight="false" outlineLevel="0" collapsed="false">
      <c r="I314" s="26" t="e">
        <f aca="false">alimentos[[#This Row],[Item]]</f>
        <v>#VALUE!</v>
      </c>
      <c r="J314" s="27" t="n">
        <f aca="false">IFERROR(alimentos[[#This Row],[kg/embalagem]],0)</f>
        <v>0</v>
      </c>
      <c r="K314" s="27" t="n">
        <f aca="false">IFERROR(alimentos[[#This Row],[Preço]],0)</f>
        <v>0</v>
      </c>
      <c r="L314" s="27" t="n">
        <f aca="false">SUMIFS(super1[Qtde],super1[Item],tab_alimentos[[#This Row],[Item]],super1[Bairro],mercado1)+SUMIFS(supercb[Qtde],supercb[Item],tab_alimentos[[#This Row],[Item]],supercb[Bairro],mercado1)</f>
        <v>0</v>
      </c>
      <c r="M314" s="27" t="n">
        <f aca="false">SUMIFS(super1[Qtde],super1[Item],tab_alimentos[[#This Row],[Item]],super1[Bairro],mercado2)+SUMIFS(supercb[Qtde],supercb[Item],tab_alimentos[[#This Row],[Item]],supercb[Bairro],mercado2)</f>
        <v>0</v>
      </c>
      <c r="N314" s="27" t="n">
        <f aca="false">SUMIFS(super1[Qtde],super1[Item],tab_alimentos[[#This Row],[Item]],super1[Bairro],mercado3)+SUMIFS(supercb[Qtde],supercb[Item],tab_alimentos[[#This Row],[Item]],supercb[Bairro],mercado3)</f>
        <v>0</v>
      </c>
      <c r="O314" s="27" t="n">
        <f aca="false">SUMIFS(super1[Qtde],super1[Item],tab_alimentos[[#This Row],[Item]],super1[Bairro],mercado4)+SUMIFS(supercb[Qtde],supercb[Item],tab_alimentos[[#This Row],[Item]],supercb[Bairro],mercado4)</f>
        <v>0</v>
      </c>
      <c r="P314" s="27" t="n">
        <f aca="false">SUMIFS(super1[Qtde],super1[Item],tab_alimentos[[#This Row],[Item]],super1[Bairro],mercado5)+SUMIFS(supercb[Qtde],supercb[Item],tab_alimentos[[#This Row],[Item]],supercb[Bairro],mercado5)</f>
        <v>0</v>
      </c>
      <c r="Q314" s="27" t="n">
        <f aca="false">SUMIFS(super1[Qtde],super1[Item],tab_alimentos[[#This Row],[Item]],super1[Bairro],mercado6)+SUMIFS(supercb[Qtde],supercb[Item],tab_alimentos[[#This Row],[Item]],supercb[Bairro],mercado6)</f>
        <v>0</v>
      </c>
      <c r="R314" s="27" t="n">
        <f aca="false">SUMIFS(super1[Qtde],super1[Item],tab_alimentos[[#This Row],[Item]],super1[Bairro],mercado7)+SUMIFS(supercb[Qtde],supercb[Item],tab_alimentos[[#This Row],[Item]],supercb[Bairro],mercado7)</f>
        <v>0</v>
      </c>
      <c r="S314" s="27" t="n">
        <f aca="false">SUMIFS(super1[Qtde],super1[Item],tab_alimentos[[#This Row],[Item]],super1[Bairro],mercado8)+SUMIFS(supercb[Qtde],supercb[Item],tab_alimentos[[#This Row],[Item]],supercb[Bairro],mercado8)</f>
        <v>0</v>
      </c>
      <c r="T314" s="27" t="n">
        <f aca="false">SUMIFS(super1[Qtde],super1[Item],tab_alimentos[[#This Row],[Item]],super1[Bairro],mercado9)+SUMIFS(supercb[Qtde],supercb[Item],tab_alimentos[[#This Row],[Item]],supercb[Bairro],mercado9)</f>
        <v>0</v>
      </c>
      <c r="U314" s="27" t="n">
        <f aca="false">SUMIFS(super1[Qtde],super1[Item],tab_alimentos[[#This Row],[Item]],super1[Bairro],mercado10)+SUMIFS(supercb[Qtde],supercb[Item],tab_alimentos[[#This Row],[Item]],supercb[Bairro],mercado10)</f>
        <v>0</v>
      </c>
      <c r="V314" s="27" t="n">
        <f aca="false">SUMIFS(super1[Qtde],super1[Item],tab_alimentos[[#This Row],[Item]],super1[Bairro],mercado11)+SUMIFS(supercb[Qtde],supercb[Item],tab_alimentos[[#This Row],[Item]],supercb[Bairro],mercado11)</f>
        <v>0</v>
      </c>
      <c r="W314" s="27" t="n">
        <f aca="false">SUMIFS(super1[Qtde],super1[Item],tab_alimentos[[#This Row],[Item]],super1[Bairro],mercado12)+SUMIFS(supercb[Qtde],supercb[Item],tab_alimentos[[#This Row],[Item]],supercb[Bairro],mercado12)</f>
        <v>0</v>
      </c>
      <c r="X314" s="27" t="n">
        <f aca="false">SUMIFS(super1[Qtde],super1[Item],tab_alimentos[[#This Row],[Item]],super1[Bairro],mercado13)+SUMIFS(supercb[Qtde],supercb[Item],tab_alimentos[[#This Row],[Item]],supercb[Bairro],mercado13)</f>
        <v>0</v>
      </c>
      <c r="Y314" s="27" t="n">
        <f aca="false">SUMIFS(super1[Qtde],super1[Item],tab_alimentos[[#This Row],[Item]],super1[Bairro],mercado14)+SUMIFS(supercb[Qtde],supercb[Item],tab_alimentos[[#This Row],[Item]],supercb[Bairro],mercado14)</f>
        <v>0</v>
      </c>
      <c r="Z314" s="27" t="n">
        <f aca="false">SUMIFS(super1[Qtde],super1[Item],tab_alimentos[[#This Row],[Item]],super1[Bairro],mercado15)+SUMIFS(supercb[Qtde],supercb[Item],tab_alimentos[[#This Row],[Item]],supercb[Bairro],mercado15)</f>
        <v>0</v>
      </c>
      <c r="AA314" s="27" t="n">
        <f aca="false">SUMIFS(super1[Qtde],super1[Item],tab_alimentos[[#This Row],[Item]],super1[Bairro],mercado16)+SUMIFS(supercb[Qtde],supercb[Item],tab_alimentos[[#This Row],[Item]],supercb[Bairro],mercado16)</f>
        <v>0</v>
      </c>
      <c r="AB314" s="27" t="n">
        <f aca="false">SUMIFS(super1[Qtde],super1[Item],tab_alimentos[[#This Row],[Item]],super1[Bairro],mercado17)+SUMIFS(supercb[Qtde],supercb[Item],tab_alimentos[[#This Row],[Item]],supercb[Bairro],mercado17)</f>
        <v>0</v>
      </c>
      <c r="AC314" s="27" t="n">
        <f aca="false">SUMIFS(super1[Qtde],super1[Item],tab_alimentos[[#This Row],[Item]],super1[Bairro],mercado18)+SUMIFS(supercb[Qtde],supercb[Item],tab_alimentos[[#This Row],[Item]],supercb[Bairro],mercado18)</f>
        <v>0</v>
      </c>
      <c r="AD314" s="27" t="n">
        <f aca="false">SUMIFS(super1[Qtde],super1[Item],tab_alimentos[[#This Row],[Item]],super1[Bairro],extras)+SUMIFS(supercb[Qtde],supercb[Item],tab_alimentos[[#This Row],[Item]],supercb[Bairro],extras)</f>
        <v>0</v>
      </c>
      <c r="AE314" s="27" t="n">
        <f aca="false">SUM(L314:AC314)</f>
        <v>0</v>
      </c>
      <c r="AF314" s="27" t="n">
        <f aca="false">IFERROR(AE314*K314,0)</f>
        <v>0</v>
      </c>
      <c r="AG314" s="28" t="n">
        <f aca="false">IFERROR(J314*AE314,0)</f>
        <v>0</v>
      </c>
      <c r="AH314" s="37" t="e">
        <f aca="false">higiene[[#This Row],[Item]]</f>
        <v>#VALUE!</v>
      </c>
      <c r="AI314" s="38" t="n">
        <f aca="false">IFERROR(higiene[[#This Row],[Kg equivalente]],0)</f>
        <v>0</v>
      </c>
      <c r="AJ314" s="38" t="n">
        <f aca="false">IFERROR(higiene[[#This Row],[Preço por produto]],0)</f>
        <v>0</v>
      </c>
      <c r="AK314" s="27" t="n">
        <f aca="false">SUMIFS(super1[Qtde],super1[Item],tab_higiene[[#This Row],[Item]],super1[Bairro],mercado1)+SUMIFS(supercb[Qtde],supercb[Item],tab_higiene[[#This Row],[Item]],supercb[Bairro],mercado1)</f>
        <v>0</v>
      </c>
      <c r="AL314" s="27" t="n">
        <f aca="false">SUMIFS(super1[Qtde],super1[Item],tab_higiene[[#This Row],[Item]],super1[Bairro],mercado2)+SUMIFS(supercb[Qtde],supercb[Item],tab_higiene[[#This Row],[Item]],supercb[Bairro],mercado2)</f>
        <v>0</v>
      </c>
      <c r="AM314" s="27" t="n">
        <f aca="false">SUMIFS(super1[Qtde],super1[Item],tab_higiene[[#This Row],[Item]],super1[Bairro],mercado3)+SUMIFS(supercb[Qtde],supercb[Item],tab_higiene[[#This Row],[Item]],supercb[Bairro],mercado3)</f>
        <v>0</v>
      </c>
      <c r="AN314" s="27" t="n">
        <f aca="false">SUMIFS(super1[Qtde],super1[Item],tab_higiene[[#This Row],[Item]],super1[Bairro],mercado4)+SUMIFS(supercb[Qtde],supercb[Item],tab_higiene[[#This Row],[Item]],supercb[Bairro],mercado4)</f>
        <v>0</v>
      </c>
      <c r="AO314" s="27" t="n">
        <f aca="false">SUMIFS(super1[Qtde],super1[Item],tab_higiene[[#This Row],[Item]],super1[Bairro],mercado5)+SUMIFS(supercb[Qtde],supercb[Item],tab_higiene[[#This Row],[Item]],supercb[Bairro],mercado5)</f>
        <v>0</v>
      </c>
      <c r="AP314" s="27" t="n">
        <f aca="false">SUMIFS(super1[Qtde],super1[Item],tab_higiene[[#This Row],[Item]],super1[Bairro],mercado6)+SUMIFS(supercb[Qtde],supercb[Item],tab_higiene[[#This Row],[Item]],supercb[Bairro],mercado6)</f>
        <v>0</v>
      </c>
      <c r="AQ314" s="27" t="n">
        <f aca="false">SUMIFS(super1[Qtde],super1[Item],tab_higiene[[#This Row],[Item]],super1[Bairro],mercado7)+SUMIFS(supercb[Qtde],supercb[Item],tab_higiene[[#This Row],[Item]],supercb[Bairro],mercado7)</f>
        <v>0</v>
      </c>
      <c r="AR314" s="27" t="n">
        <f aca="false">SUMIFS(super1[Qtde],super1[Item],tab_higiene[[#This Row],[Item]],super1[Bairro],mercado8)+SUMIFS(supercb[Qtde],supercb[Item],tab_higiene[[#This Row],[Item]],supercb[Bairro],mercado8)</f>
        <v>0</v>
      </c>
      <c r="AS314" s="27" t="n">
        <f aca="false">SUMIFS(super1[Qtde],super1[Item],tab_higiene[[#This Row],[Item]],super1[Bairro],mercado9)+SUMIFS(supercb[Qtde],supercb[Item],tab_higiene[[#This Row],[Item]],supercb[Bairro],mercado9)</f>
        <v>0</v>
      </c>
      <c r="AT314" s="27" t="n">
        <f aca="false">SUMIFS(super1[Qtde],super1[Item],tab_higiene[[#This Row],[Item]],super1[Bairro],mercado10)+SUMIFS(supercb[Qtde],supercb[Item],tab_higiene[[#This Row],[Item]],supercb[Bairro],mercado10)</f>
        <v>0</v>
      </c>
      <c r="AU314" s="27" t="n">
        <f aca="false">SUMIFS(super1[Qtde],super1[Item],tab_higiene[[#This Row],[Item]],super1[Bairro],mercado11)+SUMIFS(supercb[Qtde],supercb[Item],tab_higiene[[#This Row],[Item]],supercb[Bairro],mercado11)</f>
        <v>0</v>
      </c>
      <c r="AV314" s="27" t="n">
        <f aca="false">SUMIFS(super1[Qtde],super1[Item],tab_higiene[[#This Row],[Item]],super1[Bairro],mercado12)+SUMIFS(supercb[Qtde],supercb[Item],tab_higiene[[#This Row],[Item]],supercb[Bairro],mercado12)</f>
        <v>0</v>
      </c>
      <c r="AW314" s="27" t="n">
        <f aca="false">SUMIFS(super1[Qtde],super1[Item],tab_higiene[[#This Row],[Item]],super1[Bairro],mercado13)+SUMIFS(supercb[Qtde],supercb[Item],tab_higiene[[#This Row],[Item]],supercb[Bairro],mercado13)</f>
        <v>0</v>
      </c>
      <c r="AX314" s="27" t="n">
        <f aca="false">SUMIFS(super1[Qtde],super1[Item],tab_higiene[[#This Row],[Item]],super1[Bairro],mercado14)+SUMIFS(supercb[Qtde],supercb[Item],tab_higiene[[#This Row],[Item]],supercb[Bairro],mercado14)</f>
        <v>0</v>
      </c>
      <c r="AY314" s="27" t="n">
        <f aca="false">SUMIFS(super1[Qtde],super1[Item],tab_higiene[[#This Row],[Item]],super1[Bairro],mercado15)+SUMIFS(supercb[Qtde],supercb[Item],tab_higiene[[#This Row],[Item]],supercb[Bairro],mercado15)</f>
        <v>0</v>
      </c>
      <c r="AZ314" s="27" t="n">
        <f aca="false">SUMIFS(super1[Qtde],super1[Item],tab_higiene[[#This Row],[Item]],super1[Bairro],mercado16)+SUMIFS(supercb[Qtde],supercb[Item],tab_higiene[[#This Row],[Item]],supercb[Bairro],mercado16)</f>
        <v>0</v>
      </c>
      <c r="BA314" s="27" t="n">
        <f aca="false">SUMIFS(super1[Qtde],super1[Item],tab_higiene[[#This Row],[Item]],super1[Bairro],mercado17)+SUMIFS(supercb[Qtde],supercb[Item],tab_higiene[[#This Row],[Item]],supercb[Bairro],mercado17)</f>
        <v>0</v>
      </c>
      <c r="BB314" s="27" t="n">
        <f aca="false">SUMIFS(super1[Qtde],super1[Item],tab_higiene[[#This Row],[Item]],super1[Bairro],mercado18)+SUMIFS(supercb[Qtde],supercb[Item],tab_higiene[[#This Row],[Item]],supercb[Bairro],mercado18)</f>
        <v>0</v>
      </c>
      <c r="BC314" s="39" t="n">
        <f aca="false">SUMIFS(super1[Qtde],super1[Item],tab_higiene[[#This Row],[Item]],super1[Bairro],extras)+SUMIFS(supercb[Qtde],supercb[Item],tab_higiene[[#This Row],[Item]],supercb[Bairro],extras)</f>
        <v>0</v>
      </c>
      <c r="BD314" s="38" t="n">
        <f aca="false">SUM(AK314:BB314)</f>
        <v>0</v>
      </c>
      <c r="BE314" s="38" t="n">
        <f aca="false">IFERROR(BD314*AJ314,0)</f>
        <v>0</v>
      </c>
      <c r="BF314" s="40" t="n">
        <f aca="false">IFERROR(AI314*BD314,0)</f>
        <v>0</v>
      </c>
    </row>
    <row r="315" customFormat="false" ht="15.75" hidden="false" customHeight="false" outlineLevel="0" collapsed="false">
      <c r="I315" s="26" t="e">
        <f aca="false">alimentos[[#This Row],[Item]]</f>
        <v>#VALUE!</v>
      </c>
      <c r="J315" s="27" t="n">
        <f aca="false">IFERROR(alimentos[[#This Row],[kg/embalagem]],0)</f>
        <v>0</v>
      </c>
      <c r="K315" s="27" t="n">
        <f aca="false">IFERROR(alimentos[[#This Row],[Preço]],0)</f>
        <v>0</v>
      </c>
      <c r="L315" s="27" t="n">
        <f aca="false">SUMIFS(super1[Qtde],super1[Item],tab_alimentos[[#This Row],[Item]],super1[Bairro],mercado1)+SUMIFS(supercb[Qtde],supercb[Item],tab_alimentos[[#This Row],[Item]],supercb[Bairro],mercado1)</f>
        <v>0</v>
      </c>
      <c r="M315" s="27" t="n">
        <f aca="false">SUMIFS(super1[Qtde],super1[Item],tab_alimentos[[#This Row],[Item]],super1[Bairro],mercado2)+SUMIFS(supercb[Qtde],supercb[Item],tab_alimentos[[#This Row],[Item]],supercb[Bairro],mercado2)</f>
        <v>0</v>
      </c>
      <c r="N315" s="27" t="n">
        <f aca="false">SUMIFS(super1[Qtde],super1[Item],tab_alimentos[[#This Row],[Item]],super1[Bairro],mercado3)+SUMIFS(supercb[Qtde],supercb[Item],tab_alimentos[[#This Row],[Item]],supercb[Bairro],mercado3)</f>
        <v>0</v>
      </c>
      <c r="O315" s="27" t="n">
        <f aca="false">SUMIFS(super1[Qtde],super1[Item],tab_alimentos[[#This Row],[Item]],super1[Bairro],mercado4)+SUMIFS(supercb[Qtde],supercb[Item],tab_alimentos[[#This Row],[Item]],supercb[Bairro],mercado4)</f>
        <v>0</v>
      </c>
      <c r="P315" s="27" t="n">
        <f aca="false">SUMIFS(super1[Qtde],super1[Item],tab_alimentos[[#This Row],[Item]],super1[Bairro],mercado5)+SUMIFS(supercb[Qtde],supercb[Item],tab_alimentos[[#This Row],[Item]],supercb[Bairro],mercado5)</f>
        <v>0</v>
      </c>
      <c r="Q315" s="27" t="n">
        <f aca="false">SUMIFS(super1[Qtde],super1[Item],tab_alimentos[[#This Row],[Item]],super1[Bairro],mercado6)+SUMIFS(supercb[Qtde],supercb[Item],tab_alimentos[[#This Row],[Item]],supercb[Bairro],mercado6)</f>
        <v>0</v>
      </c>
      <c r="R315" s="27" t="n">
        <f aca="false">SUMIFS(super1[Qtde],super1[Item],tab_alimentos[[#This Row],[Item]],super1[Bairro],mercado7)+SUMIFS(supercb[Qtde],supercb[Item],tab_alimentos[[#This Row],[Item]],supercb[Bairro],mercado7)</f>
        <v>0</v>
      </c>
      <c r="S315" s="27" t="n">
        <f aca="false">SUMIFS(super1[Qtde],super1[Item],tab_alimentos[[#This Row],[Item]],super1[Bairro],mercado8)+SUMIFS(supercb[Qtde],supercb[Item],tab_alimentos[[#This Row],[Item]],supercb[Bairro],mercado8)</f>
        <v>0</v>
      </c>
      <c r="T315" s="27" t="n">
        <f aca="false">SUMIFS(super1[Qtde],super1[Item],tab_alimentos[[#This Row],[Item]],super1[Bairro],mercado9)+SUMIFS(supercb[Qtde],supercb[Item],tab_alimentos[[#This Row],[Item]],supercb[Bairro],mercado9)</f>
        <v>0</v>
      </c>
      <c r="U315" s="27" t="n">
        <f aca="false">SUMIFS(super1[Qtde],super1[Item],tab_alimentos[[#This Row],[Item]],super1[Bairro],mercado10)+SUMIFS(supercb[Qtde],supercb[Item],tab_alimentos[[#This Row],[Item]],supercb[Bairro],mercado10)</f>
        <v>0</v>
      </c>
      <c r="V315" s="27" t="n">
        <f aca="false">SUMIFS(super1[Qtde],super1[Item],tab_alimentos[[#This Row],[Item]],super1[Bairro],mercado11)+SUMIFS(supercb[Qtde],supercb[Item],tab_alimentos[[#This Row],[Item]],supercb[Bairro],mercado11)</f>
        <v>0</v>
      </c>
      <c r="W315" s="27" t="n">
        <f aca="false">SUMIFS(super1[Qtde],super1[Item],tab_alimentos[[#This Row],[Item]],super1[Bairro],mercado12)+SUMIFS(supercb[Qtde],supercb[Item],tab_alimentos[[#This Row],[Item]],supercb[Bairro],mercado12)</f>
        <v>0</v>
      </c>
      <c r="X315" s="27" t="n">
        <f aca="false">SUMIFS(super1[Qtde],super1[Item],tab_alimentos[[#This Row],[Item]],super1[Bairro],mercado13)+SUMIFS(supercb[Qtde],supercb[Item],tab_alimentos[[#This Row],[Item]],supercb[Bairro],mercado13)</f>
        <v>0</v>
      </c>
      <c r="Y315" s="27" t="n">
        <f aca="false">SUMIFS(super1[Qtde],super1[Item],tab_alimentos[[#This Row],[Item]],super1[Bairro],mercado14)+SUMIFS(supercb[Qtde],supercb[Item],tab_alimentos[[#This Row],[Item]],supercb[Bairro],mercado14)</f>
        <v>0</v>
      </c>
      <c r="Z315" s="27" t="n">
        <f aca="false">SUMIFS(super1[Qtde],super1[Item],tab_alimentos[[#This Row],[Item]],super1[Bairro],mercado15)+SUMIFS(supercb[Qtde],supercb[Item],tab_alimentos[[#This Row],[Item]],supercb[Bairro],mercado15)</f>
        <v>0</v>
      </c>
      <c r="AA315" s="27" t="n">
        <f aca="false">SUMIFS(super1[Qtde],super1[Item],tab_alimentos[[#This Row],[Item]],super1[Bairro],mercado16)+SUMIFS(supercb[Qtde],supercb[Item],tab_alimentos[[#This Row],[Item]],supercb[Bairro],mercado16)</f>
        <v>0</v>
      </c>
      <c r="AB315" s="27" t="n">
        <f aca="false">SUMIFS(super1[Qtde],super1[Item],tab_alimentos[[#This Row],[Item]],super1[Bairro],mercado17)+SUMIFS(supercb[Qtde],supercb[Item],tab_alimentos[[#This Row],[Item]],supercb[Bairro],mercado17)</f>
        <v>0</v>
      </c>
      <c r="AC315" s="27" t="n">
        <f aca="false">SUMIFS(super1[Qtde],super1[Item],tab_alimentos[[#This Row],[Item]],super1[Bairro],mercado18)+SUMIFS(supercb[Qtde],supercb[Item],tab_alimentos[[#This Row],[Item]],supercb[Bairro],mercado18)</f>
        <v>0</v>
      </c>
      <c r="AD315" s="27" t="n">
        <f aca="false">SUMIFS(super1[Qtde],super1[Item],tab_alimentos[[#This Row],[Item]],super1[Bairro],extras)+SUMIFS(supercb[Qtde],supercb[Item],tab_alimentos[[#This Row],[Item]],supercb[Bairro],extras)</f>
        <v>0</v>
      </c>
      <c r="AE315" s="27" t="n">
        <f aca="false">SUM(L315:AC315)</f>
        <v>0</v>
      </c>
      <c r="AF315" s="27" t="n">
        <f aca="false">IFERROR(AE315*K315,0)</f>
        <v>0</v>
      </c>
      <c r="AG315" s="28" t="n">
        <f aca="false">IFERROR(J315*AE315,0)</f>
        <v>0</v>
      </c>
      <c r="AH315" s="37" t="e">
        <f aca="false">higiene[[#This Row],[Item]]</f>
        <v>#VALUE!</v>
      </c>
      <c r="AI315" s="38" t="n">
        <f aca="false">IFERROR(higiene[[#This Row],[Kg equivalente]],0)</f>
        <v>0</v>
      </c>
      <c r="AJ315" s="38" t="n">
        <f aca="false">IFERROR(higiene[[#This Row],[Preço por produto]],0)</f>
        <v>0</v>
      </c>
      <c r="AK315" s="27" t="n">
        <f aca="false">SUMIFS(super1[Qtde],super1[Item],tab_higiene[[#This Row],[Item]],super1[Bairro],mercado1)+SUMIFS(supercb[Qtde],supercb[Item],tab_higiene[[#This Row],[Item]],supercb[Bairro],mercado1)</f>
        <v>0</v>
      </c>
      <c r="AL315" s="27" t="n">
        <f aca="false">SUMIFS(super1[Qtde],super1[Item],tab_higiene[[#This Row],[Item]],super1[Bairro],mercado2)+SUMIFS(supercb[Qtde],supercb[Item],tab_higiene[[#This Row],[Item]],supercb[Bairro],mercado2)</f>
        <v>0</v>
      </c>
      <c r="AM315" s="27" t="n">
        <f aca="false">SUMIFS(super1[Qtde],super1[Item],tab_higiene[[#This Row],[Item]],super1[Bairro],mercado3)+SUMIFS(supercb[Qtde],supercb[Item],tab_higiene[[#This Row],[Item]],supercb[Bairro],mercado3)</f>
        <v>0</v>
      </c>
      <c r="AN315" s="27" t="n">
        <f aca="false">SUMIFS(super1[Qtde],super1[Item],tab_higiene[[#This Row],[Item]],super1[Bairro],mercado4)+SUMIFS(supercb[Qtde],supercb[Item],tab_higiene[[#This Row],[Item]],supercb[Bairro],mercado4)</f>
        <v>0</v>
      </c>
      <c r="AO315" s="27" t="n">
        <f aca="false">SUMIFS(super1[Qtde],super1[Item],tab_higiene[[#This Row],[Item]],super1[Bairro],mercado5)+SUMIFS(supercb[Qtde],supercb[Item],tab_higiene[[#This Row],[Item]],supercb[Bairro],mercado5)</f>
        <v>0</v>
      </c>
      <c r="AP315" s="27" t="n">
        <f aca="false">SUMIFS(super1[Qtde],super1[Item],tab_higiene[[#This Row],[Item]],super1[Bairro],mercado6)+SUMIFS(supercb[Qtde],supercb[Item],tab_higiene[[#This Row],[Item]],supercb[Bairro],mercado6)</f>
        <v>0</v>
      </c>
      <c r="AQ315" s="27" t="n">
        <f aca="false">SUMIFS(super1[Qtde],super1[Item],tab_higiene[[#This Row],[Item]],super1[Bairro],mercado7)+SUMIFS(supercb[Qtde],supercb[Item],tab_higiene[[#This Row],[Item]],supercb[Bairro],mercado7)</f>
        <v>0</v>
      </c>
      <c r="AR315" s="27" t="n">
        <f aca="false">SUMIFS(super1[Qtde],super1[Item],tab_higiene[[#This Row],[Item]],super1[Bairro],mercado8)+SUMIFS(supercb[Qtde],supercb[Item],tab_higiene[[#This Row],[Item]],supercb[Bairro],mercado8)</f>
        <v>0</v>
      </c>
      <c r="AS315" s="27" t="n">
        <f aca="false">SUMIFS(super1[Qtde],super1[Item],tab_higiene[[#This Row],[Item]],super1[Bairro],mercado9)+SUMIFS(supercb[Qtde],supercb[Item],tab_higiene[[#This Row],[Item]],supercb[Bairro],mercado9)</f>
        <v>0</v>
      </c>
      <c r="AT315" s="27" t="n">
        <f aca="false">SUMIFS(super1[Qtde],super1[Item],tab_higiene[[#This Row],[Item]],super1[Bairro],mercado10)+SUMIFS(supercb[Qtde],supercb[Item],tab_higiene[[#This Row],[Item]],supercb[Bairro],mercado10)</f>
        <v>0</v>
      </c>
      <c r="AU315" s="27" t="n">
        <f aca="false">SUMIFS(super1[Qtde],super1[Item],tab_higiene[[#This Row],[Item]],super1[Bairro],mercado11)+SUMIFS(supercb[Qtde],supercb[Item],tab_higiene[[#This Row],[Item]],supercb[Bairro],mercado11)</f>
        <v>0</v>
      </c>
      <c r="AV315" s="27" t="n">
        <f aca="false">SUMIFS(super1[Qtde],super1[Item],tab_higiene[[#This Row],[Item]],super1[Bairro],mercado12)+SUMIFS(supercb[Qtde],supercb[Item],tab_higiene[[#This Row],[Item]],supercb[Bairro],mercado12)</f>
        <v>0</v>
      </c>
      <c r="AW315" s="27" t="n">
        <f aca="false">SUMIFS(super1[Qtde],super1[Item],tab_higiene[[#This Row],[Item]],super1[Bairro],mercado13)+SUMIFS(supercb[Qtde],supercb[Item],tab_higiene[[#This Row],[Item]],supercb[Bairro],mercado13)</f>
        <v>0</v>
      </c>
      <c r="AX315" s="27" t="n">
        <f aca="false">SUMIFS(super1[Qtde],super1[Item],tab_higiene[[#This Row],[Item]],super1[Bairro],mercado14)+SUMIFS(supercb[Qtde],supercb[Item],tab_higiene[[#This Row],[Item]],supercb[Bairro],mercado14)</f>
        <v>0</v>
      </c>
      <c r="AY315" s="27" t="n">
        <f aca="false">SUMIFS(super1[Qtde],super1[Item],tab_higiene[[#This Row],[Item]],super1[Bairro],mercado15)+SUMIFS(supercb[Qtde],supercb[Item],tab_higiene[[#This Row],[Item]],supercb[Bairro],mercado15)</f>
        <v>0</v>
      </c>
      <c r="AZ315" s="27" t="n">
        <f aca="false">SUMIFS(super1[Qtde],super1[Item],tab_higiene[[#This Row],[Item]],super1[Bairro],mercado16)+SUMIFS(supercb[Qtde],supercb[Item],tab_higiene[[#This Row],[Item]],supercb[Bairro],mercado16)</f>
        <v>0</v>
      </c>
      <c r="BA315" s="27" t="n">
        <f aca="false">SUMIFS(super1[Qtde],super1[Item],tab_higiene[[#This Row],[Item]],super1[Bairro],mercado17)+SUMIFS(supercb[Qtde],supercb[Item],tab_higiene[[#This Row],[Item]],supercb[Bairro],mercado17)</f>
        <v>0</v>
      </c>
      <c r="BB315" s="27" t="n">
        <f aca="false">SUMIFS(super1[Qtde],super1[Item],tab_higiene[[#This Row],[Item]],super1[Bairro],mercado18)+SUMIFS(supercb[Qtde],supercb[Item],tab_higiene[[#This Row],[Item]],supercb[Bairro],mercado18)</f>
        <v>0</v>
      </c>
      <c r="BC315" s="39" t="n">
        <f aca="false">SUMIFS(super1[Qtde],super1[Item],tab_higiene[[#This Row],[Item]],super1[Bairro],extras)+SUMIFS(supercb[Qtde],supercb[Item],tab_higiene[[#This Row],[Item]],supercb[Bairro],extras)</f>
        <v>0</v>
      </c>
      <c r="BD315" s="38" t="n">
        <f aca="false">SUM(AK315:BB315)</f>
        <v>0</v>
      </c>
      <c r="BE315" s="38" t="n">
        <f aca="false">IFERROR(BD315*AJ315,0)</f>
        <v>0</v>
      </c>
      <c r="BF315" s="40" t="n">
        <f aca="false">IFERROR(AI315*BD315,0)</f>
        <v>0</v>
      </c>
    </row>
    <row r="316" customFormat="false" ht="15" hidden="false" customHeight="false" outlineLevel="0" collapsed="false">
      <c r="I316" s="26" t="e">
        <f aca="false">alimentos[[#This Row],[Item]]</f>
        <v>#VALUE!</v>
      </c>
      <c r="J316" s="27" t="n">
        <f aca="false">IFERROR(alimentos[[#This Row],[kg/embalagem]],0)</f>
        <v>0</v>
      </c>
      <c r="K316" s="27" t="n">
        <f aca="false">IFERROR(alimentos[[#This Row],[Preço]],0)</f>
        <v>0</v>
      </c>
      <c r="L316" s="27" t="n">
        <f aca="false">SUMIFS(super1[Qtde],super1[Item],tab_alimentos[[#This Row],[Item]],super1[Bairro],mercado1)+SUMIFS(supercb[Qtde],supercb[Item],tab_alimentos[[#This Row],[Item]],supercb[Bairro],mercado1)</f>
        <v>0</v>
      </c>
      <c r="M316" s="27" t="n">
        <f aca="false">SUMIFS(super1[Qtde],super1[Item],tab_alimentos[[#This Row],[Item]],super1[Bairro],mercado2)+SUMIFS(supercb[Qtde],supercb[Item],tab_alimentos[[#This Row],[Item]],supercb[Bairro],mercado2)</f>
        <v>0</v>
      </c>
      <c r="N316" s="27" t="n">
        <f aca="false">SUMIFS(super1[Qtde],super1[Item],tab_alimentos[[#This Row],[Item]],super1[Bairro],mercado3)+SUMIFS(supercb[Qtde],supercb[Item],tab_alimentos[[#This Row],[Item]],supercb[Bairro],mercado3)</f>
        <v>0</v>
      </c>
      <c r="O316" s="27" t="n">
        <f aca="false">SUMIFS(super1[Qtde],super1[Item],tab_alimentos[[#This Row],[Item]],super1[Bairro],mercado4)+SUMIFS(supercb[Qtde],supercb[Item],tab_alimentos[[#This Row],[Item]],supercb[Bairro],mercado4)</f>
        <v>0</v>
      </c>
      <c r="P316" s="27" t="n">
        <f aca="false">SUMIFS(super1[Qtde],super1[Item],tab_alimentos[[#This Row],[Item]],super1[Bairro],mercado5)+SUMIFS(supercb[Qtde],supercb[Item],tab_alimentos[[#This Row],[Item]],supercb[Bairro],mercado5)</f>
        <v>0</v>
      </c>
      <c r="Q316" s="27" t="n">
        <f aca="false">SUMIFS(super1[Qtde],super1[Item],tab_alimentos[[#This Row],[Item]],super1[Bairro],mercado6)+SUMIFS(supercb[Qtde],supercb[Item],tab_alimentos[[#This Row],[Item]],supercb[Bairro],mercado6)</f>
        <v>0</v>
      </c>
      <c r="R316" s="27" t="n">
        <f aca="false">SUMIFS(super1[Qtde],super1[Item],tab_alimentos[[#This Row],[Item]],super1[Bairro],mercado7)+SUMIFS(supercb[Qtde],supercb[Item],tab_alimentos[[#This Row],[Item]],supercb[Bairro],mercado7)</f>
        <v>0</v>
      </c>
      <c r="S316" s="27" t="n">
        <f aca="false">SUMIFS(super1[Qtde],super1[Item],tab_alimentos[[#This Row],[Item]],super1[Bairro],mercado8)+SUMIFS(supercb[Qtde],supercb[Item],tab_alimentos[[#This Row],[Item]],supercb[Bairro],mercado8)</f>
        <v>0</v>
      </c>
      <c r="T316" s="27" t="n">
        <f aca="false">SUMIFS(super1[Qtde],super1[Item],tab_alimentos[[#This Row],[Item]],super1[Bairro],mercado9)+SUMIFS(supercb[Qtde],supercb[Item],tab_alimentos[[#This Row],[Item]],supercb[Bairro],mercado9)</f>
        <v>0</v>
      </c>
      <c r="U316" s="27" t="n">
        <f aca="false">SUMIFS(super1[Qtde],super1[Item],tab_alimentos[[#This Row],[Item]],super1[Bairro],mercado10)+SUMIFS(supercb[Qtde],supercb[Item],tab_alimentos[[#This Row],[Item]],supercb[Bairro],mercado10)</f>
        <v>0</v>
      </c>
      <c r="V316" s="27" t="n">
        <f aca="false">SUMIFS(super1[Qtde],super1[Item],tab_alimentos[[#This Row],[Item]],super1[Bairro],mercado11)+SUMIFS(supercb[Qtde],supercb[Item],tab_alimentos[[#This Row],[Item]],supercb[Bairro],mercado11)</f>
        <v>0</v>
      </c>
      <c r="W316" s="27" t="n">
        <f aca="false">SUMIFS(super1[Qtde],super1[Item],tab_alimentos[[#This Row],[Item]],super1[Bairro],mercado12)+SUMIFS(supercb[Qtde],supercb[Item],tab_alimentos[[#This Row],[Item]],supercb[Bairro],mercado12)</f>
        <v>0</v>
      </c>
      <c r="X316" s="27" t="n">
        <f aca="false">SUMIFS(super1[Qtde],super1[Item],tab_alimentos[[#This Row],[Item]],super1[Bairro],mercado13)+SUMIFS(supercb[Qtde],supercb[Item],tab_alimentos[[#This Row],[Item]],supercb[Bairro],mercado13)</f>
        <v>0</v>
      </c>
      <c r="Y316" s="27" t="n">
        <f aca="false">SUMIFS(super1[Qtde],super1[Item],tab_alimentos[[#This Row],[Item]],super1[Bairro],mercado14)+SUMIFS(supercb[Qtde],supercb[Item],tab_alimentos[[#This Row],[Item]],supercb[Bairro],mercado14)</f>
        <v>0</v>
      </c>
      <c r="Z316" s="27" t="n">
        <f aca="false">SUMIFS(super1[Qtde],super1[Item],tab_alimentos[[#This Row],[Item]],super1[Bairro],mercado15)+SUMIFS(supercb[Qtde],supercb[Item],tab_alimentos[[#This Row],[Item]],supercb[Bairro],mercado15)</f>
        <v>0</v>
      </c>
      <c r="AA316" s="27" t="n">
        <f aca="false">SUMIFS(super1[Qtde],super1[Item],tab_alimentos[[#This Row],[Item]],super1[Bairro],mercado16)+SUMIFS(supercb[Qtde],supercb[Item],tab_alimentos[[#This Row],[Item]],supercb[Bairro],mercado16)</f>
        <v>0</v>
      </c>
      <c r="AB316" s="27" t="n">
        <f aca="false">SUMIFS(super1[Qtde],super1[Item],tab_alimentos[[#This Row],[Item]],super1[Bairro],mercado17)+SUMIFS(supercb[Qtde],supercb[Item],tab_alimentos[[#This Row],[Item]],supercb[Bairro],mercado17)</f>
        <v>0</v>
      </c>
      <c r="AC316" s="27" t="n">
        <f aca="false">SUMIFS(super1[Qtde],super1[Item],tab_alimentos[[#This Row],[Item]],super1[Bairro],mercado18)+SUMIFS(supercb[Qtde],supercb[Item],tab_alimentos[[#This Row],[Item]],supercb[Bairro],mercado18)</f>
        <v>0</v>
      </c>
      <c r="AD316" s="27" t="n">
        <f aca="false">SUMIFS(super1[Qtde],super1[Item],tab_alimentos[[#This Row],[Item]],super1[Bairro],extras)+SUMIFS(supercb[Qtde],supercb[Item],tab_alimentos[[#This Row],[Item]],supercb[Bairro],extras)</f>
        <v>0</v>
      </c>
      <c r="AE316" s="27" t="n">
        <f aca="false">SUM(L316:AC316)</f>
        <v>0</v>
      </c>
      <c r="AF316" s="27" t="n">
        <f aca="false">IFERROR(AE316*K316,0)</f>
        <v>0</v>
      </c>
      <c r="AG316" s="28" t="n">
        <f aca="false">IFERROR(J316*AE316,0)</f>
        <v>0</v>
      </c>
    </row>
    <row r="317" customFormat="false" ht="15" hidden="false" customHeight="false" outlineLevel="0" collapsed="false">
      <c r="I317" s="26" t="e">
        <f aca="false">alimentos[[#This Row],[Item]]</f>
        <v>#VALUE!</v>
      </c>
      <c r="J317" s="27" t="n">
        <f aca="false">IFERROR(alimentos[[#This Row],[kg/embalagem]],0)</f>
        <v>0</v>
      </c>
      <c r="K317" s="27" t="n">
        <f aca="false">IFERROR(alimentos[[#This Row],[Preço]],0)</f>
        <v>0</v>
      </c>
      <c r="L317" s="27" t="n">
        <f aca="false">SUMIFS(super1[Qtde],super1[Item],tab_alimentos[[#This Row],[Item]],super1[Bairro],mercado1)+SUMIFS(supercb[Qtde],supercb[Item],tab_alimentos[[#This Row],[Item]],supercb[Bairro],mercado1)</f>
        <v>0</v>
      </c>
      <c r="M317" s="27" t="n">
        <f aca="false">SUMIFS(super1[Qtde],super1[Item],tab_alimentos[[#This Row],[Item]],super1[Bairro],mercado2)+SUMIFS(supercb[Qtde],supercb[Item],tab_alimentos[[#This Row],[Item]],supercb[Bairro],mercado2)</f>
        <v>0</v>
      </c>
      <c r="N317" s="27" t="n">
        <f aca="false">SUMIFS(super1[Qtde],super1[Item],tab_alimentos[[#This Row],[Item]],super1[Bairro],mercado3)+SUMIFS(supercb[Qtde],supercb[Item],tab_alimentos[[#This Row],[Item]],supercb[Bairro],mercado3)</f>
        <v>0</v>
      </c>
      <c r="O317" s="27" t="n">
        <f aca="false">SUMIFS(super1[Qtde],super1[Item],tab_alimentos[[#This Row],[Item]],super1[Bairro],mercado4)+SUMIFS(supercb[Qtde],supercb[Item],tab_alimentos[[#This Row],[Item]],supercb[Bairro],mercado4)</f>
        <v>0</v>
      </c>
      <c r="P317" s="27" t="n">
        <f aca="false">SUMIFS(super1[Qtde],super1[Item],tab_alimentos[[#This Row],[Item]],super1[Bairro],mercado5)+SUMIFS(supercb[Qtde],supercb[Item],tab_alimentos[[#This Row],[Item]],supercb[Bairro],mercado5)</f>
        <v>0</v>
      </c>
      <c r="Q317" s="27" t="n">
        <f aca="false">SUMIFS(super1[Qtde],super1[Item],tab_alimentos[[#This Row],[Item]],super1[Bairro],mercado6)+SUMIFS(supercb[Qtde],supercb[Item],tab_alimentos[[#This Row],[Item]],supercb[Bairro],mercado6)</f>
        <v>0</v>
      </c>
      <c r="R317" s="27" t="n">
        <f aca="false">SUMIFS(super1[Qtde],super1[Item],tab_alimentos[[#This Row],[Item]],super1[Bairro],mercado7)+SUMIFS(supercb[Qtde],supercb[Item],tab_alimentos[[#This Row],[Item]],supercb[Bairro],mercado7)</f>
        <v>0</v>
      </c>
      <c r="S317" s="27" t="n">
        <f aca="false">SUMIFS(super1[Qtde],super1[Item],tab_alimentos[[#This Row],[Item]],super1[Bairro],mercado8)+SUMIFS(supercb[Qtde],supercb[Item],tab_alimentos[[#This Row],[Item]],supercb[Bairro],mercado8)</f>
        <v>0</v>
      </c>
      <c r="T317" s="27" t="n">
        <f aca="false">SUMIFS(super1[Qtde],super1[Item],tab_alimentos[[#This Row],[Item]],super1[Bairro],mercado9)+SUMIFS(supercb[Qtde],supercb[Item],tab_alimentos[[#This Row],[Item]],supercb[Bairro],mercado9)</f>
        <v>0</v>
      </c>
      <c r="U317" s="27" t="n">
        <f aca="false">SUMIFS(super1[Qtde],super1[Item],tab_alimentos[[#This Row],[Item]],super1[Bairro],mercado10)+SUMIFS(supercb[Qtde],supercb[Item],tab_alimentos[[#This Row],[Item]],supercb[Bairro],mercado10)</f>
        <v>0</v>
      </c>
      <c r="V317" s="27" t="n">
        <f aca="false">SUMIFS(super1[Qtde],super1[Item],tab_alimentos[[#This Row],[Item]],super1[Bairro],mercado11)+SUMIFS(supercb[Qtde],supercb[Item],tab_alimentos[[#This Row],[Item]],supercb[Bairro],mercado11)</f>
        <v>0</v>
      </c>
      <c r="W317" s="27" t="n">
        <f aca="false">SUMIFS(super1[Qtde],super1[Item],tab_alimentos[[#This Row],[Item]],super1[Bairro],mercado12)+SUMIFS(supercb[Qtde],supercb[Item],tab_alimentos[[#This Row],[Item]],supercb[Bairro],mercado12)</f>
        <v>0</v>
      </c>
      <c r="X317" s="27" t="n">
        <f aca="false">SUMIFS(super1[Qtde],super1[Item],tab_alimentos[[#This Row],[Item]],super1[Bairro],mercado13)+SUMIFS(supercb[Qtde],supercb[Item],tab_alimentos[[#This Row],[Item]],supercb[Bairro],mercado13)</f>
        <v>0</v>
      </c>
      <c r="Y317" s="27" t="n">
        <f aca="false">SUMIFS(super1[Qtde],super1[Item],tab_alimentos[[#This Row],[Item]],super1[Bairro],mercado14)+SUMIFS(supercb[Qtde],supercb[Item],tab_alimentos[[#This Row],[Item]],supercb[Bairro],mercado14)</f>
        <v>0</v>
      </c>
      <c r="Z317" s="27" t="n">
        <f aca="false">SUMIFS(super1[Qtde],super1[Item],tab_alimentos[[#This Row],[Item]],super1[Bairro],mercado15)+SUMIFS(supercb[Qtde],supercb[Item],tab_alimentos[[#This Row],[Item]],supercb[Bairro],mercado15)</f>
        <v>0</v>
      </c>
      <c r="AA317" s="27" t="n">
        <f aca="false">SUMIFS(super1[Qtde],super1[Item],tab_alimentos[[#This Row],[Item]],super1[Bairro],mercado16)+SUMIFS(supercb[Qtde],supercb[Item],tab_alimentos[[#This Row],[Item]],supercb[Bairro],mercado16)</f>
        <v>0</v>
      </c>
      <c r="AB317" s="27" t="n">
        <f aca="false">SUMIFS(super1[Qtde],super1[Item],tab_alimentos[[#This Row],[Item]],super1[Bairro],mercado17)+SUMIFS(supercb[Qtde],supercb[Item],tab_alimentos[[#This Row],[Item]],supercb[Bairro],mercado17)</f>
        <v>0</v>
      </c>
      <c r="AC317" s="27" t="n">
        <f aca="false">SUMIFS(super1[Qtde],super1[Item],tab_alimentos[[#This Row],[Item]],super1[Bairro],mercado18)+SUMIFS(supercb[Qtde],supercb[Item],tab_alimentos[[#This Row],[Item]],supercb[Bairro],mercado18)</f>
        <v>0</v>
      </c>
      <c r="AD317" s="27" t="n">
        <f aca="false">SUMIFS(super1[Qtde],super1[Item],tab_alimentos[[#This Row],[Item]],super1[Bairro],extras)+SUMIFS(supercb[Qtde],supercb[Item],tab_alimentos[[#This Row],[Item]],supercb[Bairro],extras)</f>
        <v>0</v>
      </c>
      <c r="AE317" s="27" t="n">
        <f aca="false">SUM(L317:AC317)</f>
        <v>0</v>
      </c>
      <c r="AF317" s="27" t="n">
        <f aca="false">IFERROR(AE317*K317,0)</f>
        <v>0</v>
      </c>
      <c r="AG317" s="28" t="n">
        <f aca="false">IFERROR(J317*AE317,0)</f>
        <v>0</v>
      </c>
    </row>
    <row r="318" customFormat="false" ht="15" hidden="false" customHeight="false" outlineLevel="0" collapsed="false">
      <c r="I318" s="26" t="e">
        <f aca="false">alimentos[[#This Row],[Item]]</f>
        <v>#VALUE!</v>
      </c>
      <c r="J318" s="27" t="n">
        <f aca="false">IFERROR(alimentos[[#This Row],[kg/embalagem]],0)</f>
        <v>0</v>
      </c>
      <c r="K318" s="27" t="n">
        <f aca="false">IFERROR(alimentos[[#This Row],[Preço]],0)</f>
        <v>0</v>
      </c>
      <c r="L318" s="27" t="n">
        <f aca="false">SUMIFS(super1[Qtde],super1[Item],tab_alimentos[[#This Row],[Item]],super1[Bairro],mercado1)+SUMIFS(supercb[Qtde],supercb[Item],tab_alimentos[[#This Row],[Item]],supercb[Bairro],mercado1)</f>
        <v>0</v>
      </c>
      <c r="M318" s="27" t="n">
        <f aca="false">SUMIFS(super1[Qtde],super1[Item],tab_alimentos[[#This Row],[Item]],super1[Bairro],mercado2)+SUMIFS(supercb[Qtde],supercb[Item],tab_alimentos[[#This Row],[Item]],supercb[Bairro],mercado2)</f>
        <v>0</v>
      </c>
      <c r="N318" s="27" t="n">
        <f aca="false">SUMIFS(super1[Qtde],super1[Item],tab_alimentos[[#This Row],[Item]],super1[Bairro],mercado3)+SUMIFS(supercb[Qtde],supercb[Item],tab_alimentos[[#This Row],[Item]],supercb[Bairro],mercado3)</f>
        <v>0</v>
      </c>
      <c r="O318" s="27" t="n">
        <f aca="false">SUMIFS(super1[Qtde],super1[Item],tab_alimentos[[#This Row],[Item]],super1[Bairro],mercado4)+SUMIFS(supercb[Qtde],supercb[Item],tab_alimentos[[#This Row],[Item]],supercb[Bairro],mercado4)</f>
        <v>0</v>
      </c>
      <c r="P318" s="27" t="n">
        <f aca="false">SUMIFS(super1[Qtde],super1[Item],tab_alimentos[[#This Row],[Item]],super1[Bairro],mercado5)+SUMIFS(supercb[Qtde],supercb[Item],tab_alimentos[[#This Row],[Item]],supercb[Bairro],mercado5)</f>
        <v>0</v>
      </c>
      <c r="Q318" s="27" t="n">
        <f aca="false">SUMIFS(super1[Qtde],super1[Item],tab_alimentos[[#This Row],[Item]],super1[Bairro],mercado6)+SUMIFS(supercb[Qtde],supercb[Item],tab_alimentos[[#This Row],[Item]],supercb[Bairro],mercado6)</f>
        <v>0</v>
      </c>
      <c r="R318" s="27" t="n">
        <f aca="false">SUMIFS(super1[Qtde],super1[Item],tab_alimentos[[#This Row],[Item]],super1[Bairro],mercado7)+SUMIFS(supercb[Qtde],supercb[Item],tab_alimentos[[#This Row],[Item]],supercb[Bairro],mercado7)</f>
        <v>0</v>
      </c>
      <c r="S318" s="27" t="n">
        <f aca="false">SUMIFS(super1[Qtde],super1[Item],tab_alimentos[[#This Row],[Item]],super1[Bairro],mercado8)+SUMIFS(supercb[Qtde],supercb[Item],tab_alimentos[[#This Row],[Item]],supercb[Bairro],mercado8)</f>
        <v>0</v>
      </c>
      <c r="T318" s="27" t="n">
        <f aca="false">SUMIFS(super1[Qtde],super1[Item],tab_alimentos[[#This Row],[Item]],super1[Bairro],mercado9)+SUMIFS(supercb[Qtde],supercb[Item],tab_alimentos[[#This Row],[Item]],supercb[Bairro],mercado9)</f>
        <v>0</v>
      </c>
      <c r="U318" s="27" t="n">
        <f aca="false">SUMIFS(super1[Qtde],super1[Item],tab_alimentos[[#This Row],[Item]],super1[Bairro],mercado10)+SUMIFS(supercb[Qtde],supercb[Item],tab_alimentos[[#This Row],[Item]],supercb[Bairro],mercado10)</f>
        <v>0</v>
      </c>
      <c r="V318" s="27" t="n">
        <f aca="false">SUMIFS(super1[Qtde],super1[Item],tab_alimentos[[#This Row],[Item]],super1[Bairro],mercado11)+SUMIFS(supercb[Qtde],supercb[Item],tab_alimentos[[#This Row],[Item]],supercb[Bairro],mercado11)</f>
        <v>0</v>
      </c>
      <c r="W318" s="27" t="n">
        <f aca="false">SUMIFS(super1[Qtde],super1[Item],tab_alimentos[[#This Row],[Item]],super1[Bairro],mercado12)+SUMIFS(supercb[Qtde],supercb[Item],tab_alimentos[[#This Row],[Item]],supercb[Bairro],mercado12)</f>
        <v>0</v>
      </c>
      <c r="X318" s="27" t="n">
        <f aca="false">SUMIFS(super1[Qtde],super1[Item],tab_alimentos[[#This Row],[Item]],super1[Bairro],mercado13)+SUMIFS(supercb[Qtde],supercb[Item],tab_alimentos[[#This Row],[Item]],supercb[Bairro],mercado13)</f>
        <v>0</v>
      </c>
      <c r="Y318" s="27" t="n">
        <f aca="false">SUMIFS(super1[Qtde],super1[Item],tab_alimentos[[#This Row],[Item]],super1[Bairro],mercado14)+SUMIFS(supercb[Qtde],supercb[Item],tab_alimentos[[#This Row],[Item]],supercb[Bairro],mercado14)</f>
        <v>0</v>
      </c>
      <c r="Z318" s="27" t="n">
        <f aca="false">SUMIFS(super1[Qtde],super1[Item],tab_alimentos[[#This Row],[Item]],super1[Bairro],mercado15)+SUMIFS(supercb[Qtde],supercb[Item],tab_alimentos[[#This Row],[Item]],supercb[Bairro],mercado15)</f>
        <v>0</v>
      </c>
      <c r="AA318" s="27" t="n">
        <f aca="false">SUMIFS(super1[Qtde],super1[Item],tab_alimentos[[#This Row],[Item]],super1[Bairro],mercado16)+SUMIFS(supercb[Qtde],supercb[Item],tab_alimentos[[#This Row],[Item]],supercb[Bairro],mercado16)</f>
        <v>0</v>
      </c>
      <c r="AB318" s="27" t="n">
        <f aca="false">SUMIFS(super1[Qtde],super1[Item],tab_alimentos[[#This Row],[Item]],super1[Bairro],mercado17)+SUMIFS(supercb[Qtde],supercb[Item],tab_alimentos[[#This Row],[Item]],supercb[Bairro],mercado17)</f>
        <v>0</v>
      </c>
      <c r="AC318" s="27" t="n">
        <f aca="false">SUMIFS(super1[Qtde],super1[Item],tab_alimentos[[#This Row],[Item]],super1[Bairro],mercado18)+SUMIFS(supercb[Qtde],supercb[Item],tab_alimentos[[#This Row],[Item]],supercb[Bairro],mercado18)</f>
        <v>0</v>
      </c>
      <c r="AD318" s="27" t="n">
        <f aca="false">SUMIFS(super1[Qtde],super1[Item],tab_alimentos[[#This Row],[Item]],super1[Bairro],extras)+SUMIFS(supercb[Qtde],supercb[Item],tab_alimentos[[#This Row],[Item]],supercb[Bairro],extras)</f>
        <v>0</v>
      </c>
      <c r="AE318" s="27" t="n">
        <f aca="false">SUM(L318:AC318)</f>
        <v>0</v>
      </c>
      <c r="AF318" s="27" t="n">
        <f aca="false">IFERROR(AE318*K318,0)</f>
        <v>0</v>
      </c>
      <c r="AG318" s="28" t="n">
        <f aca="false">IFERROR(J318*AE318,0)</f>
        <v>0</v>
      </c>
    </row>
    <row r="319" customFormat="false" ht="15" hidden="false" customHeight="false" outlineLevel="0" collapsed="false">
      <c r="I319" s="26" t="e">
        <f aca="false">alimentos[[#This Row],[Item]]</f>
        <v>#VALUE!</v>
      </c>
      <c r="J319" s="27" t="n">
        <f aca="false">IFERROR(alimentos[[#This Row],[kg/embalagem]],0)</f>
        <v>0</v>
      </c>
      <c r="K319" s="27" t="n">
        <f aca="false">IFERROR(alimentos[[#This Row],[Preço]],0)</f>
        <v>0</v>
      </c>
      <c r="L319" s="27" t="n">
        <f aca="false">SUMIFS(super1[Qtde],super1[Item],tab_alimentos[[#This Row],[Item]],super1[Bairro],mercado1)+SUMIFS(supercb[Qtde],supercb[Item],tab_alimentos[[#This Row],[Item]],supercb[Bairro],mercado1)</f>
        <v>0</v>
      </c>
      <c r="M319" s="27" t="n">
        <f aca="false">SUMIFS(super1[Qtde],super1[Item],tab_alimentos[[#This Row],[Item]],super1[Bairro],mercado2)+SUMIFS(supercb[Qtde],supercb[Item],tab_alimentos[[#This Row],[Item]],supercb[Bairro],mercado2)</f>
        <v>0</v>
      </c>
      <c r="N319" s="27" t="n">
        <f aca="false">SUMIFS(super1[Qtde],super1[Item],tab_alimentos[[#This Row],[Item]],super1[Bairro],mercado3)+SUMIFS(supercb[Qtde],supercb[Item],tab_alimentos[[#This Row],[Item]],supercb[Bairro],mercado3)</f>
        <v>0</v>
      </c>
      <c r="O319" s="27" t="n">
        <f aca="false">SUMIFS(super1[Qtde],super1[Item],tab_alimentos[[#This Row],[Item]],super1[Bairro],mercado4)+SUMIFS(supercb[Qtde],supercb[Item],tab_alimentos[[#This Row],[Item]],supercb[Bairro],mercado4)</f>
        <v>0</v>
      </c>
      <c r="P319" s="27" t="n">
        <f aca="false">SUMIFS(super1[Qtde],super1[Item],tab_alimentos[[#This Row],[Item]],super1[Bairro],mercado5)+SUMIFS(supercb[Qtde],supercb[Item],tab_alimentos[[#This Row],[Item]],supercb[Bairro],mercado5)</f>
        <v>0</v>
      </c>
      <c r="Q319" s="27" t="n">
        <f aca="false">SUMIFS(super1[Qtde],super1[Item],tab_alimentos[[#This Row],[Item]],super1[Bairro],mercado6)+SUMIFS(supercb[Qtde],supercb[Item],tab_alimentos[[#This Row],[Item]],supercb[Bairro],mercado6)</f>
        <v>0</v>
      </c>
      <c r="R319" s="27" t="n">
        <f aca="false">SUMIFS(super1[Qtde],super1[Item],tab_alimentos[[#This Row],[Item]],super1[Bairro],mercado7)+SUMIFS(supercb[Qtde],supercb[Item],tab_alimentos[[#This Row],[Item]],supercb[Bairro],mercado7)</f>
        <v>0</v>
      </c>
      <c r="S319" s="27" t="n">
        <f aca="false">SUMIFS(super1[Qtde],super1[Item],tab_alimentos[[#This Row],[Item]],super1[Bairro],mercado8)+SUMIFS(supercb[Qtde],supercb[Item],tab_alimentos[[#This Row],[Item]],supercb[Bairro],mercado8)</f>
        <v>0</v>
      </c>
      <c r="T319" s="27" t="n">
        <f aca="false">SUMIFS(super1[Qtde],super1[Item],tab_alimentos[[#This Row],[Item]],super1[Bairro],mercado9)+SUMIFS(supercb[Qtde],supercb[Item],tab_alimentos[[#This Row],[Item]],supercb[Bairro],mercado9)</f>
        <v>0</v>
      </c>
      <c r="U319" s="27" t="n">
        <f aca="false">SUMIFS(super1[Qtde],super1[Item],tab_alimentos[[#This Row],[Item]],super1[Bairro],mercado10)+SUMIFS(supercb[Qtde],supercb[Item],tab_alimentos[[#This Row],[Item]],supercb[Bairro],mercado10)</f>
        <v>0</v>
      </c>
      <c r="V319" s="27" t="n">
        <f aca="false">SUMIFS(super1[Qtde],super1[Item],tab_alimentos[[#This Row],[Item]],super1[Bairro],mercado11)+SUMIFS(supercb[Qtde],supercb[Item],tab_alimentos[[#This Row],[Item]],supercb[Bairro],mercado11)</f>
        <v>0</v>
      </c>
      <c r="W319" s="27" t="n">
        <f aca="false">SUMIFS(super1[Qtde],super1[Item],tab_alimentos[[#This Row],[Item]],super1[Bairro],mercado12)+SUMIFS(supercb[Qtde],supercb[Item],tab_alimentos[[#This Row],[Item]],supercb[Bairro],mercado12)</f>
        <v>0</v>
      </c>
      <c r="X319" s="27" t="n">
        <f aca="false">SUMIFS(super1[Qtde],super1[Item],tab_alimentos[[#This Row],[Item]],super1[Bairro],mercado13)+SUMIFS(supercb[Qtde],supercb[Item],tab_alimentos[[#This Row],[Item]],supercb[Bairro],mercado13)</f>
        <v>0</v>
      </c>
      <c r="Y319" s="27" t="n">
        <f aca="false">SUMIFS(super1[Qtde],super1[Item],tab_alimentos[[#This Row],[Item]],super1[Bairro],mercado14)+SUMIFS(supercb[Qtde],supercb[Item],tab_alimentos[[#This Row],[Item]],supercb[Bairro],mercado14)</f>
        <v>0</v>
      </c>
      <c r="Z319" s="27" t="n">
        <f aca="false">SUMIFS(super1[Qtde],super1[Item],tab_alimentos[[#This Row],[Item]],super1[Bairro],mercado15)+SUMIFS(supercb[Qtde],supercb[Item],tab_alimentos[[#This Row],[Item]],supercb[Bairro],mercado15)</f>
        <v>0</v>
      </c>
      <c r="AA319" s="27" t="n">
        <f aca="false">SUMIFS(super1[Qtde],super1[Item],tab_alimentos[[#This Row],[Item]],super1[Bairro],mercado16)+SUMIFS(supercb[Qtde],supercb[Item],tab_alimentos[[#This Row],[Item]],supercb[Bairro],mercado16)</f>
        <v>0</v>
      </c>
      <c r="AB319" s="27" t="n">
        <f aca="false">SUMIFS(super1[Qtde],super1[Item],tab_alimentos[[#This Row],[Item]],super1[Bairro],mercado17)+SUMIFS(supercb[Qtde],supercb[Item],tab_alimentos[[#This Row],[Item]],supercb[Bairro],mercado17)</f>
        <v>0</v>
      </c>
      <c r="AC319" s="27" t="n">
        <f aca="false">SUMIFS(super1[Qtde],super1[Item],tab_alimentos[[#This Row],[Item]],super1[Bairro],mercado18)+SUMIFS(supercb[Qtde],supercb[Item],tab_alimentos[[#This Row],[Item]],supercb[Bairro],mercado18)</f>
        <v>0</v>
      </c>
      <c r="AD319" s="27" t="n">
        <f aca="false">SUMIFS(super1[Qtde],super1[Item],tab_alimentos[[#This Row],[Item]],super1[Bairro],extras)+SUMIFS(supercb[Qtde],supercb[Item],tab_alimentos[[#This Row],[Item]],supercb[Bairro],extras)</f>
        <v>0</v>
      </c>
      <c r="AE319" s="27" t="n">
        <f aca="false">SUM(L319:AC319)</f>
        <v>0</v>
      </c>
      <c r="AF319" s="27" t="n">
        <f aca="false">IFERROR(AE319*K319,0)</f>
        <v>0</v>
      </c>
      <c r="AG319" s="28" t="n">
        <f aca="false">IFERROR(J319*AE319,0)</f>
        <v>0</v>
      </c>
    </row>
    <row r="320" customFormat="false" ht="15" hidden="false" customHeight="false" outlineLevel="0" collapsed="false">
      <c r="I320" s="26" t="e">
        <f aca="false">alimentos[[#This Row],[Item]]</f>
        <v>#VALUE!</v>
      </c>
      <c r="J320" s="27" t="n">
        <f aca="false">IFERROR(alimentos[[#This Row],[kg/embalagem]],0)</f>
        <v>0</v>
      </c>
      <c r="K320" s="27" t="n">
        <f aca="false">IFERROR(alimentos[[#This Row],[Preço]],0)</f>
        <v>0</v>
      </c>
      <c r="L320" s="27" t="n">
        <f aca="false">SUMIFS(super1[Qtde],super1[Item],tab_alimentos[[#This Row],[Item]],super1[Bairro],mercado1)+SUMIFS(supercb[Qtde],supercb[Item],tab_alimentos[[#This Row],[Item]],supercb[Bairro],mercado1)</f>
        <v>0</v>
      </c>
      <c r="M320" s="27" t="n">
        <f aca="false">SUMIFS(super1[Qtde],super1[Item],tab_alimentos[[#This Row],[Item]],super1[Bairro],mercado2)+SUMIFS(supercb[Qtde],supercb[Item],tab_alimentos[[#This Row],[Item]],supercb[Bairro],mercado2)</f>
        <v>0</v>
      </c>
      <c r="N320" s="27" t="n">
        <f aca="false">SUMIFS(super1[Qtde],super1[Item],tab_alimentos[[#This Row],[Item]],super1[Bairro],mercado3)+SUMIFS(supercb[Qtde],supercb[Item],tab_alimentos[[#This Row],[Item]],supercb[Bairro],mercado3)</f>
        <v>0</v>
      </c>
      <c r="O320" s="27" t="n">
        <f aca="false">SUMIFS(super1[Qtde],super1[Item],tab_alimentos[[#This Row],[Item]],super1[Bairro],mercado4)+SUMIFS(supercb[Qtde],supercb[Item],tab_alimentos[[#This Row],[Item]],supercb[Bairro],mercado4)</f>
        <v>0</v>
      </c>
      <c r="P320" s="27" t="n">
        <f aca="false">SUMIFS(super1[Qtde],super1[Item],tab_alimentos[[#This Row],[Item]],super1[Bairro],mercado5)+SUMIFS(supercb[Qtde],supercb[Item],tab_alimentos[[#This Row],[Item]],supercb[Bairro],mercado5)</f>
        <v>0</v>
      </c>
      <c r="Q320" s="27" t="n">
        <f aca="false">SUMIFS(super1[Qtde],super1[Item],tab_alimentos[[#This Row],[Item]],super1[Bairro],mercado6)+SUMIFS(supercb[Qtde],supercb[Item],tab_alimentos[[#This Row],[Item]],supercb[Bairro],mercado6)</f>
        <v>0</v>
      </c>
      <c r="R320" s="27" t="n">
        <f aca="false">SUMIFS(super1[Qtde],super1[Item],tab_alimentos[[#This Row],[Item]],super1[Bairro],mercado7)+SUMIFS(supercb[Qtde],supercb[Item],tab_alimentos[[#This Row],[Item]],supercb[Bairro],mercado7)</f>
        <v>0</v>
      </c>
      <c r="S320" s="27" t="n">
        <f aca="false">SUMIFS(super1[Qtde],super1[Item],tab_alimentos[[#This Row],[Item]],super1[Bairro],mercado8)+SUMIFS(supercb[Qtde],supercb[Item],tab_alimentos[[#This Row],[Item]],supercb[Bairro],mercado8)</f>
        <v>0</v>
      </c>
      <c r="T320" s="27" t="n">
        <f aca="false">SUMIFS(super1[Qtde],super1[Item],tab_alimentos[[#This Row],[Item]],super1[Bairro],mercado9)+SUMIFS(supercb[Qtde],supercb[Item],tab_alimentos[[#This Row],[Item]],supercb[Bairro],mercado9)</f>
        <v>0</v>
      </c>
      <c r="U320" s="27" t="n">
        <f aca="false">SUMIFS(super1[Qtde],super1[Item],tab_alimentos[[#This Row],[Item]],super1[Bairro],mercado10)+SUMIFS(supercb[Qtde],supercb[Item],tab_alimentos[[#This Row],[Item]],supercb[Bairro],mercado10)</f>
        <v>0</v>
      </c>
      <c r="V320" s="27" t="n">
        <f aca="false">SUMIFS(super1[Qtde],super1[Item],tab_alimentos[[#This Row],[Item]],super1[Bairro],mercado11)+SUMIFS(supercb[Qtde],supercb[Item],tab_alimentos[[#This Row],[Item]],supercb[Bairro],mercado11)</f>
        <v>0</v>
      </c>
      <c r="W320" s="27" t="n">
        <f aca="false">SUMIFS(super1[Qtde],super1[Item],tab_alimentos[[#This Row],[Item]],super1[Bairro],mercado12)+SUMIFS(supercb[Qtde],supercb[Item],tab_alimentos[[#This Row],[Item]],supercb[Bairro],mercado12)</f>
        <v>0</v>
      </c>
      <c r="X320" s="27" t="n">
        <f aca="false">SUMIFS(super1[Qtde],super1[Item],tab_alimentos[[#This Row],[Item]],super1[Bairro],mercado13)+SUMIFS(supercb[Qtde],supercb[Item],tab_alimentos[[#This Row],[Item]],supercb[Bairro],mercado13)</f>
        <v>0</v>
      </c>
      <c r="Y320" s="27" t="n">
        <f aca="false">SUMIFS(super1[Qtde],super1[Item],tab_alimentos[[#This Row],[Item]],super1[Bairro],mercado14)+SUMIFS(supercb[Qtde],supercb[Item],tab_alimentos[[#This Row],[Item]],supercb[Bairro],mercado14)</f>
        <v>0</v>
      </c>
      <c r="Z320" s="27" t="n">
        <f aca="false">SUMIFS(super1[Qtde],super1[Item],tab_alimentos[[#This Row],[Item]],super1[Bairro],mercado15)+SUMIFS(supercb[Qtde],supercb[Item],tab_alimentos[[#This Row],[Item]],supercb[Bairro],mercado15)</f>
        <v>0</v>
      </c>
      <c r="AA320" s="27" t="n">
        <f aca="false">SUMIFS(super1[Qtde],super1[Item],tab_alimentos[[#This Row],[Item]],super1[Bairro],mercado16)+SUMIFS(supercb[Qtde],supercb[Item],tab_alimentos[[#This Row],[Item]],supercb[Bairro],mercado16)</f>
        <v>0</v>
      </c>
      <c r="AB320" s="27" t="n">
        <f aca="false">SUMIFS(super1[Qtde],super1[Item],tab_alimentos[[#This Row],[Item]],super1[Bairro],mercado17)+SUMIFS(supercb[Qtde],supercb[Item],tab_alimentos[[#This Row],[Item]],supercb[Bairro],mercado17)</f>
        <v>0</v>
      </c>
      <c r="AC320" s="27" t="n">
        <f aca="false">SUMIFS(super1[Qtde],super1[Item],tab_alimentos[[#This Row],[Item]],super1[Bairro],mercado18)+SUMIFS(supercb[Qtde],supercb[Item],tab_alimentos[[#This Row],[Item]],supercb[Bairro],mercado18)</f>
        <v>0</v>
      </c>
      <c r="AD320" s="27" t="n">
        <f aca="false">SUMIFS(super1[Qtde],super1[Item],tab_alimentos[[#This Row],[Item]],super1[Bairro],extras)+SUMIFS(supercb[Qtde],supercb[Item],tab_alimentos[[#This Row],[Item]],supercb[Bairro],extras)</f>
        <v>0</v>
      </c>
      <c r="AE320" s="27" t="n">
        <f aca="false">SUM(L320:AC320)</f>
        <v>0</v>
      </c>
      <c r="AF320" s="27" t="n">
        <f aca="false">IFERROR(AE320*K320,0)</f>
        <v>0</v>
      </c>
      <c r="AG320" s="28" t="n">
        <f aca="false">IFERROR(J320*AE320,0)</f>
        <v>0</v>
      </c>
    </row>
    <row r="321" customFormat="false" ht="15" hidden="false" customHeight="false" outlineLevel="0" collapsed="false">
      <c r="I321" s="26" t="e">
        <f aca="false">alimentos[[#This Row],[Item]]</f>
        <v>#VALUE!</v>
      </c>
      <c r="J321" s="27" t="n">
        <f aca="false">IFERROR(alimentos[[#This Row],[kg/embalagem]],0)</f>
        <v>0</v>
      </c>
      <c r="K321" s="27" t="n">
        <f aca="false">IFERROR(alimentos[[#This Row],[Preço]],0)</f>
        <v>0</v>
      </c>
      <c r="L321" s="27" t="n">
        <f aca="false">SUMIFS(super1[Qtde],super1[Item],tab_alimentos[[#This Row],[Item]],super1[Bairro],mercado1)+SUMIFS(supercb[Qtde],supercb[Item],tab_alimentos[[#This Row],[Item]],supercb[Bairro],mercado1)</f>
        <v>0</v>
      </c>
      <c r="M321" s="27" t="n">
        <f aca="false">SUMIFS(super1[Qtde],super1[Item],tab_alimentos[[#This Row],[Item]],super1[Bairro],mercado2)+SUMIFS(supercb[Qtde],supercb[Item],tab_alimentos[[#This Row],[Item]],supercb[Bairro],mercado2)</f>
        <v>0</v>
      </c>
      <c r="N321" s="27" t="n">
        <f aca="false">SUMIFS(super1[Qtde],super1[Item],tab_alimentos[[#This Row],[Item]],super1[Bairro],mercado3)+SUMIFS(supercb[Qtde],supercb[Item],tab_alimentos[[#This Row],[Item]],supercb[Bairro],mercado3)</f>
        <v>0</v>
      </c>
      <c r="O321" s="27" t="n">
        <f aca="false">SUMIFS(super1[Qtde],super1[Item],tab_alimentos[[#This Row],[Item]],super1[Bairro],mercado4)+SUMIFS(supercb[Qtde],supercb[Item],tab_alimentos[[#This Row],[Item]],supercb[Bairro],mercado4)</f>
        <v>0</v>
      </c>
      <c r="P321" s="27" t="n">
        <f aca="false">SUMIFS(super1[Qtde],super1[Item],tab_alimentos[[#This Row],[Item]],super1[Bairro],mercado5)+SUMIFS(supercb[Qtde],supercb[Item],tab_alimentos[[#This Row],[Item]],supercb[Bairro],mercado5)</f>
        <v>0</v>
      </c>
      <c r="Q321" s="27" t="n">
        <f aca="false">SUMIFS(super1[Qtde],super1[Item],tab_alimentos[[#This Row],[Item]],super1[Bairro],mercado6)+SUMIFS(supercb[Qtde],supercb[Item],tab_alimentos[[#This Row],[Item]],supercb[Bairro],mercado6)</f>
        <v>0</v>
      </c>
      <c r="R321" s="27" t="n">
        <f aca="false">SUMIFS(super1[Qtde],super1[Item],tab_alimentos[[#This Row],[Item]],super1[Bairro],mercado7)+SUMIFS(supercb[Qtde],supercb[Item],tab_alimentos[[#This Row],[Item]],supercb[Bairro],mercado7)</f>
        <v>0</v>
      </c>
      <c r="S321" s="27" t="n">
        <f aca="false">SUMIFS(super1[Qtde],super1[Item],tab_alimentos[[#This Row],[Item]],super1[Bairro],mercado8)+SUMIFS(supercb[Qtde],supercb[Item],tab_alimentos[[#This Row],[Item]],supercb[Bairro],mercado8)</f>
        <v>0</v>
      </c>
      <c r="T321" s="27" t="n">
        <f aca="false">SUMIFS(super1[Qtde],super1[Item],tab_alimentos[[#This Row],[Item]],super1[Bairro],mercado9)+SUMIFS(supercb[Qtde],supercb[Item],tab_alimentos[[#This Row],[Item]],supercb[Bairro],mercado9)</f>
        <v>0</v>
      </c>
      <c r="U321" s="27" t="n">
        <f aca="false">SUMIFS(super1[Qtde],super1[Item],tab_alimentos[[#This Row],[Item]],super1[Bairro],mercado10)+SUMIFS(supercb[Qtde],supercb[Item],tab_alimentos[[#This Row],[Item]],supercb[Bairro],mercado10)</f>
        <v>0</v>
      </c>
      <c r="V321" s="27" t="n">
        <f aca="false">SUMIFS(super1[Qtde],super1[Item],tab_alimentos[[#This Row],[Item]],super1[Bairro],mercado11)+SUMIFS(supercb[Qtde],supercb[Item],tab_alimentos[[#This Row],[Item]],supercb[Bairro],mercado11)</f>
        <v>0</v>
      </c>
      <c r="W321" s="27" t="n">
        <f aca="false">SUMIFS(super1[Qtde],super1[Item],tab_alimentos[[#This Row],[Item]],super1[Bairro],mercado12)+SUMIFS(supercb[Qtde],supercb[Item],tab_alimentos[[#This Row],[Item]],supercb[Bairro],mercado12)</f>
        <v>0</v>
      </c>
      <c r="X321" s="27" t="n">
        <f aca="false">SUMIFS(super1[Qtde],super1[Item],tab_alimentos[[#This Row],[Item]],super1[Bairro],mercado13)+SUMIFS(supercb[Qtde],supercb[Item],tab_alimentos[[#This Row],[Item]],supercb[Bairro],mercado13)</f>
        <v>0</v>
      </c>
      <c r="Y321" s="27" t="n">
        <f aca="false">SUMIFS(super1[Qtde],super1[Item],tab_alimentos[[#This Row],[Item]],super1[Bairro],mercado14)+SUMIFS(supercb[Qtde],supercb[Item],tab_alimentos[[#This Row],[Item]],supercb[Bairro],mercado14)</f>
        <v>0</v>
      </c>
      <c r="Z321" s="27" t="n">
        <f aca="false">SUMIFS(super1[Qtde],super1[Item],tab_alimentos[[#This Row],[Item]],super1[Bairro],mercado15)+SUMIFS(supercb[Qtde],supercb[Item],tab_alimentos[[#This Row],[Item]],supercb[Bairro],mercado15)</f>
        <v>0</v>
      </c>
      <c r="AA321" s="27" t="n">
        <f aca="false">SUMIFS(super1[Qtde],super1[Item],tab_alimentos[[#This Row],[Item]],super1[Bairro],mercado16)+SUMIFS(supercb[Qtde],supercb[Item],tab_alimentos[[#This Row],[Item]],supercb[Bairro],mercado16)</f>
        <v>0</v>
      </c>
      <c r="AB321" s="27" t="n">
        <f aca="false">SUMIFS(super1[Qtde],super1[Item],tab_alimentos[[#This Row],[Item]],super1[Bairro],mercado17)+SUMIFS(supercb[Qtde],supercb[Item],tab_alimentos[[#This Row],[Item]],supercb[Bairro],mercado17)</f>
        <v>0</v>
      </c>
      <c r="AC321" s="27" t="n">
        <f aca="false">SUMIFS(super1[Qtde],super1[Item],tab_alimentos[[#This Row],[Item]],super1[Bairro],mercado18)+SUMIFS(supercb[Qtde],supercb[Item],tab_alimentos[[#This Row],[Item]],supercb[Bairro],mercado18)</f>
        <v>0</v>
      </c>
      <c r="AD321" s="27" t="n">
        <f aca="false">SUMIFS(super1[Qtde],super1[Item],tab_alimentos[[#This Row],[Item]],super1[Bairro],extras)+SUMIFS(supercb[Qtde],supercb[Item],tab_alimentos[[#This Row],[Item]],supercb[Bairro],extras)</f>
        <v>0</v>
      </c>
      <c r="AE321" s="27" t="n">
        <f aca="false">SUM(L321:AC321)</f>
        <v>0</v>
      </c>
      <c r="AF321" s="27" t="n">
        <f aca="false">IFERROR(AE321*K321,0)</f>
        <v>0</v>
      </c>
      <c r="AG321" s="28" t="n">
        <f aca="false">IFERROR(J321*AE321,0)</f>
        <v>0</v>
      </c>
    </row>
    <row r="322" customFormat="false" ht="15" hidden="false" customHeight="false" outlineLevel="0" collapsed="false">
      <c r="I322" s="26" t="e">
        <f aca="false">alimentos[[#This Row],[Item]]</f>
        <v>#VALUE!</v>
      </c>
      <c r="J322" s="27" t="n">
        <f aca="false">IFERROR(alimentos[[#This Row],[kg/embalagem]],0)</f>
        <v>0</v>
      </c>
      <c r="K322" s="27" t="n">
        <f aca="false">IFERROR(alimentos[[#This Row],[Preço]],0)</f>
        <v>0</v>
      </c>
      <c r="L322" s="27" t="n">
        <f aca="false">SUMIFS(super1[Qtde],super1[Item],tab_alimentos[[#This Row],[Item]],super1[Bairro],mercado1)+SUMIFS(supercb[Qtde],supercb[Item],tab_alimentos[[#This Row],[Item]],supercb[Bairro],mercado1)</f>
        <v>0</v>
      </c>
      <c r="M322" s="27" t="n">
        <f aca="false">SUMIFS(super1[Qtde],super1[Item],tab_alimentos[[#This Row],[Item]],super1[Bairro],mercado2)+SUMIFS(supercb[Qtde],supercb[Item],tab_alimentos[[#This Row],[Item]],supercb[Bairro],mercado2)</f>
        <v>0</v>
      </c>
      <c r="N322" s="27" t="n">
        <f aca="false">SUMIFS(super1[Qtde],super1[Item],tab_alimentos[[#This Row],[Item]],super1[Bairro],mercado3)+SUMIFS(supercb[Qtde],supercb[Item],tab_alimentos[[#This Row],[Item]],supercb[Bairro],mercado3)</f>
        <v>0</v>
      </c>
      <c r="O322" s="27" t="n">
        <f aca="false">SUMIFS(super1[Qtde],super1[Item],tab_alimentos[[#This Row],[Item]],super1[Bairro],mercado4)+SUMIFS(supercb[Qtde],supercb[Item],tab_alimentos[[#This Row],[Item]],supercb[Bairro],mercado4)</f>
        <v>0</v>
      </c>
      <c r="P322" s="27" t="n">
        <f aca="false">SUMIFS(super1[Qtde],super1[Item],tab_alimentos[[#This Row],[Item]],super1[Bairro],mercado5)+SUMIFS(supercb[Qtde],supercb[Item],tab_alimentos[[#This Row],[Item]],supercb[Bairro],mercado5)</f>
        <v>0</v>
      </c>
      <c r="Q322" s="27" t="n">
        <f aca="false">SUMIFS(super1[Qtde],super1[Item],tab_alimentos[[#This Row],[Item]],super1[Bairro],mercado6)+SUMIFS(supercb[Qtde],supercb[Item],tab_alimentos[[#This Row],[Item]],supercb[Bairro],mercado6)</f>
        <v>0</v>
      </c>
      <c r="R322" s="27" t="n">
        <f aca="false">SUMIFS(super1[Qtde],super1[Item],tab_alimentos[[#This Row],[Item]],super1[Bairro],mercado7)+SUMIFS(supercb[Qtde],supercb[Item],tab_alimentos[[#This Row],[Item]],supercb[Bairro],mercado7)</f>
        <v>0</v>
      </c>
      <c r="S322" s="27" t="n">
        <f aca="false">SUMIFS(super1[Qtde],super1[Item],tab_alimentos[[#This Row],[Item]],super1[Bairro],mercado8)+SUMIFS(supercb[Qtde],supercb[Item],tab_alimentos[[#This Row],[Item]],supercb[Bairro],mercado8)</f>
        <v>0</v>
      </c>
      <c r="T322" s="27" t="n">
        <f aca="false">SUMIFS(super1[Qtde],super1[Item],tab_alimentos[[#This Row],[Item]],super1[Bairro],mercado9)+SUMIFS(supercb[Qtde],supercb[Item],tab_alimentos[[#This Row],[Item]],supercb[Bairro],mercado9)</f>
        <v>0</v>
      </c>
      <c r="U322" s="27" t="n">
        <f aca="false">SUMIFS(super1[Qtde],super1[Item],tab_alimentos[[#This Row],[Item]],super1[Bairro],mercado10)+SUMIFS(supercb[Qtde],supercb[Item],tab_alimentos[[#This Row],[Item]],supercb[Bairro],mercado10)</f>
        <v>0</v>
      </c>
      <c r="V322" s="27" t="n">
        <f aca="false">SUMIFS(super1[Qtde],super1[Item],tab_alimentos[[#This Row],[Item]],super1[Bairro],mercado11)+SUMIFS(supercb[Qtde],supercb[Item],tab_alimentos[[#This Row],[Item]],supercb[Bairro],mercado11)</f>
        <v>0</v>
      </c>
      <c r="W322" s="27" t="n">
        <f aca="false">SUMIFS(super1[Qtde],super1[Item],tab_alimentos[[#This Row],[Item]],super1[Bairro],mercado12)+SUMIFS(supercb[Qtde],supercb[Item],tab_alimentos[[#This Row],[Item]],supercb[Bairro],mercado12)</f>
        <v>0</v>
      </c>
      <c r="X322" s="27" t="n">
        <f aca="false">SUMIFS(super1[Qtde],super1[Item],tab_alimentos[[#This Row],[Item]],super1[Bairro],mercado13)+SUMIFS(supercb[Qtde],supercb[Item],tab_alimentos[[#This Row],[Item]],supercb[Bairro],mercado13)</f>
        <v>0</v>
      </c>
      <c r="Y322" s="27" t="n">
        <f aca="false">SUMIFS(super1[Qtde],super1[Item],tab_alimentos[[#This Row],[Item]],super1[Bairro],mercado14)+SUMIFS(supercb[Qtde],supercb[Item],tab_alimentos[[#This Row],[Item]],supercb[Bairro],mercado14)</f>
        <v>0</v>
      </c>
      <c r="Z322" s="27" t="n">
        <f aca="false">SUMIFS(super1[Qtde],super1[Item],tab_alimentos[[#This Row],[Item]],super1[Bairro],mercado15)+SUMIFS(supercb[Qtde],supercb[Item],tab_alimentos[[#This Row],[Item]],supercb[Bairro],mercado15)</f>
        <v>0</v>
      </c>
      <c r="AA322" s="27" t="n">
        <f aca="false">SUMIFS(super1[Qtde],super1[Item],tab_alimentos[[#This Row],[Item]],super1[Bairro],mercado16)+SUMIFS(supercb[Qtde],supercb[Item],tab_alimentos[[#This Row],[Item]],supercb[Bairro],mercado16)</f>
        <v>0</v>
      </c>
      <c r="AB322" s="27" t="n">
        <f aca="false">SUMIFS(super1[Qtde],super1[Item],tab_alimentos[[#This Row],[Item]],super1[Bairro],mercado17)+SUMIFS(supercb[Qtde],supercb[Item],tab_alimentos[[#This Row],[Item]],supercb[Bairro],mercado17)</f>
        <v>0</v>
      </c>
      <c r="AC322" s="27" t="n">
        <f aca="false">SUMIFS(super1[Qtde],super1[Item],tab_alimentos[[#This Row],[Item]],super1[Bairro],mercado18)+SUMIFS(supercb[Qtde],supercb[Item],tab_alimentos[[#This Row],[Item]],supercb[Bairro],mercado18)</f>
        <v>0</v>
      </c>
      <c r="AD322" s="27" t="n">
        <f aca="false">SUMIFS(super1[Qtde],super1[Item],tab_alimentos[[#This Row],[Item]],super1[Bairro],extras)+SUMIFS(supercb[Qtde],supercb[Item],tab_alimentos[[#This Row],[Item]],supercb[Bairro],extras)</f>
        <v>0</v>
      </c>
      <c r="AE322" s="27" t="n">
        <f aca="false">SUM(L322:AC322)</f>
        <v>0</v>
      </c>
      <c r="AF322" s="27" t="n">
        <f aca="false">IFERROR(AE322*K322,0)</f>
        <v>0</v>
      </c>
      <c r="AG322" s="28" t="n">
        <f aca="false">IFERROR(J322*AE322,0)</f>
        <v>0</v>
      </c>
    </row>
    <row r="323" customFormat="false" ht="15" hidden="false" customHeight="false" outlineLevel="0" collapsed="false">
      <c r="I323" s="26" t="e">
        <f aca="false">alimentos[[#This Row],[Item]]</f>
        <v>#VALUE!</v>
      </c>
      <c r="J323" s="27" t="n">
        <f aca="false">IFERROR(alimentos[[#This Row],[kg/embalagem]],0)</f>
        <v>0</v>
      </c>
      <c r="K323" s="27" t="n">
        <f aca="false">IFERROR(alimentos[[#This Row],[Preço]],0)</f>
        <v>0</v>
      </c>
      <c r="L323" s="27" t="n">
        <f aca="false">SUMIFS(super1[Qtde],super1[Item],tab_alimentos[[#This Row],[Item]],super1[Bairro],mercado1)+SUMIFS(supercb[Qtde],supercb[Item],tab_alimentos[[#This Row],[Item]],supercb[Bairro],mercado1)</f>
        <v>0</v>
      </c>
      <c r="M323" s="27" t="n">
        <f aca="false">SUMIFS(super1[Qtde],super1[Item],tab_alimentos[[#This Row],[Item]],super1[Bairro],mercado2)+SUMIFS(supercb[Qtde],supercb[Item],tab_alimentos[[#This Row],[Item]],supercb[Bairro],mercado2)</f>
        <v>0</v>
      </c>
      <c r="N323" s="27" t="n">
        <f aca="false">SUMIFS(super1[Qtde],super1[Item],tab_alimentos[[#This Row],[Item]],super1[Bairro],mercado3)+SUMIFS(supercb[Qtde],supercb[Item],tab_alimentos[[#This Row],[Item]],supercb[Bairro],mercado3)</f>
        <v>0</v>
      </c>
      <c r="O323" s="27" t="n">
        <f aca="false">SUMIFS(super1[Qtde],super1[Item],tab_alimentos[[#This Row],[Item]],super1[Bairro],mercado4)+SUMIFS(supercb[Qtde],supercb[Item],tab_alimentos[[#This Row],[Item]],supercb[Bairro],mercado4)</f>
        <v>0</v>
      </c>
      <c r="P323" s="27" t="n">
        <f aca="false">SUMIFS(super1[Qtde],super1[Item],tab_alimentos[[#This Row],[Item]],super1[Bairro],mercado5)+SUMIFS(supercb[Qtde],supercb[Item],tab_alimentos[[#This Row],[Item]],supercb[Bairro],mercado5)</f>
        <v>0</v>
      </c>
      <c r="Q323" s="27" t="n">
        <f aca="false">SUMIFS(super1[Qtde],super1[Item],tab_alimentos[[#This Row],[Item]],super1[Bairro],mercado6)+SUMIFS(supercb[Qtde],supercb[Item],tab_alimentos[[#This Row],[Item]],supercb[Bairro],mercado6)</f>
        <v>0</v>
      </c>
      <c r="R323" s="27" t="n">
        <f aca="false">SUMIFS(super1[Qtde],super1[Item],tab_alimentos[[#This Row],[Item]],super1[Bairro],mercado7)+SUMIFS(supercb[Qtde],supercb[Item],tab_alimentos[[#This Row],[Item]],supercb[Bairro],mercado7)</f>
        <v>0</v>
      </c>
      <c r="S323" s="27" t="n">
        <f aca="false">SUMIFS(super1[Qtde],super1[Item],tab_alimentos[[#This Row],[Item]],super1[Bairro],mercado8)+SUMIFS(supercb[Qtde],supercb[Item],tab_alimentos[[#This Row],[Item]],supercb[Bairro],mercado8)</f>
        <v>0</v>
      </c>
      <c r="T323" s="27" t="n">
        <f aca="false">SUMIFS(super1[Qtde],super1[Item],tab_alimentos[[#This Row],[Item]],super1[Bairro],mercado9)+SUMIFS(supercb[Qtde],supercb[Item],tab_alimentos[[#This Row],[Item]],supercb[Bairro],mercado9)</f>
        <v>0</v>
      </c>
      <c r="U323" s="27" t="n">
        <f aca="false">SUMIFS(super1[Qtde],super1[Item],tab_alimentos[[#This Row],[Item]],super1[Bairro],mercado10)+SUMIFS(supercb[Qtde],supercb[Item],tab_alimentos[[#This Row],[Item]],supercb[Bairro],mercado10)</f>
        <v>0</v>
      </c>
      <c r="V323" s="27" t="n">
        <f aca="false">SUMIFS(super1[Qtde],super1[Item],tab_alimentos[[#This Row],[Item]],super1[Bairro],mercado11)+SUMIFS(supercb[Qtde],supercb[Item],tab_alimentos[[#This Row],[Item]],supercb[Bairro],mercado11)</f>
        <v>0</v>
      </c>
      <c r="W323" s="27" t="n">
        <f aca="false">SUMIFS(super1[Qtde],super1[Item],tab_alimentos[[#This Row],[Item]],super1[Bairro],mercado12)+SUMIFS(supercb[Qtde],supercb[Item],tab_alimentos[[#This Row],[Item]],supercb[Bairro],mercado12)</f>
        <v>0</v>
      </c>
      <c r="X323" s="27" t="n">
        <f aca="false">SUMIFS(super1[Qtde],super1[Item],tab_alimentos[[#This Row],[Item]],super1[Bairro],mercado13)+SUMIFS(supercb[Qtde],supercb[Item],tab_alimentos[[#This Row],[Item]],supercb[Bairro],mercado13)</f>
        <v>0</v>
      </c>
      <c r="Y323" s="27" t="n">
        <f aca="false">SUMIFS(super1[Qtde],super1[Item],tab_alimentos[[#This Row],[Item]],super1[Bairro],mercado14)+SUMIFS(supercb[Qtde],supercb[Item],tab_alimentos[[#This Row],[Item]],supercb[Bairro],mercado14)</f>
        <v>0</v>
      </c>
      <c r="Z323" s="27" t="n">
        <f aca="false">SUMIFS(super1[Qtde],super1[Item],tab_alimentos[[#This Row],[Item]],super1[Bairro],mercado15)+SUMIFS(supercb[Qtde],supercb[Item],tab_alimentos[[#This Row],[Item]],supercb[Bairro],mercado15)</f>
        <v>0</v>
      </c>
      <c r="AA323" s="27" t="n">
        <f aca="false">SUMIFS(super1[Qtde],super1[Item],tab_alimentos[[#This Row],[Item]],super1[Bairro],mercado16)+SUMIFS(supercb[Qtde],supercb[Item],tab_alimentos[[#This Row],[Item]],supercb[Bairro],mercado16)</f>
        <v>0</v>
      </c>
      <c r="AB323" s="27" t="n">
        <f aca="false">SUMIFS(super1[Qtde],super1[Item],tab_alimentos[[#This Row],[Item]],super1[Bairro],mercado17)+SUMIFS(supercb[Qtde],supercb[Item],tab_alimentos[[#This Row],[Item]],supercb[Bairro],mercado17)</f>
        <v>0</v>
      </c>
      <c r="AC323" s="27" t="n">
        <f aca="false">SUMIFS(super1[Qtde],super1[Item],tab_alimentos[[#This Row],[Item]],super1[Bairro],mercado18)+SUMIFS(supercb[Qtde],supercb[Item],tab_alimentos[[#This Row],[Item]],supercb[Bairro],mercado18)</f>
        <v>0</v>
      </c>
      <c r="AD323" s="27" t="n">
        <f aca="false">SUMIFS(super1[Qtde],super1[Item],tab_alimentos[[#This Row],[Item]],super1[Bairro],extras)+SUMIFS(supercb[Qtde],supercb[Item],tab_alimentos[[#This Row],[Item]],supercb[Bairro],extras)</f>
        <v>0</v>
      </c>
      <c r="AE323" s="27" t="n">
        <f aca="false">SUM(L323:AC323)</f>
        <v>0</v>
      </c>
      <c r="AF323" s="27" t="n">
        <f aca="false">IFERROR(AE323*K323,0)</f>
        <v>0</v>
      </c>
      <c r="AG323" s="28" t="n">
        <f aca="false">IFERROR(J323*AE323,0)</f>
        <v>0</v>
      </c>
    </row>
    <row r="324" customFormat="false" ht="15" hidden="false" customHeight="false" outlineLevel="0" collapsed="false">
      <c r="I324" s="26" t="e">
        <f aca="false">alimentos[[#This Row],[Item]]</f>
        <v>#VALUE!</v>
      </c>
      <c r="J324" s="27" t="n">
        <f aca="false">IFERROR(alimentos[[#This Row],[kg/embalagem]],0)</f>
        <v>0</v>
      </c>
      <c r="K324" s="27" t="n">
        <f aca="false">IFERROR(alimentos[[#This Row],[Preço]],0)</f>
        <v>0</v>
      </c>
      <c r="L324" s="27" t="n">
        <f aca="false">SUMIFS(super1[Qtde],super1[Item],tab_alimentos[[#This Row],[Item]],super1[Bairro],mercado1)+SUMIFS(supercb[Qtde],supercb[Item],tab_alimentos[[#This Row],[Item]],supercb[Bairro],mercado1)</f>
        <v>0</v>
      </c>
      <c r="M324" s="27" t="n">
        <f aca="false">SUMIFS(super1[Qtde],super1[Item],tab_alimentos[[#This Row],[Item]],super1[Bairro],mercado2)+SUMIFS(supercb[Qtde],supercb[Item],tab_alimentos[[#This Row],[Item]],supercb[Bairro],mercado2)</f>
        <v>0</v>
      </c>
      <c r="N324" s="27" t="n">
        <f aca="false">SUMIFS(super1[Qtde],super1[Item],tab_alimentos[[#This Row],[Item]],super1[Bairro],mercado3)+SUMIFS(supercb[Qtde],supercb[Item],tab_alimentos[[#This Row],[Item]],supercb[Bairro],mercado3)</f>
        <v>0</v>
      </c>
      <c r="O324" s="27" t="n">
        <f aca="false">SUMIFS(super1[Qtde],super1[Item],tab_alimentos[[#This Row],[Item]],super1[Bairro],mercado4)+SUMIFS(supercb[Qtde],supercb[Item],tab_alimentos[[#This Row],[Item]],supercb[Bairro],mercado4)</f>
        <v>0</v>
      </c>
      <c r="P324" s="27" t="n">
        <f aca="false">SUMIFS(super1[Qtde],super1[Item],tab_alimentos[[#This Row],[Item]],super1[Bairro],mercado5)+SUMIFS(supercb[Qtde],supercb[Item],tab_alimentos[[#This Row],[Item]],supercb[Bairro],mercado5)</f>
        <v>0</v>
      </c>
      <c r="Q324" s="27" t="n">
        <f aca="false">SUMIFS(super1[Qtde],super1[Item],tab_alimentos[[#This Row],[Item]],super1[Bairro],mercado6)+SUMIFS(supercb[Qtde],supercb[Item],tab_alimentos[[#This Row],[Item]],supercb[Bairro],mercado6)</f>
        <v>0</v>
      </c>
      <c r="R324" s="27" t="n">
        <f aca="false">SUMIFS(super1[Qtde],super1[Item],tab_alimentos[[#This Row],[Item]],super1[Bairro],mercado7)+SUMIFS(supercb[Qtde],supercb[Item],tab_alimentos[[#This Row],[Item]],supercb[Bairro],mercado7)</f>
        <v>0</v>
      </c>
      <c r="S324" s="27" t="n">
        <f aca="false">SUMIFS(super1[Qtde],super1[Item],tab_alimentos[[#This Row],[Item]],super1[Bairro],mercado8)+SUMIFS(supercb[Qtde],supercb[Item],tab_alimentos[[#This Row],[Item]],supercb[Bairro],mercado8)</f>
        <v>0</v>
      </c>
      <c r="T324" s="27" t="n">
        <f aca="false">SUMIFS(super1[Qtde],super1[Item],tab_alimentos[[#This Row],[Item]],super1[Bairro],mercado9)+SUMIFS(supercb[Qtde],supercb[Item],tab_alimentos[[#This Row],[Item]],supercb[Bairro],mercado9)</f>
        <v>0</v>
      </c>
      <c r="U324" s="27" t="n">
        <f aca="false">SUMIFS(super1[Qtde],super1[Item],tab_alimentos[[#This Row],[Item]],super1[Bairro],mercado10)+SUMIFS(supercb[Qtde],supercb[Item],tab_alimentos[[#This Row],[Item]],supercb[Bairro],mercado10)</f>
        <v>0</v>
      </c>
      <c r="V324" s="27" t="n">
        <f aca="false">SUMIFS(super1[Qtde],super1[Item],tab_alimentos[[#This Row],[Item]],super1[Bairro],mercado11)+SUMIFS(supercb[Qtde],supercb[Item],tab_alimentos[[#This Row],[Item]],supercb[Bairro],mercado11)</f>
        <v>0</v>
      </c>
      <c r="W324" s="27" t="n">
        <f aca="false">SUMIFS(super1[Qtde],super1[Item],tab_alimentos[[#This Row],[Item]],super1[Bairro],mercado12)+SUMIFS(supercb[Qtde],supercb[Item],tab_alimentos[[#This Row],[Item]],supercb[Bairro],mercado12)</f>
        <v>0</v>
      </c>
      <c r="X324" s="27" t="n">
        <f aca="false">SUMIFS(super1[Qtde],super1[Item],tab_alimentos[[#This Row],[Item]],super1[Bairro],mercado13)+SUMIFS(supercb[Qtde],supercb[Item],tab_alimentos[[#This Row],[Item]],supercb[Bairro],mercado13)</f>
        <v>0</v>
      </c>
      <c r="Y324" s="27" t="n">
        <f aca="false">SUMIFS(super1[Qtde],super1[Item],tab_alimentos[[#This Row],[Item]],super1[Bairro],mercado14)+SUMIFS(supercb[Qtde],supercb[Item],tab_alimentos[[#This Row],[Item]],supercb[Bairro],mercado14)</f>
        <v>0</v>
      </c>
      <c r="Z324" s="27" t="n">
        <f aca="false">SUMIFS(super1[Qtde],super1[Item],tab_alimentos[[#This Row],[Item]],super1[Bairro],mercado15)+SUMIFS(supercb[Qtde],supercb[Item],tab_alimentos[[#This Row],[Item]],supercb[Bairro],mercado15)</f>
        <v>0</v>
      </c>
      <c r="AA324" s="27" t="n">
        <f aca="false">SUMIFS(super1[Qtde],super1[Item],tab_alimentos[[#This Row],[Item]],super1[Bairro],mercado16)+SUMIFS(supercb[Qtde],supercb[Item],tab_alimentos[[#This Row],[Item]],supercb[Bairro],mercado16)</f>
        <v>0</v>
      </c>
      <c r="AB324" s="27" t="n">
        <f aca="false">SUMIFS(super1[Qtde],super1[Item],tab_alimentos[[#This Row],[Item]],super1[Bairro],mercado17)+SUMIFS(supercb[Qtde],supercb[Item],tab_alimentos[[#This Row],[Item]],supercb[Bairro],mercado17)</f>
        <v>0</v>
      </c>
      <c r="AC324" s="27" t="n">
        <f aca="false">SUMIFS(super1[Qtde],super1[Item],tab_alimentos[[#This Row],[Item]],super1[Bairro],mercado18)+SUMIFS(supercb[Qtde],supercb[Item],tab_alimentos[[#This Row],[Item]],supercb[Bairro],mercado18)</f>
        <v>0</v>
      </c>
      <c r="AD324" s="27" t="n">
        <f aca="false">SUMIFS(super1[Qtde],super1[Item],tab_alimentos[[#This Row],[Item]],super1[Bairro],extras)+SUMIFS(supercb[Qtde],supercb[Item],tab_alimentos[[#This Row],[Item]],supercb[Bairro],extras)</f>
        <v>0</v>
      </c>
      <c r="AE324" s="27" t="n">
        <f aca="false">SUM(L324:AC324)</f>
        <v>0</v>
      </c>
      <c r="AF324" s="27" t="n">
        <f aca="false">IFERROR(AE324*K324,0)</f>
        <v>0</v>
      </c>
      <c r="AG324" s="28" t="n">
        <f aca="false">IFERROR(J324*AE324,0)</f>
        <v>0</v>
      </c>
    </row>
    <row r="325" customFormat="false" ht="15" hidden="false" customHeight="false" outlineLevel="0" collapsed="false">
      <c r="I325" s="26" t="e">
        <f aca="false">alimentos[[#This Row],[Item]]</f>
        <v>#VALUE!</v>
      </c>
      <c r="J325" s="27" t="n">
        <f aca="false">IFERROR(alimentos[[#This Row],[kg/embalagem]],0)</f>
        <v>0</v>
      </c>
      <c r="K325" s="27" t="n">
        <f aca="false">IFERROR(alimentos[[#This Row],[Preço]],0)</f>
        <v>0</v>
      </c>
      <c r="L325" s="27" t="n">
        <f aca="false">SUMIFS(super1[Qtde],super1[Item],tab_alimentos[[#This Row],[Item]],super1[Bairro],mercado1)+SUMIFS(supercb[Qtde],supercb[Item],tab_alimentos[[#This Row],[Item]],supercb[Bairro],mercado1)</f>
        <v>0</v>
      </c>
      <c r="M325" s="27" t="n">
        <f aca="false">SUMIFS(super1[Qtde],super1[Item],tab_alimentos[[#This Row],[Item]],super1[Bairro],mercado2)+SUMIFS(supercb[Qtde],supercb[Item],tab_alimentos[[#This Row],[Item]],supercb[Bairro],mercado2)</f>
        <v>0</v>
      </c>
      <c r="N325" s="27" t="n">
        <f aca="false">SUMIFS(super1[Qtde],super1[Item],tab_alimentos[[#This Row],[Item]],super1[Bairro],mercado3)+SUMIFS(supercb[Qtde],supercb[Item],tab_alimentos[[#This Row],[Item]],supercb[Bairro],mercado3)</f>
        <v>0</v>
      </c>
      <c r="O325" s="27" t="n">
        <f aca="false">SUMIFS(super1[Qtde],super1[Item],tab_alimentos[[#This Row],[Item]],super1[Bairro],mercado4)+SUMIFS(supercb[Qtde],supercb[Item],tab_alimentos[[#This Row],[Item]],supercb[Bairro],mercado4)</f>
        <v>0</v>
      </c>
      <c r="P325" s="27" t="n">
        <f aca="false">SUMIFS(super1[Qtde],super1[Item],tab_alimentos[[#This Row],[Item]],super1[Bairro],mercado5)+SUMIFS(supercb[Qtde],supercb[Item],tab_alimentos[[#This Row],[Item]],supercb[Bairro],mercado5)</f>
        <v>0</v>
      </c>
      <c r="Q325" s="27" t="n">
        <f aca="false">SUMIFS(super1[Qtde],super1[Item],tab_alimentos[[#This Row],[Item]],super1[Bairro],mercado6)+SUMIFS(supercb[Qtde],supercb[Item],tab_alimentos[[#This Row],[Item]],supercb[Bairro],mercado6)</f>
        <v>0</v>
      </c>
      <c r="R325" s="27" t="n">
        <f aca="false">SUMIFS(super1[Qtde],super1[Item],tab_alimentos[[#This Row],[Item]],super1[Bairro],mercado7)+SUMIFS(supercb[Qtde],supercb[Item],tab_alimentos[[#This Row],[Item]],supercb[Bairro],mercado7)</f>
        <v>0</v>
      </c>
      <c r="S325" s="27" t="n">
        <f aca="false">SUMIFS(super1[Qtde],super1[Item],tab_alimentos[[#This Row],[Item]],super1[Bairro],mercado8)+SUMIFS(supercb[Qtde],supercb[Item],tab_alimentos[[#This Row],[Item]],supercb[Bairro],mercado8)</f>
        <v>0</v>
      </c>
      <c r="T325" s="27" t="n">
        <f aca="false">SUMIFS(super1[Qtde],super1[Item],tab_alimentos[[#This Row],[Item]],super1[Bairro],mercado9)+SUMIFS(supercb[Qtde],supercb[Item],tab_alimentos[[#This Row],[Item]],supercb[Bairro],mercado9)</f>
        <v>0</v>
      </c>
      <c r="U325" s="27" t="n">
        <f aca="false">SUMIFS(super1[Qtde],super1[Item],tab_alimentos[[#This Row],[Item]],super1[Bairro],mercado10)+SUMIFS(supercb[Qtde],supercb[Item],tab_alimentos[[#This Row],[Item]],supercb[Bairro],mercado10)</f>
        <v>0</v>
      </c>
      <c r="V325" s="27" t="n">
        <f aca="false">SUMIFS(super1[Qtde],super1[Item],tab_alimentos[[#This Row],[Item]],super1[Bairro],mercado11)+SUMIFS(supercb[Qtde],supercb[Item],tab_alimentos[[#This Row],[Item]],supercb[Bairro],mercado11)</f>
        <v>0</v>
      </c>
      <c r="W325" s="27" t="n">
        <f aca="false">SUMIFS(super1[Qtde],super1[Item],tab_alimentos[[#This Row],[Item]],super1[Bairro],mercado12)+SUMIFS(supercb[Qtde],supercb[Item],tab_alimentos[[#This Row],[Item]],supercb[Bairro],mercado12)</f>
        <v>0</v>
      </c>
      <c r="X325" s="27" t="n">
        <f aca="false">SUMIFS(super1[Qtde],super1[Item],tab_alimentos[[#This Row],[Item]],super1[Bairro],mercado13)+SUMIFS(supercb[Qtde],supercb[Item],tab_alimentos[[#This Row],[Item]],supercb[Bairro],mercado13)</f>
        <v>0</v>
      </c>
      <c r="Y325" s="27" t="n">
        <f aca="false">SUMIFS(super1[Qtde],super1[Item],tab_alimentos[[#This Row],[Item]],super1[Bairro],mercado14)+SUMIFS(supercb[Qtde],supercb[Item],tab_alimentos[[#This Row],[Item]],supercb[Bairro],mercado14)</f>
        <v>0</v>
      </c>
      <c r="Z325" s="27" t="n">
        <f aca="false">SUMIFS(super1[Qtde],super1[Item],tab_alimentos[[#This Row],[Item]],super1[Bairro],mercado15)+SUMIFS(supercb[Qtde],supercb[Item],tab_alimentos[[#This Row],[Item]],supercb[Bairro],mercado15)</f>
        <v>0</v>
      </c>
      <c r="AA325" s="27" t="n">
        <f aca="false">SUMIFS(super1[Qtde],super1[Item],tab_alimentos[[#This Row],[Item]],super1[Bairro],mercado16)+SUMIFS(supercb[Qtde],supercb[Item],tab_alimentos[[#This Row],[Item]],supercb[Bairro],mercado16)</f>
        <v>0</v>
      </c>
      <c r="AB325" s="27" t="n">
        <f aca="false">SUMIFS(super1[Qtde],super1[Item],tab_alimentos[[#This Row],[Item]],super1[Bairro],mercado17)+SUMIFS(supercb[Qtde],supercb[Item],tab_alimentos[[#This Row],[Item]],supercb[Bairro],mercado17)</f>
        <v>0</v>
      </c>
      <c r="AC325" s="27" t="n">
        <f aca="false">SUMIFS(super1[Qtde],super1[Item],tab_alimentos[[#This Row],[Item]],super1[Bairro],mercado18)+SUMIFS(supercb[Qtde],supercb[Item],tab_alimentos[[#This Row],[Item]],supercb[Bairro],mercado18)</f>
        <v>0</v>
      </c>
      <c r="AD325" s="27" t="n">
        <f aca="false">SUMIFS(super1[Qtde],super1[Item],tab_alimentos[[#This Row],[Item]],super1[Bairro],extras)+SUMIFS(supercb[Qtde],supercb[Item],tab_alimentos[[#This Row],[Item]],supercb[Bairro],extras)</f>
        <v>0</v>
      </c>
      <c r="AE325" s="27" t="n">
        <f aca="false">SUM(L325:AC325)</f>
        <v>0</v>
      </c>
      <c r="AF325" s="27" t="n">
        <f aca="false">IFERROR(AE325*K325,0)</f>
        <v>0</v>
      </c>
      <c r="AG325" s="28" t="n">
        <f aca="false">IFERROR(J325*AE325,0)</f>
        <v>0</v>
      </c>
    </row>
    <row r="326" customFormat="false" ht="15" hidden="false" customHeight="false" outlineLevel="0" collapsed="false">
      <c r="I326" s="26" t="e">
        <f aca="false">alimentos[[#This Row],[Item]]</f>
        <v>#VALUE!</v>
      </c>
      <c r="J326" s="27" t="n">
        <f aca="false">IFERROR(alimentos[[#This Row],[kg/embalagem]],0)</f>
        <v>0</v>
      </c>
      <c r="K326" s="27" t="n">
        <f aca="false">IFERROR(alimentos[[#This Row],[Preço]],0)</f>
        <v>0</v>
      </c>
      <c r="L326" s="27" t="n">
        <f aca="false">SUMIFS(super1[Qtde],super1[Item],tab_alimentos[[#This Row],[Item]],super1[Bairro],mercado1)+SUMIFS(supercb[Qtde],supercb[Item],tab_alimentos[[#This Row],[Item]],supercb[Bairro],mercado1)</f>
        <v>0</v>
      </c>
      <c r="M326" s="27" t="n">
        <f aca="false">SUMIFS(super1[Qtde],super1[Item],tab_alimentos[[#This Row],[Item]],super1[Bairro],mercado2)+SUMIFS(supercb[Qtde],supercb[Item],tab_alimentos[[#This Row],[Item]],supercb[Bairro],mercado2)</f>
        <v>0</v>
      </c>
      <c r="N326" s="27" t="n">
        <f aca="false">SUMIFS(super1[Qtde],super1[Item],tab_alimentos[[#This Row],[Item]],super1[Bairro],mercado3)+SUMIFS(supercb[Qtde],supercb[Item],tab_alimentos[[#This Row],[Item]],supercb[Bairro],mercado3)</f>
        <v>0</v>
      </c>
      <c r="O326" s="27" t="n">
        <f aca="false">SUMIFS(super1[Qtde],super1[Item],tab_alimentos[[#This Row],[Item]],super1[Bairro],mercado4)+SUMIFS(supercb[Qtde],supercb[Item],tab_alimentos[[#This Row],[Item]],supercb[Bairro],mercado4)</f>
        <v>0</v>
      </c>
      <c r="P326" s="27" t="n">
        <f aca="false">SUMIFS(super1[Qtde],super1[Item],tab_alimentos[[#This Row],[Item]],super1[Bairro],mercado5)+SUMIFS(supercb[Qtde],supercb[Item],tab_alimentos[[#This Row],[Item]],supercb[Bairro],mercado5)</f>
        <v>0</v>
      </c>
      <c r="Q326" s="27" t="n">
        <f aca="false">SUMIFS(super1[Qtde],super1[Item],tab_alimentos[[#This Row],[Item]],super1[Bairro],mercado6)+SUMIFS(supercb[Qtde],supercb[Item],tab_alimentos[[#This Row],[Item]],supercb[Bairro],mercado6)</f>
        <v>0</v>
      </c>
      <c r="R326" s="27" t="n">
        <f aca="false">SUMIFS(super1[Qtde],super1[Item],tab_alimentos[[#This Row],[Item]],super1[Bairro],mercado7)+SUMIFS(supercb[Qtde],supercb[Item],tab_alimentos[[#This Row],[Item]],supercb[Bairro],mercado7)</f>
        <v>0</v>
      </c>
      <c r="S326" s="27" t="n">
        <f aca="false">SUMIFS(super1[Qtde],super1[Item],tab_alimentos[[#This Row],[Item]],super1[Bairro],mercado8)+SUMIFS(supercb[Qtde],supercb[Item],tab_alimentos[[#This Row],[Item]],supercb[Bairro],mercado8)</f>
        <v>0</v>
      </c>
      <c r="T326" s="27" t="n">
        <f aca="false">SUMIFS(super1[Qtde],super1[Item],tab_alimentos[[#This Row],[Item]],super1[Bairro],mercado9)+SUMIFS(supercb[Qtde],supercb[Item],tab_alimentos[[#This Row],[Item]],supercb[Bairro],mercado9)</f>
        <v>0</v>
      </c>
      <c r="U326" s="27" t="n">
        <f aca="false">SUMIFS(super1[Qtde],super1[Item],tab_alimentos[[#This Row],[Item]],super1[Bairro],mercado10)+SUMIFS(supercb[Qtde],supercb[Item],tab_alimentos[[#This Row],[Item]],supercb[Bairro],mercado10)</f>
        <v>0</v>
      </c>
      <c r="V326" s="27" t="n">
        <f aca="false">SUMIFS(super1[Qtde],super1[Item],tab_alimentos[[#This Row],[Item]],super1[Bairro],mercado11)+SUMIFS(supercb[Qtde],supercb[Item],tab_alimentos[[#This Row],[Item]],supercb[Bairro],mercado11)</f>
        <v>0</v>
      </c>
      <c r="W326" s="27" t="n">
        <f aca="false">SUMIFS(super1[Qtde],super1[Item],tab_alimentos[[#This Row],[Item]],super1[Bairro],mercado12)+SUMIFS(supercb[Qtde],supercb[Item],tab_alimentos[[#This Row],[Item]],supercb[Bairro],mercado12)</f>
        <v>0</v>
      </c>
      <c r="X326" s="27" t="n">
        <f aca="false">SUMIFS(super1[Qtde],super1[Item],tab_alimentos[[#This Row],[Item]],super1[Bairro],mercado13)+SUMIFS(supercb[Qtde],supercb[Item],tab_alimentos[[#This Row],[Item]],supercb[Bairro],mercado13)</f>
        <v>0</v>
      </c>
      <c r="Y326" s="27" t="n">
        <f aca="false">SUMIFS(super1[Qtde],super1[Item],tab_alimentos[[#This Row],[Item]],super1[Bairro],mercado14)+SUMIFS(supercb[Qtde],supercb[Item],tab_alimentos[[#This Row],[Item]],supercb[Bairro],mercado14)</f>
        <v>0</v>
      </c>
      <c r="Z326" s="27" t="n">
        <f aca="false">SUMIFS(super1[Qtde],super1[Item],tab_alimentos[[#This Row],[Item]],super1[Bairro],mercado15)+SUMIFS(supercb[Qtde],supercb[Item],tab_alimentos[[#This Row],[Item]],supercb[Bairro],mercado15)</f>
        <v>0</v>
      </c>
      <c r="AA326" s="27" t="n">
        <f aca="false">SUMIFS(super1[Qtde],super1[Item],tab_alimentos[[#This Row],[Item]],super1[Bairro],mercado16)+SUMIFS(supercb[Qtde],supercb[Item],tab_alimentos[[#This Row],[Item]],supercb[Bairro],mercado16)</f>
        <v>0</v>
      </c>
      <c r="AB326" s="27" t="n">
        <f aca="false">SUMIFS(super1[Qtde],super1[Item],tab_alimentos[[#This Row],[Item]],super1[Bairro],mercado17)+SUMIFS(supercb[Qtde],supercb[Item],tab_alimentos[[#This Row],[Item]],supercb[Bairro],mercado17)</f>
        <v>0</v>
      </c>
      <c r="AC326" s="27" t="n">
        <f aca="false">SUMIFS(super1[Qtde],super1[Item],tab_alimentos[[#This Row],[Item]],super1[Bairro],mercado18)+SUMIFS(supercb[Qtde],supercb[Item],tab_alimentos[[#This Row],[Item]],supercb[Bairro],mercado18)</f>
        <v>0</v>
      </c>
      <c r="AD326" s="27" t="n">
        <f aca="false">SUMIFS(super1[Qtde],super1[Item],tab_alimentos[[#This Row],[Item]],super1[Bairro],extras)+SUMIFS(supercb[Qtde],supercb[Item],tab_alimentos[[#This Row],[Item]],supercb[Bairro],extras)</f>
        <v>0</v>
      </c>
      <c r="AE326" s="27" t="n">
        <f aca="false">SUM(L326:AC326)</f>
        <v>0</v>
      </c>
      <c r="AF326" s="27" t="n">
        <f aca="false">IFERROR(AE326*K326,0)</f>
        <v>0</v>
      </c>
      <c r="AG326" s="28" t="n">
        <f aca="false">IFERROR(J326*AE326,0)</f>
        <v>0</v>
      </c>
    </row>
    <row r="327" customFormat="false" ht="15" hidden="false" customHeight="false" outlineLevel="0" collapsed="false">
      <c r="I327" s="26" t="e">
        <f aca="false">alimentos[[#This Row],[Item]]</f>
        <v>#VALUE!</v>
      </c>
      <c r="J327" s="27" t="n">
        <f aca="false">IFERROR(alimentos[[#This Row],[kg/embalagem]],0)</f>
        <v>0</v>
      </c>
      <c r="K327" s="27" t="n">
        <f aca="false">IFERROR(alimentos[[#This Row],[Preço]],0)</f>
        <v>0</v>
      </c>
      <c r="L327" s="27" t="n">
        <f aca="false">SUMIFS(super1[Qtde],super1[Item],tab_alimentos[[#This Row],[Item]],super1[Bairro],mercado1)+SUMIFS(supercb[Qtde],supercb[Item],tab_alimentos[[#This Row],[Item]],supercb[Bairro],mercado1)</f>
        <v>0</v>
      </c>
      <c r="M327" s="27" t="n">
        <f aca="false">SUMIFS(super1[Qtde],super1[Item],tab_alimentos[[#This Row],[Item]],super1[Bairro],mercado2)+SUMIFS(supercb[Qtde],supercb[Item],tab_alimentos[[#This Row],[Item]],supercb[Bairro],mercado2)</f>
        <v>0</v>
      </c>
      <c r="N327" s="27" t="n">
        <f aca="false">SUMIFS(super1[Qtde],super1[Item],tab_alimentos[[#This Row],[Item]],super1[Bairro],mercado3)+SUMIFS(supercb[Qtde],supercb[Item],tab_alimentos[[#This Row],[Item]],supercb[Bairro],mercado3)</f>
        <v>0</v>
      </c>
      <c r="O327" s="27" t="n">
        <f aca="false">SUMIFS(super1[Qtde],super1[Item],tab_alimentos[[#This Row],[Item]],super1[Bairro],mercado4)+SUMIFS(supercb[Qtde],supercb[Item],tab_alimentos[[#This Row],[Item]],supercb[Bairro],mercado4)</f>
        <v>0</v>
      </c>
      <c r="P327" s="27" t="n">
        <f aca="false">SUMIFS(super1[Qtde],super1[Item],tab_alimentos[[#This Row],[Item]],super1[Bairro],mercado5)+SUMIFS(supercb[Qtde],supercb[Item],tab_alimentos[[#This Row],[Item]],supercb[Bairro],mercado5)</f>
        <v>0</v>
      </c>
      <c r="Q327" s="27" t="n">
        <f aca="false">SUMIFS(super1[Qtde],super1[Item],tab_alimentos[[#This Row],[Item]],super1[Bairro],mercado6)+SUMIFS(supercb[Qtde],supercb[Item],tab_alimentos[[#This Row],[Item]],supercb[Bairro],mercado6)</f>
        <v>0</v>
      </c>
      <c r="R327" s="27" t="n">
        <f aca="false">SUMIFS(super1[Qtde],super1[Item],tab_alimentos[[#This Row],[Item]],super1[Bairro],mercado7)+SUMIFS(supercb[Qtde],supercb[Item],tab_alimentos[[#This Row],[Item]],supercb[Bairro],mercado7)</f>
        <v>0</v>
      </c>
      <c r="S327" s="27" t="n">
        <f aca="false">SUMIFS(super1[Qtde],super1[Item],tab_alimentos[[#This Row],[Item]],super1[Bairro],mercado8)+SUMIFS(supercb[Qtde],supercb[Item],tab_alimentos[[#This Row],[Item]],supercb[Bairro],mercado8)</f>
        <v>0</v>
      </c>
      <c r="T327" s="27" t="n">
        <f aca="false">SUMIFS(super1[Qtde],super1[Item],tab_alimentos[[#This Row],[Item]],super1[Bairro],mercado9)+SUMIFS(supercb[Qtde],supercb[Item],tab_alimentos[[#This Row],[Item]],supercb[Bairro],mercado9)</f>
        <v>0</v>
      </c>
      <c r="U327" s="27" t="n">
        <f aca="false">SUMIFS(super1[Qtde],super1[Item],tab_alimentos[[#This Row],[Item]],super1[Bairro],mercado10)+SUMIFS(supercb[Qtde],supercb[Item],tab_alimentos[[#This Row],[Item]],supercb[Bairro],mercado10)</f>
        <v>0</v>
      </c>
      <c r="V327" s="27" t="n">
        <f aca="false">SUMIFS(super1[Qtde],super1[Item],tab_alimentos[[#This Row],[Item]],super1[Bairro],mercado11)+SUMIFS(supercb[Qtde],supercb[Item],tab_alimentos[[#This Row],[Item]],supercb[Bairro],mercado11)</f>
        <v>0</v>
      </c>
      <c r="W327" s="27" t="n">
        <f aca="false">SUMIFS(super1[Qtde],super1[Item],tab_alimentos[[#This Row],[Item]],super1[Bairro],mercado12)+SUMIFS(supercb[Qtde],supercb[Item],tab_alimentos[[#This Row],[Item]],supercb[Bairro],mercado12)</f>
        <v>0</v>
      </c>
      <c r="X327" s="27" t="n">
        <f aca="false">SUMIFS(super1[Qtde],super1[Item],tab_alimentos[[#This Row],[Item]],super1[Bairro],mercado13)+SUMIFS(supercb[Qtde],supercb[Item],tab_alimentos[[#This Row],[Item]],supercb[Bairro],mercado13)</f>
        <v>0</v>
      </c>
      <c r="Y327" s="27" t="n">
        <f aca="false">SUMIFS(super1[Qtde],super1[Item],tab_alimentos[[#This Row],[Item]],super1[Bairro],mercado14)+SUMIFS(supercb[Qtde],supercb[Item],tab_alimentos[[#This Row],[Item]],supercb[Bairro],mercado14)</f>
        <v>0</v>
      </c>
      <c r="Z327" s="27" t="n">
        <f aca="false">SUMIFS(super1[Qtde],super1[Item],tab_alimentos[[#This Row],[Item]],super1[Bairro],mercado15)+SUMIFS(supercb[Qtde],supercb[Item],tab_alimentos[[#This Row],[Item]],supercb[Bairro],mercado15)</f>
        <v>0</v>
      </c>
      <c r="AA327" s="27" t="n">
        <f aca="false">SUMIFS(super1[Qtde],super1[Item],tab_alimentos[[#This Row],[Item]],super1[Bairro],mercado16)+SUMIFS(supercb[Qtde],supercb[Item],tab_alimentos[[#This Row],[Item]],supercb[Bairro],mercado16)</f>
        <v>0</v>
      </c>
      <c r="AB327" s="27" t="n">
        <f aca="false">SUMIFS(super1[Qtde],super1[Item],tab_alimentos[[#This Row],[Item]],super1[Bairro],mercado17)+SUMIFS(supercb[Qtde],supercb[Item],tab_alimentos[[#This Row],[Item]],supercb[Bairro],mercado17)</f>
        <v>0</v>
      </c>
      <c r="AC327" s="27" t="n">
        <f aca="false">SUMIFS(super1[Qtde],super1[Item],tab_alimentos[[#This Row],[Item]],super1[Bairro],mercado18)+SUMIFS(supercb[Qtde],supercb[Item],tab_alimentos[[#This Row],[Item]],supercb[Bairro],mercado18)</f>
        <v>0</v>
      </c>
      <c r="AD327" s="27" t="n">
        <f aca="false">SUMIFS(super1[Qtde],super1[Item],tab_alimentos[[#This Row],[Item]],super1[Bairro],extras)+SUMIFS(supercb[Qtde],supercb[Item],tab_alimentos[[#This Row],[Item]],supercb[Bairro],extras)</f>
        <v>0</v>
      </c>
      <c r="AE327" s="27" t="n">
        <f aca="false">SUM(L327:AC327)</f>
        <v>0</v>
      </c>
      <c r="AF327" s="27" t="n">
        <f aca="false">IFERROR(AE327*K327,0)</f>
        <v>0</v>
      </c>
      <c r="AG327" s="28" t="n">
        <f aca="false">IFERROR(J327*AE327,0)</f>
        <v>0</v>
      </c>
    </row>
    <row r="328" customFormat="false" ht="15" hidden="false" customHeight="false" outlineLevel="0" collapsed="false">
      <c r="I328" s="26" t="e">
        <f aca="false">alimentos[[#This Row],[Item]]</f>
        <v>#VALUE!</v>
      </c>
      <c r="J328" s="27" t="n">
        <f aca="false">IFERROR(alimentos[[#This Row],[kg/embalagem]],0)</f>
        <v>0</v>
      </c>
      <c r="K328" s="27" t="n">
        <f aca="false">IFERROR(alimentos[[#This Row],[Preço]],0)</f>
        <v>0</v>
      </c>
      <c r="L328" s="27" t="n">
        <f aca="false">SUMIFS(super1[Qtde],super1[Item],tab_alimentos[[#This Row],[Item]],super1[Bairro],mercado1)+SUMIFS(supercb[Qtde],supercb[Item],tab_alimentos[[#This Row],[Item]],supercb[Bairro],mercado1)</f>
        <v>0</v>
      </c>
      <c r="M328" s="27" t="n">
        <f aca="false">SUMIFS(super1[Qtde],super1[Item],tab_alimentos[[#This Row],[Item]],super1[Bairro],mercado2)+SUMIFS(supercb[Qtde],supercb[Item],tab_alimentos[[#This Row],[Item]],supercb[Bairro],mercado2)</f>
        <v>0</v>
      </c>
      <c r="N328" s="27" t="n">
        <f aca="false">SUMIFS(super1[Qtde],super1[Item],tab_alimentos[[#This Row],[Item]],super1[Bairro],mercado3)+SUMIFS(supercb[Qtde],supercb[Item],tab_alimentos[[#This Row],[Item]],supercb[Bairro],mercado3)</f>
        <v>0</v>
      </c>
      <c r="O328" s="27" t="n">
        <f aca="false">SUMIFS(super1[Qtde],super1[Item],tab_alimentos[[#This Row],[Item]],super1[Bairro],mercado4)+SUMIFS(supercb[Qtde],supercb[Item],tab_alimentos[[#This Row],[Item]],supercb[Bairro],mercado4)</f>
        <v>0</v>
      </c>
      <c r="P328" s="27" t="n">
        <f aca="false">SUMIFS(super1[Qtde],super1[Item],tab_alimentos[[#This Row],[Item]],super1[Bairro],mercado5)+SUMIFS(supercb[Qtde],supercb[Item],tab_alimentos[[#This Row],[Item]],supercb[Bairro],mercado5)</f>
        <v>0</v>
      </c>
      <c r="Q328" s="27" t="n">
        <f aca="false">SUMIFS(super1[Qtde],super1[Item],tab_alimentos[[#This Row],[Item]],super1[Bairro],mercado6)+SUMIFS(supercb[Qtde],supercb[Item],tab_alimentos[[#This Row],[Item]],supercb[Bairro],mercado6)</f>
        <v>0</v>
      </c>
      <c r="R328" s="27" t="n">
        <f aca="false">SUMIFS(super1[Qtde],super1[Item],tab_alimentos[[#This Row],[Item]],super1[Bairro],mercado7)+SUMIFS(supercb[Qtde],supercb[Item],tab_alimentos[[#This Row],[Item]],supercb[Bairro],mercado7)</f>
        <v>0</v>
      </c>
      <c r="S328" s="27" t="n">
        <f aca="false">SUMIFS(super1[Qtde],super1[Item],tab_alimentos[[#This Row],[Item]],super1[Bairro],mercado8)+SUMIFS(supercb[Qtde],supercb[Item],tab_alimentos[[#This Row],[Item]],supercb[Bairro],mercado8)</f>
        <v>0</v>
      </c>
      <c r="T328" s="27" t="n">
        <f aca="false">SUMIFS(super1[Qtde],super1[Item],tab_alimentos[[#This Row],[Item]],super1[Bairro],mercado9)+SUMIFS(supercb[Qtde],supercb[Item],tab_alimentos[[#This Row],[Item]],supercb[Bairro],mercado9)</f>
        <v>0</v>
      </c>
      <c r="U328" s="27" t="n">
        <f aca="false">SUMIFS(super1[Qtde],super1[Item],tab_alimentos[[#This Row],[Item]],super1[Bairro],mercado10)+SUMIFS(supercb[Qtde],supercb[Item],tab_alimentos[[#This Row],[Item]],supercb[Bairro],mercado10)</f>
        <v>0</v>
      </c>
      <c r="V328" s="27" t="n">
        <f aca="false">SUMIFS(super1[Qtde],super1[Item],tab_alimentos[[#This Row],[Item]],super1[Bairro],mercado11)+SUMIFS(supercb[Qtde],supercb[Item],tab_alimentos[[#This Row],[Item]],supercb[Bairro],mercado11)</f>
        <v>0</v>
      </c>
      <c r="W328" s="27" t="n">
        <f aca="false">SUMIFS(super1[Qtde],super1[Item],tab_alimentos[[#This Row],[Item]],super1[Bairro],mercado12)+SUMIFS(supercb[Qtde],supercb[Item],tab_alimentos[[#This Row],[Item]],supercb[Bairro],mercado12)</f>
        <v>0</v>
      </c>
      <c r="X328" s="27" t="n">
        <f aca="false">SUMIFS(super1[Qtde],super1[Item],tab_alimentos[[#This Row],[Item]],super1[Bairro],mercado13)+SUMIFS(supercb[Qtde],supercb[Item],tab_alimentos[[#This Row],[Item]],supercb[Bairro],mercado13)</f>
        <v>0</v>
      </c>
      <c r="Y328" s="27" t="n">
        <f aca="false">SUMIFS(super1[Qtde],super1[Item],tab_alimentos[[#This Row],[Item]],super1[Bairro],mercado14)+SUMIFS(supercb[Qtde],supercb[Item],tab_alimentos[[#This Row],[Item]],supercb[Bairro],mercado14)</f>
        <v>0</v>
      </c>
      <c r="Z328" s="27" t="n">
        <f aca="false">SUMIFS(super1[Qtde],super1[Item],tab_alimentos[[#This Row],[Item]],super1[Bairro],mercado15)+SUMIFS(supercb[Qtde],supercb[Item],tab_alimentos[[#This Row],[Item]],supercb[Bairro],mercado15)</f>
        <v>0</v>
      </c>
      <c r="AA328" s="27" t="n">
        <f aca="false">SUMIFS(super1[Qtde],super1[Item],tab_alimentos[[#This Row],[Item]],super1[Bairro],mercado16)+SUMIFS(supercb[Qtde],supercb[Item],tab_alimentos[[#This Row],[Item]],supercb[Bairro],mercado16)</f>
        <v>0</v>
      </c>
      <c r="AB328" s="27" t="n">
        <f aca="false">SUMIFS(super1[Qtde],super1[Item],tab_alimentos[[#This Row],[Item]],super1[Bairro],mercado17)+SUMIFS(supercb[Qtde],supercb[Item],tab_alimentos[[#This Row],[Item]],supercb[Bairro],mercado17)</f>
        <v>0</v>
      </c>
      <c r="AC328" s="27" t="n">
        <f aca="false">SUMIFS(super1[Qtde],super1[Item],tab_alimentos[[#This Row],[Item]],super1[Bairro],mercado18)+SUMIFS(supercb[Qtde],supercb[Item],tab_alimentos[[#This Row],[Item]],supercb[Bairro],mercado18)</f>
        <v>0</v>
      </c>
      <c r="AD328" s="27" t="n">
        <f aca="false">SUMIFS(super1[Qtde],super1[Item],tab_alimentos[[#This Row],[Item]],super1[Bairro],extras)+SUMIFS(supercb[Qtde],supercb[Item],tab_alimentos[[#This Row],[Item]],supercb[Bairro],extras)</f>
        <v>0</v>
      </c>
      <c r="AE328" s="27" t="n">
        <f aca="false">SUM(L328:AC328)</f>
        <v>0</v>
      </c>
      <c r="AF328" s="27" t="n">
        <f aca="false">IFERROR(AE328*K328,0)</f>
        <v>0</v>
      </c>
      <c r="AG328" s="28" t="n">
        <f aca="false">IFERROR(J328*AE328,0)</f>
        <v>0</v>
      </c>
    </row>
    <row r="329" customFormat="false" ht="15" hidden="false" customHeight="false" outlineLevel="0" collapsed="false">
      <c r="I329" s="26" t="e">
        <f aca="false">alimentos[[#This Row],[Item]]</f>
        <v>#VALUE!</v>
      </c>
      <c r="J329" s="27" t="n">
        <f aca="false">IFERROR(alimentos[[#This Row],[kg/embalagem]],0)</f>
        <v>0</v>
      </c>
      <c r="K329" s="27" t="n">
        <f aca="false">IFERROR(alimentos[[#This Row],[Preço]],0)</f>
        <v>0</v>
      </c>
      <c r="L329" s="27" t="n">
        <f aca="false">SUMIFS(super1[Qtde],super1[Item],tab_alimentos[[#This Row],[Item]],super1[Bairro],mercado1)+SUMIFS(supercb[Qtde],supercb[Item],tab_alimentos[[#This Row],[Item]],supercb[Bairro],mercado1)</f>
        <v>0</v>
      </c>
      <c r="M329" s="27" t="n">
        <f aca="false">SUMIFS(super1[Qtde],super1[Item],tab_alimentos[[#This Row],[Item]],super1[Bairro],mercado2)+SUMIFS(supercb[Qtde],supercb[Item],tab_alimentos[[#This Row],[Item]],supercb[Bairro],mercado2)</f>
        <v>0</v>
      </c>
      <c r="N329" s="27" t="n">
        <f aca="false">SUMIFS(super1[Qtde],super1[Item],tab_alimentos[[#This Row],[Item]],super1[Bairro],mercado3)+SUMIFS(supercb[Qtde],supercb[Item],tab_alimentos[[#This Row],[Item]],supercb[Bairro],mercado3)</f>
        <v>0</v>
      </c>
      <c r="O329" s="27" t="n">
        <f aca="false">SUMIFS(super1[Qtde],super1[Item],tab_alimentos[[#This Row],[Item]],super1[Bairro],mercado4)+SUMIFS(supercb[Qtde],supercb[Item],tab_alimentos[[#This Row],[Item]],supercb[Bairro],mercado4)</f>
        <v>0</v>
      </c>
      <c r="P329" s="27" t="n">
        <f aca="false">SUMIFS(super1[Qtde],super1[Item],tab_alimentos[[#This Row],[Item]],super1[Bairro],mercado5)+SUMIFS(supercb[Qtde],supercb[Item],tab_alimentos[[#This Row],[Item]],supercb[Bairro],mercado5)</f>
        <v>0</v>
      </c>
      <c r="Q329" s="27" t="n">
        <f aca="false">SUMIFS(super1[Qtde],super1[Item],tab_alimentos[[#This Row],[Item]],super1[Bairro],mercado6)+SUMIFS(supercb[Qtde],supercb[Item],tab_alimentos[[#This Row],[Item]],supercb[Bairro],mercado6)</f>
        <v>0</v>
      </c>
      <c r="R329" s="27" t="n">
        <f aca="false">SUMIFS(super1[Qtde],super1[Item],tab_alimentos[[#This Row],[Item]],super1[Bairro],mercado7)+SUMIFS(supercb[Qtde],supercb[Item],tab_alimentos[[#This Row],[Item]],supercb[Bairro],mercado7)</f>
        <v>0</v>
      </c>
      <c r="S329" s="27" t="n">
        <f aca="false">SUMIFS(super1[Qtde],super1[Item],tab_alimentos[[#This Row],[Item]],super1[Bairro],mercado8)+SUMIFS(supercb[Qtde],supercb[Item],tab_alimentos[[#This Row],[Item]],supercb[Bairro],mercado8)</f>
        <v>0</v>
      </c>
      <c r="T329" s="27" t="n">
        <f aca="false">SUMIFS(super1[Qtde],super1[Item],tab_alimentos[[#This Row],[Item]],super1[Bairro],mercado9)+SUMIFS(supercb[Qtde],supercb[Item],tab_alimentos[[#This Row],[Item]],supercb[Bairro],mercado9)</f>
        <v>0</v>
      </c>
      <c r="U329" s="27" t="n">
        <f aca="false">SUMIFS(super1[Qtde],super1[Item],tab_alimentos[[#This Row],[Item]],super1[Bairro],mercado10)+SUMIFS(supercb[Qtde],supercb[Item],tab_alimentos[[#This Row],[Item]],supercb[Bairro],mercado10)</f>
        <v>0</v>
      </c>
      <c r="V329" s="27" t="n">
        <f aca="false">SUMIFS(super1[Qtde],super1[Item],tab_alimentos[[#This Row],[Item]],super1[Bairro],mercado11)+SUMIFS(supercb[Qtde],supercb[Item],tab_alimentos[[#This Row],[Item]],supercb[Bairro],mercado11)</f>
        <v>0</v>
      </c>
      <c r="W329" s="27" t="n">
        <f aca="false">SUMIFS(super1[Qtde],super1[Item],tab_alimentos[[#This Row],[Item]],super1[Bairro],mercado12)+SUMIFS(supercb[Qtde],supercb[Item],tab_alimentos[[#This Row],[Item]],supercb[Bairro],mercado12)</f>
        <v>0</v>
      </c>
      <c r="X329" s="27" t="n">
        <f aca="false">SUMIFS(super1[Qtde],super1[Item],tab_alimentos[[#This Row],[Item]],super1[Bairro],mercado13)+SUMIFS(supercb[Qtde],supercb[Item],tab_alimentos[[#This Row],[Item]],supercb[Bairro],mercado13)</f>
        <v>0</v>
      </c>
      <c r="Y329" s="27" t="n">
        <f aca="false">SUMIFS(super1[Qtde],super1[Item],tab_alimentos[[#This Row],[Item]],super1[Bairro],mercado14)+SUMIFS(supercb[Qtde],supercb[Item],tab_alimentos[[#This Row],[Item]],supercb[Bairro],mercado14)</f>
        <v>0</v>
      </c>
      <c r="Z329" s="27" t="n">
        <f aca="false">SUMIFS(super1[Qtde],super1[Item],tab_alimentos[[#This Row],[Item]],super1[Bairro],mercado15)+SUMIFS(supercb[Qtde],supercb[Item],tab_alimentos[[#This Row],[Item]],supercb[Bairro],mercado15)</f>
        <v>0</v>
      </c>
      <c r="AA329" s="27" t="n">
        <f aca="false">SUMIFS(super1[Qtde],super1[Item],tab_alimentos[[#This Row],[Item]],super1[Bairro],mercado16)+SUMIFS(supercb[Qtde],supercb[Item],tab_alimentos[[#This Row],[Item]],supercb[Bairro],mercado16)</f>
        <v>0</v>
      </c>
      <c r="AB329" s="27" t="n">
        <f aca="false">SUMIFS(super1[Qtde],super1[Item],tab_alimentos[[#This Row],[Item]],super1[Bairro],mercado17)+SUMIFS(supercb[Qtde],supercb[Item],tab_alimentos[[#This Row],[Item]],supercb[Bairro],mercado17)</f>
        <v>0</v>
      </c>
      <c r="AC329" s="27" t="n">
        <f aca="false">SUMIFS(super1[Qtde],super1[Item],tab_alimentos[[#This Row],[Item]],super1[Bairro],mercado18)+SUMIFS(supercb[Qtde],supercb[Item],tab_alimentos[[#This Row],[Item]],supercb[Bairro],mercado18)</f>
        <v>0</v>
      </c>
      <c r="AD329" s="27" t="n">
        <f aca="false">SUMIFS(super1[Qtde],super1[Item],tab_alimentos[[#This Row],[Item]],super1[Bairro],extras)+SUMIFS(supercb[Qtde],supercb[Item],tab_alimentos[[#This Row],[Item]],supercb[Bairro],extras)</f>
        <v>0</v>
      </c>
      <c r="AE329" s="27" t="n">
        <f aca="false">SUM(L329:AC329)</f>
        <v>0</v>
      </c>
      <c r="AF329" s="27" t="n">
        <f aca="false">IFERROR(AE329*K329,0)</f>
        <v>0</v>
      </c>
      <c r="AG329" s="28" t="n">
        <f aca="false">IFERROR(J329*AE329,0)</f>
        <v>0</v>
      </c>
    </row>
    <row r="330" customFormat="false" ht="15" hidden="false" customHeight="false" outlineLevel="0" collapsed="false">
      <c r="I330" s="26" t="e">
        <f aca="false">alimentos[[#This Row],[Item]]</f>
        <v>#VALUE!</v>
      </c>
      <c r="J330" s="27" t="n">
        <f aca="false">IFERROR(alimentos[[#This Row],[kg/embalagem]],0)</f>
        <v>0</v>
      </c>
      <c r="K330" s="27" t="n">
        <f aca="false">IFERROR(alimentos[[#This Row],[Preço]],0)</f>
        <v>0</v>
      </c>
      <c r="L330" s="27" t="n">
        <f aca="false">SUMIFS(super1[Qtde],super1[Item],tab_alimentos[[#This Row],[Item]],super1[Bairro],mercado1)+SUMIFS(supercb[Qtde],supercb[Item],tab_alimentos[[#This Row],[Item]],supercb[Bairro],mercado1)</f>
        <v>0</v>
      </c>
      <c r="M330" s="27" t="n">
        <f aca="false">SUMIFS(super1[Qtde],super1[Item],tab_alimentos[[#This Row],[Item]],super1[Bairro],mercado2)+SUMIFS(supercb[Qtde],supercb[Item],tab_alimentos[[#This Row],[Item]],supercb[Bairro],mercado2)</f>
        <v>0</v>
      </c>
      <c r="N330" s="27" t="n">
        <f aca="false">SUMIFS(super1[Qtde],super1[Item],tab_alimentos[[#This Row],[Item]],super1[Bairro],mercado3)+SUMIFS(supercb[Qtde],supercb[Item],tab_alimentos[[#This Row],[Item]],supercb[Bairro],mercado3)</f>
        <v>0</v>
      </c>
      <c r="O330" s="27" t="n">
        <f aca="false">SUMIFS(super1[Qtde],super1[Item],tab_alimentos[[#This Row],[Item]],super1[Bairro],mercado4)+SUMIFS(supercb[Qtde],supercb[Item],tab_alimentos[[#This Row],[Item]],supercb[Bairro],mercado4)</f>
        <v>0</v>
      </c>
      <c r="P330" s="27" t="n">
        <f aca="false">SUMIFS(super1[Qtde],super1[Item],tab_alimentos[[#This Row],[Item]],super1[Bairro],mercado5)+SUMIFS(supercb[Qtde],supercb[Item],tab_alimentos[[#This Row],[Item]],supercb[Bairro],mercado5)</f>
        <v>0</v>
      </c>
      <c r="Q330" s="27" t="n">
        <f aca="false">SUMIFS(super1[Qtde],super1[Item],tab_alimentos[[#This Row],[Item]],super1[Bairro],mercado6)+SUMIFS(supercb[Qtde],supercb[Item],tab_alimentos[[#This Row],[Item]],supercb[Bairro],mercado6)</f>
        <v>0</v>
      </c>
      <c r="R330" s="27" t="n">
        <f aca="false">SUMIFS(super1[Qtde],super1[Item],tab_alimentos[[#This Row],[Item]],super1[Bairro],mercado7)+SUMIFS(supercb[Qtde],supercb[Item],tab_alimentos[[#This Row],[Item]],supercb[Bairro],mercado7)</f>
        <v>0</v>
      </c>
      <c r="S330" s="27" t="n">
        <f aca="false">SUMIFS(super1[Qtde],super1[Item],tab_alimentos[[#This Row],[Item]],super1[Bairro],mercado8)+SUMIFS(supercb[Qtde],supercb[Item],tab_alimentos[[#This Row],[Item]],supercb[Bairro],mercado8)</f>
        <v>0</v>
      </c>
      <c r="T330" s="27" t="n">
        <f aca="false">SUMIFS(super1[Qtde],super1[Item],tab_alimentos[[#This Row],[Item]],super1[Bairro],mercado9)+SUMIFS(supercb[Qtde],supercb[Item],tab_alimentos[[#This Row],[Item]],supercb[Bairro],mercado9)</f>
        <v>0</v>
      </c>
      <c r="U330" s="27" t="n">
        <f aca="false">SUMIFS(super1[Qtde],super1[Item],tab_alimentos[[#This Row],[Item]],super1[Bairro],mercado10)+SUMIFS(supercb[Qtde],supercb[Item],tab_alimentos[[#This Row],[Item]],supercb[Bairro],mercado10)</f>
        <v>0</v>
      </c>
      <c r="V330" s="27" t="n">
        <f aca="false">SUMIFS(super1[Qtde],super1[Item],tab_alimentos[[#This Row],[Item]],super1[Bairro],mercado11)+SUMIFS(supercb[Qtde],supercb[Item],tab_alimentos[[#This Row],[Item]],supercb[Bairro],mercado11)</f>
        <v>0</v>
      </c>
      <c r="W330" s="27" t="n">
        <f aca="false">SUMIFS(super1[Qtde],super1[Item],tab_alimentos[[#This Row],[Item]],super1[Bairro],mercado12)+SUMIFS(supercb[Qtde],supercb[Item],tab_alimentos[[#This Row],[Item]],supercb[Bairro],mercado12)</f>
        <v>0</v>
      </c>
      <c r="X330" s="27" t="n">
        <f aca="false">SUMIFS(super1[Qtde],super1[Item],tab_alimentos[[#This Row],[Item]],super1[Bairro],mercado13)+SUMIFS(supercb[Qtde],supercb[Item],tab_alimentos[[#This Row],[Item]],supercb[Bairro],mercado13)</f>
        <v>0</v>
      </c>
      <c r="Y330" s="27" t="n">
        <f aca="false">SUMIFS(super1[Qtde],super1[Item],tab_alimentos[[#This Row],[Item]],super1[Bairro],mercado14)+SUMIFS(supercb[Qtde],supercb[Item],tab_alimentos[[#This Row],[Item]],supercb[Bairro],mercado14)</f>
        <v>0</v>
      </c>
      <c r="Z330" s="27" t="n">
        <f aca="false">SUMIFS(super1[Qtde],super1[Item],tab_alimentos[[#This Row],[Item]],super1[Bairro],mercado15)+SUMIFS(supercb[Qtde],supercb[Item],tab_alimentos[[#This Row],[Item]],supercb[Bairro],mercado15)</f>
        <v>0</v>
      </c>
      <c r="AA330" s="27" t="n">
        <f aca="false">SUMIFS(super1[Qtde],super1[Item],tab_alimentos[[#This Row],[Item]],super1[Bairro],mercado16)+SUMIFS(supercb[Qtde],supercb[Item],tab_alimentos[[#This Row],[Item]],supercb[Bairro],mercado16)</f>
        <v>0</v>
      </c>
      <c r="AB330" s="27" t="n">
        <f aca="false">SUMIFS(super1[Qtde],super1[Item],tab_alimentos[[#This Row],[Item]],super1[Bairro],mercado17)+SUMIFS(supercb[Qtde],supercb[Item],tab_alimentos[[#This Row],[Item]],supercb[Bairro],mercado17)</f>
        <v>0</v>
      </c>
      <c r="AC330" s="27" t="n">
        <f aca="false">SUMIFS(super1[Qtde],super1[Item],tab_alimentos[[#This Row],[Item]],super1[Bairro],mercado18)+SUMIFS(supercb[Qtde],supercb[Item],tab_alimentos[[#This Row],[Item]],supercb[Bairro],mercado18)</f>
        <v>0</v>
      </c>
      <c r="AD330" s="27" t="n">
        <f aca="false">SUMIFS(super1[Qtde],super1[Item],tab_alimentos[[#This Row],[Item]],super1[Bairro],extras)+SUMIFS(supercb[Qtde],supercb[Item],tab_alimentos[[#This Row],[Item]],supercb[Bairro],extras)</f>
        <v>0</v>
      </c>
      <c r="AE330" s="27" t="n">
        <f aca="false">SUM(L330:AC330)</f>
        <v>0</v>
      </c>
      <c r="AF330" s="27" t="n">
        <f aca="false">IFERROR(AE330*K330,0)</f>
        <v>0</v>
      </c>
      <c r="AG330" s="28" t="n">
        <f aca="false">IFERROR(J330*AE330,0)</f>
        <v>0</v>
      </c>
    </row>
    <row r="331" customFormat="false" ht="15" hidden="false" customHeight="false" outlineLevel="0" collapsed="false">
      <c r="I331" s="26" t="e">
        <f aca="false">alimentos[[#This Row],[Item]]</f>
        <v>#VALUE!</v>
      </c>
      <c r="J331" s="27" t="n">
        <f aca="false">IFERROR(alimentos[[#This Row],[kg/embalagem]],0)</f>
        <v>0</v>
      </c>
      <c r="K331" s="27" t="n">
        <f aca="false">IFERROR(alimentos[[#This Row],[Preço]],0)</f>
        <v>0</v>
      </c>
      <c r="L331" s="27" t="n">
        <f aca="false">SUMIFS(super1[Qtde],super1[Item],tab_alimentos[[#This Row],[Item]],super1[Bairro],mercado1)+SUMIFS(supercb[Qtde],supercb[Item],tab_alimentos[[#This Row],[Item]],supercb[Bairro],mercado1)</f>
        <v>0</v>
      </c>
      <c r="M331" s="27" t="n">
        <f aca="false">SUMIFS(super1[Qtde],super1[Item],tab_alimentos[[#This Row],[Item]],super1[Bairro],mercado2)+SUMIFS(supercb[Qtde],supercb[Item],tab_alimentos[[#This Row],[Item]],supercb[Bairro],mercado2)</f>
        <v>0</v>
      </c>
      <c r="N331" s="27" t="n">
        <f aca="false">SUMIFS(super1[Qtde],super1[Item],tab_alimentos[[#This Row],[Item]],super1[Bairro],mercado3)+SUMIFS(supercb[Qtde],supercb[Item],tab_alimentos[[#This Row],[Item]],supercb[Bairro],mercado3)</f>
        <v>0</v>
      </c>
      <c r="O331" s="27" t="n">
        <f aca="false">SUMIFS(super1[Qtde],super1[Item],tab_alimentos[[#This Row],[Item]],super1[Bairro],mercado4)+SUMIFS(supercb[Qtde],supercb[Item],tab_alimentos[[#This Row],[Item]],supercb[Bairro],mercado4)</f>
        <v>0</v>
      </c>
      <c r="P331" s="27" t="n">
        <f aca="false">SUMIFS(super1[Qtde],super1[Item],tab_alimentos[[#This Row],[Item]],super1[Bairro],mercado5)+SUMIFS(supercb[Qtde],supercb[Item],tab_alimentos[[#This Row],[Item]],supercb[Bairro],mercado5)</f>
        <v>0</v>
      </c>
      <c r="Q331" s="27" t="n">
        <f aca="false">SUMIFS(super1[Qtde],super1[Item],tab_alimentos[[#This Row],[Item]],super1[Bairro],mercado6)+SUMIFS(supercb[Qtde],supercb[Item],tab_alimentos[[#This Row],[Item]],supercb[Bairro],mercado6)</f>
        <v>0</v>
      </c>
      <c r="R331" s="27" t="n">
        <f aca="false">SUMIFS(super1[Qtde],super1[Item],tab_alimentos[[#This Row],[Item]],super1[Bairro],mercado7)+SUMIFS(supercb[Qtde],supercb[Item],tab_alimentos[[#This Row],[Item]],supercb[Bairro],mercado7)</f>
        <v>0</v>
      </c>
      <c r="S331" s="27" t="n">
        <f aca="false">SUMIFS(super1[Qtde],super1[Item],tab_alimentos[[#This Row],[Item]],super1[Bairro],mercado8)+SUMIFS(supercb[Qtde],supercb[Item],tab_alimentos[[#This Row],[Item]],supercb[Bairro],mercado8)</f>
        <v>0</v>
      </c>
      <c r="T331" s="27" t="n">
        <f aca="false">SUMIFS(super1[Qtde],super1[Item],tab_alimentos[[#This Row],[Item]],super1[Bairro],mercado9)+SUMIFS(supercb[Qtde],supercb[Item],tab_alimentos[[#This Row],[Item]],supercb[Bairro],mercado9)</f>
        <v>0</v>
      </c>
      <c r="U331" s="27" t="n">
        <f aca="false">SUMIFS(super1[Qtde],super1[Item],tab_alimentos[[#This Row],[Item]],super1[Bairro],mercado10)+SUMIFS(supercb[Qtde],supercb[Item],tab_alimentos[[#This Row],[Item]],supercb[Bairro],mercado10)</f>
        <v>0</v>
      </c>
      <c r="V331" s="27" t="n">
        <f aca="false">SUMIFS(super1[Qtde],super1[Item],tab_alimentos[[#This Row],[Item]],super1[Bairro],mercado11)+SUMIFS(supercb[Qtde],supercb[Item],tab_alimentos[[#This Row],[Item]],supercb[Bairro],mercado11)</f>
        <v>0</v>
      </c>
      <c r="W331" s="27" t="n">
        <f aca="false">SUMIFS(super1[Qtde],super1[Item],tab_alimentos[[#This Row],[Item]],super1[Bairro],mercado12)+SUMIFS(supercb[Qtde],supercb[Item],tab_alimentos[[#This Row],[Item]],supercb[Bairro],mercado12)</f>
        <v>0</v>
      </c>
      <c r="X331" s="27" t="n">
        <f aca="false">SUMIFS(super1[Qtde],super1[Item],tab_alimentos[[#This Row],[Item]],super1[Bairro],mercado13)+SUMIFS(supercb[Qtde],supercb[Item],tab_alimentos[[#This Row],[Item]],supercb[Bairro],mercado13)</f>
        <v>0</v>
      </c>
      <c r="Y331" s="27" t="n">
        <f aca="false">SUMIFS(super1[Qtde],super1[Item],tab_alimentos[[#This Row],[Item]],super1[Bairro],mercado14)+SUMIFS(supercb[Qtde],supercb[Item],tab_alimentos[[#This Row],[Item]],supercb[Bairro],mercado14)</f>
        <v>0</v>
      </c>
      <c r="Z331" s="27" t="n">
        <f aca="false">SUMIFS(super1[Qtde],super1[Item],tab_alimentos[[#This Row],[Item]],super1[Bairro],mercado15)+SUMIFS(supercb[Qtde],supercb[Item],tab_alimentos[[#This Row],[Item]],supercb[Bairro],mercado15)</f>
        <v>0</v>
      </c>
      <c r="AA331" s="27" t="n">
        <f aca="false">SUMIFS(super1[Qtde],super1[Item],tab_alimentos[[#This Row],[Item]],super1[Bairro],mercado16)+SUMIFS(supercb[Qtde],supercb[Item],tab_alimentos[[#This Row],[Item]],supercb[Bairro],mercado16)</f>
        <v>0</v>
      </c>
      <c r="AB331" s="27" t="n">
        <f aca="false">SUMIFS(super1[Qtde],super1[Item],tab_alimentos[[#This Row],[Item]],super1[Bairro],mercado17)+SUMIFS(supercb[Qtde],supercb[Item],tab_alimentos[[#This Row],[Item]],supercb[Bairro],mercado17)</f>
        <v>0</v>
      </c>
      <c r="AC331" s="27" t="n">
        <f aca="false">SUMIFS(super1[Qtde],super1[Item],tab_alimentos[[#This Row],[Item]],super1[Bairro],mercado18)+SUMIFS(supercb[Qtde],supercb[Item],tab_alimentos[[#This Row],[Item]],supercb[Bairro],mercado18)</f>
        <v>0</v>
      </c>
      <c r="AD331" s="27" t="n">
        <f aca="false">SUMIFS(super1[Qtde],super1[Item],tab_alimentos[[#This Row],[Item]],super1[Bairro],extras)+SUMIFS(supercb[Qtde],supercb[Item],tab_alimentos[[#This Row],[Item]],supercb[Bairro],extras)</f>
        <v>0</v>
      </c>
      <c r="AE331" s="27" t="n">
        <f aca="false">SUM(L331:AC331)</f>
        <v>0</v>
      </c>
      <c r="AF331" s="27" t="n">
        <f aca="false">IFERROR(AE331*K331,0)</f>
        <v>0</v>
      </c>
      <c r="AG331" s="28" t="n">
        <f aca="false">IFERROR(J331*AE331,0)</f>
        <v>0</v>
      </c>
    </row>
    <row r="332" customFormat="false" ht="15" hidden="false" customHeight="false" outlineLevel="0" collapsed="false">
      <c r="I332" s="26" t="e">
        <f aca="false">alimentos[[#This Row],[Item]]</f>
        <v>#VALUE!</v>
      </c>
      <c r="J332" s="27" t="n">
        <f aca="false">IFERROR(alimentos[[#This Row],[kg/embalagem]],0)</f>
        <v>0</v>
      </c>
      <c r="K332" s="27" t="n">
        <f aca="false">IFERROR(alimentos[[#This Row],[Preço]],0)</f>
        <v>0</v>
      </c>
      <c r="L332" s="27" t="n">
        <f aca="false">SUMIFS(super1[Qtde],super1[Item],tab_alimentos[[#This Row],[Item]],super1[Bairro],mercado1)+SUMIFS(supercb[Qtde],supercb[Item],tab_alimentos[[#This Row],[Item]],supercb[Bairro],mercado1)</f>
        <v>0</v>
      </c>
      <c r="M332" s="27" t="n">
        <f aca="false">SUMIFS(super1[Qtde],super1[Item],tab_alimentos[[#This Row],[Item]],super1[Bairro],mercado2)+SUMIFS(supercb[Qtde],supercb[Item],tab_alimentos[[#This Row],[Item]],supercb[Bairro],mercado2)</f>
        <v>0</v>
      </c>
      <c r="N332" s="27" t="n">
        <f aca="false">SUMIFS(super1[Qtde],super1[Item],tab_alimentos[[#This Row],[Item]],super1[Bairro],mercado3)+SUMIFS(supercb[Qtde],supercb[Item],tab_alimentos[[#This Row],[Item]],supercb[Bairro],mercado3)</f>
        <v>0</v>
      </c>
      <c r="O332" s="27" t="n">
        <f aca="false">SUMIFS(super1[Qtde],super1[Item],tab_alimentos[[#This Row],[Item]],super1[Bairro],mercado4)+SUMIFS(supercb[Qtde],supercb[Item],tab_alimentos[[#This Row],[Item]],supercb[Bairro],mercado4)</f>
        <v>0</v>
      </c>
      <c r="P332" s="27" t="n">
        <f aca="false">SUMIFS(super1[Qtde],super1[Item],tab_alimentos[[#This Row],[Item]],super1[Bairro],mercado5)+SUMIFS(supercb[Qtde],supercb[Item],tab_alimentos[[#This Row],[Item]],supercb[Bairro],mercado5)</f>
        <v>0</v>
      </c>
      <c r="Q332" s="27" t="n">
        <f aca="false">SUMIFS(super1[Qtde],super1[Item],tab_alimentos[[#This Row],[Item]],super1[Bairro],mercado6)+SUMIFS(supercb[Qtde],supercb[Item],tab_alimentos[[#This Row],[Item]],supercb[Bairro],mercado6)</f>
        <v>0</v>
      </c>
      <c r="R332" s="27" t="n">
        <f aca="false">SUMIFS(super1[Qtde],super1[Item],tab_alimentos[[#This Row],[Item]],super1[Bairro],mercado7)+SUMIFS(supercb[Qtde],supercb[Item],tab_alimentos[[#This Row],[Item]],supercb[Bairro],mercado7)</f>
        <v>0</v>
      </c>
      <c r="S332" s="27" t="n">
        <f aca="false">SUMIFS(super1[Qtde],super1[Item],tab_alimentos[[#This Row],[Item]],super1[Bairro],mercado8)+SUMIFS(supercb[Qtde],supercb[Item],tab_alimentos[[#This Row],[Item]],supercb[Bairro],mercado8)</f>
        <v>0</v>
      </c>
      <c r="T332" s="27" t="n">
        <f aca="false">SUMIFS(super1[Qtde],super1[Item],tab_alimentos[[#This Row],[Item]],super1[Bairro],mercado9)+SUMIFS(supercb[Qtde],supercb[Item],tab_alimentos[[#This Row],[Item]],supercb[Bairro],mercado9)</f>
        <v>0</v>
      </c>
      <c r="U332" s="27" t="n">
        <f aca="false">SUMIFS(super1[Qtde],super1[Item],tab_alimentos[[#This Row],[Item]],super1[Bairro],mercado10)+SUMIFS(supercb[Qtde],supercb[Item],tab_alimentos[[#This Row],[Item]],supercb[Bairro],mercado10)</f>
        <v>0</v>
      </c>
      <c r="V332" s="27" t="n">
        <f aca="false">SUMIFS(super1[Qtde],super1[Item],tab_alimentos[[#This Row],[Item]],super1[Bairro],mercado11)+SUMIFS(supercb[Qtde],supercb[Item],tab_alimentos[[#This Row],[Item]],supercb[Bairro],mercado11)</f>
        <v>0</v>
      </c>
      <c r="W332" s="27" t="n">
        <f aca="false">SUMIFS(super1[Qtde],super1[Item],tab_alimentos[[#This Row],[Item]],super1[Bairro],mercado12)+SUMIFS(supercb[Qtde],supercb[Item],tab_alimentos[[#This Row],[Item]],supercb[Bairro],mercado12)</f>
        <v>0</v>
      </c>
      <c r="X332" s="27" t="n">
        <f aca="false">SUMIFS(super1[Qtde],super1[Item],tab_alimentos[[#This Row],[Item]],super1[Bairro],mercado13)+SUMIFS(supercb[Qtde],supercb[Item],tab_alimentos[[#This Row],[Item]],supercb[Bairro],mercado13)</f>
        <v>0</v>
      </c>
      <c r="Y332" s="27" t="n">
        <f aca="false">SUMIFS(super1[Qtde],super1[Item],tab_alimentos[[#This Row],[Item]],super1[Bairro],mercado14)+SUMIFS(supercb[Qtde],supercb[Item],tab_alimentos[[#This Row],[Item]],supercb[Bairro],mercado14)</f>
        <v>0</v>
      </c>
      <c r="Z332" s="27" t="n">
        <f aca="false">SUMIFS(super1[Qtde],super1[Item],tab_alimentos[[#This Row],[Item]],super1[Bairro],mercado15)+SUMIFS(supercb[Qtde],supercb[Item],tab_alimentos[[#This Row],[Item]],supercb[Bairro],mercado15)</f>
        <v>0</v>
      </c>
      <c r="AA332" s="27" t="n">
        <f aca="false">SUMIFS(super1[Qtde],super1[Item],tab_alimentos[[#This Row],[Item]],super1[Bairro],mercado16)+SUMIFS(supercb[Qtde],supercb[Item],tab_alimentos[[#This Row],[Item]],supercb[Bairro],mercado16)</f>
        <v>0</v>
      </c>
      <c r="AB332" s="27" t="n">
        <f aca="false">SUMIFS(super1[Qtde],super1[Item],tab_alimentos[[#This Row],[Item]],super1[Bairro],mercado17)+SUMIFS(supercb[Qtde],supercb[Item],tab_alimentos[[#This Row],[Item]],supercb[Bairro],mercado17)</f>
        <v>0</v>
      </c>
      <c r="AC332" s="27" t="n">
        <f aca="false">SUMIFS(super1[Qtde],super1[Item],tab_alimentos[[#This Row],[Item]],super1[Bairro],mercado18)+SUMIFS(supercb[Qtde],supercb[Item],tab_alimentos[[#This Row],[Item]],supercb[Bairro],mercado18)</f>
        <v>0</v>
      </c>
      <c r="AD332" s="27" t="n">
        <f aca="false">SUMIFS(super1[Qtde],super1[Item],tab_alimentos[[#This Row],[Item]],super1[Bairro],extras)+SUMIFS(supercb[Qtde],supercb[Item],tab_alimentos[[#This Row],[Item]],supercb[Bairro],extras)</f>
        <v>0</v>
      </c>
      <c r="AE332" s="27" t="n">
        <f aca="false">SUM(L332:AC332)</f>
        <v>0</v>
      </c>
      <c r="AF332" s="27" t="n">
        <f aca="false">IFERROR(AE332*K332,0)</f>
        <v>0</v>
      </c>
      <c r="AG332" s="28" t="n">
        <f aca="false">IFERROR(J332*AE332,0)</f>
        <v>0</v>
      </c>
    </row>
    <row r="333" customFormat="false" ht="15" hidden="false" customHeight="false" outlineLevel="0" collapsed="false">
      <c r="I333" s="26" t="e">
        <f aca="false">alimentos[[#This Row],[Item]]</f>
        <v>#VALUE!</v>
      </c>
      <c r="J333" s="27" t="n">
        <f aca="false">IFERROR(alimentos[[#This Row],[kg/embalagem]],0)</f>
        <v>0</v>
      </c>
      <c r="K333" s="27" t="n">
        <f aca="false">IFERROR(alimentos[[#This Row],[Preço]],0)</f>
        <v>0</v>
      </c>
      <c r="L333" s="27" t="n">
        <f aca="false">SUMIFS(super1[Qtde],super1[Item],tab_alimentos[[#This Row],[Item]],super1[Bairro],mercado1)+SUMIFS(supercb[Qtde],supercb[Item],tab_alimentos[[#This Row],[Item]],supercb[Bairro],mercado1)</f>
        <v>0</v>
      </c>
      <c r="M333" s="27" t="n">
        <f aca="false">SUMIFS(super1[Qtde],super1[Item],tab_alimentos[[#This Row],[Item]],super1[Bairro],mercado2)+SUMIFS(supercb[Qtde],supercb[Item],tab_alimentos[[#This Row],[Item]],supercb[Bairro],mercado2)</f>
        <v>0</v>
      </c>
      <c r="N333" s="27" t="n">
        <f aca="false">SUMIFS(super1[Qtde],super1[Item],tab_alimentos[[#This Row],[Item]],super1[Bairro],mercado3)+SUMIFS(supercb[Qtde],supercb[Item],tab_alimentos[[#This Row],[Item]],supercb[Bairro],mercado3)</f>
        <v>0</v>
      </c>
      <c r="O333" s="27" t="n">
        <f aca="false">SUMIFS(super1[Qtde],super1[Item],tab_alimentos[[#This Row],[Item]],super1[Bairro],mercado4)+SUMIFS(supercb[Qtde],supercb[Item],tab_alimentos[[#This Row],[Item]],supercb[Bairro],mercado4)</f>
        <v>0</v>
      </c>
      <c r="P333" s="27" t="n">
        <f aca="false">SUMIFS(super1[Qtde],super1[Item],tab_alimentos[[#This Row],[Item]],super1[Bairro],mercado5)+SUMIFS(supercb[Qtde],supercb[Item],tab_alimentos[[#This Row],[Item]],supercb[Bairro],mercado5)</f>
        <v>0</v>
      </c>
      <c r="Q333" s="27" t="n">
        <f aca="false">SUMIFS(super1[Qtde],super1[Item],tab_alimentos[[#This Row],[Item]],super1[Bairro],mercado6)+SUMIFS(supercb[Qtde],supercb[Item],tab_alimentos[[#This Row],[Item]],supercb[Bairro],mercado6)</f>
        <v>0</v>
      </c>
      <c r="R333" s="27" t="n">
        <f aca="false">SUMIFS(super1[Qtde],super1[Item],tab_alimentos[[#This Row],[Item]],super1[Bairro],mercado7)+SUMIFS(supercb[Qtde],supercb[Item],tab_alimentos[[#This Row],[Item]],supercb[Bairro],mercado7)</f>
        <v>0</v>
      </c>
      <c r="S333" s="27" t="n">
        <f aca="false">SUMIFS(super1[Qtde],super1[Item],tab_alimentos[[#This Row],[Item]],super1[Bairro],mercado8)+SUMIFS(supercb[Qtde],supercb[Item],tab_alimentos[[#This Row],[Item]],supercb[Bairro],mercado8)</f>
        <v>0</v>
      </c>
      <c r="T333" s="27" t="n">
        <f aca="false">SUMIFS(super1[Qtde],super1[Item],tab_alimentos[[#This Row],[Item]],super1[Bairro],mercado9)+SUMIFS(supercb[Qtde],supercb[Item],tab_alimentos[[#This Row],[Item]],supercb[Bairro],mercado9)</f>
        <v>0</v>
      </c>
      <c r="U333" s="27" t="n">
        <f aca="false">SUMIFS(super1[Qtde],super1[Item],tab_alimentos[[#This Row],[Item]],super1[Bairro],mercado10)+SUMIFS(supercb[Qtde],supercb[Item],tab_alimentos[[#This Row],[Item]],supercb[Bairro],mercado10)</f>
        <v>0</v>
      </c>
      <c r="V333" s="27" t="n">
        <f aca="false">SUMIFS(super1[Qtde],super1[Item],tab_alimentos[[#This Row],[Item]],super1[Bairro],mercado11)+SUMIFS(supercb[Qtde],supercb[Item],tab_alimentos[[#This Row],[Item]],supercb[Bairro],mercado11)</f>
        <v>0</v>
      </c>
      <c r="W333" s="27" t="n">
        <f aca="false">SUMIFS(super1[Qtde],super1[Item],tab_alimentos[[#This Row],[Item]],super1[Bairro],mercado12)+SUMIFS(supercb[Qtde],supercb[Item],tab_alimentos[[#This Row],[Item]],supercb[Bairro],mercado12)</f>
        <v>0</v>
      </c>
      <c r="X333" s="27" t="n">
        <f aca="false">SUMIFS(super1[Qtde],super1[Item],tab_alimentos[[#This Row],[Item]],super1[Bairro],mercado13)+SUMIFS(supercb[Qtde],supercb[Item],tab_alimentos[[#This Row],[Item]],supercb[Bairro],mercado13)</f>
        <v>0</v>
      </c>
      <c r="Y333" s="27" t="n">
        <f aca="false">SUMIFS(super1[Qtde],super1[Item],tab_alimentos[[#This Row],[Item]],super1[Bairro],mercado14)+SUMIFS(supercb[Qtde],supercb[Item],tab_alimentos[[#This Row],[Item]],supercb[Bairro],mercado14)</f>
        <v>0</v>
      </c>
      <c r="Z333" s="27" t="n">
        <f aca="false">SUMIFS(super1[Qtde],super1[Item],tab_alimentos[[#This Row],[Item]],super1[Bairro],mercado15)+SUMIFS(supercb[Qtde],supercb[Item],tab_alimentos[[#This Row],[Item]],supercb[Bairro],mercado15)</f>
        <v>0</v>
      </c>
      <c r="AA333" s="27" t="n">
        <f aca="false">SUMIFS(super1[Qtde],super1[Item],tab_alimentos[[#This Row],[Item]],super1[Bairro],mercado16)+SUMIFS(supercb[Qtde],supercb[Item],tab_alimentos[[#This Row],[Item]],supercb[Bairro],mercado16)</f>
        <v>0</v>
      </c>
      <c r="AB333" s="27" t="n">
        <f aca="false">SUMIFS(super1[Qtde],super1[Item],tab_alimentos[[#This Row],[Item]],super1[Bairro],mercado17)+SUMIFS(supercb[Qtde],supercb[Item],tab_alimentos[[#This Row],[Item]],supercb[Bairro],mercado17)</f>
        <v>0</v>
      </c>
      <c r="AC333" s="27" t="n">
        <f aca="false">SUMIFS(super1[Qtde],super1[Item],tab_alimentos[[#This Row],[Item]],super1[Bairro],mercado18)+SUMIFS(supercb[Qtde],supercb[Item],tab_alimentos[[#This Row],[Item]],supercb[Bairro],mercado18)</f>
        <v>0</v>
      </c>
      <c r="AD333" s="27" t="n">
        <f aca="false">SUMIFS(super1[Qtde],super1[Item],tab_alimentos[[#This Row],[Item]],super1[Bairro],extras)+SUMIFS(supercb[Qtde],supercb[Item],tab_alimentos[[#This Row],[Item]],supercb[Bairro],extras)</f>
        <v>0</v>
      </c>
      <c r="AE333" s="27" t="n">
        <f aca="false">SUM(L333:AC333)</f>
        <v>0</v>
      </c>
      <c r="AF333" s="27" t="n">
        <f aca="false">IFERROR(AE333*K333,0)</f>
        <v>0</v>
      </c>
      <c r="AG333" s="28" t="n">
        <f aca="false">IFERROR(J333*AE333,0)</f>
        <v>0</v>
      </c>
    </row>
    <row r="334" customFormat="false" ht="15" hidden="false" customHeight="false" outlineLevel="0" collapsed="false">
      <c r="I334" s="26" t="e">
        <f aca="false">alimentos[[#This Row],[Item]]</f>
        <v>#VALUE!</v>
      </c>
      <c r="J334" s="27" t="n">
        <f aca="false">IFERROR(alimentos[[#This Row],[kg/embalagem]],0)</f>
        <v>0</v>
      </c>
      <c r="K334" s="27" t="n">
        <f aca="false">IFERROR(alimentos[[#This Row],[Preço]],0)</f>
        <v>0</v>
      </c>
      <c r="L334" s="27" t="n">
        <f aca="false">SUMIFS(super1[Qtde],super1[Item],tab_alimentos[[#This Row],[Item]],super1[Bairro],mercado1)+SUMIFS(supercb[Qtde],supercb[Item],tab_alimentos[[#This Row],[Item]],supercb[Bairro],mercado1)</f>
        <v>0</v>
      </c>
      <c r="M334" s="27" t="n">
        <f aca="false">SUMIFS(super1[Qtde],super1[Item],tab_alimentos[[#This Row],[Item]],super1[Bairro],mercado2)+SUMIFS(supercb[Qtde],supercb[Item],tab_alimentos[[#This Row],[Item]],supercb[Bairro],mercado2)</f>
        <v>0</v>
      </c>
      <c r="N334" s="27" t="n">
        <f aca="false">SUMIFS(super1[Qtde],super1[Item],tab_alimentos[[#This Row],[Item]],super1[Bairro],mercado3)+SUMIFS(supercb[Qtde],supercb[Item],tab_alimentos[[#This Row],[Item]],supercb[Bairro],mercado3)</f>
        <v>0</v>
      </c>
      <c r="O334" s="27" t="n">
        <f aca="false">SUMIFS(super1[Qtde],super1[Item],tab_alimentos[[#This Row],[Item]],super1[Bairro],mercado4)+SUMIFS(supercb[Qtde],supercb[Item],tab_alimentos[[#This Row],[Item]],supercb[Bairro],mercado4)</f>
        <v>0</v>
      </c>
      <c r="P334" s="27" t="n">
        <f aca="false">SUMIFS(super1[Qtde],super1[Item],tab_alimentos[[#This Row],[Item]],super1[Bairro],mercado5)+SUMIFS(supercb[Qtde],supercb[Item],tab_alimentos[[#This Row],[Item]],supercb[Bairro],mercado5)</f>
        <v>0</v>
      </c>
      <c r="Q334" s="27" t="n">
        <f aca="false">SUMIFS(super1[Qtde],super1[Item],tab_alimentos[[#This Row],[Item]],super1[Bairro],mercado6)+SUMIFS(supercb[Qtde],supercb[Item],tab_alimentos[[#This Row],[Item]],supercb[Bairro],mercado6)</f>
        <v>0</v>
      </c>
      <c r="R334" s="27" t="n">
        <f aca="false">SUMIFS(super1[Qtde],super1[Item],tab_alimentos[[#This Row],[Item]],super1[Bairro],mercado7)+SUMIFS(supercb[Qtde],supercb[Item],tab_alimentos[[#This Row],[Item]],supercb[Bairro],mercado7)</f>
        <v>0</v>
      </c>
      <c r="S334" s="27" t="n">
        <f aca="false">SUMIFS(super1[Qtde],super1[Item],tab_alimentos[[#This Row],[Item]],super1[Bairro],mercado8)+SUMIFS(supercb[Qtde],supercb[Item],tab_alimentos[[#This Row],[Item]],supercb[Bairro],mercado8)</f>
        <v>0</v>
      </c>
      <c r="T334" s="27" t="n">
        <f aca="false">SUMIFS(super1[Qtde],super1[Item],tab_alimentos[[#This Row],[Item]],super1[Bairro],mercado9)+SUMIFS(supercb[Qtde],supercb[Item],tab_alimentos[[#This Row],[Item]],supercb[Bairro],mercado9)</f>
        <v>0</v>
      </c>
      <c r="U334" s="27" t="n">
        <f aca="false">SUMIFS(super1[Qtde],super1[Item],tab_alimentos[[#This Row],[Item]],super1[Bairro],mercado10)+SUMIFS(supercb[Qtde],supercb[Item],tab_alimentos[[#This Row],[Item]],supercb[Bairro],mercado10)</f>
        <v>0</v>
      </c>
      <c r="V334" s="27" t="n">
        <f aca="false">SUMIFS(super1[Qtde],super1[Item],tab_alimentos[[#This Row],[Item]],super1[Bairro],mercado11)+SUMIFS(supercb[Qtde],supercb[Item],tab_alimentos[[#This Row],[Item]],supercb[Bairro],mercado11)</f>
        <v>0</v>
      </c>
      <c r="W334" s="27" t="n">
        <f aca="false">SUMIFS(super1[Qtde],super1[Item],tab_alimentos[[#This Row],[Item]],super1[Bairro],mercado12)+SUMIFS(supercb[Qtde],supercb[Item],tab_alimentos[[#This Row],[Item]],supercb[Bairro],mercado12)</f>
        <v>0</v>
      </c>
      <c r="X334" s="27" t="n">
        <f aca="false">SUMIFS(super1[Qtde],super1[Item],tab_alimentos[[#This Row],[Item]],super1[Bairro],mercado13)+SUMIFS(supercb[Qtde],supercb[Item],tab_alimentos[[#This Row],[Item]],supercb[Bairro],mercado13)</f>
        <v>0</v>
      </c>
      <c r="Y334" s="27" t="n">
        <f aca="false">SUMIFS(super1[Qtde],super1[Item],tab_alimentos[[#This Row],[Item]],super1[Bairro],mercado14)+SUMIFS(supercb[Qtde],supercb[Item],tab_alimentos[[#This Row],[Item]],supercb[Bairro],mercado14)</f>
        <v>0</v>
      </c>
      <c r="Z334" s="27" t="n">
        <f aca="false">SUMIFS(super1[Qtde],super1[Item],tab_alimentos[[#This Row],[Item]],super1[Bairro],mercado15)+SUMIFS(supercb[Qtde],supercb[Item],tab_alimentos[[#This Row],[Item]],supercb[Bairro],mercado15)</f>
        <v>0</v>
      </c>
      <c r="AA334" s="27" t="n">
        <f aca="false">SUMIFS(super1[Qtde],super1[Item],tab_alimentos[[#This Row],[Item]],super1[Bairro],mercado16)+SUMIFS(supercb[Qtde],supercb[Item],tab_alimentos[[#This Row],[Item]],supercb[Bairro],mercado16)</f>
        <v>0</v>
      </c>
      <c r="AB334" s="27" t="n">
        <f aca="false">SUMIFS(super1[Qtde],super1[Item],tab_alimentos[[#This Row],[Item]],super1[Bairro],mercado17)+SUMIFS(supercb[Qtde],supercb[Item],tab_alimentos[[#This Row],[Item]],supercb[Bairro],mercado17)</f>
        <v>0</v>
      </c>
      <c r="AC334" s="27" t="n">
        <f aca="false">SUMIFS(super1[Qtde],super1[Item],tab_alimentos[[#This Row],[Item]],super1[Bairro],mercado18)+SUMIFS(supercb[Qtde],supercb[Item],tab_alimentos[[#This Row],[Item]],supercb[Bairro],mercado18)</f>
        <v>0</v>
      </c>
      <c r="AD334" s="27" t="n">
        <f aca="false">SUMIFS(super1[Qtde],super1[Item],tab_alimentos[[#This Row],[Item]],super1[Bairro],extras)+SUMIFS(supercb[Qtde],supercb[Item],tab_alimentos[[#This Row],[Item]],supercb[Bairro],extras)</f>
        <v>0</v>
      </c>
      <c r="AE334" s="27" t="n">
        <f aca="false">SUM(L334:AC334)</f>
        <v>0</v>
      </c>
      <c r="AF334" s="27" t="n">
        <f aca="false">IFERROR(AE334*K334,0)</f>
        <v>0</v>
      </c>
      <c r="AG334" s="28" t="n">
        <f aca="false">IFERROR(J334*AE334,0)</f>
        <v>0</v>
      </c>
    </row>
    <row r="335" customFormat="false" ht="15" hidden="false" customHeight="false" outlineLevel="0" collapsed="false">
      <c r="I335" s="26" t="e">
        <f aca="false">alimentos[[#This Row],[Item]]</f>
        <v>#VALUE!</v>
      </c>
      <c r="J335" s="27" t="n">
        <f aca="false">IFERROR(alimentos[[#This Row],[kg/embalagem]],0)</f>
        <v>0</v>
      </c>
      <c r="K335" s="27" t="n">
        <f aca="false">IFERROR(alimentos[[#This Row],[Preço]],0)</f>
        <v>0</v>
      </c>
      <c r="L335" s="27" t="n">
        <f aca="false">SUMIFS(super1[Qtde],super1[Item],tab_alimentos[[#This Row],[Item]],super1[Bairro],mercado1)+SUMIFS(supercb[Qtde],supercb[Item],tab_alimentos[[#This Row],[Item]],supercb[Bairro],mercado1)</f>
        <v>0</v>
      </c>
      <c r="M335" s="27" t="n">
        <f aca="false">SUMIFS(super1[Qtde],super1[Item],tab_alimentos[[#This Row],[Item]],super1[Bairro],mercado2)+SUMIFS(supercb[Qtde],supercb[Item],tab_alimentos[[#This Row],[Item]],supercb[Bairro],mercado2)</f>
        <v>0</v>
      </c>
      <c r="N335" s="27" t="n">
        <f aca="false">SUMIFS(super1[Qtde],super1[Item],tab_alimentos[[#This Row],[Item]],super1[Bairro],mercado3)+SUMIFS(supercb[Qtde],supercb[Item],tab_alimentos[[#This Row],[Item]],supercb[Bairro],mercado3)</f>
        <v>0</v>
      </c>
      <c r="O335" s="27" t="n">
        <f aca="false">SUMIFS(super1[Qtde],super1[Item],tab_alimentos[[#This Row],[Item]],super1[Bairro],mercado4)+SUMIFS(supercb[Qtde],supercb[Item],tab_alimentos[[#This Row],[Item]],supercb[Bairro],mercado4)</f>
        <v>0</v>
      </c>
      <c r="P335" s="27" t="n">
        <f aca="false">SUMIFS(super1[Qtde],super1[Item],tab_alimentos[[#This Row],[Item]],super1[Bairro],mercado5)+SUMIFS(supercb[Qtde],supercb[Item],tab_alimentos[[#This Row],[Item]],supercb[Bairro],mercado5)</f>
        <v>0</v>
      </c>
      <c r="Q335" s="27" t="n">
        <f aca="false">SUMIFS(super1[Qtde],super1[Item],tab_alimentos[[#This Row],[Item]],super1[Bairro],mercado6)+SUMIFS(supercb[Qtde],supercb[Item],tab_alimentos[[#This Row],[Item]],supercb[Bairro],mercado6)</f>
        <v>0</v>
      </c>
      <c r="R335" s="27" t="n">
        <f aca="false">SUMIFS(super1[Qtde],super1[Item],tab_alimentos[[#This Row],[Item]],super1[Bairro],mercado7)+SUMIFS(supercb[Qtde],supercb[Item],tab_alimentos[[#This Row],[Item]],supercb[Bairro],mercado7)</f>
        <v>0</v>
      </c>
      <c r="S335" s="27" t="n">
        <f aca="false">SUMIFS(super1[Qtde],super1[Item],tab_alimentos[[#This Row],[Item]],super1[Bairro],mercado8)+SUMIFS(supercb[Qtde],supercb[Item],tab_alimentos[[#This Row],[Item]],supercb[Bairro],mercado8)</f>
        <v>0</v>
      </c>
      <c r="T335" s="27" t="n">
        <f aca="false">SUMIFS(super1[Qtde],super1[Item],tab_alimentos[[#This Row],[Item]],super1[Bairro],mercado9)+SUMIFS(supercb[Qtde],supercb[Item],tab_alimentos[[#This Row],[Item]],supercb[Bairro],mercado9)</f>
        <v>0</v>
      </c>
      <c r="U335" s="27" t="n">
        <f aca="false">SUMIFS(super1[Qtde],super1[Item],tab_alimentos[[#This Row],[Item]],super1[Bairro],mercado10)+SUMIFS(supercb[Qtde],supercb[Item],tab_alimentos[[#This Row],[Item]],supercb[Bairro],mercado10)</f>
        <v>0</v>
      </c>
      <c r="V335" s="27" t="n">
        <f aca="false">SUMIFS(super1[Qtde],super1[Item],tab_alimentos[[#This Row],[Item]],super1[Bairro],mercado11)+SUMIFS(supercb[Qtde],supercb[Item],tab_alimentos[[#This Row],[Item]],supercb[Bairro],mercado11)</f>
        <v>0</v>
      </c>
      <c r="W335" s="27" t="n">
        <f aca="false">SUMIFS(super1[Qtde],super1[Item],tab_alimentos[[#This Row],[Item]],super1[Bairro],mercado12)+SUMIFS(supercb[Qtde],supercb[Item],tab_alimentos[[#This Row],[Item]],supercb[Bairro],mercado12)</f>
        <v>0</v>
      </c>
      <c r="X335" s="27" t="n">
        <f aca="false">SUMIFS(super1[Qtde],super1[Item],tab_alimentos[[#This Row],[Item]],super1[Bairro],mercado13)+SUMIFS(supercb[Qtde],supercb[Item],tab_alimentos[[#This Row],[Item]],supercb[Bairro],mercado13)</f>
        <v>0</v>
      </c>
      <c r="Y335" s="27" t="n">
        <f aca="false">SUMIFS(super1[Qtde],super1[Item],tab_alimentos[[#This Row],[Item]],super1[Bairro],mercado14)+SUMIFS(supercb[Qtde],supercb[Item],tab_alimentos[[#This Row],[Item]],supercb[Bairro],mercado14)</f>
        <v>0</v>
      </c>
      <c r="Z335" s="27" t="n">
        <f aca="false">SUMIFS(super1[Qtde],super1[Item],tab_alimentos[[#This Row],[Item]],super1[Bairro],mercado15)+SUMIFS(supercb[Qtde],supercb[Item],tab_alimentos[[#This Row],[Item]],supercb[Bairro],mercado15)</f>
        <v>0</v>
      </c>
      <c r="AA335" s="27" t="n">
        <f aca="false">SUMIFS(super1[Qtde],super1[Item],tab_alimentos[[#This Row],[Item]],super1[Bairro],mercado16)+SUMIFS(supercb[Qtde],supercb[Item],tab_alimentos[[#This Row],[Item]],supercb[Bairro],mercado16)</f>
        <v>0</v>
      </c>
      <c r="AB335" s="27" t="n">
        <f aca="false">SUMIFS(super1[Qtde],super1[Item],tab_alimentos[[#This Row],[Item]],super1[Bairro],mercado17)+SUMIFS(supercb[Qtde],supercb[Item],tab_alimentos[[#This Row],[Item]],supercb[Bairro],mercado17)</f>
        <v>0</v>
      </c>
      <c r="AC335" s="27" t="n">
        <f aca="false">SUMIFS(super1[Qtde],super1[Item],tab_alimentos[[#This Row],[Item]],super1[Bairro],mercado18)+SUMIFS(supercb[Qtde],supercb[Item],tab_alimentos[[#This Row],[Item]],supercb[Bairro],mercado18)</f>
        <v>0</v>
      </c>
      <c r="AD335" s="27" t="n">
        <f aca="false">SUMIFS(super1[Qtde],super1[Item],tab_alimentos[[#This Row],[Item]],super1[Bairro],extras)+SUMIFS(supercb[Qtde],supercb[Item],tab_alimentos[[#This Row],[Item]],supercb[Bairro],extras)</f>
        <v>0</v>
      </c>
      <c r="AE335" s="27" t="n">
        <f aca="false">SUM(L335:AC335)</f>
        <v>0</v>
      </c>
      <c r="AF335" s="27" t="n">
        <f aca="false">IFERROR(AE335*K335,0)</f>
        <v>0</v>
      </c>
      <c r="AG335" s="28" t="n">
        <f aca="false">IFERROR(J335*AE335,0)</f>
        <v>0</v>
      </c>
    </row>
    <row r="336" customFormat="false" ht="15" hidden="false" customHeight="false" outlineLevel="0" collapsed="false">
      <c r="I336" s="26" t="e">
        <f aca="false">alimentos[[#This Row],[Item]]</f>
        <v>#VALUE!</v>
      </c>
      <c r="J336" s="27" t="n">
        <f aca="false">IFERROR(alimentos[[#This Row],[kg/embalagem]],0)</f>
        <v>0</v>
      </c>
      <c r="K336" s="27" t="n">
        <f aca="false">IFERROR(alimentos[[#This Row],[Preço]],0)</f>
        <v>0</v>
      </c>
      <c r="L336" s="27" t="n">
        <f aca="false">SUMIFS(super1[Qtde],super1[Item],tab_alimentos[[#This Row],[Item]],super1[Bairro],mercado1)+SUMIFS(supercb[Qtde],supercb[Item],tab_alimentos[[#This Row],[Item]],supercb[Bairro],mercado1)</f>
        <v>0</v>
      </c>
      <c r="M336" s="27" t="n">
        <f aca="false">SUMIFS(super1[Qtde],super1[Item],tab_alimentos[[#This Row],[Item]],super1[Bairro],mercado2)+SUMIFS(supercb[Qtde],supercb[Item],tab_alimentos[[#This Row],[Item]],supercb[Bairro],mercado2)</f>
        <v>0</v>
      </c>
      <c r="N336" s="27" t="n">
        <f aca="false">SUMIFS(super1[Qtde],super1[Item],tab_alimentos[[#This Row],[Item]],super1[Bairro],mercado3)+SUMIFS(supercb[Qtde],supercb[Item],tab_alimentos[[#This Row],[Item]],supercb[Bairro],mercado3)</f>
        <v>0</v>
      </c>
      <c r="O336" s="27" t="n">
        <f aca="false">SUMIFS(super1[Qtde],super1[Item],tab_alimentos[[#This Row],[Item]],super1[Bairro],mercado4)+SUMIFS(supercb[Qtde],supercb[Item],tab_alimentos[[#This Row],[Item]],supercb[Bairro],mercado4)</f>
        <v>0</v>
      </c>
      <c r="P336" s="27" t="n">
        <f aca="false">SUMIFS(super1[Qtde],super1[Item],tab_alimentos[[#This Row],[Item]],super1[Bairro],mercado5)+SUMIFS(supercb[Qtde],supercb[Item],tab_alimentos[[#This Row],[Item]],supercb[Bairro],mercado5)</f>
        <v>0</v>
      </c>
      <c r="Q336" s="27" t="n">
        <f aca="false">SUMIFS(super1[Qtde],super1[Item],tab_alimentos[[#This Row],[Item]],super1[Bairro],mercado6)+SUMIFS(supercb[Qtde],supercb[Item],tab_alimentos[[#This Row],[Item]],supercb[Bairro],mercado6)</f>
        <v>0</v>
      </c>
      <c r="R336" s="27" t="n">
        <f aca="false">SUMIFS(super1[Qtde],super1[Item],tab_alimentos[[#This Row],[Item]],super1[Bairro],mercado7)+SUMIFS(supercb[Qtde],supercb[Item],tab_alimentos[[#This Row],[Item]],supercb[Bairro],mercado7)</f>
        <v>0</v>
      </c>
      <c r="S336" s="27" t="n">
        <f aca="false">SUMIFS(super1[Qtde],super1[Item],tab_alimentos[[#This Row],[Item]],super1[Bairro],mercado8)+SUMIFS(supercb[Qtde],supercb[Item],tab_alimentos[[#This Row],[Item]],supercb[Bairro],mercado8)</f>
        <v>0</v>
      </c>
      <c r="T336" s="27" t="n">
        <f aca="false">SUMIFS(super1[Qtde],super1[Item],tab_alimentos[[#This Row],[Item]],super1[Bairro],mercado9)+SUMIFS(supercb[Qtde],supercb[Item],tab_alimentos[[#This Row],[Item]],supercb[Bairro],mercado9)</f>
        <v>0</v>
      </c>
      <c r="U336" s="27" t="n">
        <f aca="false">SUMIFS(super1[Qtde],super1[Item],tab_alimentos[[#This Row],[Item]],super1[Bairro],mercado10)+SUMIFS(supercb[Qtde],supercb[Item],tab_alimentos[[#This Row],[Item]],supercb[Bairro],mercado10)</f>
        <v>0</v>
      </c>
      <c r="V336" s="27" t="n">
        <f aca="false">SUMIFS(super1[Qtde],super1[Item],tab_alimentos[[#This Row],[Item]],super1[Bairro],mercado11)+SUMIFS(supercb[Qtde],supercb[Item],tab_alimentos[[#This Row],[Item]],supercb[Bairro],mercado11)</f>
        <v>0</v>
      </c>
      <c r="W336" s="27" t="n">
        <f aca="false">SUMIFS(super1[Qtde],super1[Item],tab_alimentos[[#This Row],[Item]],super1[Bairro],mercado12)+SUMIFS(supercb[Qtde],supercb[Item],tab_alimentos[[#This Row],[Item]],supercb[Bairro],mercado12)</f>
        <v>0</v>
      </c>
      <c r="X336" s="27" t="n">
        <f aca="false">SUMIFS(super1[Qtde],super1[Item],tab_alimentos[[#This Row],[Item]],super1[Bairro],mercado13)+SUMIFS(supercb[Qtde],supercb[Item],tab_alimentos[[#This Row],[Item]],supercb[Bairro],mercado13)</f>
        <v>0</v>
      </c>
      <c r="Y336" s="27" t="n">
        <f aca="false">SUMIFS(super1[Qtde],super1[Item],tab_alimentos[[#This Row],[Item]],super1[Bairro],mercado14)+SUMIFS(supercb[Qtde],supercb[Item],tab_alimentos[[#This Row],[Item]],supercb[Bairro],mercado14)</f>
        <v>0</v>
      </c>
      <c r="Z336" s="27" t="n">
        <f aca="false">SUMIFS(super1[Qtde],super1[Item],tab_alimentos[[#This Row],[Item]],super1[Bairro],mercado15)+SUMIFS(supercb[Qtde],supercb[Item],tab_alimentos[[#This Row],[Item]],supercb[Bairro],mercado15)</f>
        <v>0</v>
      </c>
      <c r="AA336" s="27" t="n">
        <f aca="false">SUMIFS(super1[Qtde],super1[Item],tab_alimentos[[#This Row],[Item]],super1[Bairro],mercado16)+SUMIFS(supercb[Qtde],supercb[Item],tab_alimentos[[#This Row],[Item]],supercb[Bairro],mercado16)</f>
        <v>0</v>
      </c>
      <c r="AB336" s="27" t="n">
        <f aca="false">SUMIFS(super1[Qtde],super1[Item],tab_alimentos[[#This Row],[Item]],super1[Bairro],mercado17)+SUMIFS(supercb[Qtde],supercb[Item],tab_alimentos[[#This Row],[Item]],supercb[Bairro],mercado17)</f>
        <v>0</v>
      </c>
      <c r="AC336" s="27" t="n">
        <f aca="false">SUMIFS(super1[Qtde],super1[Item],tab_alimentos[[#This Row],[Item]],super1[Bairro],mercado18)+SUMIFS(supercb[Qtde],supercb[Item],tab_alimentos[[#This Row],[Item]],supercb[Bairro],mercado18)</f>
        <v>0</v>
      </c>
      <c r="AD336" s="27" t="n">
        <f aca="false">SUMIFS(super1[Qtde],super1[Item],tab_alimentos[[#This Row],[Item]],super1[Bairro],extras)+SUMIFS(supercb[Qtde],supercb[Item],tab_alimentos[[#This Row],[Item]],supercb[Bairro],extras)</f>
        <v>0</v>
      </c>
      <c r="AE336" s="27" t="n">
        <f aca="false">SUM(L336:AC336)</f>
        <v>0</v>
      </c>
      <c r="AF336" s="27" t="n">
        <f aca="false">IFERROR(AE336*K336,0)</f>
        <v>0</v>
      </c>
      <c r="AG336" s="28" t="n">
        <f aca="false">IFERROR(J336*AE336,0)</f>
        <v>0</v>
      </c>
    </row>
    <row r="337" customFormat="false" ht="15" hidden="false" customHeight="false" outlineLevel="0" collapsed="false">
      <c r="I337" s="26" t="e">
        <f aca="false">alimentos[[#This Row],[Item]]</f>
        <v>#VALUE!</v>
      </c>
      <c r="J337" s="27" t="n">
        <f aca="false">IFERROR(alimentos[[#This Row],[kg/embalagem]],0)</f>
        <v>0</v>
      </c>
      <c r="K337" s="27" t="n">
        <f aca="false">IFERROR(alimentos[[#This Row],[Preço]],0)</f>
        <v>0</v>
      </c>
      <c r="L337" s="27" t="n">
        <f aca="false">SUMIFS(super1[Qtde],super1[Item],tab_alimentos[[#This Row],[Item]],super1[Bairro],mercado1)+SUMIFS(supercb[Qtde],supercb[Item],tab_alimentos[[#This Row],[Item]],supercb[Bairro],mercado1)</f>
        <v>0</v>
      </c>
      <c r="M337" s="27" t="n">
        <f aca="false">SUMIFS(super1[Qtde],super1[Item],tab_alimentos[[#This Row],[Item]],super1[Bairro],mercado2)+SUMIFS(supercb[Qtde],supercb[Item],tab_alimentos[[#This Row],[Item]],supercb[Bairro],mercado2)</f>
        <v>0</v>
      </c>
      <c r="N337" s="27" t="n">
        <f aca="false">SUMIFS(super1[Qtde],super1[Item],tab_alimentos[[#This Row],[Item]],super1[Bairro],mercado3)+SUMIFS(supercb[Qtde],supercb[Item],tab_alimentos[[#This Row],[Item]],supercb[Bairro],mercado3)</f>
        <v>0</v>
      </c>
      <c r="O337" s="27" t="n">
        <f aca="false">SUMIFS(super1[Qtde],super1[Item],tab_alimentos[[#This Row],[Item]],super1[Bairro],mercado4)+SUMIFS(supercb[Qtde],supercb[Item],tab_alimentos[[#This Row],[Item]],supercb[Bairro],mercado4)</f>
        <v>0</v>
      </c>
      <c r="P337" s="27" t="n">
        <f aca="false">SUMIFS(super1[Qtde],super1[Item],tab_alimentos[[#This Row],[Item]],super1[Bairro],mercado5)+SUMIFS(supercb[Qtde],supercb[Item],tab_alimentos[[#This Row],[Item]],supercb[Bairro],mercado5)</f>
        <v>0</v>
      </c>
      <c r="Q337" s="27" t="n">
        <f aca="false">SUMIFS(super1[Qtde],super1[Item],tab_alimentos[[#This Row],[Item]],super1[Bairro],mercado6)+SUMIFS(supercb[Qtde],supercb[Item],tab_alimentos[[#This Row],[Item]],supercb[Bairro],mercado6)</f>
        <v>0</v>
      </c>
      <c r="R337" s="27" t="n">
        <f aca="false">SUMIFS(super1[Qtde],super1[Item],tab_alimentos[[#This Row],[Item]],super1[Bairro],mercado7)+SUMIFS(supercb[Qtde],supercb[Item],tab_alimentos[[#This Row],[Item]],supercb[Bairro],mercado7)</f>
        <v>0</v>
      </c>
      <c r="S337" s="27" t="n">
        <f aca="false">SUMIFS(super1[Qtde],super1[Item],tab_alimentos[[#This Row],[Item]],super1[Bairro],mercado8)+SUMIFS(supercb[Qtde],supercb[Item],tab_alimentos[[#This Row],[Item]],supercb[Bairro],mercado8)</f>
        <v>0</v>
      </c>
      <c r="T337" s="27" t="n">
        <f aca="false">SUMIFS(super1[Qtde],super1[Item],tab_alimentos[[#This Row],[Item]],super1[Bairro],mercado9)+SUMIFS(supercb[Qtde],supercb[Item],tab_alimentos[[#This Row],[Item]],supercb[Bairro],mercado9)</f>
        <v>0</v>
      </c>
      <c r="U337" s="27" t="n">
        <f aca="false">SUMIFS(super1[Qtde],super1[Item],tab_alimentos[[#This Row],[Item]],super1[Bairro],mercado10)+SUMIFS(supercb[Qtde],supercb[Item],tab_alimentos[[#This Row],[Item]],supercb[Bairro],mercado10)</f>
        <v>0</v>
      </c>
      <c r="V337" s="27" t="n">
        <f aca="false">SUMIFS(super1[Qtde],super1[Item],tab_alimentos[[#This Row],[Item]],super1[Bairro],mercado11)+SUMIFS(supercb[Qtde],supercb[Item],tab_alimentos[[#This Row],[Item]],supercb[Bairro],mercado11)</f>
        <v>0</v>
      </c>
      <c r="W337" s="27" t="n">
        <f aca="false">SUMIFS(super1[Qtde],super1[Item],tab_alimentos[[#This Row],[Item]],super1[Bairro],mercado12)+SUMIFS(supercb[Qtde],supercb[Item],tab_alimentos[[#This Row],[Item]],supercb[Bairro],mercado12)</f>
        <v>0</v>
      </c>
      <c r="X337" s="27" t="n">
        <f aca="false">SUMIFS(super1[Qtde],super1[Item],tab_alimentos[[#This Row],[Item]],super1[Bairro],mercado13)+SUMIFS(supercb[Qtde],supercb[Item],tab_alimentos[[#This Row],[Item]],supercb[Bairro],mercado13)</f>
        <v>0</v>
      </c>
      <c r="Y337" s="27" t="n">
        <f aca="false">SUMIFS(super1[Qtde],super1[Item],tab_alimentos[[#This Row],[Item]],super1[Bairro],mercado14)+SUMIFS(supercb[Qtde],supercb[Item],tab_alimentos[[#This Row],[Item]],supercb[Bairro],mercado14)</f>
        <v>0</v>
      </c>
      <c r="Z337" s="27" t="n">
        <f aca="false">SUMIFS(super1[Qtde],super1[Item],tab_alimentos[[#This Row],[Item]],super1[Bairro],mercado15)+SUMIFS(supercb[Qtde],supercb[Item],tab_alimentos[[#This Row],[Item]],supercb[Bairro],mercado15)</f>
        <v>0</v>
      </c>
      <c r="AA337" s="27" t="n">
        <f aca="false">SUMIFS(super1[Qtde],super1[Item],tab_alimentos[[#This Row],[Item]],super1[Bairro],mercado16)+SUMIFS(supercb[Qtde],supercb[Item],tab_alimentos[[#This Row],[Item]],supercb[Bairro],mercado16)</f>
        <v>0</v>
      </c>
      <c r="AB337" s="27" t="n">
        <f aca="false">SUMIFS(super1[Qtde],super1[Item],tab_alimentos[[#This Row],[Item]],super1[Bairro],mercado17)+SUMIFS(supercb[Qtde],supercb[Item],tab_alimentos[[#This Row],[Item]],supercb[Bairro],mercado17)</f>
        <v>0</v>
      </c>
      <c r="AC337" s="27" t="n">
        <f aca="false">SUMIFS(super1[Qtde],super1[Item],tab_alimentos[[#This Row],[Item]],super1[Bairro],mercado18)+SUMIFS(supercb[Qtde],supercb[Item],tab_alimentos[[#This Row],[Item]],supercb[Bairro],mercado18)</f>
        <v>0</v>
      </c>
      <c r="AD337" s="27" t="n">
        <f aca="false">SUMIFS(super1[Qtde],super1[Item],tab_alimentos[[#This Row],[Item]],super1[Bairro],extras)+SUMIFS(supercb[Qtde],supercb[Item],tab_alimentos[[#This Row],[Item]],supercb[Bairro],extras)</f>
        <v>0</v>
      </c>
      <c r="AE337" s="27" t="n">
        <f aca="false">SUM(L337:AC337)</f>
        <v>0</v>
      </c>
      <c r="AF337" s="27" t="n">
        <f aca="false">IFERROR(AE337*K337,0)</f>
        <v>0</v>
      </c>
      <c r="AG337" s="28" t="n">
        <f aca="false">IFERROR(J337*AE337,0)</f>
        <v>0</v>
      </c>
    </row>
    <row r="338" customFormat="false" ht="15" hidden="false" customHeight="false" outlineLevel="0" collapsed="false">
      <c r="I338" s="26" t="e">
        <f aca="false">alimentos[[#This Row],[Item]]</f>
        <v>#VALUE!</v>
      </c>
      <c r="J338" s="27" t="n">
        <f aca="false">IFERROR(alimentos[[#This Row],[kg/embalagem]],0)</f>
        <v>0</v>
      </c>
      <c r="K338" s="27" t="n">
        <f aca="false">IFERROR(alimentos[[#This Row],[Preço]],0)</f>
        <v>0</v>
      </c>
      <c r="L338" s="27" t="n">
        <f aca="false">SUMIFS(super1[Qtde],super1[Item],tab_alimentos[[#This Row],[Item]],super1[Bairro],mercado1)+SUMIFS(supercb[Qtde],supercb[Item],tab_alimentos[[#This Row],[Item]],supercb[Bairro],mercado1)</f>
        <v>0</v>
      </c>
      <c r="M338" s="27" t="n">
        <f aca="false">SUMIFS(super1[Qtde],super1[Item],tab_alimentos[[#This Row],[Item]],super1[Bairro],mercado2)+SUMIFS(supercb[Qtde],supercb[Item],tab_alimentos[[#This Row],[Item]],supercb[Bairro],mercado2)</f>
        <v>0</v>
      </c>
      <c r="N338" s="27" t="n">
        <f aca="false">SUMIFS(super1[Qtde],super1[Item],tab_alimentos[[#This Row],[Item]],super1[Bairro],mercado3)+SUMIFS(supercb[Qtde],supercb[Item],tab_alimentos[[#This Row],[Item]],supercb[Bairro],mercado3)</f>
        <v>0</v>
      </c>
      <c r="O338" s="27" t="n">
        <f aca="false">SUMIFS(super1[Qtde],super1[Item],tab_alimentos[[#This Row],[Item]],super1[Bairro],mercado4)+SUMIFS(supercb[Qtde],supercb[Item],tab_alimentos[[#This Row],[Item]],supercb[Bairro],mercado4)</f>
        <v>0</v>
      </c>
      <c r="P338" s="27" t="n">
        <f aca="false">SUMIFS(super1[Qtde],super1[Item],tab_alimentos[[#This Row],[Item]],super1[Bairro],mercado5)+SUMIFS(supercb[Qtde],supercb[Item],tab_alimentos[[#This Row],[Item]],supercb[Bairro],mercado5)</f>
        <v>0</v>
      </c>
      <c r="Q338" s="27" t="n">
        <f aca="false">SUMIFS(super1[Qtde],super1[Item],tab_alimentos[[#This Row],[Item]],super1[Bairro],mercado6)+SUMIFS(supercb[Qtde],supercb[Item],tab_alimentos[[#This Row],[Item]],supercb[Bairro],mercado6)</f>
        <v>0</v>
      </c>
      <c r="R338" s="27" t="n">
        <f aca="false">SUMIFS(super1[Qtde],super1[Item],tab_alimentos[[#This Row],[Item]],super1[Bairro],mercado7)+SUMIFS(supercb[Qtde],supercb[Item],tab_alimentos[[#This Row],[Item]],supercb[Bairro],mercado7)</f>
        <v>0</v>
      </c>
      <c r="S338" s="27" t="n">
        <f aca="false">SUMIFS(super1[Qtde],super1[Item],tab_alimentos[[#This Row],[Item]],super1[Bairro],mercado8)+SUMIFS(supercb[Qtde],supercb[Item],tab_alimentos[[#This Row],[Item]],supercb[Bairro],mercado8)</f>
        <v>0</v>
      </c>
      <c r="T338" s="27" t="n">
        <f aca="false">SUMIFS(super1[Qtde],super1[Item],tab_alimentos[[#This Row],[Item]],super1[Bairro],mercado9)+SUMIFS(supercb[Qtde],supercb[Item],tab_alimentos[[#This Row],[Item]],supercb[Bairro],mercado9)</f>
        <v>0</v>
      </c>
      <c r="U338" s="27" t="n">
        <f aca="false">SUMIFS(super1[Qtde],super1[Item],tab_alimentos[[#This Row],[Item]],super1[Bairro],mercado10)+SUMIFS(supercb[Qtde],supercb[Item],tab_alimentos[[#This Row],[Item]],supercb[Bairro],mercado10)</f>
        <v>0</v>
      </c>
      <c r="V338" s="27" t="n">
        <f aca="false">SUMIFS(super1[Qtde],super1[Item],tab_alimentos[[#This Row],[Item]],super1[Bairro],mercado11)+SUMIFS(supercb[Qtde],supercb[Item],tab_alimentos[[#This Row],[Item]],supercb[Bairro],mercado11)</f>
        <v>0</v>
      </c>
      <c r="W338" s="27" t="n">
        <f aca="false">SUMIFS(super1[Qtde],super1[Item],tab_alimentos[[#This Row],[Item]],super1[Bairro],mercado12)+SUMIFS(supercb[Qtde],supercb[Item],tab_alimentos[[#This Row],[Item]],supercb[Bairro],mercado12)</f>
        <v>0</v>
      </c>
      <c r="X338" s="27" t="n">
        <f aca="false">SUMIFS(super1[Qtde],super1[Item],tab_alimentos[[#This Row],[Item]],super1[Bairro],mercado13)+SUMIFS(supercb[Qtde],supercb[Item],tab_alimentos[[#This Row],[Item]],supercb[Bairro],mercado13)</f>
        <v>0</v>
      </c>
      <c r="Y338" s="27" t="n">
        <f aca="false">SUMIFS(super1[Qtde],super1[Item],tab_alimentos[[#This Row],[Item]],super1[Bairro],mercado14)+SUMIFS(supercb[Qtde],supercb[Item],tab_alimentos[[#This Row],[Item]],supercb[Bairro],mercado14)</f>
        <v>0</v>
      </c>
      <c r="Z338" s="27" t="n">
        <f aca="false">SUMIFS(super1[Qtde],super1[Item],tab_alimentos[[#This Row],[Item]],super1[Bairro],mercado15)+SUMIFS(supercb[Qtde],supercb[Item],tab_alimentos[[#This Row],[Item]],supercb[Bairro],mercado15)</f>
        <v>0</v>
      </c>
      <c r="AA338" s="27" t="n">
        <f aca="false">SUMIFS(super1[Qtde],super1[Item],tab_alimentos[[#This Row],[Item]],super1[Bairro],mercado16)+SUMIFS(supercb[Qtde],supercb[Item],tab_alimentos[[#This Row],[Item]],supercb[Bairro],mercado16)</f>
        <v>0</v>
      </c>
      <c r="AB338" s="27" t="n">
        <f aca="false">SUMIFS(super1[Qtde],super1[Item],tab_alimentos[[#This Row],[Item]],super1[Bairro],mercado17)+SUMIFS(supercb[Qtde],supercb[Item],tab_alimentos[[#This Row],[Item]],supercb[Bairro],mercado17)</f>
        <v>0</v>
      </c>
      <c r="AC338" s="27" t="n">
        <f aca="false">SUMIFS(super1[Qtde],super1[Item],tab_alimentos[[#This Row],[Item]],super1[Bairro],mercado18)+SUMIFS(supercb[Qtde],supercb[Item],tab_alimentos[[#This Row],[Item]],supercb[Bairro],mercado18)</f>
        <v>0</v>
      </c>
      <c r="AD338" s="27" t="n">
        <f aca="false">SUMIFS(super1[Qtde],super1[Item],tab_alimentos[[#This Row],[Item]],super1[Bairro],extras)+SUMIFS(supercb[Qtde],supercb[Item],tab_alimentos[[#This Row],[Item]],supercb[Bairro],extras)</f>
        <v>0</v>
      </c>
      <c r="AE338" s="27" t="n">
        <f aca="false">SUM(L338:AC338)</f>
        <v>0</v>
      </c>
      <c r="AF338" s="27" t="n">
        <f aca="false">IFERROR(AE338*K338,0)</f>
        <v>0</v>
      </c>
      <c r="AG338" s="28" t="n">
        <f aca="false">IFERROR(J338*AE338,0)</f>
        <v>0</v>
      </c>
    </row>
    <row r="339" customFormat="false" ht="15" hidden="false" customHeight="false" outlineLevel="0" collapsed="false">
      <c r="I339" s="26" t="e">
        <f aca="false">alimentos[[#This Row],[Item]]</f>
        <v>#VALUE!</v>
      </c>
      <c r="J339" s="27" t="n">
        <f aca="false">IFERROR(alimentos[[#This Row],[kg/embalagem]],0)</f>
        <v>0</v>
      </c>
      <c r="K339" s="27" t="n">
        <f aca="false">IFERROR(alimentos[[#This Row],[Preço]],0)</f>
        <v>0</v>
      </c>
      <c r="L339" s="27" t="n">
        <f aca="false">SUMIFS(super1[Qtde],super1[Item],tab_alimentos[[#This Row],[Item]],super1[Bairro],mercado1)+SUMIFS(supercb[Qtde],supercb[Item],tab_alimentos[[#This Row],[Item]],supercb[Bairro],mercado1)</f>
        <v>0</v>
      </c>
      <c r="M339" s="27" t="n">
        <f aca="false">SUMIFS(super1[Qtde],super1[Item],tab_alimentos[[#This Row],[Item]],super1[Bairro],mercado2)+SUMIFS(supercb[Qtde],supercb[Item],tab_alimentos[[#This Row],[Item]],supercb[Bairro],mercado2)</f>
        <v>0</v>
      </c>
      <c r="N339" s="27" t="n">
        <f aca="false">SUMIFS(super1[Qtde],super1[Item],tab_alimentos[[#This Row],[Item]],super1[Bairro],mercado3)+SUMIFS(supercb[Qtde],supercb[Item],tab_alimentos[[#This Row],[Item]],supercb[Bairro],mercado3)</f>
        <v>0</v>
      </c>
      <c r="O339" s="27" t="n">
        <f aca="false">SUMIFS(super1[Qtde],super1[Item],tab_alimentos[[#This Row],[Item]],super1[Bairro],mercado4)+SUMIFS(supercb[Qtde],supercb[Item],tab_alimentos[[#This Row],[Item]],supercb[Bairro],mercado4)</f>
        <v>0</v>
      </c>
      <c r="P339" s="27" t="n">
        <f aca="false">SUMIFS(super1[Qtde],super1[Item],tab_alimentos[[#This Row],[Item]],super1[Bairro],mercado5)+SUMIFS(supercb[Qtde],supercb[Item],tab_alimentos[[#This Row],[Item]],supercb[Bairro],mercado5)</f>
        <v>0</v>
      </c>
      <c r="Q339" s="27" t="n">
        <f aca="false">SUMIFS(super1[Qtde],super1[Item],tab_alimentos[[#This Row],[Item]],super1[Bairro],mercado6)+SUMIFS(supercb[Qtde],supercb[Item],tab_alimentos[[#This Row],[Item]],supercb[Bairro],mercado6)</f>
        <v>0</v>
      </c>
      <c r="R339" s="27" t="n">
        <f aca="false">SUMIFS(super1[Qtde],super1[Item],tab_alimentos[[#This Row],[Item]],super1[Bairro],mercado7)+SUMIFS(supercb[Qtde],supercb[Item],tab_alimentos[[#This Row],[Item]],supercb[Bairro],mercado7)</f>
        <v>0</v>
      </c>
      <c r="S339" s="27" t="n">
        <f aca="false">SUMIFS(super1[Qtde],super1[Item],tab_alimentos[[#This Row],[Item]],super1[Bairro],mercado8)+SUMIFS(supercb[Qtde],supercb[Item],tab_alimentos[[#This Row],[Item]],supercb[Bairro],mercado8)</f>
        <v>0</v>
      </c>
      <c r="T339" s="27" t="n">
        <f aca="false">SUMIFS(super1[Qtde],super1[Item],tab_alimentos[[#This Row],[Item]],super1[Bairro],mercado9)+SUMIFS(supercb[Qtde],supercb[Item],tab_alimentos[[#This Row],[Item]],supercb[Bairro],mercado9)</f>
        <v>0</v>
      </c>
      <c r="U339" s="27" t="n">
        <f aca="false">SUMIFS(super1[Qtde],super1[Item],tab_alimentos[[#This Row],[Item]],super1[Bairro],mercado10)+SUMIFS(supercb[Qtde],supercb[Item],tab_alimentos[[#This Row],[Item]],supercb[Bairro],mercado10)</f>
        <v>0</v>
      </c>
      <c r="V339" s="27" t="n">
        <f aca="false">SUMIFS(super1[Qtde],super1[Item],tab_alimentos[[#This Row],[Item]],super1[Bairro],mercado11)+SUMIFS(supercb[Qtde],supercb[Item],tab_alimentos[[#This Row],[Item]],supercb[Bairro],mercado11)</f>
        <v>0</v>
      </c>
      <c r="W339" s="27" t="n">
        <f aca="false">SUMIFS(super1[Qtde],super1[Item],tab_alimentos[[#This Row],[Item]],super1[Bairro],mercado12)+SUMIFS(supercb[Qtde],supercb[Item],tab_alimentos[[#This Row],[Item]],supercb[Bairro],mercado12)</f>
        <v>0</v>
      </c>
      <c r="X339" s="27" t="n">
        <f aca="false">SUMIFS(super1[Qtde],super1[Item],tab_alimentos[[#This Row],[Item]],super1[Bairro],mercado13)+SUMIFS(supercb[Qtde],supercb[Item],tab_alimentos[[#This Row],[Item]],supercb[Bairro],mercado13)</f>
        <v>0</v>
      </c>
      <c r="Y339" s="27" t="n">
        <f aca="false">SUMIFS(super1[Qtde],super1[Item],tab_alimentos[[#This Row],[Item]],super1[Bairro],mercado14)+SUMIFS(supercb[Qtde],supercb[Item],tab_alimentos[[#This Row],[Item]],supercb[Bairro],mercado14)</f>
        <v>0</v>
      </c>
      <c r="Z339" s="27" t="n">
        <f aca="false">SUMIFS(super1[Qtde],super1[Item],tab_alimentos[[#This Row],[Item]],super1[Bairro],mercado15)+SUMIFS(supercb[Qtde],supercb[Item],tab_alimentos[[#This Row],[Item]],supercb[Bairro],mercado15)</f>
        <v>0</v>
      </c>
      <c r="AA339" s="27" t="n">
        <f aca="false">SUMIFS(super1[Qtde],super1[Item],tab_alimentos[[#This Row],[Item]],super1[Bairro],mercado16)+SUMIFS(supercb[Qtde],supercb[Item],tab_alimentos[[#This Row],[Item]],supercb[Bairro],mercado16)</f>
        <v>0</v>
      </c>
      <c r="AB339" s="27" t="n">
        <f aca="false">SUMIFS(super1[Qtde],super1[Item],tab_alimentos[[#This Row],[Item]],super1[Bairro],mercado17)+SUMIFS(supercb[Qtde],supercb[Item],tab_alimentos[[#This Row],[Item]],supercb[Bairro],mercado17)</f>
        <v>0</v>
      </c>
      <c r="AC339" s="27" t="n">
        <f aca="false">SUMIFS(super1[Qtde],super1[Item],tab_alimentos[[#This Row],[Item]],super1[Bairro],mercado18)+SUMIFS(supercb[Qtde],supercb[Item],tab_alimentos[[#This Row],[Item]],supercb[Bairro],mercado18)</f>
        <v>0</v>
      </c>
      <c r="AD339" s="27" t="n">
        <f aca="false">SUMIFS(super1[Qtde],super1[Item],tab_alimentos[[#This Row],[Item]],super1[Bairro],extras)+SUMIFS(supercb[Qtde],supercb[Item],tab_alimentos[[#This Row],[Item]],supercb[Bairro],extras)</f>
        <v>0</v>
      </c>
      <c r="AE339" s="27" t="n">
        <f aca="false">SUM(L339:AC339)</f>
        <v>0</v>
      </c>
      <c r="AF339" s="27" t="n">
        <f aca="false">IFERROR(AE339*K339,0)</f>
        <v>0</v>
      </c>
      <c r="AG339" s="28" t="n">
        <f aca="false">IFERROR(J339*AE339,0)</f>
        <v>0</v>
      </c>
    </row>
    <row r="340" customFormat="false" ht="15" hidden="false" customHeight="false" outlineLevel="0" collapsed="false">
      <c r="I340" s="26" t="e">
        <f aca="false">alimentos[[#This Row],[Item]]</f>
        <v>#VALUE!</v>
      </c>
      <c r="J340" s="27" t="n">
        <f aca="false">IFERROR(alimentos[[#This Row],[kg/embalagem]],0)</f>
        <v>0</v>
      </c>
      <c r="K340" s="27" t="n">
        <f aca="false">IFERROR(alimentos[[#This Row],[Preço]],0)</f>
        <v>0</v>
      </c>
      <c r="L340" s="27" t="n">
        <f aca="false">SUMIFS(super1[Qtde],super1[Item],tab_alimentos[[#This Row],[Item]],super1[Bairro],mercado1)+SUMIFS(supercb[Qtde],supercb[Item],tab_alimentos[[#This Row],[Item]],supercb[Bairro],mercado1)</f>
        <v>0</v>
      </c>
      <c r="M340" s="27" t="n">
        <f aca="false">SUMIFS(super1[Qtde],super1[Item],tab_alimentos[[#This Row],[Item]],super1[Bairro],mercado2)+SUMIFS(supercb[Qtde],supercb[Item],tab_alimentos[[#This Row],[Item]],supercb[Bairro],mercado2)</f>
        <v>0</v>
      </c>
      <c r="N340" s="27" t="n">
        <f aca="false">SUMIFS(super1[Qtde],super1[Item],tab_alimentos[[#This Row],[Item]],super1[Bairro],mercado3)+SUMIFS(supercb[Qtde],supercb[Item],tab_alimentos[[#This Row],[Item]],supercb[Bairro],mercado3)</f>
        <v>0</v>
      </c>
      <c r="O340" s="27" t="n">
        <f aca="false">SUMIFS(super1[Qtde],super1[Item],tab_alimentos[[#This Row],[Item]],super1[Bairro],mercado4)+SUMIFS(supercb[Qtde],supercb[Item],tab_alimentos[[#This Row],[Item]],supercb[Bairro],mercado4)</f>
        <v>0</v>
      </c>
      <c r="P340" s="27" t="n">
        <f aca="false">SUMIFS(super1[Qtde],super1[Item],tab_alimentos[[#This Row],[Item]],super1[Bairro],mercado5)+SUMIFS(supercb[Qtde],supercb[Item],tab_alimentos[[#This Row],[Item]],supercb[Bairro],mercado5)</f>
        <v>0</v>
      </c>
      <c r="Q340" s="27" t="n">
        <f aca="false">SUMIFS(super1[Qtde],super1[Item],tab_alimentos[[#This Row],[Item]],super1[Bairro],mercado6)+SUMIFS(supercb[Qtde],supercb[Item],tab_alimentos[[#This Row],[Item]],supercb[Bairro],mercado6)</f>
        <v>0</v>
      </c>
      <c r="R340" s="27" t="n">
        <f aca="false">SUMIFS(super1[Qtde],super1[Item],tab_alimentos[[#This Row],[Item]],super1[Bairro],mercado7)+SUMIFS(supercb[Qtde],supercb[Item],tab_alimentos[[#This Row],[Item]],supercb[Bairro],mercado7)</f>
        <v>0</v>
      </c>
      <c r="S340" s="27" t="n">
        <f aca="false">SUMIFS(super1[Qtde],super1[Item],tab_alimentos[[#This Row],[Item]],super1[Bairro],mercado8)+SUMIFS(supercb[Qtde],supercb[Item],tab_alimentos[[#This Row],[Item]],supercb[Bairro],mercado8)</f>
        <v>0</v>
      </c>
      <c r="T340" s="27" t="n">
        <f aca="false">SUMIFS(super1[Qtde],super1[Item],tab_alimentos[[#This Row],[Item]],super1[Bairro],mercado9)+SUMIFS(supercb[Qtde],supercb[Item],tab_alimentos[[#This Row],[Item]],supercb[Bairro],mercado9)</f>
        <v>0</v>
      </c>
      <c r="U340" s="27" t="n">
        <f aca="false">SUMIFS(super1[Qtde],super1[Item],tab_alimentos[[#This Row],[Item]],super1[Bairro],mercado10)+SUMIFS(supercb[Qtde],supercb[Item],tab_alimentos[[#This Row],[Item]],supercb[Bairro],mercado10)</f>
        <v>0</v>
      </c>
      <c r="V340" s="27" t="n">
        <f aca="false">SUMIFS(super1[Qtde],super1[Item],tab_alimentos[[#This Row],[Item]],super1[Bairro],mercado11)+SUMIFS(supercb[Qtde],supercb[Item],tab_alimentos[[#This Row],[Item]],supercb[Bairro],mercado11)</f>
        <v>0</v>
      </c>
      <c r="W340" s="27" t="n">
        <f aca="false">SUMIFS(super1[Qtde],super1[Item],tab_alimentos[[#This Row],[Item]],super1[Bairro],mercado12)+SUMIFS(supercb[Qtde],supercb[Item],tab_alimentos[[#This Row],[Item]],supercb[Bairro],mercado12)</f>
        <v>0</v>
      </c>
      <c r="X340" s="27" t="n">
        <f aca="false">SUMIFS(super1[Qtde],super1[Item],tab_alimentos[[#This Row],[Item]],super1[Bairro],mercado13)+SUMIFS(supercb[Qtde],supercb[Item],tab_alimentos[[#This Row],[Item]],supercb[Bairro],mercado13)</f>
        <v>0</v>
      </c>
      <c r="Y340" s="27" t="n">
        <f aca="false">SUMIFS(super1[Qtde],super1[Item],tab_alimentos[[#This Row],[Item]],super1[Bairro],mercado14)+SUMIFS(supercb[Qtde],supercb[Item],tab_alimentos[[#This Row],[Item]],supercb[Bairro],mercado14)</f>
        <v>0</v>
      </c>
      <c r="Z340" s="27" t="n">
        <f aca="false">SUMIFS(super1[Qtde],super1[Item],tab_alimentos[[#This Row],[Item]],super1[Bairro],mercado15)+SUMIFS(supercb[Qtde],supercb[Item],tab_alimentos[[#This Row],[Item]],supercb[Bairro],mercado15)</f>
        <v>0</v>
      </c>
      <c r="AA340" s="27" t="n">
        <f aca="false">SUMIFS(super1[Qtde],super1[Item],tab_alimentos[[#This Row],[Item]],super1[Bairro],mercado16)+SUMIFS(supercb[Qtde],supercb[Item],tab_alimentos[[#This Row],[Item]],supercb[Bairro],mercado16)</f>
        <v>0</v>
      </c>
      <c r="AB340" s="27" t="n">
        <f aca="false">SUMIFS(super1[Qtde],super1[Item],tab_alimentos[[#This Row],[Item]],super1[Bairro],mercado17)+SUMIFS(supercb[Qtde],supercb[Item],tab_alimentos[[#This Row],[Item]],supercb[Bairro],mercado17)</f>
        <v>0</v>
      </c>
      <c r="AC340" s="27" t="n">
        <f aca="false">SUMIFS(super1[Qtde],super1[Item],tab_alimentos[[#This Row],[Item]],super1[Bairro],mercado18)+SUMIFS(supercb[Qtde],supercb[Item],tab_alimentos[[#This Row],[Item]],supercb[Bairro],mercado18)</f>
        <v>0</v>
      </c>
      <c r="AD340" s="27" t="n">
        <f aca="false">SUMIFS(super1[Qtde],super1[Item],tab_alimentos[[#This Row],[Item]],super1[Bairro],extras)+SUMIFS(supercb[Qtde],supercb[Item],tab_alimentos[[#This Row],[Item]],supercb[Bairro],extras)</f>
        <v>0</v>
      </c>
      <c r="AE340" s="27" t="n">
        <f aca="false">SUM(L340:AC340)</f>
        <v>0</v>
      </c>
      <c r="AF340" s="27" t="n">
        <f aca="false">IFERROR(AE340*K340,0)</f>
        <v>0</v>
      </c>
      <c r="AG340" s="28" t="n">
        <f aca="false">IFERROR(J340*AE340,0)</f>
        <v>0</v>
      </c>
    </row>
    <row r="341" customFormat="false" ht="15" hidden="false" customHeight="false" outlineLevel="0" collapsed="false">
      <c r="I341" s="26" t="e">
        <f aca="false">alimentos[[#This Row],[Item]]</f>
        <v>#VALUE!</v>
      </c>
      <c r="J341" s="27" t="n">
        <f aca="false">IFERROR(alimentos[[#This Row],[kg/embalagem]],0)</f>
        <v>0</v>
      </c>
      <c r="K341" s="27" t="n">
        <f aca="false">IFERROR(alimentos[[#This Row],[Preço]],0)</f>
        <v>0</v>
      </c>
      <c r="L341" s="27" t="n">
        <f aca="false">SUMIFS(super1[Qtde],super1[Item],tab_alimentos[[#This Row],[Item]],super1[Bairro],mercado1)+SUMIFS(supercb[Qtde],supercb[Item],tab_alimentos[[#This Row],[Item]],supercb[Bairro],mercado1)</f>
        <v>0</v>
      </c>
      <c r="M341" s="27" t="n">
        <f aca="false">SUMIFS(super1[Qtde],super1[Item],tab_alimentos[[#This Row],[Item]],super1[Bairro],mercado2)+SUMIFS(supercb[Qtde],supercb[Item],tab_alimentos[[#This Row],[Item]],supercb[Bairro],mercado2)</f>
        <v>0</v>
      </c>
      <c r="N341" s="27" t="n">
        <f aca="false">SUMIFS(super1[Qtde],super1[Item],tab_alimentos[[#This Row],[Item]],super1[Bairro],mercado3)+SUMIFS(supercb[Qtde],supercb[Item],tab_alimentos[[#This Row],[Item]],supercb[Bairro],mercado3)</f>
        <v>0</v>
      </c>
      <c r="O341" s="27" t="n">
        <f aca="false">SUMIFS(super1[Qtde],super1[Item],tab_alimentos[[#This Row],[Item]],super1[Bairro],mercado4)+SUMIFS(supercb[Qtde],supercb[Item],tab_alimentos[[#This Row],[Item]],supercb[Bairro],mercado4)</f>
        <v>0</v>
      </c>
      <c r="P341" s="27" t="n">
        <f aca="false">SUMIFS(super1[Qtde],super1[Item],tab_alimentos[[#This Row],[Item]],super1[Bairro],mercado5)+SUMIFS(supercb[Qtde],supercb[Item],tab_alimentos[[#This Row],[Item]],supercb[Bairro],mercado5)</f>
        <v>0</v>
      </c>
      <c r="Q341" s="27" t="n">
        <f aca="false">SUMIFS(super1[Qtde],super1[Item],tab_alimentos[[#This Row],[Item]],super1[Bairro],mercado6)+SUMIFS(supercb[Qtde],supercb[Item],tab_alimentos[[#This Row],[Item]],supercb[Bairro],mercado6)</f>
        <v>0</v>
      </c>
      <c r="R341" s="27" t="n">
        <f aca="false">SUMIFS(super1[Qtde],super1[Item],tab_alimentos[[#This Row],[Item]],super1[Bairro],mercado7)+SUMIFS(supercb[Qtde],supercb[Item],tab_alimentos[[#This Row],[Item]],supercb[Bairro],mercado7)</f>
        <v>0</v>
      </c>
      <c r="S341" s="27" t="n">
        <f aca="false">SUMIFS(super1[Qtde],super1[Item],tab_alimentos[[#This Row],[Item]],super1[Bairro],mercado8)+SUMIFS(supercb[Qtde],supercb[Item],tab_alimentos[[#This Row],[Item]],supercb[Bairro],mercado8)</f>
        <v>0</v>
      </c>
      <c r="T341" s="27" t="n">
        <f aca="false">SUMIFS(super1[Qtde],super1[Item],tab_alimentos[[#This Row],[Item]],super1[Bairro],mercado9)+SUMIFS(supercb[Qtde],supercb[Item],tab_alimentos[[#This Row],[Item]],supercb[Bairro],mercado9)</f>
        <v>0</v>
      </c>
      <c r="U341" s="27" t="n">
        <f aca="false">SUMIFS(super1[Qtde],super1[Item],tab_alimentos[[#This Row],[Item]],super1[Bairro],mercado10)+SUMIFS(supercb[Qtde],supercb[Item],tab_alimentos[[#This Row],[Item]],supercb[Bairro],mercado10)</f>
        <v>0</v>
      </c>
      <c r="V341" s="27" t="n">
        <f aca="false">SUMIFS(super1[Qtde],super1[Item],tab_alimentos[[#This Row],[Item]],super1[Bairro],mercado11)+SUMIFS(supercb[Qtde],supercb[Item],tab_alimentos[[#This Row],[Item]],supercb[Bairro],mercado11)</f>
        <v>0</v>
      </c>
      <c r="W341" s="27" t="n">
        <f aca="false">SUMIFS(super1[Qtde],super1[Item],tab_alimentos[[#This Row],[Item]],super1[Bairro],mercado12)+SUMIFS(supercb[Qtde],supercb[Item],tab_alimentos[[#This Row],[Item]],supercb[Bairro],mercado12)</f>
        <v>0</v>
      </c>
      <c r="X341" s="27" t="n">
        <f aca="false">SUMIFS(super1[Qtde],super1[Item],tab_alimentos[[#This Row],[Item]],super1[Bairro],mercado13)+SUMIFS(supercb[Qtde],supercb[Item],tab_alimentos[[#This Row],[Item]],supercb[Bairro],mercado13)</f>
        <v>0</v>
      </c>
      <c r="Y341" s="27" t="n">
        <f aca="false">SUMIFS(super1[Qtde],super1[Item],tab_alimentos[[#This Row],[Item]],super1[Bairro],mercado14)+SUMIFS(supercb[Qtde],supercb[Item],tab_alimentos[[#This Row],[Item]],supercb[Bairro],mercado14)</f>
        <v>0</v>
      </c>
      <c r="Z341" s="27" t="n">
        <f aca="false">SUMIFS(super1[Qtde],super1[Item],tab_alimentos[[#This Row],[Item]],super1[Bairro],mercado15)+SUMIFS(supercb[Qtde],supercb[Item],tab_alimentos[[#This Row],[Item]],supercb[Bairro],mercado15)</f>
        <v>0</v>
      </c>
      <c r="AA341" s="27" t="n">
        <f aca="false">SUMIFS(super1[Qtde],super1[Item],tab_alimentos[[#This Row],[Item]],super1[Bairro],mercado16)+SUMIFS(supercb[Qtde],supercb[Item],tab_alimentos[[#This Row],[Item]],supercb[Bairro],mercado16)</f>
        <v>0</v>
      </c>
      <c r="AB341" s="27" t="n">
        <f aca="false">SUMIFS(super1[Qtde],super1[Item],tab_alimentos[[#This Row],[Item]],super1[Bairro],mercado17)+SUMIFS(supercb[Qtde],supercb[Item],tab_alimentos[[#This Row],[Item]],supercb[Bairro],mercado17)</f>
        <v>0</v>
      </c>
      <c r="AC341" s="27" t="n">
        <f aca="false">SUMIFS(super1[Qtde],super1[Item],tab_alimentos[[#This Row],[Item]],super1[Bairro],mercado18)+SUMIFS(supercb[Qtde],supercb[Item],tab_alimentos[[#This Row],[Item]],supercb[Bairro],mercado18)</f>
        <v>0</v>
      </c>
      <c r="AD341" s="27" t="n">
        <f aca="false">SUMIFS(super1[Qtde],super1[Item],tab_alimentos[[#This Row],[Item]],super1[Bairro],extras)+SUMIFS(supercb[Qtde],supercb[Item],tab_alimentos[[#This Row],[Item]],supercb[Bairro],extras)</f>
        <v>0</v>
      </c>
      <c r="AE341" s="27" t="n">
        <f aca="false">SUM(L341:AC341)</f>
        <v>0</v>
      </c>
      <c r="AF341" s="27" t="n">
        <f aca="false">IFERROR(AE341*K341,0)</f>
        <v>0</v>
      </c>
      <c r="AG341" s="28" t="n">
        <f aca="false">IFERROR(J341*AE341,0)</f>
        <v>0</v>
      </c>
    </row>
    <row r="342" customFormat="false" ht="15" hidden="false" customHeight="false" outlineLevel="0" collapsed="false">
      <c r="I342" s="26" t="e">
        <f aca="false">alimentos[[#This Row],[Item]]</f>
        <v>#VALUE!</v>
      </c>
      <c r="J342" s="27" t="n">
        <f aca="false">IFERROR(alimentos[[#This Row],[kg/embalagem]],0)</f>
        <v>0</v>
      </c>
      <c r="K342" s="27" t="n">
        <f aca="false">IFERROR(alimentos[[#This Row],[Preço]],0)</f>
        <v>0</v>
      </c>
      <c r="L342" s="27" t="n">
        <f aca="false">SUMIFS(super1[Qtde],super1[Item],tab_alimentos[[#This Row],[Item]],super1[Bairro],mercado1)+SUMIFS(supercb[Qtde],supercb[Item],tab_alimentos[[#This Row],[Item]],supercb[Bairro],mercado1)</f>
        <v>0</v>
      </c>
      <c r="M342" s="27" t="n">
        <f aca="false">SUMIFS(super1[Qtde],super1[Item],tab_alimentos[[#This Row],[Item]],super1[Bairro],mercado2)+SUMIFS(supercb[Qtde],supercb[Item],tab_alimentos[[#This Row],[Item]],supercb[Bairro],mercado2)</f>
        <v>0</v>
      </c>
      <c r="N342" s="27" t="n">
        <f aca="false">SUMIFS(super1[Qtde],super1[Item],tab_alimentos[[#This Row],[Item]],super1[Bairro],mercado3)+SUMIFS(supercb[Qtde],supercb[Item],tab_alimentos[[#This Row],[Item]],supercb[Bairro],mercado3)</f>
        <v>0</v>
      </c>
      <c r="O342" s="27" t="n">
        <f aca="false">SUMIFS(super1[Qtde],super1[Item],tab_alimentos[[#This Row],[Item]],super1[Bairro],mercado4)+SUMIFS(supercb[Qtde],supercb[Item],tab_alimentos[[#This Row],[Item]],supercb[Bairro],mercado4)</f>
        <v>0</v>
      </c>
      <c r="P342" s="27" t="n">
        <f aca="false">SUMIFS(super1[Qtde],super1[Item],tab_alimentos[[#This Row],[Item]],super1[Bairro],mercado5)+SUMIFS(supercb[Qtde],supercb[Item],tab_alimentos[[#This Row],[Item]],supercb[Bairro],mercado5)</f>
        <v>0</v>
      </c>
      <c r="Q342" s="27" t="n">
        <f aca="false">SUMIFS(super1[Qtde],super1[Item],tab_alimentos[[#This Row],[Item]],super1[Bairro],mercado6)+SUMIFS(supercb[Qtde],supercb[Item],tab_alimentos[[#This Row],[Item]],supercb[Bairro],mercado6)</f>
        <v>0</v>
      </c>
      <c r="R342" s="27" t="n">
        <f aca="false">SUMIFS(super1[Qtde],super1[Item],tab_alimentos[[#This Row],[Item]],super1[Bairro],mercado7)+SUMIFS(supercb[Qtde],supercb[Item],tab_alimentos[[#This Row],[Item]],supercb[Bairro],mercado7)</f>
        <v>0</v>
      </c>
      <c r="S342" s="27" t="n">
        <f aca="false">SUMIFS(super1[Qtde],super1[Item],tab_alimentos[[#This Row],[Item]],super1[Bairro],mercado8)+SUMIFS(supercb[Qtde],supercb[Item],tab_alimentos[[#This Row],[Item]],supercb[Bairro],mercado8)</f>
        <v>0</v>
      </c>
      <c r="T342" s="27" t="n">
        <f aca="false">SUMIFS(super1[Qtde],super1[Item],tab_alimentos[[#This Row],[Item]],super1[Bairro],mercado9)+SUMIFS(supercb[Qtde],supercb[Item],tab_alimentos[[#This Row],[Item]],supercb[Bairro],mercado9)</f>
        <v>0</v>
      </c>
      <c r="U342" s="27" t="n">
        <f aca="false">SUMIFS(super1[Qtde],super1[Item],tab_alimentos[[#This Row],[Item]],super1[Bairro],mercado10)+SUMIFS(supercb[Qtde],supercb[Item],tab_alimentos[[#This Row],[Item]],supercb[Bairro],mercado10)</f>
        <v>0</v>
      </c>
      <c r="V342" s="27" t="n">
        <f aca="false">SUMIFS(super1[Qtde],super1[Item],tab_alimentos[[#This Row],[Item]],super1[Bairro],mercado11)+SUMIFS(supercb[Qtde],supercb[Item],tab_alimentos[[#This Row],[Item]],supercb[Bairro],mercado11)</f>
        <v>0</v>
      </c>
      <c r="W342" s="27" t="n">
        <f aca="false">SUMIFS(super1[Qtde],super1[Item],tab_alimentos[[#This Row],[Item]],super1[Bairro],mercado12)+SUMIFS(supercb[Qtde],supercb[Item],tab_alimentos[[#This Row],[Item]],supercb[Bairro],mercado12)</f>
        <v>0</v>
      </c>
      <c r="X342" s="27" t="n">
        <f aca="false">SUMIFS(super1[Qtde],super1[Item],tab_alimentos[[#This Row],[Item]],super1[Bairro],mercado13)+SUMIFS(supercb[Qtde],supercb[Item],tab_alimentos[[#This Row],[Item]],supercb[Bairro],mercado13)</f>
        <v>0</v>
      </c>
      <c r="Y342" s="27" t="n">
        <f aca="false">SUMIFS(super1[Qtde],super1[Item],tab_alimentos[[#This Row],[Item]],super1[Bairro],mercado14)+SUMIFS(supercb[Qtde],supercb[Item],tab_alimentos[[#This Row],[Item]],supercb[Bairro],mercado14)</f>
        <v>0</v>
      </c>
      <c r="Z342" s="27" t="n">
        <f aca="false">SUMIFS(super1[Qtde],super1[Item],tab_alimentos[[#This Row],[Item]],super1[Bairro],mercado15)+SUMIFS(supercb[Qtde],supercb[Item],tab_alimentos[[#This Row],[Item]],supercb[Bairro],mercado15)</f>
        <v>0</v>
      </c>
      <c r="AA342" s="27" t="n">
        <f aca="false">SUMIFS(super1[Qtde],super1[Item],tab_alimentos[[#This Row],[Item]],super1[Bairro],mercado16)+SUMIFS(supercb[Qtde],supercb[Item],tab_alimentos[[#This Row],[Item]],supercb[Bairro],mercado16)</f>
        <v>0</v>
      </c>
      <c r="AB342" s="27" t="n">
        <f aca="false">SUMIFS(super1[Qtde],super1[Item],tab_alimentos[[#This Row],[Item]],super1[Bairro],mercado17)+SUMIFS(supercb[Qtde],supercb[Item],tab_alimentos[[#This Row],[Item]],supercb[Bairro],mercado17)</f>
        <v>0</v>
      </c>
      <c r="AC342" s="27" t="n">
        <f aca="false">SUMIFS(super1[Qtde],super1[Item],tab_alimentos[[#This Row],[Item]],super1[Bairro],mercado18)+SUMIFS(supercb[Qtde],supercb[Item],tab_alimentos[[#This Row],[Item]],supercb[Bairro],mercado18)</f>
        <v>0</v>
      </c>
      <c r="AD342" s="27" t="n">
        <f aca="false">SUMIFS(super1[Qtde],super1[Item],tab_alimentos[[#This Row],[Item]],super1[Bairro],extras)+SUMIFS(supercb[Qtde],supercb[Item],tab_alimentos[[#This Row],[Item]],supercb[Bairro],extras)</f>
        <v>0</v>
      </c>
      <c r="AE342" s="27" t="n">
        <f aca="false">SUM(L342:AC342)</f>
        <v>0</v>
      </c>
      <c r="AF342" s="27" t="n">
        <f aca="false">IFERROR(AE342*K342,0)</f>
        <v>0</v>
      </c>
      <c r="AG342" s="28" t="n">
        <f aca="false">IFERROR(J342*AE342,0)</f>
        <v>0</v>
      </c>
    </row>
    <row r="343" customFormat="false" ht="15" hidden="false" customHeight="false" outlineLevel="0" collapsed="false">
      <c r="I343" s="26" t="e">
        <f aca="false">alimentos[[#This Row],[Item]]</f>
        <v>#VALUE!</v>
      </c>
      <c r="J343" s="27" t="n">
        <f aca="false">IFERROR(alimentos[[#This Row],[kg/embalagem]],0)</f>
        <v>0</v>
      </c>
      <c r="K343" s="27" t="n">
        <f aca="false">IFERROR(alimentos[[#This Row],[Preço]],0)</f>
        <v>0</v>
      </c>
      <c r="L343" s="27" t="n">
        <f aca="false">SUMIFS(super1[Qtde],super1[Item],tab_alimentos[[#This Row],[Item]],super1[Bairro],mercado1)+SUMIFS(supercb[Qtde],supercb[Item],tab_alimentos[[#This Row],[Item]],supercb[Bairro],mercado1)</f>
        <v>0</v>
      </c>
      <c r="M343" s="27" t="n">
        <f aca="false">SUMIFS(super1[Qtde],super1[Item],tab_alimentos[[#This Row],[Item]],super1[Bairro],mercado2)+SUMIFS(supercb[Qtde],supercb[Item],tab_alimentos[[#This Row],[Item]],supercb[Bairro],mercado2)</f>
        <v>0</v>
      </c>
      <c r="N343" s="27" t="n">
        <f aca="false">SUMIFS(super1[Qtde],super1[Item],tab_alimentos[[#This Row],[Item]],super1[Bairro],mercado3)+SUMIFS(supercb[Qtde],supercb[Item],tab_alimentos[[#This Row],[Item]],supercb[Bairro],mercado3)</f>
        <v>0</v>
      </c>
      <c r="O343" s="27" t="n">
        <f aca="false">SUMIFS(super1[Qtde],super1[Item],tab_alimentos[[#This Row],[Item]],super1[Bairro],mercado4)+SUMIFS(supercb[Qtde],supercb[Item],tab_alimentos[[#This Row],[Item]],supercb[Bairro],mercado4)</f>
        <v>0</v>
      </c>
      <c r="P343" s="27" t="n">
        <f aca="false">SUMIFS(super1[Qtde],super1[Item],tab_alimentos[[#This Row],[Item]],super1[Bairro],mercado5)+SUMIFS(supercb[Qtde],supercb[Item],tab_alimentos[[#This Row],[Item]],supercb[Bairro],mercado5)</f>
        <v>0</v>
      </c>
      <c r="Q343" s="27" t="n">
        <f aca="false">SUMIFS(super1[Qtde],super1[Item],tab_alimentos[[#This Row],[Item]],super1[Bairro],mercado6)+SUMIFS(supercb[Qtde],supercb[Item],tab_alimentos[[#This Row],[Item]],supercb[Bairro],mercado6)</f>
        <v>0</v>
      </c>
      <c r="R343" s="27" t="n">
        <f aca="false">SUMIFS(super1[Qtde],super1[Item],tab_alimentos[[#This Row],[Item]],super1[Bairro],mercado7)+SUMIFS(supercb[Qtde],supercb[Item],tab_alimentos[[#This Row],[Item]],supercb[Bairro],mercado7)</f>
        <v>0</v>
      </c>
      <c r="S343" s="27" t="n">
        <f aca="false">SUMIFS(super1[Qtde],super1[Item],tab_alimentos[[#This Row],[Item]],super1[Bairro],mercado8)+SUMIFS(supercb[Qtde],supercb[Item],tab_alimentos[[#This Row],[Item]],supercb[Bairro],mercado8)</f>
        <v>0</v>
      </c>
      <c r="T343" s="27" t="n">
        <f aca="false">SUMIFS(super1[Qtde],super1[Item],tab_alimentos[[#This Row],[Item]],super1[Bairro],mercado9)+SUMIFS(supercb[Qtde],supercb[Item],tab_alimentos[[#This Row],[Item]],supercb[Bairro],mercado9)</f>
        <v>0</v>
      </c>
      <c r="U343" s="27" t="n">
        <f aca="false">SUMIFS(super1[Qtde],super1[Item],tab_alimentos[[#This Row],[Item]],super1[Bairro],mercado10)+SUMIFS(supercb[Qtde],supercb[Item],tab_alimentos[[#This Row],[Item]],supercb[Bairro],mercado10)</f>
        <v>0</v>
      </c>
      <c r="V343" s="27" t="n">
        <f aca="false">SUMIFS(super1[Qtde],super1[Item],tab_alimentos[[#This Row],[Item]],super1[Bairro],mercado11)+SUMIFS(supercb[Qtde],supercb[Item],tab_alimentos[[#This Row],[Item]],supercb[Bairro],mercado11)</f>
        <v>0</v>
      </c>
      <c r="W343" s="27" t="n">
        <f aca="false">SUMIFS(super1[Qtde],super1[Item],tab_alimentos[[#This Row],[Item]],super1[Bairro],mercado12)+SUMIFS(supercb[Qtde],supercb[Item],tab_alimentos[[#This Row],[Item]],supercb[Bairro],mercado12)</f>
        <v>0</v>
      </c>
      <c r="X343" s="27" t="n">
        <f aca="false">SUMIFS(super1[Qtde],super1[Item],tab_alimentos[[#This Row],[Item]],super1[Bairro],mercado13)+SUMIFS(supercb[Qtde],supercb[Item],tab_alimentos[[#This Row],[Item]],supercb[Bairro],mercado13)</f>
        <v>0</v>
      </c>
      <c r="Y343" s="27" t="n">
        <f aca="false">SUMIFS(super1[Qtde],super1[Item],tab_alimentos[[#This Row],[Item]],super1[Bairro],mercado14)+SUMIFS(supercb[Qtde],supercb[Item],tab_alimentos[[#This Row],[Item]],supercb[Bairro],mercado14)</f>
        <v>0</v>
      </c>
      <c r="Z343" s="27" t="n">
        <f aca="false">SUMIFS(super1[Qtde],super1[Item],tab_alimentos[[#This Row],[Item]],super1[Bairro],mercado15)+SUMIFS(supercb[Qtde],supercb[Item],tab_alimentos[[#This Row],[Item]],supercb[Bairro],mercado15)</f>
        <v>0</v>
      </c>
      <c r="AA343" s="27" t="n">
        <f aca="false">SUMIFS(super1[Qtde],super1[Item],tab_alimentos[[#This Row],[Item]],super1[Bairro],mercado16)+SUMIFS(supercb[Qtde],supercb[Item],tab_alimentos[[#This Row],[Item]],supercb[Bairro],mercado16)</f>
        <v>0</v>
      </c>
      <c r="AB343" s="27" t="n">
        <f aca="false">SUMIFS(super1[Qtde],super1[Item],tab_alimentos[[#This Row],[Item]],super1[Bairro],mercado17)+SUMIFS(supercb[Qtde],supercb[Item],tab_alimentos[[#This Row],[Item]],supercb[Bairro],mercado17)</f>
        <v>0</v>
      </c>
      <c r="AC343" s="27" t="n">
        <f aca="false">SUMIFS(super1[Qtde],super1[Item],tab_alimentos[[#This Row],[Item]],super1[Bairro],mercado18)+SUMIFS(supercb[Qtde],supercb[Item],tab_alimentos[[#This Row],[Item]],supercb[Bairro],mercado18)</f>
        <v>0</v>
      </c>
      <c r="AD343" s="27" t="n">
        <f aca="false">SUMIFS(super1[Qtde],super1[Item],tab_alimentos[[#This Row],[Item]],super1[Bairro],extras)+SUMIFS(supercb[Qtde],supercb[Item],tab_alimentos[[#This Row],[Item]],supercb[Bairro],extras)</f>
        <v>0</v>
      </c>
      <c r="AE343" s="27" t="n">
        <f aca="false">SUM(L343:AC343)</f>
        <v>0</v>
      </c>
      <c r="AF343" s="27" t="n">
        <f aca="false">IFERROR(AE343*K343,0)</f>
        <v>0</v>
      </c>
      <c r="AG343" s="28" t="n">
        <f aca="false">IFERROR(J343*AE343,0)</f>
        <v>0</v>
      </c>
    </row>
    <row r="344" customFormat="false" ht="15" hidden="false" customHeight="false" outlineLevel="0" collapsed="false">
      <c r="I344" s="26" t="e">
        <f aca="false">alimentos[[#This Row],[Item]]</f>
        <v>#VALUE!</v>
      </c>
      <c r="J344" s="27" t="n">
        <f aca="false">IFERROR(alimentos[[#This Row],[kg/embalagem]],0)</f>
        <v>0</v>
      </c>
      <c r="K344" s="27" t="n">
        <f aca="false">IFERROR(alimentos[[#This Row],[Preço]],0)</f>
        <v>0</v>
      </c>
      <c r="L344" s="27" t="n">
        <f aca="false">SUMIFS(super1[Qtde],super1[Item],tab_alimentos[[#This Row],[Item]],super1[Bairro],mercado1)+SUMIFS(supercb[Qtde],supercb[Item],tab_alimentos[[#This Row],[Item]],supercb[Bairro],mercado1)</f>
        <v>0</v>
      </c>
      <c r="M344" s="27" t="n">
        <f aca="false">SUMIFS(super1[Qtde],super1[Item],tab_alimentos[[#This Row],[Item]],super1[Bairro],mercado2)+SUMIFS(supercb[Qtde],supercb[Item],tab_alimentos[[#This Row],[Item]],supercb[Bairro],mercado2)</f>
        <v>0</v>
      </c>
      <c r="N344" s="27" t="n">
        <f aca="false">SUMIFS(super1[Qtde],super1[Item],tab_alimentos[[#This Row],[Item]],super1[Bairro],mercado3)+SUMIFS(supercb[Qtde],supercb[Item],tab_alimentos[[#This Row],[Item]],supercb[Bairro],mercado3)</f>
        <v>0</v>
      </c>
      <c r="O344" s="27" t="n">
        <f aca="false">SUMIFS(super1[Qtde],super1[Item],tab_alimentos[[#This Row],[Item]],super1[Bairro],mercado4)+SUMIFS(supercb[Qtde],supercb[Item],tab_alimentos[[#This Row],[Item]],supercb[Bairro],mercado4)</f>
        <v>0</v>
      </c>
      <c r="P344" s="27" t="n">
        <f aca="false">SUMIFS(super1[Qtde],super1[Item],tab_alimentos[[#This Row],[Item]],super1[Bairro],mercado5)+SUMIFS(supercb[Qtde],supercb[Item],tab_alimentos[[#This Row],[Item]],supercb[Bairro],mercado5)</f>
        <v>0</v>
      </c>
      <c r="Q344" s="27" t="n">
        <f aca="false">SUMIFS(super1[Qtde],super1[Item],tab_alimentos[[#This Row],[Item]],super1[Bairro],mercado6)+SUMIFS(supercb[Qtde],supercb[Item],tab_alimentos[[#This Row],[Item]],supercb[Bairro],mercado6)</f>
        <v>0</v>
      </c>
      <c r="R344" s="27" t="n">
        <f aca="false">SUMIFS(super1[Qtde],super1[Item],tab_alimentos[[#This Row],[Item]],super1[Bairro],mercado7)+SUMIFS(supercb[Qtde],supercb[Item],tab_alimentos[[#This Row],[Item]],supercb[Bairro],mercado7)</f>
        <v>0</v>
      </c>
      <c r="S344" s="27" t="n">
        <f aca="false">SUMIFS(super1[Qtde],super1[Item],tab_alimentos[[#This Row],[Item]],super1[Bairro],mercado8)+SUMIFS(supercb[Qtde],supercb[Item],tab_alimentos[[#This Row],[Item]],supercb[Bairro],mercado8)</f>
        <v>0</v>
      </c>
      <c r="T344" s="27" t="n">
        <f aca="false">SUMIFS(super1[Qtde],super1[Item],tab_alimentos[[#This Row],[Item]],super1[Bairro],mercado9)+SUMIFS(supercb[Qtde],supercb[Item],tab_alimentos[[#This Row],[Item]],supercb[Bairro],mercado9)</f>
        <v>0</v>
      </c>
      <c r="U344" s="27" t="n">
        <f aca="false">SUMIFS(super1[Qtde],super1[Item],tab_alimentos[[#This Row],[Item]],super1[Bairro],mercado10)+SUMIFS(supercb[Qtde],supercb[Item],tab_alimentos[[#This Row],[Item]],supercb[Bairro],mercado10)</f>
        <v>0</v>
      </c>
      <c r="V344" s="27" t="n">
        <f aca="false">SUMIFS(super1[Qtde],super1[Item],tab_alimentos[[#This Row],[Item]],super1[Bairro],mercado11)+SUMIFS(supercb[Qtde],supercb[Item],tab_alimentos[[#This Row],[Item]],supercb[Bairro],mercado11)</f>
        <v>0</v>
      </c>
      <c r="W344" s="27" t="n">
        <f aca="false">SUMIFS(super1[Qtde],super1[Item],tab_alimentos[[#This Row],[Item]],super1[Bairro],mercado12)+SUMIFS(supercb[Qtde],supercb[Item],tab_alimentos[[#This Row],[Item]],supercb[Bairro],mercado12)</f>
        <v>0</v>
      </c>
      <c r="X344" s="27" t="n">
        <f aca="false">SUMIFS(super1[Qtde],super1[Item],tab_alimentos[[#This Row],[Item]],super1[Bairro],mercado13)+SUMIFS(supercb[Qtde],supercb[Item],tab_alimentos[[#This Row],[Item]],supercb[Bairro],mercado13)</f>
        <v>0</v>
      </c>
      <c r="Y344" s="27" t="n">
        <f aca="false">SUMIFS(super1[Qtde],super1[Item],tab_alimentos[[#This Row],[Item]],super1[Bairro],mercado14)+SUMIFS(supercb[Qtde],supercb[Item],tab_alimentos[[#This Row],[Item]],supercb[Bairro],mercado14)</f>
        <v>0</v>
      </c>
      <c r="Z344" s="27" t="n">
        <f aca="false">SUMIFS(super1[Qtde],super1[Item],tab_alimentos[[#This Row],[Item]],super1[Bairro],mercado15)+SUMIFS(supercb[Qtde],supercb[Item],tab_alimentos[[#This Row],[Item]],supercb[Bairro],mercado15)</f>
        <v>0</v>
      </c>
      <c r="AA344" s="27" t="n">
        <f aca="false">SUMIFS(super1[Qtde],super1[Item],tab_alimentos[[#This Row],[Item]],super1[Bairro],mercado16)+SUMIFS(supercb[Qtde],supercb[Item],tab_alimentos[[#This Row],[Item]],supercb[Bairro],mercado16)</f>
        <v>0</v>
      </c>
      <c r="AB344" s="27" t="n">
        <f aca="false">SUMIFS(super1[Qtde],super1[Item],tab_alimentos[[#This Row],[Item]],super1[Bairro],mercado17)+SUMIFS(supercb[Qtde],supercb[Item],tab_alimentos[[#This Row],[Item]],supercb[Bairro],mercado17)</f>
        <v>0</v>
      </c>
      <c r="AC344" s="27" t="n">
        <f aca="false">SUMIFS(super1[Qtde],super1[Item],tab_alimentos[[#This Row],[Item]],super1[Bairro],mercado18)+SUMIFS(supercb[Qtde],supercb[Item],tab_alimentos[[#This Row],[Item]],supercb[Bairro],mercado18)</f>
        <v>0</v>
      </c>
      <c r="AD344" s="27" t="n">
        <f aca="false">SUMIFS(super1[Qtde],super1[Item],tab_alimentos[[#This Row],[Item]],super1[Bairro],extras)+SUMIFS(supercb[Qtde],supercb[Item],tab_alimentos[[#This Row],[Item]],supercb[Bairro],extras)</f>
        <v>0</v>
      </c>
      <c r="AE344" s="27" t="n">
        <f aca="false">SUM(L344:AC344)</f>
        <v>0</v>
      </c>
      <c r="AF344" s="27" t="n">
        <f aca="false">IFERROR(AE344*K344,0)</f>
        <v>0</v>
      </c>
      <c r="AG344" s="28" t="n">
        <f aca="false">IFERROR(J344*AE344,0)</f>
        <v>0</v>
      </c>
    </row>
    <row r="345" customFormat="false" ht="15" hidden="false" customHeight="false" outlineLevel="0" collapsed="false">
      <c r="I345" s="26" t="e">
        <f aca="false">alimentos[[#This Row],[Item]]</f>
        <v>#VALUE!</v>
      </c>
      <c r="J345" s="27" t="n">
        <f aca="false">IFERROR(alimentos[[#This Row],[kg/embalagem]],0)</f>
        <v>0</v>
      </c>
      <c r="K345" s="27" t="n">
        <f aca="false">IFERROR(alimentos[[#This Row],[Preço]],0)</f>
        <v>0</v>
      </c>
      <c r="L345" s="27" t="n">
        <f aca="false">SUMIFS(super1[Qtde],super1[Item],tab_alimentos[[#This Row],[Item]],super1[Bairro],mercado1)+SUMIFS(supercb[Qtde],supercb[Item],tab_alimentos[[#This Row],[Item]],supercb[Bairro],mercado1)</f>
        <v>0</v>
      </c>
      <c r="M345" s="27" t="n">
        <f aca="false">SUMIFS(super1[Qtde],super1[Item],tab_alimentos[[#This Row],[Item]],super1[Bairro],mercado2)+SUMIFS(supercb[Qtde],supercb[Item],tab_alimentos[[#This Row],[Item]],supercb[Bairro],mercado2)</f>
        <v>0</v>
      </c>
      <c r="N345" s="27" t="n">
        <f aca="false">SUMIFS(super1[Qtde],super1[Item],tab_alimentos[[#This Row],[Item]],super1[Bairro],mercado3)+SUMIFS(supercb[Qtde],supercb[Item],tab_alimentos[[#This Row],[Item]],supercb[Bairro],mercado3)</f>
        <v>0</v>
      </c>
      <c r="O345" s="27" t="n">
        <f aca="false">SUMIFS(super1[Qtde],super1[Item],tab_alimentos[[#This Row],[Item]],super1[Bairro],mercado4)+SUMIFS(supercb[Qtde],supercb[Item],tab_alimentos[[#This Row],[Item]],supercb[Bairro],mercado4)</f>
        <v>0</v>
      </c>
      <c r="P345" s="27" t="n">
        <f aca="false">SUMIFS(super1[Qtde],super1[Item],tab_alimentos[[#This Row],[Item]],super1[Bairro],mercado5)+SUMIFS(supercb[Qtde],supercb[Item],tab_alimentos[[#This Row],[Item]],supercb[Bairro],mercado5)</f>
        <v>0</v>
      </c>
      <c r="Q345" s="27" t="n">
        <f aca="false">SUMIFS(super1[Qtde],super1[Item],tab_alimentos[[#This Row],[Item]],super1[Bairro],mercado6)+SUMIFS(supercb[Qtde],supercb[Item],tab_alimentos[[#This Row],[Item]],supercb[Bairro],mercado6)</f>
        <v>0</v>
      </c>
      <c r="R345" s="27" t="n">
        <f aca="false">SUMIFS(super1[Qtde],super1[Item],tab_alimentos[[#This Row],[Item]],super1[Bairro],mercado7)+SUMIFS(supercb[Qtde],supercb[Item],tab_alimentos[[#This Row],[Item]],supercb[Bairro],mercado7)</f>
        <v>0</v>
      </c>
      <c r="S345" s="27" t="n">
        <f aca="false">SUMIFS(super1[Qtde],super1[Item],tab_alimentos[[#This Row],[Item]],super1[Bairro],mercado8)+SUMIFS(supercb[Qtde],supercb[Item],tab_alimentos[[#This Row],[Item]],supercb[Bairro],mercado8)</f>
        <v>0</v>
      </c>
      <c r="T345" s="27" t="n">
        <f aca="false">SUMIFS(super1[Qtde],super1[Item],tab_alimentos[[#This Row],[Item]],super1[Bairro],mercado9)+SUMIFS(supercb[Qtde],supercb[Item],tab_alimentos[[#This Row],[Item]],supercb[Bairro],mercado9)</f>
        <v>0</v>
      </c>
      <c r="U345" s="27" t="n">
        <f aca="false">SUMIFS(super1[Qtde],super1[Item],tab_alimentos[[#This Row],[Item]],super1[Bairro],mercado10)+SUMIFS(supercb[Qtde],supercb[Item],tab_alimentos[[#This Row],[Item]],supercb[Bairro],mercado10)</f>
        <v>0</v>
      </c>
      <c r="V345" s="27" t="n">
        <f aca="false">SUMIFS(super1[Qtde],super1[Item],tab_alimentos[[#This Row],[Item]],super1[Bairro],mercado11)+SUMIFS(supercb[Qtde],supercb[Item],tab_alimentos[[#This Row],[Item]],supercb[Bairro],mercado11)</f>
        <v>0</v>
      </c>
      <c r="W345" s="27" t="n">
        <f aca="false">SUMIFS(super1[Qtde],super1[Item],tab_alimentos[[#This Row],[Item]],super1[Bairro],mercado12)+SUMIFS(supercb[Qtde],supercb[Item],tab_alimentos[[#This Row],[Item]],supercb[Bairro],mercado12)</f>
        <v>0</v>
      </c>
      <c r="X345" s="27" t="n">
        <f aca="false">SUMIFS(super1[Qtde],super1[Item],tab_alimentos[[#This Row],[Item]],super1[Bairro],mercado13)+SUMIFS(supercb[Qtde],supercb[Item],tab_alimentos[[#This Row],[Item]],supercb[Bairro],mercado13)</f>
        <v>0</v>
      </c>
      <c r="Y345" s="27" t="n">
        <f aca="false">SUMIFS(super1[Qtde],super1[Item],tab_alimentos[[#This Row],[Item]],super1[Bairro],mercado14)+SUMIFS(supercb[Qtde],supercb[Item],tab_alimentos[[#This Row],[Item]],supercb[Bairro],mercado14)</f>
        <v>0</v>
      </c>
      <c r="Z345" s="27" t="n">
        <f aca="false">SUMIFS(super1[Qtde],super1[Item],tab_alimentos[[#This Row],[Item]],super1[Bairro],mercado15)+SUMIFS(supercb[Qtde],supercb[Item],tab_alimentos[[#This Row],[Item]],supercb[Bairro],mercado15)</f>
        <v>0</v>
      </c>
      <c r="AA345" s="27" t="n">
        <f aca="false">SUMIFS(super1[Qtde],super1[Item],tab_alimentos[[#This Row],[Item]],super1[Bairro],mercado16)+SUMIFS(supercb[Qtde],supercb[Item],tab_alimentos[[#This Row],[Item]],supercb[Bairro],mercado16)</f>
        <v>0</v>
      </c>
      <c r="AB345" s="27" t="n">
        <f aca="false">SUMIFS(super1[Qtde],super1[Item],tab_alimentos[[#This Row],[Item]],super1[Bairro],mercado17)+SUMIFS(supercb[Qtde],supercb[Item],tab_alimentos[[#This Row],[Item]],supercb[Bairro],mercado17)</f>
        <v>0</v>
      </c>
      <c r="AC345" s="27" t="n">
        <f aca="false">SUMIFS(super1[Qtde],super1[Item],tab_alimentos[[#This Row],[Item]],super1[Bairro],mercado18)+SUMIFS(supercb[Qtde],supercb[Item],tab_alimentos[[#This Row],[Item]],supercb[Bairro],mercado18)</f>
        <v>0</v>
      </c>
      <c r="AD345" s="27" t="n">
        <f aca="false">SUMIFS(super1[Qtde],super1[Item],tab_alimentos[[#This Row],[Item]],super1[Bairro],extras)+SUMIFS(supercb[Qtde],supercb[Item],tab_alimentos[[#This Row],[Item]],supercb[Bairro],extras)</f>
        <v>0</v>
      </c>
      <c r="AE345" s="27" t="n">
        <f aca="false">SUM(L345:AC345)</f>
        <v>0</v>
      </c>
      <c r="AF345" s="27" t="n">
        <f aca="false">IFERROR(AE345*K345,0)</f>
        <v>0</v>
      </c>
      <c r="AG345" s="28" t="n">
        <f aca="false">IFERROR(J345*AE345,0)</f>
        <v>0</v>
      </c>
    </row>
    <row r="346" customFormat="false" ht="15" hidden="false" customHeight="false" outlineLevel="0" collapsed="false">
      <c r="I346" s="26" t="e">
        <f aca="false">alimentos[[#This Row],[Item]]</f>
        <v>#VALUE!</v>
      </c>
      <c r="J346" s="27" t="n">
        <f aca="false">IFERROR(alimentos[[#This Row],[kg/embalagem]],0)</f>
        <v>0</v>
      </c>
      <c r="K346" s="27" t="n">
        <f aca="false">IFERROR(alimentos[[#This Row],[Preço]],0)</f>
        <v>0</v>
      </c>
      <c r="L346" s="27" t="n">
        <f aca="false">SUMIFS(super1[Qtde],super1[Item],tab_alimentos[[#This Row],[Item]],super1[Bairro],mercado1)+SUMIFS(supercb[Qtde],supercb[Item],tab_alimentos[[#This Row],[Item]],supercb[Bairro],mercado1)</f>
        <v>0</v>
      </c>
      <c r="M346" s="27" t="n">
        <f aca="false">SUMIFS(super1[Qtde],super1[Item],tab_alimentos[[#This Row],[Item]],super1[Bairro],mercado2)+SUMIFS(supercb[Qtde],supercb[Item],tab_alimentos[[#This Row],[Item]],supercb[Bairro],mercado2)</f>
        <v>0</v>
      </c>
      <c r="N346" s="27" t="n">
        <f aca="false">SUMIFS(super1[Qtde],super1[Item],tab_alimentos[[#This Row],[Item]],super1[Bairro],mercado3)+SUMIFS(supercb[Qtde],supercb[Item],tab_alimentos[[#This Row],[Item]],supercb[Bairro],mercado3)</f>
        <v>0</v>
      </c>
      <c r="O346" s="27" t="n">
        <f aca="false">SUMIFS(super1[Qtde],super1[Item],tab_alimentos[[#This Row],[Item]],super1[Bairro],mercado4)+SUMIFS(supercb[Qtde],supercb[Item],tab_alimentos[[#This Row],[Item]],supercb[Bairro],mercado4)</f>
        <v>0</v>
      </c>
      <c r="P346" s="27" t="n">
        <f aca="false">SUMIFS(super1[Qtde],super1[Item],tab_alimentos[[#This Row],[Item]],super1[Bairro],mercado5)+SUMIFS(supercb[Qtde],supercb[Item],tab_alimentos[[#This Row],[Item]],supercb[Bairro],mercado5)</f>
        <v>0</v>
      </c>
      <c r="Q346" s="27" t="n">
        <f aca="false">SUMIFS(super1[Qtde],super1[Item],tab_alimentos[[#This Row],[Item]],super1[Bairro],mercado6)+SUMIFS(supercb[Qtde],supercb[Item],tab_alimentos[[#This Row],[Item]],supercb[Bairro],mercado6)</f>
        <v>0</v>
      </c>
      <c r="R346" s="27" t="n">
        <f aca="false">SUMIFS(super1[Qtde],super1[Item],tab_alimentos[[#This Row],[Item]],super1[Bairro],mercado7)+SUMIFS(supercb[Qtde],supercb[Item],tab_alimentos[[#This Row],[Item]],supercb[Bairro],mercado7)</f>
        <v>0</v>
      </c>
      <c r="S346" s="27" t="n">
        <f aca="false">SUMIFS(super1[Qtde],super1[Item],tab_alimentos[[#This Row],[Item]],super1[Bairro],mercado8)+SUMIFS(supercb[Qtde],supercb[Item],tab_alimentos[[#This Row],[Item]],supercb[Bairro],mercado8)</f>
        <v>0</v>
      </c>
      <c r="T346" s="27" t="n">
        <f aca="false">SUMIFS(super1[Qtde],super1[Item],tab_alimentos[[#This Row],[Item]],super1[Bairro],mercado9)+SUMIFS(supercb[Qtde],supercb[Item],tab_alimentos[[#This Row],[Item]],supercb[Bairro],mercado9)</f>
        <v>0</v>
      </c>
      <c r="U346" s="27" t="n">
        <f aca="false">SUMIFS(super1[Qtde],super1[Item],tab_alimentos[[#This Row],[Item]],super1[Bairro],mercado10)+SUMIFS(supercb[Qtde],supercb[Item],tab_alimentos[[#This Row],[Item]],supercb[Bairro],mercado10)</f>
        <v>0</v>
      </c>
      <c r="V346" s="27" t="n">
        <f aca="false">SUMIFS(super1[Qtde],super1[Item],tab_alimentos[[#This Row],[Item]],super1[Bairro],mercado11)+SUMIFS(supercb[Qtde],supercb[Item],tab_alimentos[[#This Row],[Item]],supercb[Bairro],mercado11)</f>
        <v>0</v>
      </c>
      <c r="W346" s="27" t="n">
        <f aca="false">SUMIFS(super1[Qtde],super1[Item],tab_alimentos[[#This Row],[Item]],super1[Bairro],mercado12)+SUMIFS(supercb[Qtde],supercb[Item],tab_alimentos[[#This Row],[Item]],supercb[Bairro],mercado12)</f>
        <v>0</v>
      </c>
      <c r="X346" s="27" t="n">
        <f aca="false">SUMIFS(super1[Qtde],super1[Item],tab_alimentos[[#This Row],[Item]],super1[Bairro],mercado13)+SUMIFS(supercb[Qtde],supercb[Item],tab_alimentos[[#This Row],[Item]],supercb[Bairro],mercado13)</f>
        <v>0</v>
      </c>
      <c r="Y346" s="27" t="n">
        <f aca="false">SUMIFS(super1[Qtde],super1[Item],tab_alimentos[[#This Row],[Item]],super1[Bairro],mercado14)+SUMIFS(supercb[Qtde],supercb[Item],tab_alimentos[[#This Row],[Item]],supercb[Bairro],mercado14)</f>
        <v>0</v>
      </c>
      <c r="Z346" s="27" t="n">
        <f aca="false">SUMIFS(super1[Qtde],super1[Item],tab_alimentos[[#This Row],[Item]],super1[Bairro],mercado15)+SUMIFS(supercb[Qtde],supercb[Item],tab_alimentos[[#This Row],[Item]],supercb[Bairro],mercado15)</f>
        <v>0</v>
      </c>
      <c r="AA346" s="27" t="n">
        <f aca="false">SUMIFS(super1[Qtde],super1[Item],tab_alimentos[[#This Row],[Item]],super1[Bairro],mercado16)+SUMIFS(supercb[Qtde],supercb[Item],tab_alimentos[[#This Row],[Item]],supercb[Bairro],mercado16)</f>
        <v>0</v>
      </c>
      <c r="AB346" s="27" t="n">
        <f aca="false">SUMIFS(super1[Qtde],super1[Item],tab_alimentos[[#This Row],[Item]],super1[Bairro],mercado17)+SUMIFS(supercb[Qtde],supercb[Item],tab_alimentos[[#This Row],[Item]],supercb[Bairro],mercado17)</f>
        <v>0</v>
      </c>
      <c r="AC346" s="27" t="n">
        <f aca="false">SUMIFS(super1[Qtde],super1[Item],tab_alimentos[[#This Row],[Item]],super1[Bairro],mercado18)+SUMIFS(supercb[Qtde],supercb[Item],tab_alimentos[[#This Row],[Item]],supercb[Bairro],mercado18)</f>
        <v>0</v>
      </c>
      <c r="AD346" s="27" t="n">
        <f aca="false">SUMIFS(super1[Qtde],super1[Item],tab_alimentos[[#This Row],[Item]],super1[Bairro],extras)+SUMIFS(supercb[Qtde],supercb[Item],tab_alimentos[[#This Row],[Item]],supercb[Bairro],extras)</f>
        <v>0</v>
      </c>
      <c r="AE346" s="27" t="n">
        <f aca="false">SUM(L346:AC346)</f>
        <v>0</v>
      </c>
      <c r="AF346" s="27" t="n">
        <f aca="false">IFERROR(AE346*K346,0)</f>
        <v>0</v>
      </c>
      <c r="AG346" s="28" t="n">
        <f aca="false">IFERROR(J346*AE346,0)</f>
        <v>0</v>
      </c>
    </row>
    <row r="347" customFormat="false" ht="15" hidden="false" customHeight="false" outlineLevel="0" collapsed="false">
      <c r="I347" s="26" t="e">
        <f aca="false">alimentos[[#This Row],[Item]]</f>
        <v>#VALUE!</v>
      </c>
      <c r="J347" s="27" t="n">
        <f aca="false">IFERROR(alimentos[[#This Row],[kg/embalagem]],0)</f>
        <v>0</v>
      </c>
      <c r="K347" s="27" t="n">
        <f aca="false">IFERROR(alimentos[[#This Row],[Preço]],0)</f>
        <v>0</v>
      </c>
      <c r="L347" s="27" t="n">
        <f aca="false">SUMIFS(super1[Qtde],super1[Item],tab_alimentos[[#This Row],[Item]],super1[Bairro],mercado1)+SUMIFS(supercb[Qtde],supercb[Item],tab_alimentos[[#This Row],[Item]],supercb[Bairro],mercado1)</f>
        <v>0</v>
      </c>
      <c r="M347" s="27" t="n">
        <f aca="false">SUMIFS(super1[Qtde],super1[Item],tab_alimentos[[#This Row],[Item]],super1[Bairro],mercado2)+SUMIFS(supercb[Qtde],supercb[Item],tab_alimentos[[#This Row],[Item]],supercb[Bairro],mercado2)</f>
        <v>0</v>
      </c>
      <c r="N347" s="27" t="n">
        <f aca="false">SUMIFS(super1[Qtde],super1[Item],tab_alimentos[[#This Row],[Item]],super1[Bairro],mercado3)+SUMIFS(supercb[Qtde],supercb[Item],tab_alimentos[[#This Row],[Item]],supercb[Bairro],mercado3)</f>
        <v>0</v>
      </c>
      <c r="O347" s="27" t="n">
        <f aca="false">SUMIFS(super1[Qtde],super1[Item],tab_alimentos[[#This Row],[Item]],super1[Bairro],mercado4)+SUMIFS(supercb[Qtde],supercb[Item],tab_alimentos[[#This Row],[Item]],supercb[Bairro],mercado4)</f>
        <v>0</v>
      </c>
      <c r="P347" s="27" t="n">
        <f aca="false">SUMIFS(super1[Qtde],super1[Item],tab_alimentos[[#This Row],[Item]],super1[Bairro],mercado5)+SUMIFS(supercb[Qtde],supercb[Item],tab_alimentos[[#This Row],[Item]],supercb[Bairro],mercado5)</f>
        <v>0</v>
      </c>
      <c r="Q347" s="27" t="n">
        <f aca="false">SUMIFS(super1[Qtde],super1[Item],tab_alimentos[[#This Row],[Item]],super1[Bairro],mercado6)+SUMIFS(supercb[Qtde],supercb[Item],tab_alimentos[[#This Row],[Item]],supercb[Bairro],mercado6)</f>
        <v>0</v>
      </c>
      <c r="R347" s="27" t="n">
        <f aca="false">SUMIFS(super1[Qtde],super1[Item],tab_alimentos[[#This Row],[Item]],super1[Bairro],mercado7)+SUMIFS(supercb[Qtde],supercb[Item],tab_alimentos[[#This Row],[Item]],supercb[Bairro],mercado7)</f>
        <v>0</v>
      </c>
      <c r="S347" s="27" t="n">
        <f aca="false">SUMIFS(super1[Qtde],super1[Item],tab_alimentos[[#This Row],[Item]],super1[Bairro],mercado8)+SUMIFS(supercb[Qtde],supercb[Item],tab_alimentos[[#This Row],[Item]],supercb[Bairro],mercado8)</f>
        <v>0</v>
      </c>
      <c r="T347" s="27" t="n">
        <f aca="false">SUMIFS(super1[Qtde],super1[Item],tab_alimentos[[#This Row],[Item]],super1[Bairro],mercado9)+SUMIFS(supercb[Qtde],supercb[Item],tab_alimentos[[#This Row],[Item]],supercb[Bairro],mercado9)</f>
        <v>0</v>
      </c>
      <c r="U347" s="27" t="n">
        <f aca="false">SUMIFS(super1[Qtde],super1[Item],tab_alimentos[[#This Row],[Item]],super1[Bairro],mercado10)+SUMIFS(supercb[Qtde],supercb[Item],tab_alimentos[[#This Row],[Item]],supercb[Bairro],mercado10)</f>
        <v>0</v>
      </c>
      <c r="V347" s="27" t="n">
        <f aca="false">SUMIFS(super1[Qtde],super1[Item],tab_alimentos[[#This Row],[Item]],super1[Bairro],mercado11)+SUMIFS(supercb[Qtde],supercb[Item],tab_alimentos[[#This Row],[Item]],supercb[Bairro],mercado11)</f>
        <v>0</v>
      </c>
      <c r="W347" s="27" t="n">
        <f aca="false">SUMIFS(super1[Qtde],super1[Item],tab_alimentos[[#This Row],[Item]],super1[Bairro],mercado12)+SUMIFS(supercb[Qtde],supercb[Item],tab_alimentos[[#This Row],[Item]],supercb[Bairro],mercado12)</f>
        <v>0</v>
      </c>
      <c r="X347" s="27" t="n">
        <f aca="false">SUMIFS(super1[Qtde],super1[Item],tab_alimentos[[#This Row],[Item]],super1[Bairro],mercado13)+SUMIFS(supercb[Qtde],supercb[Item],tab_alimentos[[#This Row],[Item]],supercb[Bairro],mercado13)</f>
        <v>0</v>
      </c>
      <c r="Y347" s="27" t="n">
        <f aca="false">SUMIFS(super1[Qtde],super1[Item],tab_alimentos[[#This Row],[Item]],super1[Bairro],mercado14)+SUMIFS(supercb[Qtde],supercb[Item],tab_alimentos[[#This Row],[Item]],supercb[Bairro],mercado14)</f>
        <v>0</v>
      </c>
      <c r="Z347" s="27" t="n">
        <f aca="false">SUMIFS(super1[Qtde],super1[Item],tab_alimentos[[#This Row],[Item]],super1[Bairro],mercado15)+SUMIFS(supercb[Qtde],supercb[Item],tab_alimentos[[#This Row],[Item]],supercb[Bairro],mercado15)</f>
        <v>0</v>
      </c>
      <c r="AA347" s="27" t="n">
        <f aca="false">SUMIFS(super1[Qtde],super1[Item],tab_alimentos[[#This Row],[Item]],super1[Bairro],mercado16)+SUMIFS(supercb[Qtde],supercb[Item],tab_alimentos[[#This Row],[Item]],supercb[Bairro],mercado16)</f>
        <v>0</v>
      </c>
      <c r="AB347" s="27" t="n">
        <f aca="false">SUMIFS(super1[Qtde],super1[Item],tab_alimentos[[#This Row],[Item]],super1[Bairro],mercado17)+SUMIFS(supercb[Qtde],supercb[Item],tab_alimentos[[#This Row],[Item]],supercb[Bairro],mercado17)</f>
        <v>0</v>
      </c>
      <c r="AC347" s="27" t="n">
        <f aca="false">SUMIFS(super1[Qtde],super1[Item],tab_alimentos[[#This Row],[Item]],super1[Bairro],mercado18)+SUMIFS(supercb[Qtde],supercb[Item],tab_alimentos[[#This Row],[Item]],supercb[Bairro],mercado18)</f>
        <v>0</v>
      </c>
      <c r="AD347" s="27" t="n">
        <f aca="false">SUMIFS(super1[Qtde],super1[Item],tab_alimentos[[#This Row],[Item]],super1[Bairro],extras)+SUMIFS(supercb[Qtde],supercb[Item],tab_alimentos[[#This Row],[Item]],supercb[Bairro],extras)</f>
        <v>0</v>
      </c>
      <c r="AE347" s="27" t="n">
        <f aca="false">SUM(L347:AC347)</f>
        <v>0</v>
      </c>
      <c r="AF347" s="27" t="n">
        <f aca="false">IFERROR(AE347*K347,0)</f>
        <v>0</v>
      </c>
      <c r="AG347" s="28" t="n">
        <f aca="false">IFERROR(J347*AE347,0)</f>
        <v>0</v>
      </c>
    </row>
    <row r="348" customFormat="false" ht="15" hidden="false" customHeight="false" outlineLevel="0" collapsed="false">
      <c r="I348" s="26" t="e">
        <f aca="false">alimentos[[#This Row],[Item]]</f>
        <v>#VALUE!</v>
      </c>
      <c r="J348" s="27" t="n">
        <f aca="false">IFERROR(alimentos[[#This Row],[kg/embalagem]],0)</f>
        <v>0</v>
      </c>
      <c r="K348" s="27" t="n">
        <f aca="false">IFERROR(alimentos[[#This Row],[Preço]],0)</f>
        <v>0</v>
      </c>
      <c r="L348" s="27" t="n">
        <f aca="false">SUMIFS(super1[Qtde],super1[Item],tab_alimentos[[#This Row],[Item]],super1[Bairro],mercado1)+SUMIFS(supercb[Qtde],supercb[Item],tab_alimentos[[#This Row],[Item]],supercb[Bairro],mercado1)</f>
        <v>0</v>
      </c>
      <c r="M348" s="27" t="n">
        <f aca="false">SUMIFS(super1[Qtde],super1[Item],tab_alimentos[[#This Row],[Item]],super1[Bairro],mercado2)+SUMIFS(supercb[Qtde],supercb[Item],tab_alimentos[[#This Row],[Item]],supercb[Bairro],mercado2)</f>
        <v>0</v>
      </c>
      <c r="N348" s="27" t="n">
        <f aca="false">SUMIFS(super1[Qtde],super1[Item],tab_alimentos[[#This Row],[Item]],super1[Bairro],mercado3)+SUMIFS(supercb[Qtde],supercb[Item],tab_alimentos[[#This Row],[Item]],supercb[Bairro],mercado3)</f>
        <v>0</v>
      </c>
      <c r="O348" s="27" t="n">
        <f aca="false">SUMIFS(super1[Qtde],super1[Item],tab_alimentos[[#This Row],[Item]],super1[Bairro],mercado4)+SUMIFS(supercb[Qtde],supercb[Item],tab_alimentos[[#This Row],[Item]],supercb[Bairro],mercado4)</f>
        <v>0</v>
      </c>
      <c r="P348" s="27" t="n">
        <f aca="false">SUMIFS(super1[Qtde],super1[Item],tab_alimentos[[#This Row],[Item]],super1[Bairro],mercado5)+SUMIFS(supercb[Qtde],supercb[Item],tab_alimentos[[#This Row],[Item]],supercb[Bairro],mercado5)</f>
        <v>0</v>
      </c>
      <c r="Q348" s="27" t="n">
        <f aca="false">SUMIFS(super1[Qtde],super1[Item],tab_alimentos[[#This Row],[Item]],super1[Bairro],mercado6)+SUMIFS(supercb[Qtde],supercb[Item],tab_alimentos[[#This Row],[Item]],supercb[Bairro],mercado6)</f>
        <v>0</v>
      </c>
      <c r="R348" s="27" t="n">
        <f aca="false">SUMIFS(super1[Qtde],super1[Item],tab_alimentos[[#This Row],[Item]],super1[Bairro],mercado7)+SUMIFS(supercb[Qtde],supercb[Item],tab_alimentos[[#This Row],[Item]],supercb[Bairro],mercado7)</f>
        <v>0</v>
      </c>
      <c r="S348" s="27" t="n">
        <f aca="false">SUMIFS(super1[Qtde],super1[Item],tab_alimentos[[#This Row],[Item]],super1[Bairro],mercado8)+SUMIFS(supercb[Qtde],supercb[Item],tab_alimentos[[#This Row],[Item]],supercb[Bairro],mercado8)</f>
        <v>0</v>
      </c>
      <c r="T348" s="27" t="n">
        <f aca="false">SUMIFS(super1[Qtde],super1[Item],tab_alimentos[[#This Row],[Item]],super1[Bairro],mercado9)+SUMIFS(supercb[Qtde],supercb[Item],tab_alimentos[[#This Row],[Item]],supercb[Bairro],mercado9)</f>
        <v>0</v>
      </c>
      <c r="U348" s="27" t="n">
        <f aca="false">SUMIFS(super1[Qtde],super1[Item],tab_alimentos[[#This Row],[Item]],super1[Bairro],mercado10)+SUMIFS(supercb[Qtde],supercb[Item],tab_alimentos[[#This Row],[Item]],supercb[Bairro],mercado10)</f>
        <v>0</v>
      </c>
      <c r="V348" s="27" t="n">
        <f aca="false">SUMIFS(super1[Qtde],super1[Item],tab_alimentos[[#This Row],[Item]],super1[Bairro],mercado11)+SUMIFS(supercb[Qtde],supercb[Item],tab_alimentos[[#This Row],[Item]],supercb[Bairro],mercado11)</f>
        <v>0</v>
      </c>
      <c r="W348" s="27" t="n">
        <f aca="false">SUMIFS(super1[Qtde],super1[Item],tab_alimentos[[#This Row],[Item]],super1[Bairro],mercado12)+SUMIFS(supercb[Qtde],supercb[Item],tab_alimentos[[#This Row],[Item]],supercb[Bairro],mercado12)</f>
        <v>0</v>
      </c>
      <c r="X348" s="27" t="n">
        <f aca="false">SUMIFS(super1[Qtde],super1[Item],tab_alimentos[[#This Row],[Item]],super1[Bairro],mercado13)+SUMIFS(supercb[Qtde],supercb[Item],tab_alimentos[[#This Row],[Item]],supercb[Bairro],mercado13)</f>
        <v>0</v>
      </c>
      <c r="Y348" s="27" t="n">
        <f aca="false">SUMIFS(super1[Qtde],super1[Item],tab_alimentos[[#This Row],[Item]],super1[Bairro],mercado14)+SUMIFS(supercb[Qtde],supercb[Item],tab_alimentos[[#This Row],[Item]],supercb[Bairro],mercado14)</f>
        <v>0</v>
      </c>
      <c r="Z348" s="27" t="n">
        <f aca="false">SUMIFS(super1[Qtde],super1[Item],tab_alimentos[[#This Row],[Item]],super1[Bairro],mercado15)+SUMIFS(supercb[Qtde],supercb[Item],tab_alimentos[[#This Row],[Item]],supercb[Bairro],mercado15)</f>
        <v>0</v>
      </c>
      <c r="AA348" s="27" t="n">
        <f aca="false">SUMIFS(super1[Qtde],super1[Item],tab_alimentos[[#This Row],[Item]],super1[Bairro],mercado16)+SUMIFS(supercb[Qtde],supercb[Item],tab_alimentos[[#This Row],[Item]],supercb[Bairro],mercado16)</f>
        <v>0</v>
      </c>
      <c r="AB348" s="27" t="n">
        <f aca="false">SUMIFS(super1[Qtde],super1[Item],tab_alimentos[[#This Row],[Item]],super1[Bairro],mercado17)+SUMIFS(supercb[Qtde],supercb[Item],tab_alimentos[[#This Row],[Item]],supercb[Bairro],mercado17)</f>
        <v>0</v>
      </c>
      <c r="AC348" s="27" t="n">
        <f aca="false">SUMIFS(super1[Qtde],super1[Item],tab_alimentos[[#This Row],[Item]],super1[Bairro],mercado18)+SUMIFS(supercb[Qtde],supercb[Item],tab_alimentos[[#This Row],[Item]],supercb[Bairro],mercado18)</f>
        <v>0</v>
      </c>
      <c r="AD348" s="27" t="n">
        <f aca="false">SUMIFS(super1[Qtde],super1[Item],tab_alimentos[[#This Row],[Item]],super1[Bairro],extras)+SUMIFS(supercb[Qtde],supercb[Item],tab_alimentos[[#This Row],[Item]],supercb[Bairro],extras)</f>
        <v>0</v>
      </c>
      <c r="AE348" s="27" t="n">
        <f aca="false">SUM(L348:AC348)</f>
        <v>0</v>
      </c>
      <c r="AF348" s="27" t="n">
        <f aca="false">IFERROR(AE348*K348,0)</f>
        <v>0</v>
      </c>
      <c r="AG348" s="28" t="n">
        <f aca="false">IFERROR(J348*AE348,0)</f>
        <v>0</v>
      </c>
    </row>
    <row r="349" customFormat="false" ht="15" hidden="false" customHeight="false" outlineLevel="0" collapsed="false">
      <c r="I349" s="26" t="e">
        <f aca="false">alimentos[[#This Row],[Item]]</f>
        <v>#VALUE!</v>
      </c>
      <c r="J349" s="27" t="n">
        <f aca="false">IFERROR(alimentos[[#This Row],[kg/embalagem]],0)</f>
        <v>0</v>
      </c>
      <c r="K349" s="27" t="n">
        <f aca="false">IFERROR(alimentos[[#This Row],[Preço]],0)</f>
        <v>0</v>
      </c>
      <c r="L349" s="27" t="n">
        <f aca="false">SUMIFS(super1[Qtde],super1[Item],tab_alimentos[[#This Row],[Item]],super1[Bairro],mercado1)+SUMIFS(supercb[Qtde],supercb[Item],tab_alimentos[[#This Row],[Item]],supercb[Bairro],mercado1)</f>
        <v>0</v>
      </c>
      <c r="M349" s="27" t="n">
        <f aca="false">SUMIFS(super1[Qtde],super1[Item],tab_alimentos[[#This Row],[Item]],super1[Bairro],mercado2)+SUMIFS(supercb[Qtde],supercb[Item],tab_alimentos[[#This Row],[Item]],supercb[Bairro],mercado2)</f>
        <v>0</v>
      </c>
      <c r="N349" s="27" t="n">
        <f aca="false">SUMIFS(super1[Qtde],super1[Item],tab_alimentos[[#This Row],[Item]],super1[Bairro],mercado3)+SUMIFS(supercb[Qtde],supercb[Item],tab_alimentos[[#This Row],[Item]],supercb[Bairro],mercado3)</f>
        <v>0</v>
      </c>
      <c r="O349" s="27" t="n">
        <f aca="false">SUMIFS(super1[Qtde],super1[Item],tab_alimentos[[#This Row],[Item]],super1[Bairro],mercado4)+SUMIFS(supercb[Qtde],supercb[Item],tab_alimentos[[#This Row],[Item]],supercb[Bairro],mercado4)</f>
        <v>0</v>
      </c>
      <c r="P349" s="27" t="n">
        <f aca="false">SUMIFS(super1[Qtde],super1[Item],tab_alimentos[[#This Row],[Item]],super1[Bairro],mercado5)+SUMIFS(supercb[Qtde],supercb[Item],tab_alimentos[[#This Row],[Item]],supercb[Bairro],mercado5)</f>
        <v>0</v>
      </c>
      <c r="Q349" s="27" t="n">
        <f aca="false">SUMIFS(super1[Qtde],super1[Item],tab_alimentos[[#This Row],[Item]],super1[Bairro],mercado6)+SUMIFS(supercb[Qtde],supercb[Item],tab_alimentos[[#This Row],[Item]],supercb[Bairro],mercado6)</f>
        <v>0</v>
      </c>
      <c r="R349" s="27" t="n">
        <f aca="false">SUMIFS(super1[Qtde],super1[Item],tab_alimentos[[#This Row],[Item]],super1[Bairro],mercado7)+SUMIFS(supercb[Qtde],supercb[Item],tab_alimentos[[#This Row],[Item]],supercb[Bairro],mercado7)</f>
        <v>0</v>
      </c>
      <c r="S349" s="27" t="n">
        <f aca="false">SUMIFS(super1[Qtde],super1[Item],tab_alimentos[[#This Row],[Item]],super1[Bairro],mercado8)+SUMIFS(supercb[Qtde],supercb[Item],tab_alimentos[[#This Row],[Item]],supercb[Bairro],mercado8)</f>
        <v>0</v>
      </c>
      <c r="T349" s="27" t="n">
        <f aca="false">SUMIFS(super1[Qtde],super1[Item],tab_alimentos[[#This Row],[Item]],super1[Bairro],mercado9)+SUMIFS(supercb[Qtde],supercb[Item],tab_alimentos[[#This Row],[Item]],supercb[Bairro],mercado9)</f>
        <v>0</v>
      </c>
      <c r="U349" s="27" t="n">
        <f aca="false">SUMIFS(super1[Qtde],super1[Item],tab_alimentos[[#This Row],[Item]],super1[Bairro],mercado10)+SUMIFS(supercb[Qtde],supercb[Item],tab_alimentos[[#This Row],[Item]],supercb[Bairro],mercado10)</f>
        <v>0</v>
      </c>
      <c r="V349" s="27" t="n">
        <f aca="false">SUMIFS(super1[Qtde],super1[Item],tab_alimentos[[#This Row],[Item]],super1[Bairro],mercado11)+SUMIFS(supercb[Qtde],supercb[Item],tab_alimentos[[#This Row],[Item]],supercb[Bairro],mercado11)</f>
        <v>0</v>
      </c>
      <c r="W349" s="27" t="n">
        <f aca="false">SUMIFS(super1[Qtde],super1[Item],tab_alimentos[[#This Row],[Item]],super1[Bairro],mercado12)+SUMIFS(supercb[Qtde],supercb[Item],tab_alimentos[[#This Row],[Item]],supercb[Bairro],mercado12)</f>
        <v>0</v>
      </c>
      <c r="X349" s="27" t="n">
        <f aca="false">SUMIFS(super1[Qtde],super1[Item],tab_alimentos[[#This Row],[Item]],super1[Bairro],mercado13)+SUMIFS(supercb[Qtde],supercb[Item],tab_alimentos[[#This Row],[Item]],supercb[Bairro],mercado13)</f>
        <v>0</v>
      </c>
      <c r="Y349" s="27" t="n">
        <f aca="false">SUMIFS(super1[Qtde],super1[Item],tab_alimentos[[#This Row],[Item]],super1[Bairro],mercado14)+SUMIFS(supercb[Qtde],supercb[Item],tab_alimentos[[#This Row],[Item]],supercb[Bairro],mercado14)</f>
        <v>0</v>
      </c>
      <c r="Z349" s="27" t="n">
        <f aca="false">SUMIFS(super1[Qtde],super1[Item],tab_alimentos[[#This Row],[Item]],super1[Bairro],mercado15)+SUMIFS(supercb[Qtde],supercb[Item],tab_alimentos[[#This Row],[Item]],supercb[Bairro],mercado15)</f>
        <v>0</v>
      </c>
      <c r="AA349" s="27" t="n">
        <f aca="false">SUMIFS(super1[Qtde],super1[Item],tab_alimentos[[#This Row],[Item]],super1[Bairro],mercado16)+SUMIFS(supercb[Qtde],supercb[Item],tab_alimentos[[#This Row],[Item]],supercb[Bairro],mercado16)</f>
        <v>0</v>
      </c>
      <c r="AB349" s="27" t="n">
        <f aca="false">SUMIFS(super1[Qtde],super1[Item],tab_alimentos[[#This Row],[Item]],super1[Bairro],mercado17)+SUMIFS(supercb[Qtde],supercb[Item],tab_alimentos[[#This Row],[Item]],supercb[Bairro],mercado17)</f>
        <v>0</v>
      </c>
      <c r="AC349" s="27" t="n">
        <f aca="false">SUMIFS(super1[Qtde],super1[Item],tab_alimentos[[#This Row],[Item]],super1[Bairro],mercado18)+SUMIFS(supercb[Qtde],supercb[Item],tab_alimentos[[#This Row],[Item]],supercb[Bairro],mercado18)</f>
        <v>0</v>
      </c>
      <c r="AD349" s="27" t="n">
        <f aca="false">SUMIFS(super1[Qtde],super1[Item],tab_alimentos[[#This Row],[Item]],super1[Bairro],extras)+SUMIFS(supercb[Qtde],supercb[Item],tab_alimentos[[#This Row],[Item]],supercb[Bairro],extras)</f>
        <v>0</v>
      </c>
      <c r="AE349" s="27" t="n">
        <f aca="false">SUM(L349:AC349)</f>
        <v>0</v>
      </c>
      <c r="AF349" s="27" t="n">
        <f aca="false">IFERROR(AE349*K349,0)</f>
        <v>0</v>
      </c>
      <c r="AG349" s="28" t="n">
        <f aca="false">IFERROR(J349*AE349,0)</f>
        <v>0</v>
      </c>
    </row>
    <row r="350" customFormat="false" ht="15" hidden="false" customHeight="false" outlineLevel="0" collapsed="false">
      <c r="I350" s="26" t="e">
        <f aca="false">alimentos[[#This Row],[Item]]</f>
        <v>#VALUE!</v>
      </c>
      <c r="J350" s="27" t="n">
        <f aca="false">IFERROR(alimentos[[#This Row],[kg/embalagem]],0)</f>
        <v>0</v>
      </c>
      <c r="K350" s="27" t="n">
        <f aca="false">IFERROR(alimentos[[#This Row],[Preço]],0)</f>
        <v>0</v>
      </c>
      <c r="L350" s="27" t="n">
        <f aca="false">SUMIFS(super1[Qtde],super1[Item],tab_alimentos[[#This Row],[Item]],super1[Bairro],mercado1)+SUMIFS(supercb[Qtde],supercb[Item],tab_alimentos[[#This Row],[Item]],supercb[Bairro],mercado1)</f>
        <v>0</v>
      </c>
      <c r="M350" s="27" t="n">
        <f aca="false">SUMIFS(super1[Qtde],super1[Item],tab_alimentos[[#This Row],[Item]],super1[Bairro],mercado2)+SUMIFS(supercb[Qtde],supercb[Item],tab_alimentos[[#This Row],[Item]],supercb[Bairro],mercado2)</f>
        <v>0</v>
      </c>
      <c r="N350" s="27" t="n">
        <f aca="false">SUMIFS(super1[Qtde],super1[Item],tab_alimentos[[#This Row],[Item]],super1[Bairro],mercado3)+SUMIFS(supercb[Qtde],supercb[Item],tab_alimentos[[#This Row],[Item]],supercb[Bairro],mercado3)</f>
        <v>0</v>
      </c>
      <c r="O350" s="27" t="n">
        <f aca="false">SUMIFS(super1[Qtde],super1[Item],tab_alimentos[[#This Row],[Item]],super1[Bairro],mercado4)+SUMIFS(supercb[Qtde],supercb[Item],tab_alimentos[[#This Row],[Item]],supercb[Bairro],mercado4)</f>
        <v>0</v>
      </c>
      <c r="P350" s="27" t="n">
        <f aca="false">SUMIFS(super1[Qtde],super1[Item],tab_alimentos[[#This Row],[Item]],super1[Bairro],mercado5)+SUMIFS(supercb[Qtde],supercb[Item],tab_alimentos[[#This Row],[Item]],supercb[Bairro],mercado5)</f>
        <v>0</v>
      </c>
      <c r="Q350" s="27" t="n">
        <f aca="false">SUMIFS(super1[Qtde],super1[Item],tab_alimentos[[#This Row],[Item]],super1[Bairro],mercado6)+SUMIFS(supercb[Qtde],supercb[Item],tab_alimentos[[#This Row],[Item]],supercb[Bairro],mercado6)</f>
        <v>0</v>
      </c>
      <c r="R350" s="27" t="n">
        <f aca="false">SUMIFS(super1[Qtde],super1[Item],tab_alimentos[[#This Row],[Item]],super1[Bairro],mercado7)+SUMIFS(supercb[Qtde],supercb[Item],tab_alimentos[[#This Row],[Item]],supercb[Bairro],mercado7)</f>
        <v>0</v>
      </c>
      <c r="S350" s="27" t="n">
        <f aca="false">SUMIFS(super1[Qtde],super1[Item],tab_alimentos[[#This Row],[Item]],super1[Bairro],mercado8)+SUMIFS(supercb[Qtde],supercb[Item],tab_alimentos[[#This Row],[Item]],supercb[Bairro],mercado8)</f>
        <v>0</v>
      </c>
      <c r="T350" s="27" t="n">
        <f aca="false">SUMIFS(super1[Qtde],super1[Item],tab_alimentos[[#This Row],[Item]],super1[Bairro],mercado9)+SUMIFS(supercb[Qtde],supercb[Item],tab_alimentos[[#This Row],[Item]],supercb[Bairro],mercado9)</f>
        <v>0</v>
      </c>
      <c r="U350" s="27" t="n">
        <f aca="false">SUMIFS(super1[Qtde],super1[Item],tab_alimentos[[#This Row],[Item]],super1[Bairro],mercado10)+SUMIFS(supercb[Qtde],supercb[Item],tab_alimentos[[#This Row],[Item]],supercb[Bairro],mercado10)</f>
        <v>0</v>
      </c>
      <c r="V350" s="27" t="n">
        <f aca="false">SUMIFS(super1[Qtde],super1[Item],tab_alimentos[[#This Row],[Item]],super1[Bairro],mercado11)+SUMIFS(supercb[Qtde],supercb[Item],tab_alimentos[[#This Row],[Item]],supercb[Bairro],mercado11)</f>
        <v>0</v>
      </c>
      <c r="W350" s="27" t="n">
        <f aca="false">SUMIFS(super1[Qtde],super1[Item],tab_alimentos[[#This Row],[Item]],super1[Bairro],mercado12)+SUMIFS(supercb[Qtde],supercb[Item],tab_alimentos[[#This Row],[Item]],supercb[Bairro],mercado12)</f>
        <v>0</v>
      </c>
      <c r="X350" s="27" t="n">
        <f aca="false">SUMIFS(super1[Qtde],super1[Item],tab_alimentos[[#This Row],[Item]],super1[Bairro],mercado13)+SUMIFS(supercb[Qtde],supercb[Item],tab_alimentos[[#This Row],[Item]],supercb[Bairro],mercado13)</f>
        <v>0</v>
      </c>
      <c r="Y350" s="27" t="n">
        <f aca="false">SUMIFS(super1[Qtde],super1[Item],tab_alimentos[[#This Row],[Item]],super1[Bairro],mercado14)+SUMIFS(supercb[Qtde],supercb[Item],tab_alimentos[[#This Row],[Item]],supercb[Bairro],mercado14)</f>
        <v>0</v>
      </c>
      <c r="Z350" s="27" t="n">
        <f aca="false">SUMIFS(super1[Qtde],super1[Item],tab_alimentos[[#This Row],[Item]],super1[Bairro],mercado15)+SUMIFS(supercb[Qtde],supercb[Item],tab_alimentos[[#This Row],[Item]],supercb[Bairro],mercado15)</f>
        <v>0</v>
      </c>
      <c r="AA350" s="27" t="n">
        <f aca="false">SUMIFS(super1[Qtde],super1[Item],tab_alimentos[[#This Row],[Item]],super1[Bairro],mercado16)+SUMIFS(supercb[Qtde],supercb[Item],tab_alimentos[[#This Row],[Item]],supercb[Bairro],mercado16)</f>
        <v>0</v>
      </c>
      <c r="AB350" s="27" t="n">
        <f aca="false">SUMIFS(super1[Qtde],super1[Item],tab_alimentos[[#This Row],[Item]],super1[Bairro],mercado17)+SUMIFS(supercb[Qtde],supercb[Item],tab_alimentos[[#This Row],[Item]],supercb[Bairro],mercado17)</f>
        <v>0</v>
      </c>
      <c r="AC350" s="27" t="n">
        <f aca="false">SUMIFS(super1[Qtde],super1[Item],tab_alimentos[[#This Row],[Item]],super1[Bairro],mercado18)+SUMIFS(supercb[Qtde],supercb[Item],tab_alimentos[[#This Row],[Item]],supercb[Bairro],mercado18)</f>
        <v>0</v>
      </c>
      <c r="AD350" s="27" t="n">
        <f aca="false">SUMIFS(super1[Qtde],super1[Item],tab_alimentos[[#This Row],[Item]],super1[Bairro],extras)+SUMIFS(supercb[Qtde],supercb[Item],tab_alimentos[[#This Row],[Item]],supercb[Bairro],extras)</f>
        <v>0</v>
      </c>
      <c r="AE350" s="27" t="n">
        <f aca="false">SUM(L350:AC350)</f>
        <v>0</v>
      </c>
      <c r="AF350" s="27" t="n">
        <f aca="false">IFERROR(AE350*K350,0)</f>
        <v>0</v>
      </c>
      <c r="AG350" s="28" t="n">
        <f aca="false">IFERROR(J350*AE350,0)</f>
        <v>0</v>
      </c>
    </row>
    <row r="351" customFormat="false" ht="15" hidden="false" customHeight="false" outlineLevel="0" collapsed="false">
      <c r="I351" s="26" t="e">
        <f aca="false">alimentos[[#This Row],[Item]]</f>
        <v>#VALUE!</v>
      </c>
      <c r="J351" s="27" t="n">
        <f aca="false">IFERROR(alimentos[[#This Row],[kg/embalagem]],0)</f>
        <v>0</v>
      </c>
      <c r="K351" s="27" t="n">
        <f aca="false">IFERROR(alimentos[[#This Row],[Preço]],0)</f>
        <v>0</v>
      </c>
      <c r="L351" s="27" t="n">
        <f aca="false">SUMIFS(super1[Qtde],super1[Item],tab_alimentos[[#This Row],[Item]],super1[Bairro],mercado1)+SUMIFS(supercb[Qtde],supercb[Item],tab_alimentos[[#This Row],[Item]],supercb[Bairro],mercado1)</f>
        <v>0</v>
      </c>
      <c r="M351" s="27" t="n">
        <f aca="false">SUMIFS(super1[Qtde],super1[Item],tab_alimentos[[#This Row],[Item]],super1[Bairro],mercado2)+SUMIFS(supercb[Qtde],supercb[Item],tab_alimentos[[#This Row],[Item]],supercb[Bairro],mercado2)</f>
        <v>0</v>
      </c>
      <c r="N351" s="27" t="n">
        <f aca="false">SUMIFS(super1[Qtde],super1[Item],tab_alimentos[[#This Row],[Item]],super1[Bairro],mercado3)+SUMIFS(supercb[Qtde],supercb[Item],tab_alimentos[[#This Row],[Item]],supercb[Bairro],mercado3)</f>
        <v>0</v>
      </c>
      <c r="O351" s="27" t="n">
        <f aca="false">SUMIFS(super1[Qtde],super1[Item],tab_alimentos[[#This Row],[Item]],super1[Bairro],mercado4)+SUMIFS(supercb[Qtde],supercb[Item],tab_alimentos[[#This Row],[Item]],supercb[Bairro],mercado4)</f>
        <v>0</v>
      </c>
      <c r="P351" s="27" t="n">
        <f aca="false">SUMIFS(super1[Qtde],super1[Item],tab_alimentos[[#This Row],[Item]],super1[Bairro],mercado5)+SUMIFS(supercb[Qtde],supercb[Item],tab_alimentos[[#This Row],[Item]],supercb[Bairro],mercado5)</f>
        <v>0</v>
      </c>
      <c r="Q351" s="27" t="n">
        <f aca="false">SUMIFS(super1[Qtde],super1[Item],tab_alimentos[[#This Row],[Item]],super1[Bairro],mercado6)+SUMIFS(supercb[Qtde],supercb[Item],tab_alimentos[[#This Row],[Item]],supercb[Bairro],mercado6)</f>
        <v>0</v>
      </c>
      <c r="R351" s="27" t="n">
        <f aca="false">SUMIFS(super1[Qtde],super1[Item],tab_alimentos[[#This Row],[Item]],super1[Bairro],mercado7)+SUMIFS(supercb[Qtde],supercb[Item],tab_alimentos[[#This Row],[Item]],supercb[Bairro],mercado7)</f>
        <v>0</v>
      </c>
      <c r="S351" s="27" t="n">
        <f aca="false">SUMIFS(super1[Qtde],super1[Item],tab_alimentos[[#This Row],[Item]],super1[Bairro],mercado8)+SUMIFS(supercb[Qtde],supercb[Item],tab_alimentos[[#This Row],[Item]],supercb[Bairro],mercado8)</f>
        <v>0</v>
      </c>
      <c r="T351" s="27" t="n">
        <f aca="false">SUMIFS(super1[Qtde],super1[Item],tab_alimentos[[#This Row],[Item]],super1[Bairro],mercado9)+SUMIFS(supercb[Qtde],supercb[Item],tab_alimentos[[#This Row],[Item]],supercb[Bairro],mercado9)</f>
        <v>0</v>
      </c>
      <c r="U351" s="27" t="n">
        <f aca="false">SUMIFS(super1[Qtde],super1[Item],tab_alimentos[[#This Row],[Item]],super1[Bairro],mercado10)+SUMIFS(supercb[Qtde],supercb[Item],tab_alimentos[[#This Row],[Item]],supercb[Bairro],mercado10)</f>
        <v>0</v>
      </c>
      <c r="V351" s="27" t="n">
        <f aca="false">SUMIFS(super1[Qtde],super1[Item],tab_alimentos[[#This Row],[Item]],super1[Bairro],mercado11)+SUMIFS(supercb[Qtde],supercb[Item],tab_alimentos[[#This Row],[Item]],supercb[Bairro],mercado11)</f>
        <v>0</v>
      </c>
      <c r="W351" s="27" t="n">
        <f aca="false">SUMIFS(super1[Qtde],super1[Item],tab_alimentos[[#This Row],[Item]],super1[Bairro],mercado12)+SUMIFS(supercb[Qtde],supercb[Item],tab_alimentos[[#This Row],[Item]],supercb[Bairro],mercado12)</f>
        <v>0</v>
      </c>
      <c r="X351" s="27" t="n">
        <f aca="false">SUMIFS(super1[Qtde],super1[Item],tab_alimentos[[#This Row],[Item]],super1[Bairro],mercado13)+SUMIFS(supercb[Qtde],supercb[Item],tab_alimentos[[#This Row],[Item]],supercb[Bairro],mercado13)</f>
        <v>0</v>
      </c>
      <c r="Y351" s="27" t="n">
        <f aca="false">SUMIFS(super1[Qtde],super1[Item],tab_alimentos[[#This Row],[Item]],super1[Bairro],mercado14)+SUMIFS(supercb[Qtde],supercb[Item],tab_alimentos[[#This Row],[Item]],supercb[Bairro],mercado14)</f>
        <v>0</v>
      </c>
      <c r="Z351" s="27" t="n">
        <f aca="false">SUMIFS(super1[Qtde],super1[Item],tab_alimentos[[#This Row],[Item]],super1[Bairro],mercado15)+SUMIFS(supercb[Qtde],supercb[Item],tab_alimentos[[#This Row],[Item]],supercb[Bairro],mercado15)</f>
        <v>0</v>
      </c>
      <c r="AA351" s="27" t="n">
        <f aca="false">SUMIFS(super1[Qtde],super1[Item],tab_alimentos[[#This Row],[Item]],super1[Bairro],mercado16)+SUMIFS(supercb[Qtde],supercb[Item],tab_alimentos[[#This Row],[Item]],supercb[Bairro],mercado16)</f>
        <v>0</v>
      </c>
      <c r="AB351" s="27" t="n">
        <f aca="false">SUMIFS(super1[Qtde],super1[Item],tab_alimentos[[#This Row],[Item]],super1[Bairro],mercado17)+SUMIFS(supercb[Qtde],supercb[Item],tab_alimentos[[#This Row],[Item]],supercb[Bairro],mercado17)</f>
        <v>0</v>
      </c>
      <c r="AC351" s="27" t="n">
        <f aca="false">SUMIFS(super1[Qtde],super1[Item],tab_alimentos[[#This Row],[Item]],super1[Bairro],mercado18)+SUMIFS(supercb[Qtde],supercb[Item],tab_alimentos[[#This Row],[Item]],supercb[Bairro],mercado18)</f>
        <v>0</v>
      </c>
      <c r="AD351" s="27" t="n">
        <f aca="false">SUMIFS(super1[Qtde],super1[Item],tab_alimentos[[#This Row],[Item]],super1[Bairro],extras)+SUMIFS(supercb[Qtde],supercb[Item],tab_alimentos[[#This Row],[Item]],supercb[Bairro],extras)</f>
        <v>0</v>
      </c>
      <c r="AE351" s="27" t="n">
        <f aca="false">SUM(L351:AC351)</f>
        <v>0</v>
      </c>
      <c r="AF351" s="27" t="n">
        <f aca="false">IFERROR(AE351*K351,0)</f>
        <v>0</v>
      </c>
      <c r="AG351" s="28" t="n">
        <f aca="false">IFERROR(J351*AE351,0)</f>
        <v>0</v>
      </c>
    </row>
    <row r="352" customFormat="false" ht="15" hidden="false" customHeight="false" outlineLevel="0" collapsed="false">
      <c r="I352" s="26" t="e">
        <f aca="false">alimentos[[#This Row],[Item]]</f>
        <v>#VALUE!</v>
      </c>
      <c r="J352" s="27" t="n">
        <f aca="false">IFERROR(alimentos[[#This Row],[kg/embalagem]],0)</f>
        <v>0</v>
      </c>
      <c r="K352" s="27" t="n">
        <f aca="false">IFERROR(alimentos[[#This Row],[Preço]],0)</f>
        <v>0</v>
      </c>
      <c r="L352" s="27" t="n">
        <f aca="false">SUMIFS(super1[Qtde],super1[Item],tab_alimentos[[#This Row],[Item]],super1[Bairro],mercado1)+SUMIFS(supercb[Qtde],supercb[Item],tab_alimentos[[#This Row],[Item]],supercb[Bairro],mercado1)</f>
        <v>0</v>
      </c>
      <c r="M352" s="27" t="n">
        <f aca="false">SUMIFS(super1[Qtde],super1[Item],tab_alimentos[[#This Row],[Item]],super1[Bairro],mercado2)+SUMIFS(supercb[Qtde],supercb[Item],tab_alimentos[[#This Row],[Item]],supercb[Bairro],mercado2)</f>
        <v>0</v>
      </c>
      <c r="N352" s="27" t="n">
        <f aca="false">SUMIFS(super1[Qtde],super1[Item],tab_alimentos[[#This Row],[Item]],super1[Bairro],mercado3)+SUMIFS(supercb[Qtde],supercb[Item],tab_alimentos[[#This Row],[Item]],supercb[Bairro],mercado3)</f>
        <v>0</v>
      </c>
      <c r="O352" s="27" t="n">
        <f aca="false">SUMIFS(super1[Qtde],super1[Item],tab_alimentos[[#This Row],[Item]],super1[Bairro],mercado4)+SUMIFS(supercb[Qtde],supercb[Item],tab_alimentos[[#This Row],[Item]],supercb[Bairro],mercado4)</f>
        <v>0</v>
      </c>
      <c r="P352" s="27" t="n">
        <f aca="false">SUMIFS(super1[Qtde],super1[Item],tab_alimentos[[#This Row],[Item]],super1[Bairro],mercado5)+SUMIFS(supercb[Qtde],supercb[Item],tab_alimentos[[#This Row],[Item]],supercb[Bairro],mercado5)</f>
        <v>0</v>
      </c>
      <c r="Q352" s="27" t="n">
        <f aca="false">SUMIFS(super1[Qtde],super1[Item],tab_alimentos[[#This Row],[Item]],super1[Bairro],mercado6)+SUMIFS(supercb[Qtde],supercb[Item],tab_alimentos[[#This Row],[Item]],supercb[Bairro],mercado6)</f>
        <v>0</v>
      </c>
      <c r="R352" s="27" t="n">
        <f aca="false">SUMIFS(super1[Qtde],super1[Item],tab_alimentos[[#This Row],[Item]],super1[Bairro],mercado7)+SUMIFS(supercb[Qtde],supercb[Item],tab_alimentos[[#This Row],[Item]],supercb[Bairro],mercado7)</f>
        <v>0</v>
      </c>
      <c r="S352" s="27" t="n">
        <f aca="false">SUMIFS(super1[Qtde],super1[Item],tab_alimentos[[#This Row],[Item]],super1[Bairro],mercado8)+SUMIFS(supercb[Qtde],supercb[Item],tab_alimentos[[#This Row],[Item]],supercb[Bairro],mercado8)</f>
        <v>0</v>
      </c>
      <c r="T352" s="27" t="n">
        <f aca="false">SUMIFS(super1[Qtde],super1[Item],tab_alimentos[[#This Row],[Item]],super1[Bairro],mercado9)+SUMIFS(supercb[Qtde],supercb[Item],tab_alimentos[[#This Row],[Item]],supercb[Bairro],mercado9)</f>
        <v>0</v>
      </c>
      <c r="U352" s="27" t="n">
        <f aca="false">SUMIFS(super1[Qtde],super1[Item],tab_alimentos[[#This Row],[Item]],super1[Bairro],mercado10)+SUMIFS(supercb[Qtde],supercb[Item],tab_alimentos[[#This Row],[Item]],supercb[Bairro],mercado10)</f>
        <v>0</v>
      </c>
      <c r="V352" s="27" t="n">
        <f aca="false">SUMIFS(super1[Qtde],super1[Item],tab_alimentos[[#This Row],[Item]],super1[Bairro],mercado11)+SUMIFS(supercb[Qtde],supercb[Item],tab_alimentos[[#This Row],[Item]],supercb[Bairro],mercado11)</f>
        <v>0</v>
      </c>
      <c r="W352" s="27" t="n">
        <f aca="false">SUMIFS(super1[Qtde],super1[Item],tab_alimentos[[#This Row],[Item]],super1[Bairro],mercado12)+SUMIFS(supercb[Qtde],supercb[Item],tab_alimentos[[#This Row],[Item]],supercb[Bairro],mercado12)</f>
        <v>0</v>
      </c>
      <c r="X352" s="27" t="n">
        <f aca="false">SUMIFS(super1[Qtde],super1[Item],tab_alimentos[[#This Row],[Item]],super1[Bairro],mercado13)+SUMIFS(supercb[Qtde],supercb[Item],tab_alimentos[[#This Row],[Item]],supercb[Bairro],mercado13)</f>
        <v>0</v>
      </c>
      <c r="Y352" s="27" t="n">
        <f aca="false">SUMIFS(super1[Qtde],super1[Item],tab_alimentos[[#This Row],[Item]],super1[Bairro],mercado14)+SUMIFS(supercb[Qtde],supercb[Item],tab_alimentos[[#This Row],[Item]],supercb[Bairro],mercado14)</f>
        <v>0</v>
      </c>
      <c r="Z352" s="27" t="n">
        <f aca="false">SUMIFS(super1[Qtde],super1[Item],tab_alimentos[[#This Row],[Item]],super1[Bairro],mercado15)+SUMIFS(supercb[Qtde],supercb[Item],tab_alimentos[[#This Row],[Item]],supercb[Bairro],mercado15)</f>
        <v>0</v>
      </c>
      <c r="AA352" s="27" t="n">
        <f aca="false">SUMIFS(super1[Qtde],super1[Item],tab_alimentos[[#This Row],[Item]],super1[Bairro],mercado16)+SUMIFS(supercb[Qtde],supercb[Item],tab_alimentos[[#This Row],[Item]],supercb[Bairro],mercado16)</f>
        <v>0</v>
      </c>
      <c r="AB352" s="27" t="n">
        <f aca="false">SUMIFS(super1[Qtde],super1[Item],tab_alimentos[[#This Row],[Item]],super1[Bairro],mercado17)+SUMIFS(supercb[Qtde],supercb[Item],tab_alimentos[[#This Row],[Item]],supercb[Bairro],mercado17)</f>
        <v>0</v>
      </c>
      <c r="AC352" s="27" t="n">
        <f aca="false">SUMIFS(super1[Qtde],super1[Item],tab_alimentos[[#This Row],[Item]],super1[Bairro],mercado18)+SUMIFS(supercb[Qtde],supercb[Item],tab_alimentos[[#This Row],[Item]],supercb[Bairro],mercado18)</f>
        <v>0</v>
      </c>
      <c r="AD352" s="27" t="n">
        <f aca="false">SUMIFS(super1[Qtde],super1[Item],tab_alimentos[[#This Row],[Item]],super1[Bairro],extras)+SUMIFS(supercb[Qtde],supercb[Item],tab_alimentos[[#This Row],[Item]],supercb[Bairro],extras)</f>
        <v>0</v>
      </c>
      <c r="AE352" s="27" t="n">
        <f aca="false">SUM(L352:AC352)</f>
        <v>0</v>
      </c>
      <c r="AF352" s="27" t="n">
        <f aca="false">IFERROR(AE352*K352,0)</f>
        <v>0</v>
      </c>
      <c r="AG352" s="28" t="n">
        <f aca="false">IFERROR(J352*AE352,0)</f>
        <v>0</v>
      </c>
    </row>
    <row r="353" customFormat="false" ht="15" hidden="false" customHeight="false" outlineLevel="0" collapsed="false">
      <c r="I353" s="26" t="e">
        <f aca="false">alimentos[[#This Row],[Item]]</f>
        <v>#VALUE!</v>
      </c>
      <c r="J353" s="27" t="n">
        <f aca="false">IFERROR(alimentos[[#This Row],[kg/embalagem]],0)</f>
        <v>0</v>
      </c>
      <c r="K353" s="27" t="n">
        <f aca="false">IFERROR(alimentos[[#This Row],[Preço]],0)</f>
        <v>0</v>
      </c>
      <c r="L353" s="27" t="n">
        <f aca="false">SUMIFS(super1[Qtde],super1[Item],tab_alimentos[[#This Row],[Item]],super1[Bairro],mercado1)+SUMIFS(supercb[Qtde],supercb[Item],tab_alimentos[[#This Row],[Item]],supercb[Bairro],mercado1)</f>
        <v>0</v>
      </c>
      <c r="M353" s="27" t="n">
        <f aca="false">SUMIFS(super1[Qtde],super1[Item],tab_alimentos[[#This Row],[Item]],super1[Bairro],mercado2)+SUMIFS(supercb[Qtde],supercb[Item],tab_alimentos[[#This Row],[Item]],supercb[Bairro],mercado2)</f>
        <v>0</v>
      </c>
      <c r="N353" s="27" t="n">
        <f aca="false">SUMIFS(super1[Qtde],super1[Item],tab_alimentos[[#This Row],[Item]],super1[Bairro],mercado3)+SUMIFS(supercb[Qtde],supercb[Item],tab_alimentos[[#This Row],[Item]],supercb[Bairro],mercado3)</f>
        <v>0</v>
      </c>
      <c r="O353" s="27" t="n">
        <f aca="false">SUMIFS(super1[Qtde],super1[Item],tab_alimentos[[#This Row],[Item]],super1[Bairro],mercado4)+SUMIFS(supercb[Qtde],supercb[Item],tab_alimentos[[#This Row],[Item]],supercb[Bairro],mercado4)</f>
        <v>0</v>
      </c>
      <c r="P353" s="27" t="n">
        <f aca="false">SUMIFS(super1[Qtde],super1[Item],tab_alimentos[[#This Row],[Item]],super1[Bairro],mercado5)+SUMIFS(supercb[Qtde],supercb[Item],tab_alimentos[[#This Row],[Item]],supercb[Bairro],mercado5)</f>
        <v>0</v>
      </c>
      <c r="Q353" s="27" t="n">
        <f aca="false">SUMIFS(super1[Qtde],super1[Item],tab_alimentos[[#This Row],[Item]],super1[Bairro],mercado6)+SUMIFS(supercb[Qtde],supercb[Item],tab_alimentos[[#This Row],[Item]],supercb[Bairro],mercado6)</f>
        <v>0</v>
      </c>
      <c r="R353" s="27" t="n">
        <f aca="false">SUMIFS(super1[Qtde],super1[Item],tab_alimentos[[#This Row],[Item]],super1[Bairro],mercado7)+SUMIFS(supercb[Qtde],supercb[Item],tab_alimentos[[#This Row],[Item]],supercb[Bairro],mercado7)</f>
        <v>0</v>
      </c>
      <c r="S353" s="27" t="n">
        <f aca="false">SUMIFS(super1[Qtde],super1[Item],tab_alimentos[[#This Row],[Item]],super1[Bairro],mercado8)+SUMIFS(supercb[Qtde],supercb[Item],tab_alimentos[[#This Row],[Item]],supercb[Bairro],mercado8)</f>
        <v>0</v>
      </c>
      <c r="T353" s="27" t="n">
        <f aca="false">SUMIFS(super1[Qtde],super1[Item],tab_alimentos[[#This Row],[Item]],super1[Bairro],mercado9)+SUMIFS(supercb[Qtde],supercb[Item],tab_alimentos[[#This Row],[Item]],supercb[Bairro],mercado9)</f>
        <v>0</v>
      </c>
      <c r="U353" s="27" t="n">
        <f aca="false">SUMIFS(super1[Qtde],super1[Item],tab_alimentos[[#This Row],[Item]],super1[Bairro],mercado10)+SUMIFS(supercb[Qtde],supercb[Item],tab_alimentos[[#This Row],[Item]],supercb[Bairro],mercado10)</f>
        <v>0</v>
      </c>
      <c r="V353" s="27" t="n">
        <f aca="false">SUMIFS(super1[Qtde],super1[Item],tab_alimentos[[#This Row],[Item]],super1[Bairro],mercado11)+SUMIFS(supercb[Qtde],supercb[Item],tab_alimentos[[#This Row],[Item]],supercb[Bairro],mercado11)</f>
        <v>0</v>
      </c>
      <c r="W353" s="27" t="n">
        <f aca="false">SUMIFS(super1[Qtde],super1[Item],tab_alimentos[[#This Row],[Item]],super1[Bairro],mercado12)+SUMIFS(supercb[Qtde],supercb[Item],tab_alimentos[[#This Row],[Item]],supercb[Bairro],mercado12)</f>
        <v>0</v>
      </c>
      <c r="X353" s="27" t="n">
        <f aca="false">SUMIFS(super1[Qtde],super1[Item],tab_alimentos[[#This Row],[Item]],super1[Bairro],mercado13)+SUMIFS(supercb[Qtde],supercb[Item],tab_alimentos[[#This Row],[Item]],supercb[Bairro],mercado13)</f>
        <v>0</v>
      </c>
      <c r="Y353" s="27" t="n">
        <f aca="false">SUMIFS(super1[Qtde],super1[Item],tab_alimentos[[#This Row],[Item]],super1[Bairro],mercado14)+SUMIFS(supercb[Qtde],supercb[Item],tab_alimentos[[#This Row],[Item]],supercb[Bairro],mercado14)</f>
        <v>0</v>
      </c>
      <c r="Z353" s="27" t="n">
        <f aca="false">SUMIFS(super1[Qtde],super1[Item],tab_alimentos[[#This Row],[Item]],super1[Bairro],mercado15)+SUMIFS(supercb[Qtde],supercb[Item],tab_alimentos[[#This Row],[Item]],supercb[Bairro],mercado15)</f>
        <v>0</v>
      </c>
      <c r="AA353" s="27" t="n">
        <f aca="false">SUMIFS(super1[Qtde],super1[Item],tab_alimentos[[#This Row],[Item]],super1[Bairro],mercado16)+SUMIFS(supercb[Qtde],supercb[Item],tab_alimentos[[#This Row],[Item]],supercb[Bairro],mercado16)</f>
        <v>0</v>
      </c>
      <c r="AB353" s="27" t="n">
        <f aca="false">SUMIFS(super1[Qtde],super1[Item],tab_alimentos[[#This Row],[Item]],super1[Bairro],mercado17)+SUMIFS(supercb[Qtde],supercb[Item],tab_alimentos[[#This Row],[Item]],supercb[Bairro],mercado17)</f>
        <v>0</v>
      </c>
      <c r="AC353" s="27" t="n">
        <f aca="false">SUMIFS(super1[Qtde],super1[Item],tab_alimentos[[#This Row],[Item]],super1[Bairro],mercado18)+SUMIFS(supercb[Qtde],supercb[Item],tab_alimentos[[#This Row],[Item]],supercb[Bairro],mercado18)</f>
        <v>0</v>
      </c>
      <c r="AD353" s="27" t="n">
        <f aca="false">SUMIFS(super1[Qtde],super1[Item],tab_alimentos[[#This Row],[Item]],super1[Bairro],extras)+SUMIFS(supercb[Qtde],supercb[Item],tab_alimentos[[#This Row],[Item]],supercb[Bairro],extras)</f>
        <v>0</v>
      </c>
      <c r="AE353" s="27" t="n">
        <f aca="false">SUM(L353:AC353)</f>
        <v>0</v>
      </c>
      <c r="AF353" s="27" t="n">
        <f aca="false">IFERROR(AE353*K353,0)</f>
        <v>0</v>
      </c>
      <c r="AG353" s="28" t="n">
        <f aca="false">IFERROR(J353*AE353,0)</f>
        <v>0</v>
      </c>
    </row>
    <row r="354" customFormat="false" ht="15" hidden="false" customHeight="false" outlineLevel="0" collapsed="false">
      <c r="I354" s="26" t="e">
        <f aca="false">alimentos[[#This Row],[Item]]</f>
        <v>#VALUE!</v>
      </c>
      <c r="J354" s="27" t="n">
        <f aca="false">IFERROR(alimentos[[#This Row],[kg/embalagem]],0)</f>
        <v>0</v>
      </c>
      <c r="K354" s="27" t="n">
        <f aca="false">IFERROR(alimentos[[#This Row],[Preço]],0)</f>
        <v>0</v>
      </c>
      <c r="L354" s="27" t="n">
        <f aca="false">SUMIFS(super1[Qtde],super1[Item],tab_alimentos[[#This Row],[Item]],super1[Bairro],mercado1)+SUMIFS(supercb[Qtde],supercb[Item],tab_alimentos[[#This Row],[Item]],supercb[Bairro],mercado1)</f>
        <v>0</v>
      </c>
      <c r="M354" s="27" t="n">
        <f aca="false">SUMIFS(super1[Qtde],super1[Item],tab_alimentos[[#This Row],[Item]],super1[Bairro],mercado2)+SUMIFS(supercb[Qtde],supercb[Item],tab_alimentos[[#This Row],[Item]],supercb[Bairro],mercado2)</f>
        <v>0</v>
      </c>
      <c r="N354" s="27" t="n">
        <f aca="false">SUMIFS(super1[Qtde],super1[Item],tab_alimentos[[#This Row],[Item]],super1[Bairro],mercado3)+SUMIFS(supercb[Qtde],supercb[Item],tab_alimentos[[#This Row],[Item]],supercb[Bairro],mercado3)</f>
        <v>0</v>
      </c>
      <c r="O354" s="27" t="n">
        <f aca="false">SUMIFS(super1[Qtde],super1[Item],tab_alimentos[[#This Row],[Item]],super1[Bairro],mercado4)+SUMIFS(supercb[Qtde],supercb[Item],tab_alimentos[[#This Row],[Item]],supercb[Bairro],mercado4)</f>
        <v>0</v>
      </c>
      <c r="P354" s="27" t="n">
        <f aca="false">SUMIFS(super1[Qtde],super1[Item],tab_alimentos[[#This Row],[Item]],super1[Bairro],mercado5)+SUMIFS(supercb[Qtde],supercb[Item],tab_alimentos[[#This Row],[Item]],supercb[Bairro],mercado5)</f>
        <v>0</v>
      </c>
      <c r="Q354" s="27" t="n">
        <f aca="false">SUMIFS(super1[Qtde],super1[Item],tab_alimentos[[#This Row],[Item]],super1[Bairro],mercado6)+SUMIFS(supercb[Qtde],supercb[Item],tab_alimentos[[#This Row],[Item]],supercb[Bairro],mercado6)</f>
        <v>0</v>
      </c>
      <c r="R354" s="27" t="n">
        <f aca="false">SUMIFS(super1[Qtde],super1[Item],tab_alimentos[[#This Row],[Item]],super1[Bairro],mercado7)+SUMIFS(supercb[Qtde],supercb[Item],tab_alimentos[[#This Row],[Item]],supercb[Bairro],mercado7)</f>
        <v>0</v>
      </c>
      <c r="S354" s="27" t="n">
        <f aca="false">SUMIFS(super1[Qtde],super1[Item],tab_alimentos[[#This Row],[Item]],super1[Bairro],mercado8)+SUMIFS(supercb[Qtde],supercb[Item],tab_alimentos[[#This Row],[Item]],supercb[Bairro],mercado8)</f>
        <v>0</v>
      </c>
      <c r="T354" s="27" t="n">
        <f aca="false">SUMIFS(super1[Qtde],super1[Item],tab_alimentos[[#This Row],[Item]],super1[Bairro],mercado9)+SUMIFS(supercb[Qtde],supercb[Item],tab_alimentos[[#This Row],[Item]],supercb[Bairro],mercado9)</f>
        <v>0</v>
      </c>
      <c r="U354" s="27" t="n">
        <f aca="false">SUMIFS(super1[Qtde],super1[Item],tab_alimentos[[#This Row],[Item]],super1[Bairro],mercado10)+SUMIFS(supercb[Qtde],supercb[Item],tab_alimentos[[#This Row],[Item]],supercb[Bairro],mercado10)</f>
        <v>0</v>
      </c>
      <c r="V354" s="27" t="n">
        <f aca="false">SUMIFS(super1[Qtde],super1[Item],tab_alimentos[[#This Row],[Item]],super1[Bairro],mercado11)+SUMIFS(supercb[Qtde],supercb[Item],tab_alimentos[[#This Row],[Item]],supercb[Bairro],mercado11)</f>
        <v>0</v>
      </c>
      <c r="W354" s="27" t="n">
        <f aca="false">SUMIFS(super1[Qtde],super1[Item],tab_alimentos[[#This Row],[Item]],super1[Bairro],mercado12)+SUMIFS(supercb[Qtde],supercb[Item],tab_alimentos[[#This Row],[Item]],supercb[Bairro],mercado12)</f>
        <v>0</v>
      </c>
      <c r="X354" s="27" t="n">
        <f aca="false">SUMIFS(super1[Qtde],super1[Item],tab_alimentos[[#This Row],[Item]],super1[Bairro],mercado13)+SUMIFS(supercb[Qtde],supercb[Item],tab_alimentos[[#This Row],[Item]],supercb[Bairro],mercado13)</f>
        <v>0</v>
      </c>
      <c r="Y354" s="27" t="n">
        <f aca="false">SUMIFS(super1[Qtde],super1[Item],tab_alimentos[[#This Row],[Item]],super1[Bairro],mercado14)+SUMIFS(supercb[Qtde],supercb[Item],tab_alimentos[[#This Row],[Item]],supercb[Bairro],mercado14)</f>
        <v>0</v>
      </c>
      <c r="Z354" s="27" t="n">
        <f aca="false">SUMIFS(super1[Qtde],super1[Item],tab_alimentos[[#This Row],[Item]],super1[Bairro],mercado15)+SUMIFS(supercb[Qtde],supercb[Item],tab_alimentos[[#This Row],[Item]],supercb[Bairro],mercado15)</f>
        <v>0</v>
      </c>
      <c r="AA354" s="27" t="n">
        <f aca="false">SUMIFS(super1[Qtde],super1[Item],tab_alimentos[[#This Row],[Item]],super1[Bairro],mercado16)+SUMIFS(supercb[Qtde],supercb[Item],tab_alimentos[[#This Row],[Item]],supercb[Bairro],mercado16)</f>
        <v>0</v>
      </c>
      <c r="AB354" s="27" t="n">
        <f aca="false">SUMIFS(super1[Qtde],super1[Item],tab_alimentos[[#This Row],[Item]],super1[Bairro],mercado17)+SUMIFS(supercb[Qtde],supercb[Item],tab_alimentos[[#This Row],[Item]],supercb[Bairro],mercado17)</f>
        <v>0</v>
      </c>
      <c r="AC354" s="27" t="n">
        <f aca="false">SUMIFS(super1[Qtde],super1[Item],tab_alimentos[[#This Row],[Item]],super1[Bairro],mercado18)+SUMIFS(supercb[Qtde],supercb[Item],tab_alimentos[[#This Row],[Item]],supercb[Bairro],mercado18)</f>
        <v>0</v>
      </c>
      <c r="AD354" s="27" t="n">
        <f aca="false">SUMIFS(super1[Qtde],super1[Item],tab_alimentos[[#This Row],[Item]],super1[Bairro],extras)+SUMIFS(supercb[Qtde],supercb[Item],tab_alimentos[[#This Row],[Item]],supercb[Bairro],extras)</f>
        <v>0</v>
      </c>
      <c r="AE354" s="27" t="n">
        <f aca="false">SUM(L354:AC354)</f>
        <v>0</v>
      </c>
      <c r="AF354" s="27" t="n">
        <f aca="false">IFERROR(AE354*K354,0)</f>
        <v>0</v>
      </c>
      <c r="AG354" s="28" t="n">
        <f aca="false">IFERROR(J354*AE354,0)</f>
        <v>0</v>
      </c>
    </row>
    <row r="355" customFormat="false" ht="15" hidden="false" customHeight="false" outlineLevel="0" collapsed="false">
      <c r="I355" s="26" t="e">
        <f aca="false">alimentos[[#This Row],[Item]]</f>
        <v>#VALUE!</v>
      </c>
      <c r="J355" s="27" t="n">
        <f aca="false">IFERROR(alimentos[[#This Row],[kg/embalagem]],0)</f>
        <v>0</v>
      </c>
      <c r="K355" s="27" t="n">
        <f aca="false">IFERROR(alimentos[[#This Row],[Preço]],0)</f>
        <v>0</v>
      </c>
      <c r="L355" s="27" t="n">
        <f aca="false">SUMIFS(super1[Qtde],super1[Item],tab_alimentos[[#This Row],[Item]],super1[Bairro],mercado1)+SUMIFS(supercb[Qtde],supercb[Item],tab_alimentos[[#This Row],[Item]],supercb[Bairro],mercado1)</f>
        <v>0</v>
      </c>
      <c r="M355" s="27" t="n">
        <f aca="false">SUMIFS(super1[Qtde],super1[Item],tab_alimentos[[#This Row],[Item]],super1[Bairro],mercado2)+SUMIFS(supercb[Qtde],supercb[Item],tab_alimentos[[#This Row],[Item]],supercb[Bairro],mercado2)</f>
        <v>0</v>
      </c>
      <c r="N355" s="27" t="n">
        <f aca="false">SUMIFS(super1[Qtde],super1[Item],tab_alimentos[[#This Row],[Item]],super1[Bairro],mercado3)+SUMIFS(supercb[Qtde],supercb[Item],tab_alimentos[[#This Row],[Item]],supercb[Bairro],mercado3)</f>
        <v>0</v>
      </c>
      <c r="O355" s="27" t="n">
        <f aca="false">SUMIFS(super1[Qtde],super1[Item],tab_alimentos[[#This Row],[Item]],super1[Bairro],mercado4)+SUMIFS(supercb[Qtde],supercb[Item],tab_alimentos[[#This Row],[Item]],supercb[Bairro],mercado4)</f>
        <v>0</v>
      </c>
      <c r="P355" s="27" t="n">
        <f aca="false">SUMIFS(super1[Qtde],super1[Item],tab_alimentos[[#This Row],[Item]],super1[Bairro],mercado5)+SUMIFS(supercb[Qtde],supercb[Item],tab_alimentos[[#This Row],[Item]],supercb[Bairro],mercado5)</f>
        <v>0</v>
      </c>
      <c r="Q355" s="27" t="n">
        <f aca="false">SUMIFS(super1[Qtde],super1[Item],tab_alimentos[[#This Row],[Item]],super1[Bairro],mercado6)+SUMIFS(supercb[Qtde],supercb[Item],tab_alimentos[[#This Row],[Item]],supercb[Bairro],mercado6)</f>
        <v>0</v>
      </c>
      <c r="R355" s="27" t="n">
        <f aca="false">SUMIFS(super1[Qtde],super1[Item],tab_alimentos[[#This Row],[Item]],super1[Bairro],mercado7)+SUMIFS(supercb[Qtde],supercb[Item],tab_alimentos[[#This Row],[Item]],supercb[Bairro],mercado7)</f>
        <v>0</v>
      </c>
      <c r="S355" s="27" t="n">
        <f aca="false">SUMIFS(super1[Qtde],super1[Item],tab_alimentos[[#This Row],[Item]],super1[Bairro],mercado8)+SUMIFS(supercb[Qtde],supercb[Item],tab_alimentos[[#This Row],[Item]],supercb[Bairro],mercado8)</f>
        <v>0</v>
      </c>
      <c r="T355" s="27" t="n">
        <f aca="false">SUMIFS(super1[Qtde],super1[Item],tab_alimentos[[#This Row],[Item]],super1[Bairro],mercado9)+SUMIFS(supercb[Qtde],supercb[Item],tab_alimentos[[#This Row],[Item]],supercb[Bairro],mercado9)</f>
        <v>0</v>
      </c>
      <c r="U355" s="27" t="n">
        <f aca="false">SUMIFS(super1[Qtde],super1[Item],tab_alimentos[[#This Row],[Item]],super1[Bairro],mercado10)+SUMIFS(supercb[Qtde],supercb[Item],tab_alimentos[[#This Row],[Item]],supercb[Bairro],mercado10)</f>
        <v>0</v>
      </c>
      <c r="V355" s="27" t="n">
        <f aca="false">SUMIFS(super1[Qtde],super1[Item],tab_alimentos[[#This Row],[Item]],super1[Bairro],mercado11)+SUMIFS(supercb[Qtde],supercb[Item],tab_alimentos[[#This Row],[Item]],supercb[Bairro],mercado11)</f>
        <v>0</v>
      </c>
      <c r="W355" s="27" t="n">
        <f aca="false">SUMIFS(super1[Qtde],super1[Item],tab_alimentos[[#This Row],[Item]],super1[Bairro],mercado12)+SUMIFS(supercb[Qtde],supercb[Item],tab_alimentos[[#This Row],[Item]],supercb[Bairro],mercado12)</f>
        <v>0</v>
      </c>
      <c r="X355" s="27" t="n">
        <f aca="false">SUMIFS(super1[Qtde],super1[Item],tab_alimentos[[#This Row],[Item]],super1[Bairro],mercado13)+SUMIFS(supercb[Qtde],supercb[Item],tab_alimentos[[#This Row],[Item]],supercb[Bairro],mercado13)</f>
        <v>0</v>
      </c>
      <c r="Y355" s="27" t="n">
        <f aca="false">SUMIFS(super1[Qtde],super1[Item],tab_alimentos[[#This Row],[Item]],super1[Bairro],mercado14)+SUMIFS(supercb[Qtde],supercb[Item],tab_alimentos[[#This Row],[Item]],supercb[Bairro],mercado14)</f>
        <v>0</v>
      </c>
      <c r="Z355" s="27" t="n">
        <f aca="false">SUMIFS(super1[Qtde],super1[Item],tab_alimentos[[#This Row],[Item]],super1[Bairro],mercado15)+SUMIFS(supercb[Qtde],supercb[Item],tab_alimentos[[#This Row],[Item]],supercb[Bairro],mercado15)</f>
        <v>0</v>
      </c>
      <c r="AA355" s="27" t="n">
        <f aca="false">SUMIFS(super1[Qtde],super1[Item],tab_alimentos[[#This Row],[Item]],super1[Bairro],mercado16)+SUMIFS(supercb[Qtde],supercb[Item],tab_alimentos[[#This Row],[Item]],supercb[Bairro],mercado16)</f>
        <v>0</v>
      </c>
      <c r="AB355" s="27" t="n">
        <f aca="false">SUMIFS(super1[Qtde],super1[Item],tab_alimentos[[#This Row],[Item]],super1[Bairro],mercado17)+SUMIFS(supercb[Qtde],supercb[Item],tab_alimentos[[#This Row],[Item]],supercb[Bairro],mercado17)</f>
        <v>0</v>
      </c>
      <c r="AC355" s="27" t="n">
        <f aca="false">SUMIFS(super1[Qtde],super1[Item],tab_alimentos[[#This Row],[Item]],super1[Bairro],mercado18)+SUMIFS(supercb[Qtde],supercb[Item],tab_alimentos[[#This Row],[Item]],supercb[Bairro],mercado18)</f>
        <v>0</v>
      </c>
      <c r="AD355" s="27" t="n">
        <f aca="false">SUMIFS(super1[Qtde],super1[Item],tab_alimentos[[#This Row],[Item]],super1[Bairro],extras)+SUMIFS(supercb[Qtde],supercb[Item],tab_alimentos[[#This Row],[Item]],supercb[Bairro],extras)</f>
        <v>0</v>
      </c>
      <c r="AE355" s="27" t="n">
        <f aca="false">SUM(L355:AC355)</f>
        <v>0</v>
      </c>
      <c r="AF355" s="27" t="n">
        <f aca="false">IFERROR(AE355*K355,0)</f>
        <v>0</v>
      </c>
      <c r="AG355" s="28" t="n">
        <f aca="false">IFERROR(J355*AE355,0)</f>
        <v>0</v>
      </c>
    </row>
    <row r="356" customFormat="false" ht="15" hidden="false" customHeight="false" outlineLevel="0" collapsed="false">
      <c r="I356" s="26" t="e">
        <f aca="false">alimentos[[#This Row],[Item]]</f>
        <v>#VALUE!</v>
      </c>
      <c r="J356" s="27" t="n">
        <f aca="false">IFERROR(alimentos[[#This Row],[kg/embalagem]],0)</f>
        <v>0</v>
      </c>
      <c r="K356" s="27" t="n">
        <f aca="false">IFERROR(alimentos[[#This Row],[Preço]],0)</f>
        <v>0</v>
      </c>
      <c r="L356" s="27" t="n">
        <f aca="false">SUMIFS(super1[Qtde],super1[Item],tab_alimentos[[#This Row],[Item]],super1[Bairro],mercado1)+SUMIFS(supercb[Qtde],supercb[Item],tab_alimentos[[#This Row],[Item]],supercb[Bairro],mercado1)</f>
        <v>0</v>
      </c>
      <c r="M356" s="27" t="n">
        <f aca="false">SUMIFS(super1[Qtde],super1[Item],tab_alimentos[[#This Row],[Item]],super1[Bairro],mercado2)+SUMIFS(supercb[Qtde],supercb[Item],tab_alimentos[[#This Row],[Item]],supercb[Bairro],mercado2)</f>
        <v>0</v>
      </c>
      <c r="N356" s="27" t="n">
        <f aca="false">SUMIFS(super1[Qtde],super1[Item],tab_alimentos[[#This Row],[Item]],super1[Bairro],mercado3)+SUMIFS(supercb[Qtde],supercb[Item],tab_alimentos[[#This Row],[Item]],supercb[Bairro],mercado3)</f>
        <v>0</v>
      </c>
      <c r="O356" s="27" t="n">
        <f aca="false">SUMIFS(super1[Qtde],super1[Item],tab_alimentos[[#This Row],[Item]],super1[Bairro],mercado4)+SUMIFS(supercb[Qtde],supercb[Item],tab_alimentos[[#This Row],[Item]],supercb[Bairro],mercado4)</f>
        <v>0</v>
      </c>
      <c r="P356" s="27" t="n">
        <f aca="false">SUMIFS(super1[Qtde],super1[Item],tab_alimentos[[#This Row],[Item]],super1[Bairro],mercado5)+SUMIFS(supercb[Qtde],supercb[Item],tab_alimentos[[#This Row],[Item]],supercb[Bairro],mercado5)</f>
        <v>0</v>
      </c>
      <c r="Q356" s="27" t="n">
        <f aca="false">SUMIFS(super1[Qtde],super1[Item],tab_alimentos[[#This Row],[Item]],super1[Bairro],mercado6)+SUMIFS(supercb[Qtde],supercb[Item],tab_alimentos[[#This Row],[Item]],supercb[Bairro],mercado6)</f>
        <v>0</v>
      </c>
      <c r="R356" s="27" t="n">
        <f aca="false">SUMIFS(super1[Qtde],super1[Item],tab_alimentos[[#This Row],[Item]],super1[Bairro],mercado7)+SUMIFS(supercb[Qtde],supercb[Item],tab_alimentos[[#This Row],[Item]],supercb[Bairro],mercado7)</f>
        <v>0</v>
      </c>
      <c r="S356" s="27" t="n">
        <f aca="false">SUMIFS(super1[Qtde],super1[Item],tab_alimentos[[#This Row],[Item]],super1[Bairro],mercado8)+SUMIFS(supercb[Qtde],supercb[Item],tab_alimentos[[#This Row],[Item]],supercb[Bairro],mercado8)</f>
        <v>0</v>
      </c>
      <c r="T356" s="27" t="n">
        <f aca="false">SUMIFS(super1[Qtde],super1[Item],tab_alimentos[[#This Row],[Item]],super1[Bairro],mercado9)+SUMIFS(supercb[Qtde],supercb[Item],tab_alimentos[[#This Row],[Item]],supercb[Bairro],mercado9)</f>
        <v>0</v>
      </c>
      <c r="U356" s="27" t="n">
        <f aca="false">SUMIFS(super1[Qtde],super1[Item],tab_alimentos[[#This Row],[Item]],super1[Bairro],mercado10)+SUMIFS(supercb[Qtde],supercb[Item],tab_alimentos[[#This Row],[Item]],supercb[Bairro],mercado10)</f>
        <v>0</v>
      </c>
      <c r="V356" s="27" t="n">
        <f aca="false">SUMIFS(super1[Qtde],super1[Item],tab_alimentos[[#This Row],[Item]],super1[Bairro],mercado11)+SUMIFS(supercb[Qtde],supercb[Item],tab_alimentos[[#This Row],[Item]],supercb[Bairro],mercado11)</f>
        <v>0</v>
      </c>
      <c r="W356" s="27" t="n">
        <f aca="false">SUMIFS(super1[Qtde],super1[Item],tab_alimentos[[#This Row],[Item]],super1[Bairro],mercado12)+SUMIFS(supercb[Qtde],supercb[Item],tab_alimentos[[#This Row],[Item]],supercb[Bairro],mercado12)</f>
        <v>0</v>
      </c>
      <c r="X356" s="27" t="n">
        <f aca="false">SUMIFS(super1[Qtde],super1[Item],tab_alimentos[[#This Row],[Item]],super1[Bairro],mercado13)+SUMIFS(supercb[Qtde],supercb[Item],tab_alimentos[[#This Row],[Item]],supercb[Bairro],mercado13)</f>
        <v>0</v>
      </c>
      <c r="Y356" s="27" t="n">
        <f aca="false">SUMIFS(super1[Qtde],super1[Item],tab_alimentos[[#This Row],[Item]],super1[Bairro],mercado14)+SUMIFS(supercb[Qtde],supercb[Item],tab_alimentos[[#This Row],[Item]],supercb[Bairro],mercado14)</f>
        <v>0</v>
      </c>
      <c r="Z356" s="27" t="n">
        <f aca="false">SUMIFS(super1[Qtde],super1[Item],tab_alimentos[[#This Row],[Item]],super1[Bairro],mercado15)+SUMIFS(supercb[Qtde],supercb[Item],tab_alimentos[[#This Row],[Item]],supercb[Bairro],mercado15)</f>
        <v>0</v>
      </c>
      <c r="AA356" s="27" t="n">
        <f aca="false">SUMIFS(super1[Qtde],super1[Item],tab_alimentos[[#This Row],[Item]],super1[Bairro],mercado16)+SUMIFS(supercb[Qtde],supercb[Item],tab_alimentos[[#This Row],[Item]],supercb[Bairro],mercado16)</f>
        <v>0</v>
      </c>
      <c r="AB356" s="27" t="n">
        <f aca="false">SUMIFS(super1[Qtde],super1[Item],tab_alimentos[[#This Row],[Item]],super1[Bairro],mercado17)+SUMIFS(supercb[Qtde],supercb[Item],tab_alimentos[[#This Row],[Item]],supercb[Bairro],mercado17)</f>
        <v>0</v>
      </c>
      <c r="AC356" s="27" t="n">
        <f aca="false">SUMIFS(super1[Qtde],super1[Item],tab_alimentos[[#This Row],[Item]],super1[Bairro],mercado18)+SUMIFS(supercb[Qtde],supercb[Item],tab_alimentos[[#This Row],[Item]],supercb[Bairro],mercado18)</f>
        <v>0</v>
      </c>
      <c r="AD356" s="27" t="n">
        <f aca="false">SUMIFS(super1[Qtde],super1[Item],tab_alimentos[[#This Row],[Item]],super1[Bairro],extras)+SUMIFS(supercb[Qtde],supercb[Item],tab_alimentos[[#This Row],[Item]],supercb[Bairro],extras)</f>
        <v>0</v>
      </c>
      <c r="AE356" s="27" t="n">
        <f aca="false">SUM(L356:AC356)</f>
        <v>0</v>
      </c>
      <c r="AF356" s="27" t="n">
        <f aca="false">IFERROR(AE356*K356,0)</f>
        <v>0</v>
      </c>
      <c r="AG356" s="28" t="n">
        <f aca="false">IFERROR(J356*AE356,0)</f>
        <v>0</v>
      </c>
    </row>
    <row r="357" customFormat="false" ht="15" hidden="false" customHeight="false" outlineLevel="0" collapsed="false">
      <c r="I357" s="26" t="e">
        <f aca="false">alimentos[[#This Row],[Item]]</f>
        <v>#VALUE!</v>
      </c>
      <c r="J357" s="27" t="n">
        <f aca="false">IFERROR(alimentos[[#This Row],[kg/embalagem]],0)</f>
        <v>0</v>
      </c>
      <c r="K357" s="27" t="n">
        <f aca="false">IFERROR(alimentos[[#This Row],[Preço]],0)</f>
        <v>0</v>
      </c>
      <c r="L357" s="27" t="n">
        <f aca="false">SUMIFS(super1[Qtde],super1[Item],tab_alimentos[[#This Row],[Item]],super1[Bairro],mercado1)+SUMIFS(supercb[Qtde],supercb[Item],tab_alimentos[[#This Row],[Item]],supercb[Bairro],mercado1)</f>
        <v>0</v>
      </c>
      <c r="M357" s="27" t="n">
        <f aca="false">SUMIFS(super1[Qtde],super1[Item],tab_alimentos[[#This Row],[Item]],super1[Bairro],mercado2)+SUMIFS(supercb[Qtde],supercb[Item],tab_alimentos[[#This Row],[Item]],supercb[Bairro],mercado2)</f>
        <v>0</v>
      </c>
      <c r="N357" s="27" t="n">
        <f aca="false">SUMIFS(super1[Qtde],super1[Item],tab_alimentos[[#This Row],[Item]],super1[Bairro],mercado3)+SUMIFS(supercb[Qtde],supercb[Item],tab_alimentos[[#This Row],[Item]],supercb[Bairro],mercado3)</f>
        <v>0</v>
      </c>
      <c r="O357" s="27" t="n">
        <f aca="false">SUMIFS(super1[Qtde],super1[Item],tab_alimentos[[#This Row],[Item]],super1[Bairro],mercado4)+SUMIFS(supercb[Qtde],supercb[Item],tab_alimentos[[#This Row],[Item]],supercb[Bairro],mercado4)</f>
        <v>0</v>
      </c>
      <c r="P357" s="27" t="n">
        <f aca="false">SUMIFS(super1[Qtde],super1[Item],tab_alimentos[[#This Row],[Item]],super1[Bairro],mercado5)+SUMIFS(supercb[Qtde],supercb[Item],tab_alimentos[[#This Row],[Item]],supercb[Bairro],mercado5)</f>
        <v>0</v>
      </c>
      <c r="Q357" s="27" t="n">
        <f aca="false">SUMIFS(super1[Qtde],super1[Item],tab_alimentos[[#This Row],[Item]],super1[Bairro],mercado6)+SUMIFS(supercb[Qtde],supercb[Item],tab_alimentos[[#This Row],[Item]],supercb[Bairro],mercado6)</f>
        <v>0</v>
      </c>
      <c r="R357" s="27" t="n">
        <f aca="false">SUMIFS(super1[Qtde],super1[Item],tab_alimentos[[#This Row],[Item]],super1[Bairro],mercado7)+SUMIFS(supercb[Qtde],supercb[Item],tab_alimentos[[#This Row],[Item]],supercb[Bairro],mercado7)</f>
        <v>0</v>
      </c>
      <c r="S357" s="27" t="n">
        <f aca="false">SUMIFS(super1[Qtde],super1[Item],tab_alimentos[[#This Row],[Item]],super1[Bairro],mercado8)+SUMIFS(supercb[Qtde],supercb[Item],tab_alimentos[[#This Row],[Item]],supercb[Bairro],mercado8)</f>
        <v>0</v>
      </c>
      <c r="T357" s="27" t="n">
        <f aca="false">SUMIFS(super1[Qtde],super1[Item],tab_alimentos[[#This Row],[Item]],super1[Bairro],mercado9)+SUMIFS(supercb[Qtde],supercb[Item],tab_alimentos[[#This Row],[Item]],supercb[Bairro],mercado9)</f>
        <v>0</v>
      </c>
      <c r="U357" s="27" t="n">
        <f aca="false">SUMIFS(super1[Qtde],super1[Item],tab_alimentos[[#This Row],[Item]],super1[Bairro],mercado10)+SUMIFS(supercb[Qtde],supercb[Item],tab_alimentos[[#This Row],[Item]],supercb[Bairro],mercado10)</f>
        <v>0</v>
      </c>
      <c r="V357" s="27" t="n">
        <f aca="false">SUMIFS(super1[Qtde],super1[Item],tab_alimentos[[#This Row],[Item]],super1[Bairro],mercado11)+SUMIFS(supercb[Qtde],supercb[Item],tab_alimentos[[#This Row],[Item]],supercb[Bairro],mercado11)</f>
        <v>0</v>
      </c>
      <c r="W357" s="27" t="n">
        <f aca="false">SUMIFS(super1[Qtde],super1[Item],tab_alimentos[[#This Row],[Item]],super1[Bairro],mercado12)+SUMIFS(supercb[Qtde],supercb[Item],tab_alimentos[[#This Row],[Item]],supercb[Bairro],mercado12)</f>
        <v>0</v>
      </c>
      <c r="X357" s="27" t="n">
        <f aca="false">SUMIFS(super1[Qtde],super1[Item],tab_alimentos[[#This Row],[Item]],super1[Bairro],mercado13)+SUMIFS(supercb[Qtde],supercb[Item],tab_alimentos[[#This Row],[Item]],supercb[Bairro],mercado13)</f>
        <v>0</v>
      </c>
      <c r="Y357" s="27" t="n">
        <f aca="false">SUMIFS(super1[Qtde],super1[Item],tab_alimentos[[#This Row],[Item]],super1[Bairro],mercado14)+SUMIFS(supercb[Qtde],supercb[Item],tab_alimentos[[#This Row],[Item]],supercb[Bairro],mercado14)</f>
        <v>0</v>
      </c>
      <c r="Z357" s="27" t="n">
        <f aca="false">SUMIFS(super1[Qtde],super1[Item],tab_alimentos[[#This Row],[Item]],super1[Bairro],mercado15)+SUMIFS(supercb[Qtde],supercb[Item],tab_alimentos[[#This Row],[Item]],supercb[Bairro],mercado15)</f>
        <v>0</v>
      </c>
      <c r="AA357" s="27" t="n">
        <f aca="false">SUMIFS(super1[Qtde],super1[Item],tab_alimentos[[#This Row],[Item]],super1[Bairro],mercado16)+SUMIFS(supercb[Qtde],supercb[Item],tab_alimentos[[#This Row],[Item]],supercb[Bairro],mercado16)</f>
        <v>0</v>
      </c>
      <c r="AB357" s="27" t="n">
        <f aca="false">SUMIFS(super1[Qtde],super1[Item],tab_alimentos[[#This Row],[Item]],super1[Bairro],mercado17)+SUMIFS(supercb[Qtde],supercb[Item],tab_alimentos[[#This Row],[Item]],supercb[Bairro],mercado17)</f>
        <v>0</v>
      </c>
      <c r="AC357" s="27" t="n">
        <f aca="false">SUMIFS(super1[Qtde],super1[Item],tab_alimentos[[#This Row],[Item]],super1[Bairro],mercado18)+SUMIFS(supercb[Qtde],supercb[Item],tab_alimentos[[#This Row],[Item]],supercb[Bairro],mercado18)</f>
        <v>0</v>
      </c>
      <c r="AD357" s="27" t="n">
        <f aca="false">SUMIFS(super1[Qtde],super1[Item],tab_alimentos[[#This Row],[Item]],super1[Bairro],extras)+SUMIFS(supercb[Qtde],supercb[Item],tab_alimentos[[#This Row],[Item]],supercb[Bairro],extras)</f>
        <v>0</v>
      </c>
      <c r="AE357" s="27" t="n">
        <f aca="false">SUM(L357:AC357)</f>
        <v>0</v>
      </c>
      <c r="AF357" s="27" t="n">
        <f aca="false">IFERROR(AE357*K357,0)</f>
        <v>0</v>
      </c>
      <c r="AG357" s="28" t="n">
        <f aca="false">IFERROR(J357*AE357,0)</f>
        <v>0</v>
      </c>
    </row>
    <row r="358" customFormat="false" ht="15" hidden="false" customHeight="false" outlineLevel="0" collapsed="false">
      <c r="I358" s="26" t="e">
        <f aca="false">alimentos[[#This Row],[Item]]</f>
        <v>#VALUE!</v>
      </c>
      <c r="J358" s="27" t="n">
        <f aca="false">IFERROR(alimentos[[#This Row],[kg/embalagem]],0)</f>
        <v>0</v>
      </c>
      <c r="K358" s="27" t="n">
        <f aca="false">IFERROR(alimentos[[#This Row],[Preço]],0)</f>
        <v>0</v>
      </c>
      <c r="L358" s="27" t="n">
        <f aca="false">SUMIFS(super1[Qtde],super1[Item],tab_alimentos[[#This Row],[Item]],super1[Bairro],mercado1)+SUMIFS(supercb[Qtde],supercb[Item],tab_alimentos[[#This Row],[Item]],supercb[Bairro],mercado1)</f>
        <v>0</v>
      </c>
      <c r="M358" s="27" t="n">
        <f aca="false">SUMIFS(super1[Qtde],super1[Item],tab_alimentos[[#This Row],[Item]],super1[Bairro],mercado2)+SUMIFS(supercb[Qtde],supercb[Item],tab_alimentos[[#This Row],[Item]],supercb[Bairro],mercado2)</f>
        <v>0</v>
      </c>
      <c r="N358" s="27" t="n">
        <f aca="false">SUMIFS(super1[Qtde],super1[Item],tab_alimentos[[#This Row],[Item]],super1[Bairro],mercado3)+SUMIFS(supercb[Qtde],supercb[Item],tab_alimentos[[#This Row],[Item]],supercb[Bairro],mercado3)</f>
        <v>0</v>
      </c>
      <c r="O358" s="27" t="n">
        <f aca="false">SUMIFS(super1[Qtde],super1[Item],tab_alimentos[[#This Row],[Item]],super1[Bairro],mercado4)+SUMIFS(supercb[Qtde],supercb[Item],tab_alimentos[[#This Row],[Item]],supercb[Bairro],mercado4)</f>
        <v>0</v>
      </c>
      <c r="P358" s="27" t="n">
        <f aca="false">SUMIFS(super1[Qtde],super1[Item],tab_alimentos[[#This Row],[Item]],super1[Bairro],mercado5)+SUMIFS(supercb[Qtde],supercb[Item],tab_alimentos[[#This Row],[Item]],supercb[Bairro],mercado5)</f>
        <v>0</v>
      </c>
      <c r="Q358" s="27" t="n">
        <f aca="false">SUMIFS(super1[Qtde],super1[Item],tab_alimentos[[#This Row],[Item]],super1[Bairro],mercado6)+SUMIFS(supercb[Qtde],supercb[Item],tab_alimentos[[#This Row],[Item]],supercb[Bairro],mercado6)</f>
        <v>0</v>
      </c>
      <c r="R358" s="27" t="n">
        <f aca="false">SUMIFS(super1[Qtde],super1[Item],tab_alimentos[[#This Row],[Item]],super1[Bairro],mercado7)+SUMIFS(supercb[Qtde],supercb[Item],tab_alimentos[[#This Row],[Item]],supercb[Bairro],mercado7)</f>
        <v>0</v>
      </c>
      <c r="S358" s="27" t="n">
        <f aca="false">SUMIFS(super1[Qtde],super1[Item],tab_alimentos[[#This Row],[Item]],super1[Bairro],mercado8)+SUMIFS(supercb[Qtde],supercb[Item],tab_alimentos[[#This Row],[Item]],supercb[Bairro],mercado8)</f>
        <v>0</v>
      </c>
      <c r="T358" s="27" t="n">
        <f aca="false">SUMIFS(super1[Qtde],super1[Item],tab_alimentos[[#This Row],[Item]],super1[Bairro],mercado9)+SUMIFS(supercb[Qtde],supercb[Item],tab_alimentos[[#This Row],[Item]],supercb[Bairro],mercado9)</f>
        <v>0</v>
      </c>
      <c r="U358" s="27" t="n">
        <f aca="false">SUMIFS(super1[Qtde],super1[Item],tab_alimentos[[#This Row],[Item]],super1[Bairro],mercado10)+SUMIFS(supercb[Qtde],supercb[Item],tab_alimentos[[#This Row],[Item]],supercb[Bairro],mercado10)</f>
        <v>0</v>
      </c>
      <c r="V358" s="27" t="n">
        <f aca="false">SUMIFS(super1[Qtde],super1[Item],tab_alimentos[[#This Row],[Item]],super1[Bairro],mercado11)+SUMIFS(supercb[Qtde],supercb[Item],tab_alimentos[[#This Row],[Item]],supercb[Bairro],mercado11)</f>
        <v>0</v>
      </c>
      <c r="W358" s="27" t="n">
        <f aca="false">SUMIFS(super1[Qtde],super1[Item],tab_alimentos[[#This Row],[Item]],super1[Bairro],mercado12)+SUMIFS(supercb[Qtde],supercb[Item],tab_alimentos[[#This Row],[Item]],supercb[Bairro],mercado12)</f>
        <v>0</v>
      </c>
      <c r="X358" s="27" t="n">
        <f aca="false">SUMIFS(super1[Qtde],super1[Item],tab_alimentos[[#This Row],[Item]],super1[Bairro],mercado13)+SUMIFS(supercb[Qtde],supercb[Item],tab_alimentos[[#This Row],[Item]],supercb[Bairro],mercado13)</f>
        <v>0</v>
      </c>
      <c r="Y358" s="27" t="n">
        <f aca="false">SUMIFS(super1[Qtde],super1[Item],tab_alimentos[[#This Row],[Item]],super1[Bairro],mercado14)+SUMIFS(supercb[Qtde],supercb[Item],tab_alimentos[[#This Row],[Item]],supercb[Bairro],mercado14)</f>
        <v>0</v>
      </c>
      <c r="Z358" s="27" t="n">
        <f aca="false">SUMIFS(super1[Qtde],super1[Item],tab_alimentos[[#This Row],[Item]],super1[Bairro],mercado15)+SUMIFS(supercb[Qtde],supercb[Item],tab_alimentos[[#This Row],[Item]],supercb[Bairro],mercado15)</f>
        <v>0</v>
      </c>
      <c r="AA358" s="27" t="n">
        <f aca="false">SUMIFS(super1[Qtde],super1[Item],tab_alimentos[[#This Row],[Item]],super1[Bairro],mercado16)+SUMIFS(supercb[Qtde],supercb[Item],tab_alimentos[[#This Row],[Item]],supercb[Bairro],mercado16)</f>
        <v>0</v>
      </c>
      <c r="AB358" s="27" t="n">
        <f aca="false">SUMIFS(super1[Qtde],super1[Item],tab_alimentos[[#This Row],[Item]],super1[Bairro],mercado17)+SUMIFS(supercb[Qtde],supercb[Item],tab_alimentos[[#This Row],[Item]],supercb[Bairro],mercado17)</f>
        <v>0</v>
      </c>
      <c r="AC358" s="27" t="n">
        <f aca="false">SUMIFS(super1[Qtde],super1[Item],tab_alimentos[[#This Row],[Item]],super1[Bairro],mercado18)+SUMIFS(supercb[Qtde],supercb[Item],tab_alimentos[[#This Row],[Item]],supercb[Bairro],mercado18)</f>
        <v>0</v>
      </c>
      <c r="AD358" s="27" t="n">
        <f aca="false">SUMIFS(super1[Qtde],super1[Item],tab_alimentos[[#This Row],[Item]],super1[Bairro],extras)+SUMIFS(supercb[Qtde],supercb[Item],tab_alimentos[[#This Row],[Item]],supercb[Bairro],extras)</f>
        <v>0</v>
      </c>
      <c r="AE358" s="27" t="n">
        <f aca="false">SUM(L358:AC358)</f>
        <v>0</v>
      </c>
      <c r="AF358" s="27" t="n">
        <f aca="false">IFERROR(AE358*K358,0)</f>
        <v>0</v>
      </c>
      <c r="AG358" s="28" t="n">
        <f aca="false">IFERROR(J358*AE358,0)</f>
        <v>0</v>
      </c>
    </row>
    <row r="359" customFormat="false" ht="15" hidden="false" customHeight="false" outlineLevel="0" collapsed="false">
      <c r="I359" s="26" t="e">
        <f aca="false">alimentos[[#This Row],[Item]]</f>
        <v>#VALUE!</v>
      </c>
      <c r="J359" s="27" t="n">
        <f aca="false">IFERROR(alimentos[[#This Row],[kg/embalagem]],0)</f>
        <v>0</v>
      </c>
      <c r="K359" s="27" t="n">
        <f aca="false">IFERROR(alimentos[[#This Row],[Preço]],0)</f>
        <v>0</v>
      </c>
      <c r="L359" s="27" t="n">
        <f aca="false">SUMIFS(super1[Qtde],super1[Item],tab_alimentos[[#This Row],[Item]],super1[Bairro],mercado1)+SUMIFS(supercb[Qtde],supercb[Item],tab_alimentos[[#This Row],[Item]],supercb[Bairro],mercado1)</f>
        <v>0</v>
      </c>
      <c r="M359" s="27" t="n">
        <f aca="false">SUMIFS(super1[Qtde],super1[Item],tab_alimentos[[#This Row],[Item]],super1[Bairro],mercado2)+SUMIFS(supercb[Qtde],supercb[Item],tab_alimentos[[#This Row],[Item]],supercb[Bairro],mercado2)</f>
        <v>0</v>
      </c>
      <c r="N359" s="27" t="n">
        <f aca="false">SUMIFS(super1[Qtde],super1[Item],tab_alimentos[[#This Row],[Item]],super1[Bairro],mercado3)+SUMIFS(supercb[Qtde],supercb[Item],tab_alimentos[[#This Row],[Item]],supercb[Bairro],mercado3)</f>
        <v>0</v>
      </c>
      <c r="O359" s="27" t="n">
        <f aca="false">SUMIFS(super1[Qtde],super1[Item],tab_alimentos[[#This Row],[Item]],super1[Bairro],mercado4)+SUMIFS(supercb[Qtde],supercb[Item],tab_alimentos[[#This Row],[Item]],supercb[Bairro],mercado4)</f>
        <v>0</v>
      </c>
      <c r="P359" s="27" t="n">
        <f aca="false">SUMIFS(super1[Qtde],super1[Item],tab_alimentos[[#This Row],[Item]],super1[Bairro],mercado5)+SUMIFS(supercb[Qtde],supercb[Item],tab_alimentos[[#This Row],[Item]],supercb[Bairro],mercado5)</f>
        <v>0</v>
      </c>
      <c r="Q359" s="27" t="n">
        <f aca="false">SUMIFS(super1[Qtde],super1[Item],tab_alimentos[[#This Row],[Item]],super1[Bairro],mercado6)+SUMIFS(supercb[Qtde],supercb[Item],tab_alimentos[[#This Row],[Item]],supercb[Bairro],mercado6)</f>
        <v>0</v>
      </c>
      <c r="R359" s="27" t="n">
        <f aca="false">SUMIFS(super1[Qtde],super1[Item],tab_alimentos[[#This Row],[Item]],super1[Bairro],mercado7)+SUMIFS(supercb[Qtde],supercb[Item],tab_alimentos[[#This Row],[Item]],supercb[Bairro],mercado7)</f>
        <v>0</v>
      </c>
      <c r="S359" s="27" t="n">
        <f aca="false">SUMIFS(super1[Qtde],super1[Item],tab_alimentos[[#This Row],[Item]],super1[Bairro],mercado8)+SUMIFS(supercb[Qtde],supercb[Item],tab_alimentos[[#This Row],[Item]],supercb[Bairro],mercado8)</f>
        <v>0</v>
      </c>
      <c r="T359" s="27" t="n">
        <f aca="false">SUMIFS(super1[Qtde],super1[Item],tab_alimentos[[#This Row],[Item]],super1[Bairro],mercado9)+SUMIFS(supercb[Qtde],supercb[Item],tab_alimentos[[#This Row],[Item]],supercb[Bairro],mercado9)</f>
        <v>0</v>
      </c>
      <c r="U359" s="27" t="n">
        <f aca="false">SUMIFS(super1[Qtde],super1[Item],tab_alimentos[[#This Row],[Item]],super1[Bairro],mercado10)+SUMIFS(supercb[Qtde],supercb[Item],tab_alimentos[[#This Row],[Item]],supercb[Bairro],mercado10)</f>
        <v>0</v>
      </c>
      <c r="V359" s="27" t="n">
        <f aca="false">SUMIFS(super1[Qtde],super1[Item],tab_alimentos[[#This Row],[Item]],super1[Bairro],mercado11)+SUMIFS(supercb[Qtde],supercb[Item],tab_alimentos[[#This Row],[Item]],supercb[Bairro],mercado11)</f>
        <v>0</v>
      </c>
      <c r="W359" s="27" t="n">
        <f aca="false">SUMIFS(super1[Qtde],super1[Item],tab_alimentos[[#This Row],[Item]],super1[Bairro],mercado12)+SUMIFS(supercb[Qtde],supercb[Item],tab_alimentos[[#This Row],[Item]],supercb[Bairro],mercado12)</f>
        <v>0</v>
      </c>
      <c r="X359" s="27" t="n">
        <f aca="false">SUMIFS(super1[Qtde],super1[Item],tab_alimentos[[#This Row],[Item]],super1[Bairro],mercado13)+SUMIFS(supercb[Qtde],supercb[Item],tab_alimentos[[#This Row],[Item]],supercb[Bairro],mercado13)</f>
        <v>0</v>
      </c>
      <c r="Y359" s="27" t="n">
        <f aca="false">SUMIFS(super1[Qtde],super1[Item],tab_alimentos[[#This Row],[Item]],super1[Bairro],mercado14)+SUMIFS(supercb[Qtde],supercb[Item],tab_alimentos[[#This Row],[Item]],supercb[Bairro],mercado14)</f>
        <v>0</v>
      </c>
      <c r="Z359" s="27" t="n">
        <f aca="false">SUMIFS(super1[Qtde],super1[Item],tab_alimentos[[#This Row],[Item]],super1[Bairro],mercado15)+SUMIFS(supercb[Qtde],supercb[Item],tab_alimentos[[#This Row],[Item]],supercb[Bairro],mercado15)</f>
        <v>0</v>
      </c>
      <c r="AA359" s="27" t="n">
        <f aca="false">SUMIFS(super1[Qtde],super1[Item],tab_alimentos[[#This Row],[Item]],super1[Bairro],mercado16)+SUMIFS(supercb[Qtde],supercb[Item],tab_alimentos[[#This Row],[Item]],supercb[Bairro],mercado16)</f>
        <v>0</v>
      </c>
      <c r="AB359" s="27" t="n">
        <f aca="false">SUMIFS(super1[Qtde],super1[Item],tab_alimentos[[#This Row],[Item]],super1[Bairro],mercado17)+SUMIFS(supercb[Qtde],supercb[Item],tab_alimentos[[#This Row],[Item]],supercb[Bairro],mercado17)</f>
        <v>0</v>
      </c>
      <c r="AC359" s="27" t="n">
        <f aca="false">SUMIFS(super1[Qtde],super1[Item],tab_alimentos[[#This Row],[Item]],super1[Bairro],mercado18)+SUMIFS(supercb[Qtde],supercb[Item],tab_alimentos[[#This Row],[Item]],supercb[Bairro],mercado18)</f>
        <v>0</v>
      </c>
      <c r="AD359" s="27" t="n">
        <f aca="false">SUMIFS(super1[Qtde],super1[Item],tab_alimentos[[#This Row],[Item]],super1[Bairro],extras)+SUMIFS(supercb[Qtde],supercb[Item],tab_alimentos[[#This Row],[Item]],supercb[Bairro],extras)</f>
        <v>0</v>
      </c>
      <c r="AE359" s="27" t="n">
        <f aca="false">SUM(L359:AC359)</f>
        <v>0</v>
      </c>
      <c r="AF359" s="27" t="n">
        <f aca="false">IFERROR(AE359*K359,0)</f>
        <v>0</v>
      </c>
      <c r="AG359" s="28" t="n">
        <f aca="false">IFERROR(J359*AE359,0)</f>
        <v>0</v>
      </c>
    </row>
    <row r="360" customFormat="false" ht="15" hidden="false" customHeight="false" outlineLevel="0" collapsed="false">
      <c r="I360" s="26" t="e">
        <f aca="false">alimentos[[#This Row],[Item]]</f>
        <v>#VALUE!</v>
      </c>
      <c r="J360" s="27" t="n">
        <f aca="false">IFERROR(alimentos[[#This Row],[kg/embalagem]],0)</f>
        <v>0</v>
      </c>
      <c r="K360" s="27" t="n">
        <f aca="false">IFERROR(alimentos[[#This Row],[Preço]],0)</f>
        <v>0</v>
      </c>
      <c r="L360" s="27" t="n">
        <f aca="false">SUMIFS(super1[Qtde],super1[Item],tab_alimentos[[#This Row],[Item]],super1[Bairro],mercado1)+SUMIFS(supercb[Qtde],supercb[Item],tab_alimentos[[#This Row],[Item]],supercb[Bairro],mercado1)</f>
        <v>0</v>
      </c>
      <c r="M360" s="27" t="n">
        <f aca="false">SUMIFS(super1[Qtde],super1[Item],tab_alimentos[[#This Row],[Item]],super1[Bairro],mercado2)+SUMIFS(supercb[Qtde],supercb[Item],tab_alimentos[[#This Row],[Item]],supercb[Bairro],mercado2)</f>
        <v>0</v>
      </c>
      <c r="N360" s="27" t="n">
        <f aca="false">SUMIFS(super1[Qtde],super1[Item],tab_alimentos[[#This Row],[Item]],super1[Bairro],mercado3)+SUMIFS(supercb[Qtde],supercb[Item],tab_alimentos[[#This Row],[Item]],supercb[Bairro],mercado3)</f>
        <v>0</v>
      </c>
      <c r="O360" s="27" t="n">
        <f aca="false">SUMIFS(super1[Qtde],super1[Item],tab_alimentos[[#This Row],[Item]],super1[Bairro],mercado4)+SUMIFS(supercb[Qtde],supercb[Item],tab_alimentos[[#This Row],[Item]],supercb[Bairro],mercado4)</f>
        <v>0</v>
      </c>
      <c r="P360" s="27" t="n">
        <f aca="false">SUMIFS(super1[Qtde],super1[Item],tab_alimentos[[#This Row],[Item]],super1[Bairro],mercado5)+SUMIFS(supercb[Qtde],supercb[Item],tab_alimentos[[#This Row],[Item]],supercb[Bairro],mercado5)</f>
        <v>0</v>
      </c>
      <c r="Q360" s="27" t="n">
        <f aca="false">SUMIFS(super1[Qtde],super1[Item],tab_alimentos[[#This Row],[Item]],super1[Bairro],mercado6)+SUMIFS(supercb[Qtde],supercb[Item],tab_alimentos[[#This Row],[Item]],supercb[Bairro],mercado6)</f>
        <v>0</v>
      </c>
      <c r="R360" s="27" t="n">
        <f aca="false">SUMIFS(super1[Qtde],super1[Item],tab_alimentos[[#This Row],[Item]],super1[Bairro],mercado7)+SUMIFS(supercb[Qtde],supercb[Item],tab_alimentos[[#This Row],[Item]],supercb[Bairro],mercado7)</f>
        <v>0</v>
      </c>
      <c r="S360" s="27" t="n">
        <f aca="false">SUMIFS(super1[Qtde],super1[Item],tab_alimentos[[#This Row],[Item]],super1[Bairro],mercado8)+SUMIFS(supercb[Qtde],supercb[Item],tab_alimentos[[#This Row],[Item]],supercb[Bairro],mercado8)</f>
        <v>0</v>
      </c>
      <c r="T360" s="27" t="n">
        <f aca="false">SUMIFS(super1[Qtde],super1[Item],tab_alimentos[[#This Row],[Item]],super1[Bairro],mercado9)+SUMIFS(supercb[Qtde],supercb[Item],tab_alimentos[[#This Row],[Item]],supercb[Bairro],mercado9)</f>
        <v>0</v>
      </c>
      <c r="U360" s="27" t="n">
        <f aca="false">SUMIFS(super1[Qtde],super1[Item],tab_alimentos[[#This Row],[Item]],super1[Bairro],mercado10)+SUMIFS(supercb[Qtde],supercb[Item],tab_alimentos[[#This Row],[Item]],supercb[Bairro],mercado10)</f>
        <v>0</v>
      </c>
      <c r="V360" s="27" t="n">
        <f aca="false">SUMIFS(super1[Qtde],super1[Item],tab_alimentos[[#This Row],[Item]],super1[Bairro],mercado11)+SUMIFS(supercb[Qtde],supercb[Item],tab_alimentos[[#This Row],[Item]],supercb[Bairro],mercado11)</f>
        <v>0</v>
      </c>
      <c r="W360" s="27" t="n">
        <f aca="false">SUMIFS(super1[Qtde],super1[Item],tab_alimentos[[#This Row],[Item]],super1[Bairro],mercado12)+SUMIFS(supercb[Qtde],supercb[Item],tab_alimentos[[#This Row],[Item]],supercb[Bairro],mercado12)</f>
        <v>0</v>
      </c>
      <c r="X360" s="27" t="n">
        <f aca="false">SUMIFS(super1[Qtde],super1[Item],tab_alimentos[[#This Row],[Item]],super1[Bairro],mercado13)+SUMIFS(supercb[Qtde],supercb[Item],tab_alimentos[[#This Row],[Item]],supercb[Bairro],mercado13)</f>
        <v>0</v>
      </c>
      <c r="Y360" s="27" t="n">
        <f aca="false">SUMIFS(super1[Qtde],super1[Item],tab_alimentos[[#This Row],[Item]],super1[Bairro],mercado14)+SUMIFS(supercb[Qtde],supercb[Item],tab_alimentos[[#This Row],[Item]],supercb[Bairro],mercado14)</f>
        <v>0</v>
      </c>
      <c r="Z360" s="27" t="n">
        <f aca="false">SUMIFS(super1[Qtde],super1[Item],tab_alimentos[[#This Row],[Item]],super1[Bairro],mercado15)+SUMIFS(supercb[Qtde],supercb[Item],tab_alimentos[[#This Row],[Item]],supercb[Bairro],mercado15)</f>
        <v>0</v>
      </c>
      <c r="AA360" s="27" t="n">
        <f aca="false">SUMIFS(super1[Qtde],super1[Item],tab_alimentos[[#This Row],[Item]],super1[Bairro],mercado16)+SUMIFS(supercb[Qtde],supercb[Item],tab_alimentos[[#This Row],[Item]],supercb[Bairro],mercado16)</f>
        <v>0</v>
      </c>
      <c r="AB360" s="27" t="n">
        <f aca="false">SUMIFS(super1[Qtde],super1[Item],tab_alimentos[[#This Row],[Item]],super1[Bairro],mercado17)+SUMIFS(supercb[Qtde],supercb[Item],tab_alimentos[[#This Row],[Item]],supercb[Bairro],mercado17)</f>
        <v>0</v>
      </c>
      <c r="AC360" s="27" t="n">
        <f aca="false">SUMIFS(super1[Qtde],super1[Item],tab_alimentos[[#This Row],[Item]],super1[Bairro],mercado18)+SUMIFS(supercb[Qtde],supercb[Item],tab_alimentos[[#This Row],[Item]],supercb[Bairro],mercado18)</f>
        <v>0</v>
      </c>
      <c r="AD360" s="27" t="n">
        <f aca="false">SUMIFS(super1[Qtde],super1[Item],tab_alimentos[[#This Row],[Item]],super1[Bairro],extras)+SUMIFS(supercb[Qtde],supercb[Item],tab_alimentos[[#This Row],[Item]],supercb[Bairro],extras)</f>
        <v>0</v>
      </c>
      <c r="AE360" s="27" t="n">
        <f aca="false">SUM(L360:AC360)</f>
        <v>0</v>
      </c>
      <c r="AF360" s="27" t="n">
        <f aca="false">IFERROR(AE360*K360,0)</f>
        <v>0</v>
      </c>
      <c r="AG360" s="28" t="n">
        <f aca="false">IFERROR(J360*AE360,0)</f>
        <v>0</v>
      </c>
    </row>
    <row r="361" customFormat="false" ht="15" hidden="false" customHeight="false" outlineLevel="0" collapsed="false">
      <c r="I361" s="26" t="e">
        <f aca="false">alimentos[[#This Row],[Item]]</f>
        <v>#VALUE!</v>
      </c>
      <c r="J361" s="27" t="n">
        <f aca="false">IFERROR(alimentos[[#This Row],[kg/embalagem]],0)</f>
        <v>0</v>
      </c>
      <c r="K361" s="27" t="n">
        <f aca="false">IFERROR(alimentos[[#This Row],[Preço]],0)</f>
        <v>0</v>
      </c>
      <c r="L361" s="27" t="n">
        <f aca="false">SUMIFS(super1[Qtde],super1[Item],tab_alimentos[[#This Row],[Item]],super1[Bairro],mercado1)+SUMIFS(supercb[Qtde],supercb[Item],tab_alimentos[[#This Row],[Item]],supercb[Bairro],mercado1)</f>
        <v>0</v>
      </c>
      <c r="M361" s="27" t="n">
        <f aca="false">SUMIFS(super1[Qtde],super1[Item],tab_alimentos[[#This Row],[Item]],super1[Bairro],mercado2)+SUMIFS(supercb[Qtde],supercb[Item],tab_alimentos[[#This Row],[Item]],supercb[Bairro],mercado2)</f>
        <v>0</v>
      </c>
      <c r="N361" s="27" t="n">
        <f aca="false">SUMIFS(super1[Qtde],super1[Item],tab_alimentos[[#This Row],[Item]],super1[Bairro],mercado3)+SUMIFS(supercb[Qtde],supercb[Item],tab_alimentos[[#This Row],[Item]],supercb[Bairro],mercado3)</f>
        <v>0</v>
      </c>
      <c r="O361" s="27" t="n">
        <f aca="false">SUMIFS(super1[Qtde],super1[Item],tab_alimentos[[#This Row],[Item]],super1[Bairro],mercado4)+SUMIFS(supercb[Qtde],supercb[Item],tab_alimentos[[#This Row],[Item]],supercb[Bairro],mercado4)</f>
        <v>0</v>
      </c>
      <c r="P361" s="27" t="n">
        <f aca="false">SUMIFS(super1[Qtde],super1[Item],tab_alimentos[[#This Row],[Item]],super1[Bairro],mercado5)+SUMIFS(supercb[Qtde],supercb[Item],tab_alimentos[[#This Row],[Item]],supercb[Bairro],mercado5)</f>
        <v>0</v>
      </c>
      <c r="Q361" s="27" t="n">
        <f aca="false">SUMIFS(super1[Qtde],super1[Item],tab_alimentos[[#This Row],[Item]],super1[Bairro],mercado6)+SUMIFS(supercb[Qtde],supercb[Item],tab_alimentos[[#This Row],[Item]],supercb[Bairro],mercado6)</f>
        <v>0</v>
      </c>
      <c r="R361" s="27" t="n">
        <f aca="false">SUMIFS(super1[Qtde],super1[Item],tab_alimentos[[#This Row],[Item]],super1[Bairro],mercado7)+SUMIFS(supercb[Qtde],supercb[Item],tab_alimentos[[#This Row],[Item]],supercb[Bairro],mercado7)</f>
        <v>0</v>
      </c>
      <c r="S361" s="27" t="n">
        <f aca="false">SUMIFS(super1[Qtde],super1[Item],tab_alimentos[[#This Row],[Item]],super1[Bairro],mercado8)+SUMIFS(supercb[Qtde],supercb[Item],tab_alimentos[[#This Row],[Item]],supercb[Bairro],mercado8)</f>
        <v>0</v>
      </c>
      <c r="T361" s="27" t="n">
        <f aca="false">SUMIFS(super1[Qtde],super1[Item],tab_alimentos[[#This Row],[Item]],super1[Bairro],mercado9)+SUMIFS(supercb[Qtde],supercb[Item],tab_alimentos[[#This Row],[Item]],supercb[Bairro],mercado9)</f>
        <v>0</v>
      </c>
      <c r="U361" s="27" t="n">
        <f aca="false">SUMIFS(super1[Qtde],super1[Item],tab_alimentos[[#This Row],[Item]],super1[Bairro],mercado10)+SUMIFS(supercb[Qtde],supercb[Item],tab_alimentos[[#This Row],[Item]],supercb[Bairro],mercado10)</f>
        <v>0</v>
      </c>
      <c r="V361" s="27" t="n">
        <f aca="false">SUMIFS(super1[Qtde],super1[Item],tab_alimentos[[#This Row],[Item]],super1[Bairro],mercado11)+SUMIFS(supercb[Qtde],supercb[Item],tab_alimentos[[#This Row],[Item]],supercb[Bairro],mercado11)</f>
        <v>0</v>
      </c>
      <c r="W361" s="27" t="n">
        <f aca="false">SUMIFS(super1[Qtde],super1[Item],tab_alimentos[[#This Row],[Item]],super1[Bairro],mercado12)+SUMIFS(supercb[Qtde],supercb[Item],tab_alimentos[[#This Row],[Item]],supercb[Bairro],mercado12)</f>
        <v>0</v>
      </c>
      <c r="X361" s="27" t="n">
        <f aca="false">SUMIFS(super1[Qtde],super1[Item],tab_alimentos[[#This Row],[Item]],super1[Bairro],mercado13)+SUMIFS(supercb[Qtde],supercb[Item],tab_alimentos[[#This Row],[Item]],supercb[Bairro],mercado13)</f>
        <v>0</v>
      </c>
      <c r="Y361" s="27" t="n">
        <f aca="false">SUMIFS(super1[Qtde],super1[Item],tab_alimentos[[#This Row],[Item]],super1[Bairro],mercado14)+SUMIFS(supercb[Qtde],supercb[Item],tab_alimentos[[#This Row],[Item]],supercb[Bairro],mercado14)</f>
        <v>0</v>
      </c>
      <c r="Z361" s="27" t="n">
        <f aca="false">SUMIFS(super1[Qtde],super1[Item],tab_alimentos[[#This Row],[Item]],super1[Bairro],mercado15)+SUMIFS(supercb[Qtde],supercb[Item],tab_alimentos[[#This Row],[Item]],supercb[Bairro],mercado15)</f>
        <v>0</v>
      </c>
      <c r="AA361" s="27" t="n">
        <f aca="false">SUMIFS(super1[Qtde],super1[Item],tab_alimentos[[#This Row],[Item]],super1[Bairro],mercado16)+SUMIFS(supercb[Qtde],supercb[Item],tab_alimentos[[#This Row],[Item]],supercb[Bairro],mercado16)</f>
        <v>0</v>
      </c>
      <c r="AB361" s="27" t="n">
        <f aca="false">SUMIFS(super1[Qtde],super1[Item],tab_alimentos[[#This Row],[Item]],super1[Bairro],mercado17)+SUMIFS(supercb[Qtde],supercb[Item],tab_alimentos[[#This Row],[Item]],supercb[Bairro],mercado17)</f>
        <v>0</v>
      </c>
      <c r="AC361" s="27" t="n">
        <f aca="false">SUMIFS(super1[Qtde],super1[Item],tab_alimentos[[#This Row],[Item]],super1[Bairro],mercado18)+SUMIFS(supercb[Qtde],supercb[Item],tab_alimentos[[#This Row],[Item]],supercb[Bairro],mercado18)</f>
        <v>0</v>
      </c>
      <c r="AD361" s="27" t="n">
        <f aca="false">SUMIFS(super1[Qtde],super1[Item],tab_alimentos[[#This Row],[Item]],super1[Bairro],extras)+SUMIFS(supercb[Qtde],supercb[Item],tab_alimentos[[#This Row],[Item]],supercb[Bairro],extras)</f>
        <v>0</v>
      </c>
      <c r="AE361" s="27" t="n">
        <f aca="false">SUM(L361:AC361)</f>
        <v>0</v>
      </c>
      <c r="AF361" s="27" t="n">
        <f aca="false">IFERROR(AE361*K361,0)</f>
        <v>0</v>
      </c>
      <c r="AG361" s="28" t="n">
        <f aca="false">IFERROR(J361*AE361,0)</f>
        <v>0</v>
      </c>
    </row>
    <row r="362" customFormat="false" ht="15" hidden="false" customHeight="false" outlineLevel="0" collapsed="false">
      <c r="I362" s="26" t="e">
        <f aca="false">alimentos[[#This Row],[Item]]</f>
        <v>#VALUE!</v>
      </c>
      <c r="J362" s="27" t="n">
        <f aca="false">IFERROR(alimentos[[#This Row],[kg/embalagem]],0)</f>
        <v>0</v>
      </c>
      <c r="K362" s="27" t="n">
        <f aca="false">IFERROR(alimentos[[#This Row],[Preço]],0)</f>
        <v>0</v>
      </c>
      <c r="L362" s="27" t="n">
        <f aca="false">SUMIFS(super1[Qtde],super1[Item],tab_alimentos[[#This Row],[Item]],super1[Bairro],mercado1)+SUMIFS(supercb[Qtde],supercb[Item],tab_alimentos[[#This Row],[Item]],supercb[Bairro],mercado1)</f>
        <v>0</v>
      </c>
      <c r="M362" s="27" t="n">
        <f aca="false">SUMIFS(super1[Qtde],super1[Item],tab_alimentos[[#This Row],[Item]],super1[Bairro],mercado2)+SUMIFS(supercb[Qtde],supercb[Item],tab_alimentos[[#This Row],[Item]],supercb[Bairro],mercado2)</f>
        <v>0</v>
      </c>
      <c r="N362" s="27" t="n">
        <f aca="false">SUMIFS(super1[Qtde],super1[Item],tab_alimentos[[#This Row],[Item]],super1[Bairro],mercado3)+SUMIFS(supercb[Qtde],supercb[Item],tab_alimentos[[#This Row],[Item]],supercb[Bairro],mercado3)</f>
        <v>0</v>
      </c>
      <c r="O362" s="27" t="n">
        <f aca="false">SUMIFS(super1[Qtde],super1[Item],tab_alimentos[[#This Row],[Item]],super1[Bairro],mercado4)+SUMIFS(supercb[Qtde],supercb[Item],tab_alimentos[[#This Row],[Item]],supercb[Bairro],mercado4)</f>
        <v>0</v>
      </c>
      <c r="P362" s="27" t="n">
        <f aca="false">SUMIFS(super1[Qtde],super1[Item],tab_alimentos[[#This Row],[Item]],super1[Bairro],mercado5)+SUMIFS(supercb[Qtde],supercb[Item],tab_alimentos[[#This Row],[Item]],supercb[Bairro],mercado5)</f>
        <v>0</v>
      </c>
      <c r="Q362" s="27" t="n">
        <f aca="false">SUMIFS(super1[Qtde],super1[Item],tab_alimentos[[#This Row],[Item]],super1[Bairro],mercado6)+SUMIFS(supercb[Qtde],supercb[Item],tab_alimentos[[#This Row],[Item]],supercb[Bairro],mercado6)</f>
        <v>0</v>
      </c>
      <c r="R362" s="27" t="n">
        <f aca="false">SUMIFS(super1[Qtde],super1[Item],tab_alimentos[[#This Row],[Item]],super1[Bairro],mercado7)+SUMIFS(supercb[Qtde],supercb[Item],tab_alimentos[[#This Row],[Item]],supercb[Bairro],mercado7)</f>
        <v>0</v>
      </c>
      <c r="S362" s="27" t="n">
        <f aca="false">SUMIFS(super1[Qtde],super1[Item],tab_alimentos[[#This Row],[Item]],super1[Bairro],mercado8)+SUMIFS(supercb[Qtde],supercb[Item],tab_alimentos[[#This Row],[Item]],supercb[Bairro],mercado8)</f>
        <v>0</v>
      </c>
      <c r="T362" s="27" t="n">
        <f aca="false">SUMIFS(super1[Qtde],super1[Item],tab_alimentos[[#This Row],[Item]],super1[Bairro],mercado9)+SUMIFS(supercb[Qtde],supercb[Item],tab_alimentos[[#This Row],[Item]],supercb[Bairro],mercado9)</f>
        <v>0</v>
      </c>
      <c r="U362" s="27" t="n">
        <f aca="false">SUMIFS(super1[Qtde],super1[Item],tab_alimentos[[#This Row],[Item]],super1[Bairro],mercado10)+SUMIFS(supercb[Qtde],supercb[Item],tab_alimentos[[#This Row],[Item]],supercb[Bairro],mercado10)</f>
        <v>0</v>
      </c>
      <c r="V362" s="27" t="n">
        <f aca="false">SUMIFS(super1[Qtde],super1[Item],tab_alimentos[[#This Row],[Item]],super1[Bairro],mercado11)+SUMIFS(supercb[Qtde],supercb[Item],tab_alimentos[[#This Row],[Item]],supercb[Bairro],mercado11)</f>
        <v>0</v>
      </c>
      <c r="W362" s="27" t="n">
        <f aca="false">SUMIFS(super1[Qtde],super1[Item],tab_alimentos[[#This Row],[Item]],super1[Bairro],mercado12)+SUMIFS(supercb[Qtde],supercb[Item],tab_alimentos[[#This Row],[Item]],supercb[Bairro],mercado12)</f>
        <v>0</v>
      </c>
      <c r="X362" s="27" t="n">
        <f aca="false">SUMIFS(super1[Qtde],super1[Item],tab_alimentos[[#This Row],[Item]],super1[Bairro],mercado13)+SUMIFS(supercb[Qtde],supercb[Item],tab_alimentos[[#This Row],[Item]],supercb[Bairro],mercado13)</f>
        <v>0</v>
      </c>
      <c r="Y362" s="27" t="n">
        <f aca="false">SUMIFS(super1[Qtde],super1[Item],tab_alimentos[[#This Row],[Item]],super1[Bairro],mercado14)+SUMIFS(supercb[Qtde],supercb[Item],tab_alimentos[[#This Row],[Item]],supercb[Bairro],mercado14)</f>
        <v>0</v>
      </c>
      <c r="Z362" s="27" t="n">
        <f aca="false">SUMIFS(super1[Qtde],super1[Item],tab_alimentos[[#This Row],[Item]],super1[Bairro],mercado15)+SUMIFS(supercb[Qtde],supercb[Item],tab_alimentos[[#This Row],[Item]],supercb[Bairro],mercado15)</f>
        <v>0</v>
      </c>
      <c r="AA362" s="27" t="n">
        <f aca="false">SUMIFS(super1[Qtde],super1[Item],tab_alimentos[[#This Row],[Item]],super1[Bairro],mercado16)+SUMIFS(supercb[Qtde],supercb[Item],tab_alimentos[[#This Row],[Item]],supercb[Bairro],mercado16)</f>
        <v>0</v>
      </c>
      <c r="AB362" s="27" t="n">
        <f aca="false">SUMIFS(super1[Qtde],super1[Item],tab_alimentos[[#This Row],[Item]],super1[Bairro],mercado17)+SUMIFS(supercb[Qtde],supercb[Item],tab_alimentos[[#This Row],[Item]],supercb[Bairro],mercado17)</f>
        <v>0</v>
      </c>
      <c r="AC362" s="27" t="n">
        <f aca="false">SUMIFS(super1[Qtde],super1[Item],tab_alimentos[[#This Row],[Item]],super1[Bairro],mercado18)+SUMIFS(supercb[Qtde],supercb[Item],tab_alimentos[[#This Row],[Item]],supercb[Bairro],mercado18)</f>
        <v>0</v>
      </c>
      <c r="AD362" s="27" t="n">
        <f aca="false">SUMIFS(super1[Qtde],super1[Item],tab_alimentos[[#This Row],[Item]],super1[Bairro],extras)+SUMIFS(supercb[Qtde],supercb[Item],tab_alimentos[[#This Row],[Item]],supercb[Bairro],extras)</f>
        <v>0</v>
      </c>
      <c r="AE362" s="27" t="n">
        <f aca="false">SUM(L362:AC362)</f>
        <v>0</v>
      </c>
      <c r="AF362" s="27" t="n">
        <f aca="false">IFERROR(AE362*K362,0)</f>
        <v>0</v>
      </c>
      <c r="AG362" s="28" t="n">
        <f aca="false">IFERROR(J362*AE362,0)</f>
        <v>0</v>
      </c>
    </row>
    <row r="363" customFormat="false" ht="15" hidden="false" customHeight="false" outlineLevel="0" collapsed="false">
      <c r="I363" s="26" t="e">
        <f aca="false">alimentos[[#This Row],[Item]]</f>
        <v>#VALUE!</v>
      </c>
      <c r="J363" s="27" t="n">
        <f aca="false">IFERROR(alimentos[[#This Row],[kg/embalagem]],0)</f>
        <v>0</v>
      </c>
      <c r="K363" s="27" t="n">
        <f aca="false">IFERROR(alimentos[[#This Row],[Preço]],0)</f>
        <v>0</v>
      </c>
      <c r="L363" s="27" t="n">
        <f aca="false">SUMIFS(super1[Qtde],super1[Item],tab_alimentos[[#This Row],[Item]],super1[Bairro],mercado1)+SUMIFS(supercb[Qtde],supercb[Item],tab_alimentos[[#This Row],[Item]],supercb[Bairro],mercado1)</f>
        <v>0</v>
      </c>
      <c r="M363" s="27" t="n">
        <f aca="false">SUMIFS(super1[Qtde],super1[Item],tab_alimentos[[#This Row],[Item]],super1[Bairro],mercado2)+SUMIFS(supercb[Qtde],supercb[Item],tab_alimentos[[#This Row],[Item]],supercb[Bairro],mercado2)</f>
        <v>0</v>
      </c>
      <c r="N363" s="27" t="n">
        <f aca="false">SUMIFS(super1[Qtde],super1[Item],tab_alimentos[[#This Row],[Item]],super1[Bairro],mercado3)+SUMIFS(supercb[Qtde],supercb[Item],tab_alimentos[[#This Row],[Item]],supercb[Bairro],mercado3)</f>
        <v>0</v>
      </c>
      <c r="O363" s="27" t="n">
        <f aca="false">SUMIFS(super1[Qtde],super1[Item],tab_alimentos[[#This Row],[Item]],super1[Bairro],mercado4)+SUMIFS(supercb[Qtde],supercb[Item],tab_alimentos[[#This Row],[Item]],supercb[Bairro],mercado4)</f>
        <v>0</v>
      </c>
      <c r="P363" s="27" t="n">
        <f aca="false">SUMIFS(super1[Qtde],super1[Item],tab_alimentos[[#This Row],[Item]],super1[Bairro],mercado5)+SUMIFS(supercb[Qtde],supercb[Item],tab_alimentos[[#This Row],[Item]],supercb[Bairro],mercado5)</f>
        <v>0</v>
      </c>
      <c r="Q363" s="27" t="n">
        <f aca="false">SUMIFS(super1[Qtde],super1[Item],tab_alimentos[[#This Row],[Item]],super1[Bairro],mercado6)+SUMIFS(supercb[Qtde],supercb[Item],tab_alimentos[[#This Row],[Item]],supercb[Bairro],mercado6)</f>
        <v>0</v>
      </c>
      <c r="R363" s="27" t="n">
        <f aca="false">SUMIFS(super1[Qtde],super1[Item],tab_alimentos[[#This Row],[Item]],super1[Bairro],mercado7)+SUMIFS(supercb[Qtde],supercb[Item],tab_alimentos[[#This Row],[Item]],supercb[Bairro],mercado7)</f>
        <v>0</v>
      </c>
      <c r="S363" s="27" t="n">
        <f aca="false">SUMIFS(super1[Qtde],super1[Item],tab_alimentos[[#This Row],[Item]],super1[Bairro],mercado8)+SUMIFS(supercb[Qtde],supercb[Item],tab_alimentos[[#This Row],[Item]],supercb[Bairro],mercado8)</f>
        <v>0</v>
      </c>
      <c r="T363" s="27" t="n">
        <f aca="false">SUMIFS(super1[Qtde],super1[Item],tab_alimentos[[#This Row],[Item]],super1[Bairro],mercado9)+SUMIFS(supercb[Qtde],supercb[Item],tab_alimentos[[#This Row],[Item]],supercb[Bairro],mercado9)</f>
        <v>0</v>
      </c>
      <c r="U363" s="27" t="n">
        <f aca="false">SUMIFS(super1[Qtde],super1[Item],tab_alimentos[[#This Row],[Item]],super1[Bairro],mercado10)+SUMIFS(supercb[Qtde],supercb[Item],tab_alimentos[[#This Row],[Item]],supercb[Bairro],mercado10)</f>
        <v>0</v>
      </c>
      <c r="V363" s="27" t="n">
        <f aca="false">SUMIFS(super1[Qtde],super1[Item],tab_alimentos[[#This Row],[Item]],super1[Bairro],mercado11)+SUMIFS(supercb[Qtde],supercb[Item],tab_alimentos[[#This Row],[Item]],supercb[Bairro],mercado11)</f>
        <v>0</v>
      </c>
      <c r="W363" s="27" t="n">
        <f aca="false">SUMIFS(super1[Qtde],super1[Item],tab_alimentos[[#This Row],[Item]],super1[Bairro],mercado12)+SUMIFS(supercb[Qtde],supercb[Item],tab_alimentos[[#This Row],[Item]],supercb[Bairro],mercado12)</f>
        <v>0</v>
      </c>
      <c r="X363" s="27" t="n">
        <f aca="false">SUMIFS(super1[Qtde],super1[Item],tab_alimentos[[#This Row],[Item]],super1[Bairro],mercado13)+SUMIFS(supercb[Qtde],supercb[Item],tab_alimentos[[#This Row],[Item]],supercb[Bairro],mercado13)</f>
        <v>0</v>
      </c>
      <c r="Y363" s="27" t="n">
        <f aca="false">SUMIFS(super1[Qtde],super1[Item],tab_alimentos[[#This Row],[Item]],super1[Bairro],mercado14)+SUMIFS(supercb[Qtde],supercb[Item],tab_alimentos[[#This Row],[Item]],supercb[Bairro],mercado14)</f>
        <v>0</v>
      </c>
      <c r="Z363" s="27" t="n">
        <f aca="false">SUMIFS(super1[Qtde],super1[Item],tab_alimentos[[#This Row],[Item]],super1[Bairro],mercado15)+SUMIFS(supercb[Qtde],supercb[Item],tab_alimentos[[#This Row],[Item]],supercb[Bairro],mercado15)</f>
        <v>0</v>
      </c>
      <c r="AA363" s="27" t="n">
        <f aca="false">SUMIFS(super1[Qtde],super1[Item],tab_alimentos[[#This Row],[Item]],super1[Bairro],mercado16)+SUMIFS(supercb[Qtde],supercb[Item],tab_alimentos[[#This Row],[Item]],supercb[Bairro],mercado16)</f>
        <v>0</v>
      </c>
      <c r="AB363" s="27" t="n">
        <f aca="false">SUMIFS(super1[Qtde],super1[Item],tab_alimentos[[#This Row],[Item]],super1[Bairro],mercado17)+SUMIFS(supercb[Qtde],supercb[Item],tab_alimentos[[#This Row],[Item]],supercb[Bairro],mercado17)</f>
        <v>0</v>
      </c>
      <c r="AC363" s="27" t="n">
        <f aca="false">SUMIFS(super1[Qtde],super1[Item],tab_alimentos[[#This Row],[Item]],super1[Bairro],mercado18)+SUMIFS(supercb[Qtde],supercb[Item],tab_alimentos[[#This Row],[Item]],supercb[Bairro],mercado18)</f>
        <v>0</v>
      </c>
      <c r="AD363" s="27" t="n">
        <f aca="false">SUMIFS(super1[Qtde],super1[Item],tab_alimentos[[#This Row],[Item]],super1[Bairro],extras)+SUMIFS(supercb[Qtde],supercb[Item],tab_alimentos[[#This Row],[Item]],supercb[Bairro],extras)</f>
        <v>0</v>
      </c>
      <c r="AE363" s="27" t="n">
        <f aca="false">SUM(L363:AC363)</f>
        <v>0</v>
      </c>
      <c r="AF363" s="27" t="n">
        <f aca="false">IFERROR(AE363*K363,0)</f>
        <v>0</v>
      </c>
      <c r="AG363" s="28" t="n">
        <f aca="false">IFERROR(J363*AE363,0)</f>
        <v>0</v>
      </c>
    </row>
    <row r="364" customFormat="false" ht="15" hidden="false" customHeight="false" outlineLevel="0" collapsed="false">
      <c r="I364" s="26" t="e">
        <f aca="false">alimentos[[#This Row],[Item]]</f>
        <v>#VALUE!</v>
      </c>
      <c r="J364" s="27" t="n">
        <f aca="false">IFERROR(alimentos[[#This Row],[kg/embalagem]],0)</f>
        <v>0</v>
      </c>
      <c r="K364" s="27" t="n">
        <f aca="false">IFERROR(alimentos[[#This Row],[Preço]],0)</f>
        <v>0</v>
      </c>
      <c r="L364" s="27" t="n">
        <f aca="false">SUMIFS(super1[Qtde],super1[Item],tab_alimentos[[#This Row],[Item]],super1[Bairro],mercado1)+SUMIFS(supercb[Qtde],supercb[Item],tab_alimentos[[#This Row],[Item]],supercb[Bairro],mercado1)</f>
        <v>0</v>
      </c>
      <c r="M364" s="27" t="n">
        <f aca="false">SUMIFS(super1[Qtde],super1[Item],tab_alimentos[[#This Row],[Item]],super1[Bairro],mercado2)+SUMIFS(supercb[Qtde],supercb[Item],tab_alimentos[[#This Row],[Item]],supercb[Bairro],mercado2)</f>
        <v>0</v>
      </c>
      <c r="N364" s="27" t="n">
        <f aca="false">SUMIFS(super1[Qtde],super1[Item],tab_alimentos[[#This Row],[Item]],super1[Bairro],mercado3)+SUMIFS(supercb[Qtde],supercb[Item],tab_alimentos[[#This Row],[Item]],supercb[Bairro],mercado3)</f>
        <v>0</v>
      </c>
      <c r="O364" s="27" t="n">
        <f aca="false">SUMIFS(super1[Qtde],super1[Item],tab_alimentos[[#This Row],[Item]],super1[Bairro],mercado4)+SUMIFS(supercb[Qtde],supercb[Item],tab_alimentos[[#This Row],[Item]],supercb[Bairro],mercado4)</f>
        <v>0</v>
      </c>
      <c r="P364" s="27" t="n">
        <f aca="false">SUMIFS(super1[Qtde],super1[Item],tab_alimentos[[#This Row],[Item]],super1[Bairro],mercado5)+SUMIFS(supercb[Qtde],supercb[Item],tab_alimentos[[#This Row],[Item]],supercb[Bairro],mercado5)</f>
        <v>0</v>
      </c>
      <c r="Q364" s="27" t="n">
        <f aca="false">SUMIFS(super1[Qtde],super1[Item],tab_alimentos[[#This Row],[Item]],super1[Bairro],mercado6)+SUMIFS(supercb[Qtde],supercb[Item],tab_alimentos[[#This Row],[Item]],supercb[Bairro],mercado6)</f>
        <v>0</v>
      </c>
      <c r="R364" s="27" t="n">
        <f aca="false">SUMIFS(super1[Qtde],super1[Item],tab_alimentos[[#This Row],[Item]],super1[Bairro],mercado7)+SUMIFS(supercb[Qtde],supercb[Item],tab_alimentos[[#This Row],[Item]],supercb[Bairro],mercado7)</f>
        <v>0</v>
      </c>
      <c r="S364" s="27" t="n">
        <f aca="false">SUMIFS(super1[Qtde],super1[Item],tab_alimentos[[#This Row],[Item]],super1[Bairro],mercado8)+SUMIFS(supercb[Qtde],supercb[Item],tab_alimentos[[#This Row],[Item]],supercb[Bairro],mercado8)</f>
        <v>0</v>
      </c>
      <c r="T364" s="27" t="n">
        <f aca="false">SUMIFS(super1[Qtde],super1[Item],tab_alimentos[[#This Row],[Item]],super1[Bairro],mercado9)+SUMIFS(supercb[Qtde],supercb[Item],tab_alimentos[[#This Row],[Item]],supercb[Bairro],mercado9)</f>
        <v>0</v>
      </c>
      <c r="U364" s="27" t="n">
        <f aca="false">SUMIFS(super1[Qtde],super1[Item],tab_alimentos[[#This Row],[Item]],super1[Bairro],mercado10)+SUMIFS(supercb[Qtde],supercb[Item],tab_alimentos[[#This Row],[Item]],supercb[Bairro],mercado10)</f>
        <v>0</v>
      </c>
      <c r="V364" s="27" t="n">
        <f aca="false">SUMIFS(super1[Qtde],super1[Item],tab_alimentos[[#This Row],[Item]],super1[Bairro],mercado11)+SUMIFS(supercb[Qtde],supercb[Item],tab_alimentos[[#This Row],[Item]],supercb[Bairro],mercado11)</f>
        <v>0</v>
      </c>
      <c r="W364" s="27" t="n">
        <f aca="false">SUMIFS(super1[Qtde],super1[Item],tab_alimentos[[#This Row],[Item]],super1[Bairro],mercado12)+SUMIFS(supercb[Qtde],supercb[Item],tab_alimentos[[#This Row],[Item]],supercb[Bairro],mercado12)</f>
        <v>0</v>
      </c>
      <c r="X364" s="27" t="n">
        <f aca="false">SUMIFS(super1[Qtde],super1[Item],tab_alimentos[[#This Row],[Item]],super1[Bairro],mercado13)+SUMIFS(supercb[Qtde],supercb[Item],tab_alimentos[[#This Row],[Item]],supercb[Bairro],mercado13)</f>
        <v>0</v>
      </c>
      <c r="Y364" s="27" t="n">
        <f aca="false">SUMIFS(super1[Qtde],super1[Item],tab_alimentos[[#This Row],[Item]],super1[Bairro],mercado14)+SUMIFS(supercb[Qtde],supercb[Item],tab_alimentos[[#This Row],[Item]],supercb[Bairro],mercado14)</f>
        <v>0</v>
      </c>
      <c r="Z364" s="27" t="n">
        <f aca="false">SUMIFS(super1[Qtde],super1[Item],tab_alimentos[[#This Row],[Item]],super1[Bairro],mercado15)+SUMIFS(supercb[Qtde],supercb[Item],tab_alimentos[[#This Row],[Item]],supercb[Bairro],mercado15)</f>
        <v>0</v>
      </c>
      <c r="AA364" s="27" t="n">
        <f aca="false">SUMIFS(super1[Qtde],super1[Item],tab_alimentos[[#This Row],[Item]],super1[Bairro],mercado16)+SUMIFS(supercb[Qtde],supercb[Item],tab_alimentos[[#This Row],[Item]],supercb[Bairro],mercado16)</f>
        <v>0</v>
      </c>
      <c r="AB364" s="27" t="n">
        <f aca="false">SUMIFS(super1[Qtde],super1[Item],tab_alimentos[[#This Row],[Item]],super1[Bairro],mercado17)+SUMIFS(supercb[Qtde],supercb[Item],tab_alimentos[[#This Row],[Item]],supercb[Bairro],mercado17)</f>
        <v>0</v>
      </c>
      <c r="AC364" s="27" t="n">
        <f aca="false">SUMIFS(super1[Qtde],super1[Item],tab_alimentos[[#This Row],[Item]],super1[Bairro],mercado18)+SUMIFS(supercb[Qtde],supercb[Item],tab_alimentos[[#This Row],[Item]],supercb[Bairro],mercado18)</f>
        <v>0</v>
      </c>
      <c r="AD364" s="27" t="n">
        <f aca="false">SUMIFS(super1[Qtde],super1[Item],tab_alimentos[[#This Row],[Item]],super1[Bairro],extras)+SUMIFS(supercb[Qtde],supercb[Item],tab_alimentos[[#This Row],[Item]],supercb[Bairro],extras)</f>
        <v>0</v>
      </c>
      <c r="AE364" s="27" t="n">
        <f aca="false">SUM(L364:AC364)</f>
        <v>0</v>
      </c>
      <c r="AF364" s="27" t="n">
        <f aca="false">IFERROR(AE364*K364,0)</f>
        <v>0</v>
      </c>
      <c r="AG364" s="28" t="n">
        <f aca="false">IFERROR(J364*AE364,0)</f>
        <v>0</v>
      </c>
    </row>
    <row r="365" customFormat="false" ht="15" hidden="false" customHeight="false" outlineLevel="0" collapsed="false">
      <c r="I365" s="26" t="e">
        <f aca="false">alimentos[[#This Row],[Item]]</f>
        <v>#VALUE!</v>
      </c>
      <c r="J365" s="27" t="n">
        <f aca="false">IFERROR(alimentos[[#This Row],[kg/embalagem]],0)</f>
        <v>0</v>
      </c>
      <c r="K365" s="27" t="n">
        <f aca="false">IFERROR(alimentos[[#This Row],[Preço]],0)</f>
        <v>0</v>
      </c>
      <c r="L365" s="27" t="n">
        <f aca="false">SUMIFS(super1[Qtde],super1[Item],tab_alimentos[[#This Row],[Item]],super1[Bairro],mercado1)+SUMIFS(supercb[Qtde],supercb[Item],tab_alimentos[[#This Row],[Item]],supercb[Bairro],mercado1)</f>
        <v>0</v>
      </c>
      <c r="M365" s="27" t="n">
        <f aca="false">SUMIFS(super1[Qtde],super1[Item],tab_alimentos[[#This Row],[Item]],super1[Bairro],mercado2)+SUMIFS(supercb[Qtde],supercb[Item],tab_alimentos[[#This Row],[Item]],supercb[Bairro],mercado2)</f>
        <v>0</v>
      </c>
      <c r="N365" s="27" t="n">
        <f aca="false">SUMIFS(super1[Qtde],super1[Item],tab_alimentos[[#This Row],[Item]],super1[Bairro],mercado3)+SUMIFS(supercb[Qtde],supercb[Item],tab_alimentos[[#This Row],[Item]],supercb[Bairro],mercado3)</f>
        <v>0</v>
      </c>
      <c r="O365" s="27" t="n">
        <f aca="false">SUMIFS(super1[Qtde],super1[Item],tab_alimentos[[#This Row],[Item]],super1[Bairro],mercado4)+SUMIFS(supercb[Qtde],supercb[Item],tab_alimentos[[#This Row],[Item]],supercb[Bairro],mercado4)</f>
        <v>0</v>
      </c>
      <c r="P365" s="27" t="n">
        <f aca="false">SUMIFS(super1[Qtde],super1[Item],tab_alimentos[[#This Row],[Item]],super1[Bairro],mercado5)+SUMIFS(supercb[Qtde],supercb[Item],tab_alimentos[[#This Row],[Item]],supercb[Bairro],mercado5)</f>
        <v>0</v>
      </c>
      <c r="Q365" s="27" t="n">
        <f aca="false">SUMIFS(super1[Qtde],super1[Item],tab_alimentos[[#This Row],[Item]],super1[Bairro],mercado6)+SUMIFS(supercb[Qtde],supercb[Item],tab_alimentos[[#This Row],[Item]],supercb[Bairro],mercado6)</f>
        <v>0</v>
      </c>
      <c r="R365" s="27" t="n">
        <f aca="false">SUMIFS(super1[Qtde],super1[Item],tab_alimentos[[#This Row],[Item]],super1[Bairro],mercado7)+SUMIFS(supercb[Qtde],supercb[Item],tab_alimentos[[#This Row],[Item]],supercb[Bairro],mercado7)</f>
        <v>0</v>
      </c>
      <c r="S365" s="27" t="n">
        <f aca="false">SUMIFS(super1[Qtde],super1[Item],tab_alimentos[[#This Row],[Item]],super1[Bairro],mercado8)+SUMIFS(supercb[Qtde],supercb[Item],tab_alimentos[[#This Row],[Item]],supercb[Bairro],mercado8)</f>
        <v>0</v>
      </c>
      <c r="T365" s="27" t="n">
        <f aca="false">SUMIFS(super1[Qtde],super1[Item],tab_alimentos[[#This Row],[Item]],super1[Bairro],mercado9)+SUMIFS(supercb[Qtde],supercb[Item],tab_alimentos[[#This Row],[Item]],supercb[Bairro],mercado9)</f>
        <v>0</v>
      </c>
      <c r="U365" s="27" t="n">
        <f aca="false">SUMIFS(super1[Qtde],super1[Item],tab_alimentos[[#This Row],[Item]],super1[Bairro],mercado10)+SUMIFS(supercb[Qtde],supercb[Item],tab_alimentos[[#This Row],[Item]],supercb[Bairro],mercado10)</f>
        <v>0</v>
      </c>
      <c r="V365" s="27" t="n">
        <f aca="false">SUMIFS(super1[Qtde],super1[Item],tab_alimentos[[#This Row],[Item]],super1[Bairro],mercado11)+SUMIFS(supercb[Qtde],supercb[Item],tab_alimentos[[#This Row],[Item]],supercb[Bairro],mercado11)</f>
        <v>0</v>
      </c>
      <c r="W365" s="27" t="n">
        <f aca="false">SUMIFS(super1[Qtde],super1[Item],tab_alimentos[[#This Row],[Item]],super1[Bairro],mercado12)+SUMIFS(supercb[Qtde],supercb[Item],tab_alimentos[[#This Row],[Item]],supercb[Bairro],mercado12)</f>
        <v>0</v>
      </c>
      <c r="X365" s="27" t="n">
        <f aca="false">SUMIFS(super1[Qtde],super1[Item],tab_alimentos[[#This Row],[Item]],super1[Bairro],mercado13)+SUMIFS(supercb[Qtde],supercb[Item],tab_alimentos[[#This Row],[Item]],supercb[Bairro],mercado13)</f>
        <v>0</v>
      </c>
      <c r="Y365" s="27" t="n">
        <f aca="false">SUMIFS(super1[Qtde],super1[Item],tab_alimentos[[#This Row],[Item]],super1[Bairro],mercado14)+SUMIFS(supercb[Qtde],supercb[Item],tab_alimentos[[#This Row],[Item]],supercb[Bairro],mercado14)</f>
        <v>0</v>
      </c>
      <c r="Z365" s="27" t="n">
        <f aca="false">SUMIFS(super1[Qtde],super1[Item],tab_alimentos[[#This Row],[Item]],super1[Bairro],mercado15)+SUMIFS(supercb[Qtde],supercb[Item],tab_alimentos[[#This Row],[Item]],supercb[Bairro],mercado15)</f>
        <v>0</v>
      </c>
      <c r="AA365" s="27" t="n">
        <f aca="false">SUMIFS(super1[Qtde],super1[Item],tab_alimentos[[#This Row],[Item]],super1[Bairro],mercado16)+SUMIFS(supercb[Qtde],supercb[Item],tab_alimentos[[#This Row],[Item]],supercb[Bairro],mercado16)</f>
        <v>0</v>
      </c>
      <c r="AB365" s="27" t="n">
        <f aca="false">SUMIFS(super1[Qtde],super1[Item],tab_alimentos[[#This Row],[Item]],super1[Bairro],mercado17)+SUMIFS(supercb[Qtde],supercb[Item],tab_alimentos[[#This Row],[Item]],supercb[Bairro],mercado17)</f>
        <v>0</v>
      </c>
      <c r="AC365" s="27" t="n">
        <f aca="false">SUMIFS(super1[Qtde],super1[Item],tab_alimentos[[#This Row],[Item]],super1[Bairro],mercado18)+SUMIFS(supercb[Qtde],supercb[Item],tab_alimentos[[#This Row],[Item]],supercb[Bairro],mercado18)</f>
        <v>0</v>
      </c>
      <c r="AD365" s="27" t="n">
        <f aca="false">SUMIFS(super1[Qtde],super1[Item],tab_alimentos[[#This Row],[Item]],super1[Bairro],extras)+SUMIFS(supercb[Qtde],supercb[Item],tab_alimentos[[#This Row],[Item]],supercb[Bairro],extras)</f>
        <v>0</v>
      </c>
      <c r="AE365" s="27" t="n">
        <f aca="false">SUM(L365:AC365)</f>
        <v>0</v>
      </c>
      <c r="AF365" s="27" t="n">
        <f aca="false">IFERROR(AE365*K365,0)</f>
        <v>0</v>
      </c>
      <c r="AG365" s="28" t="n">
        <f aca="false">IFERROR(J365*AE365,0)</f>
        <v>0</v>
      </c>
    </row>
    <row r="366" customFormat="false" ht="15" hidden="false" customHeight="false" outlineLevel="0" collapsed="false">
      <c r="I366" s="26" t="e">
        <f aca="false">alimentos[[#This Row],[Item]]</f>
        <v>#VALUE!</v>
      </c>
      <c r="J366" s="27" t="n">
        <f aca="false">IFERROR(alimentos[[#This Row],[kg/embalagem]],0)</f>
        <v>0</v>
      </c>
      <c r="K366" s="27" t="n">
        <f aca="false">IFERROR(alimentos[[#This Row],[Preço]],0)</f>
        <v>0</v>
      </c>
      <c r="L366" s="27" t="n">
        <f aca="false">SUMIFS(super1[Qtde],super1[Item],tab_alimentos[[#This Row],[Item]],super1[Bairro],mercado1)+SUMIFS(supercb[Qtde],supercb[Item],tab_alimentos[[#This Row],[Item]],supercb[Bairro],mercado1)</f>
        <v>0</v>
      </c>
      <c r="M366" s="27" t="n">
        <f aca="false">SUMIFS(super1[Qtde],super1[Item],tab_alimentos[[#This Row],[Item]],super1[Bairro],mercado2)+SUMIFS(supercb[Qtde],supercb[Item],tab_alimentos[[#This Row],[Item]],supercb[Bairro],mercado2)</f>
        <v>0</v>
      </c>
      <c r="N366" s="27" t="n">
        <f aca="false">SUMIFS(super1[Qtde],super1[Item],tab_alimentos[[#This Row],[Item]],super1[Bairro],mercado3)+SUMIFS(supercb[Qtde],supercb[Item],tab_alimentos[[#This Row],[Item]],supercb[Bairro],mercado3)</f>
        <v>0</v>
      </c>
      <c r="O366" s="27" t="n">
        <f aca="false">SUMIFS(super1[Qtde],super1[Item],tab_alimentos[[#This Row],[Item]],super1[Bairro],mercado4)+SUMIFS(supercb[Qtde],supercb[Item],tab_alimentos[[#This Row],[Item]],supercb[Bairro],mercado4)</f>
        <v>0</v>
      </c>
      <c r="P366" s="27" t="n">
        <f aca="false">SUMIFS(super1[Qtde],super1[Item],tab_alimentos[[#This Row],[Item]],super1[Bairro],mercado5)+SUMIFS(supercb[Qtde],supercb[Item],tab_alimentos[[#This Row],[Item]],supercb[Bairro],mercado5)</f>
        <v>0</v>
      </c>
      <c r="Q366" s="27" t="n">
        <f aca="false">SUMIFS(super1[Qtde],super1[Item],tab_alimentos[[#This Row],[Item]],super1[Bairro],mercado6)+SUMIFS(supercb[Qtde],supercb[Item],tab_alimentos[[#This Row],[Item]],supercb[Bairro],mercado6)</f>
        <v>0</v>
      </c>
      <c r="R366" s="27" t="n">
        <f aca="false">SUMIFS(super1[Qtde],super1[Item],tab_alimentos[[#This Row],[Item]],super1[Bairro],mercado7)+SUMIFS(supercb[Qtde],supercb[Item],tab_alimentos[[#This Row],[Item]],supercb[Bairro],mercado7)</f>
        <v>0</v>
      </c>
      <c r="S366" s="27" t="n">
        <f aca="false">SUMIFS(super1[Qtde],super1[Item],tab_alimentos[[#This Row],[Item]],super1[Bairro],mercado8)+SUMIFS(supercb[Qtde],supercb[Item],tab_alimentos[[#This Row],[Item]],supercb[Bairro],mercado8)</f>
        <v>0</v>
      </c>
      <c r="T366" s="27" t="n">
        <f aca="false">SUMIFS(super1[Qtde],super1[Item],tab_alimentos[[#This Row],[Item]],super1[Bairro],mercado9)+SUMIFS(supercb[Qtde],supercb[Item],tab_alimentos[[#This Row],[Item]],supercb[Bairro],mercado9)</f>
        <v>0</v>
      </c>
      <c r="U366" s="27" t="n">
        <f aca="false">SUMIFS(super1[Qtde],super1[Item],tab_alimentos[[#This Row],[Item]],super1[Bairro],mercado10)+SUMIFS(supercb[Qtde],supercb[Item],tab_alimentos[[#This Row],[Item]],supercb[Bairro],mercado10)</f>
        <v>0</v>
      </c>
      <c r="V366" s="27" t="n">
        <f aca="false">SUMIFS(super1[Qtde],super1[Item],tab_alimentos[[#This Row],[Item]],super1[Bairro],mercado11)+SUMIFS(supercb[Qtde],supercb[Item],tab_alimentos[[#This Row],[Item]],supercb[Bairro],mercado11)</f>
        <v>0</v>
      </c>
      <c r="W366" s="27" t="n">
        <f aca="false">SUMIFS(super1[Qtde],super1[Item],tab_alimentos[[#This Row],[Item]],super1[Bairro],mercado12)+SUMIFS(supercb[Qtde],supercb[Item],tab_alimentos[[#This Row],[Item]],supercb[Bairro],mercado12)</f>
        <v>0</v>
      </c>
      <c r="X366" s="27" t="n">
        <f aca="false">SUMIFS(super1[Qtde],super1[Item],tab_alimentos[[#This Row],[Item]],super1[Bairro],mercado13)+SUMIFS(supercb[Qtde],supercb[Item],tab_alimentos[[#This Row],[Item]],supercb[Bairro],mercado13)</f>
        <v>0</v>
      </c>
      <c r="Y366" s="27" t="n">
        <f aca="false">SUMIFS(super1[Qtde],super1[Item],tab_alimentos[[#This Row],[Item]],super1[Bairro],mercado14)+SUMIFS(supercb[Qtde],supercb[Item],tab_alimentos[[#This Row],[Item]],supercb[Bairro],mercado14)</f>
        <v>0</v>
      </c>
      <c r="Z366" s="27" t="n">
        <f aca="false">SUMIFS(super1[Qtde],super1[Item],tab_alimentos[[#This Row],[Item]],super1[Bairro],mercado15)+SUMIFS(supercb[Qtde],supercb[Item],tab_alimentos[[#This Row],[Item]],supercb[Bairro],mercado15)</f>
        <v>0</v>
      </c>
      <c r="AA366" s="27" t="n">
        <f aca="false">SUMIFS(super1[Qtde],super1[Item],tab_alimentos[[#This Row],[Item]],super1[Bairro],mercado16)+SUMIFS(supercb[Qtde],supercb[Item],tab_alimentos[[#This Row],[Item]],supercb[Bairro],mercado16)</f>
        <v>0</v>
      </c>
      <c r="AB366" s="27" t="n">
        <f aca="false">SUMIFS(super1[Qtde],super1[Item],tab_alimentos[[#This Row],[Item]],super1[Bairro],mercado17)+SUMIFS(supercb[Qtde],supercb[Item],tab_alimentos[[#This Row],[Item]],supercb[Bairro],mercado17)</f>
        <v>0</v>
      </c>
      <c r="AC366" s="27" t="n">
        <f aca="false">SUMIFS(super1[Qtde],super1[Item],tab_alimentos[[#This Row],[Item]],super1[Bairro],mercado18)+SUMIFS(supercb[Qtde],supercb[Item],tab_alimentos[[#This Row],[Item]],supercb[Bairro],mercado18)</f>
        <v>0</v>
      </c>
      <c r="AD366" s="27" t="n">
        <f aca="false">SUMIFS(super1[Qtde],super1[Item],tab_alimentos[[#This Row],[Item]],super1[Bairro],extras)+SUMIFS(supercb[Qtde],supercb[Item],tab_alimentos[[#This Row],[Item]],supercb[Bairro],extras)</f>
        <v>0</v>
      </c>
      <c r="AE366" s="27" t="n">
        <f aca="false">SUM(L366:AC366)</f>
        <v>0</v>
      </c>
      <c r="AF366" s="27" t="n">
        <f aca="false">IFERROR(AE366*K366,0)</f>
        <v>0</v>
      </c>
      <c r="AG366" s="28" t="n">
        <f aca="false">IFERROR(J366*AE366,0)</f>
        <v>0</v>
      </c>
    </row>
    <row r="367" customFormat="false" ht="15" hidden="false" customHeight="false" outlineLevel="0" collapsed="false">
      <c r="I367" s="26" t="e">
        <f aca="false">alimentos[[#This Row],[Item]]</f>
        <v>#VALUE!</v>
      </c>
      <c r="J367" s="27" t="n">
        <f aca="false">IFERROR(alimentos[[#This Row],[kg/embalagem]],0)</f>
        <v>0</v>
      </c>
      <c r="K367" s="27" t="n">
        <f aca="false">IFERROR(alimentos[[#This Row],[Preço]],0)</f>
        <v>0</v>
      </c>
      <c r="L367" s="27" t="n">
        <f aca="false">SUMIFS(super1[Qtde],super1[Item],tab_alimentos[[#This Row],[Item]],super1[Bairro],mercado1)+SUMIFS(supercb[Qtde],supercb[Item],tab_alimentos[[#This Row],[Item]],supercb[Bairro],mercado1)</f>
        <v>0</v>
      </c>
      <c r="M367" s="27" t="n">
        <f aca="false">SUMIFS(super1[Qtde],super1[Item],tab_alimentos[[#This Row],[Item]],super1[Bairro],mercado2)+SUMIFS(supercb[Qtde],supercb[Item],tab_alimentos[[#This Row],[Item]],supercb[Bairro],mercado2)</f>
        <v>0</v>
      </c>
      <c r="N367" s="27" t="n">
        <f aca="false">SUMIFS(super1[Qtde],super1[Item],tab_alimentos[[#This Row],[Item]],super1[Bairro],mercado3)+SUMIFS(supercb[Qtde],supercb[Item],tab_alimentos[[#This Row],[Item]],supercb[Bairro],mercado3)</f>
        <v>0</v>
      </c>
      <c r="O367" s="27" t="n">
        <f aca="false">SUMIFS(super1[Qtde],super1[Item],tab_alimentos[[#This Row],[Item]],super1[Bairro],mercado4)+SUMIFS(supercb[Qtde],supercb[Item],tab_alimentos[[#This Row],[Item]],supercb[Bairro],mercado4)</f>
        <v>0</v>
      </c>
      <c r="P367" s="27" t="n">
        <f aca="false">SUMIFS(super1[Qtde],super1[Item],tab_alimentos[[#This Row],[Item]],super1[Bairro],mercado5)+SUMIFS(supercb[Qtde],supercb[Item],tab_alimentos[[#This Row],[Item]],supercb[Bairro],mercado5)</f>
        <v>0</v>
      </c>
      <c r="Q367" s="27" t="n">
        <f aca="false">SUMIFS(super1[Qtde],super1[Item],tab_alimentos[[#This Row],[Item]],super1[Bairro],mercado6)+SUMIFS(supercb[Qtde],supercb[Item],tab_alimentos[[#This Row],[Item]],supercb[Bairro],mercado6)</f>
        <v>0</v>
      </c>
      <c r="R367" s="27" t="n">
        <f aca="false">SUMIFS(super1[Qtde],super1[Item],tab_alimentos[[#This Row],[Item]],super1[Bairro],mercado7)+SUMIFS(supercb[Qtde],supercb[Item],tab_alimentos[[#This Row],[Item]],supercb[Bairro],mercado7)</f>
        <v>0</v>
      </c>
      <c r="S367" s="27" t="n">
        <f aca="false">SUMIFS(super1[Qtde],super1[Item],tab_alimentos[[#This Row],[Item]],super1[Bairro],mercado8)+SUMIFS(supercb[Qtde],supercb[Item],tab_alimentos[[#This Row],[Item]],supercb[Bairro],mercado8)</f>
        <v>0</v>
      </c>
      <c r="T367" s="27" t="n">
        <f aca="false">SUMIFS(super1[Qtde],super1[Item],tab_alimentos[[#This Row],[Item]],super1[Bairro],mercado9)+SUMIFS(supercb[Qtde],supercb[Item],tab_alimentos[[#This Row],[Item]],supercb[Bairro],mercado9)</f>
        <v>0</v>
      </c>
      <c r="U367" s="27" t="n">
        <f aca="false">SUMIFS(super1[Qtde],super1[Item],tab_alimentos[[#This Row],[Item]],super1[Bairro],mercado10)+SUMIFS(supercb[Qtde],supercb[Item],tab_alimentos[[#This Row],[Item]],supercb[Bairro],mercado10)</f>
        <v>0</v>
      </c>
      <c r="V367" s="27" t="n">
        <f aca="false">SUMIFS(super1[Qtde],super1[Item],tab_alimentos[[#This Row],[Item]],super1[Bairro],mercado11)+SUMIFS(supercb[Qtde],supercb[Item],tab_alimentos[[#This Row],[Item]],supercb[Bairro],mercado11)</f>
        <v>0</v>
      </c>
      <c r="W367" s="27" t="n">
        <f aca="false">SUMIFS(super1[Qtde],super1[Item],tab_alimentos[[#This Row],[Item]],super1[Bairro],mercado12)+SUMIFS(supercb[Qtde],supercb[Item],tab_alimentos[[#This Row],[Item]],supercb[Bairro],mercado12)</f>
        <v>0</v>
      </c>
      <c r="X367" s="27" t="n">
        <f aca="false">SUMIFS(super1[Qtde],super1[Item],tab_alimentos[[#This Row],[Item]],super1[Bairro],mercado13)+SUMIFS(supercb[Qtde],supercb[Item],tab_alimentos[[#This Row],[Item]],supercb[Bairro],mercado13)</f>
        <v>0</v>
      </c>
      <c r="Y367" s="27" t="n">
        <f aca="false">SUMIFS(super1[Qtde],super1[Item],tab_alimentos[[#This Row],[Item]],super1[Bairro],mercado14)+SUMIFS(supercb[Qtde],supercb[Item],tab_alimentos[[#This Row],[Item]],supercb[Bairro],mercado14)</f>
        <v>0</v>
      </c>
      <c r="Z367" s="27" t="n">
        <f aca="false">SUMIFS(super1[Qtde],super1[Item],tab_alimentos[[#This Row],[Item]],super1[Bairro],mercado15)+SUMIFS(supercb[Qtde],supercb[Item],tab_alimentos[[#This Row],[Item]],supercb[Bairro],mercado15)</f>
        <v>0</v>
      </c>
      <c r="AA367" s="27" t="n">
        <f aca="false">SUMIFS(super1[Qtde],super1[Item],tab_alimentos[[#This Row],[Item]],super1[Bairro],mercado16)+SUMIFS(supercb[Qtde],supercb[Item],tab_alimentos[[#This Row],[Item]],supercb[Bairro],mercado16)</f>
        <v>0</v>
      </c>
      <c r="AB367" s="27" t="n">
        <f aca="false">SUMIFS(super1[Qtde],super1[Item],tab_alimentos[[#This Row],[Item]],super1[Bairro],mercado17)+SUMIFS(supercb[Qtde],supercb[Item],tab_alimentos[[#This Row],[Item]],supercb[Bairro],mercado17)</f>
        <v>0</v>
      </c>
      <c r="AC367" s="27" t="n">
        <f aca="false">SUMIFS(super1[Qtde],super1[Item],tab_alimentos[[#This Row],[Item]],super1[Bairro],mercado18)+SUMIFS(supercb[Qtde],supercb[Item],tab_alimentos[[#This Row],[Item]],supercb[Bairro],mercado18)</f>
        <v>0</v>
      </c>
      <c r="AD367" s="27" t="n">
        <f aca="false">SUMIFS(super1[Qtde],super1[Item],tab_alimentos[[#This Row],[Item]],super1[Bairro],extras)+SUMIFS(supercb[Qtde],supercb[Item],tab_alimentos[[#This Row],[Item]],supercb[Bairro],extras)</f>
        <v>0</v>
      </c>
      <c r="AE367" s="27" t="n">
        <f aca="false">SUM(L367:AC367)</f>
        <v>0</v>
      </c>
      <c r="AF367" s="27" t="n">
        <f aca="false">IFERROR(AE367*K367,0)</f>
        <v>0</v>
      </c>
      <c r="AG367" s="28" t="n">
        <f aca="false">IFERROR(J367*AE367,0)</f>
        <v>0</v>
      </c>
    </row>
    <row r="368" customFormat="false" ht="15" hidden="false" customHeight="false" outlineLevel="0" collapsed="false">
      <c r="I368" s="26" t="e">
        <f aca="false">alimentos[[#This Row],[Item]]</f>
        <v>#VALUE!</v>
      </c>
      <c r="J368" s="27" t="n">
        <f aca="false">IFERROR(alimentos[[#This Row],[kg/embalagem]],0)</f>
        <v>0</v>
      </c>
      <c r="K368" s="27" t="n">
        <f aca="false">IFERROR(alimentos[[#This Row],[Preço]],0)</f>
        <v>0</v>
      </c>
      <c r="L368" s="27" t="n">
        <f aca="false">SUMIFS(super1[Qtde],super1[Item],tab_alimentos[[#This Row],[Item]],super1[Bairro],mercado1)+SUMIFS(supercb[Qtde],supercb[Item],tab_alimentos[[#This Row],[Item]],supercb[Bairro],mercado1)</f>
        <v>0</v>
      </c>
      <c r="M368" s="27" t="n">
        <f aca="false">SUMIFS(super1[Qtde],super1[Item],tab_alimentos[[#This Row],[Item]],super1[Bairro],mercado2)+SUMIFS(supercb[Qtde],supercb[Item],tab_alimentos[[#This Row],[Item]],supercb[Bairro],mercado2)</f>
        <v>0</v>
      </c>
      <c r="N368" s="27" t="n">
        <f aca="false">SUMIFS(super1[Qtde],super1[Item],tab_alimentos[[#This Row],[Item]],super1[Bairro],mercado3)+SUMIFS(supercb[Qtde],supercb[Item],tab_alimentos[[#This Row],[Item]],supercb[Bairro],mercado3)</f>
        <v>0</v>
      </c>
      <c r="O368" s="27" t="n">
        <f aca="false">SUMIFS(super1[Qtde],super1[Item],tab_alimentos[[#This Row],[Item]],super1[Bairro],mercado4)+SUMIFS(supercb[Qtde],supercb[Item],tab_alimentos[[#This Row],[Item]],supercb[Bairro],mercado4)</f>
        <v>0</v>
      </c>
      <c r="P368" s="27" t="n">
        <f aca="false">SUMIFS(super1[Qtde],super1[Item],tab_alimentos[[#This Row],[Item]],super1[Bairro],mercado5)+SUMIFS(supercb[Qtde],supercb[Item],tab_alimentos[[#This Row],[Item]],supercb[Bairro],mercado5)</f>
        <v>0</v>
      </c>
      <c r="Q368" s="27" t="n">
        <f aca="false">SUMIFS(super1[Qtde],super1[Item],tab_alimentos[[#This Row],[Item]],super1[Bairro],mercado6)+SUMIFS(supercb[Qtde],supercb[Item],tab_alimentos[[#This Row],[Item]],supercb[Bairro],mercado6)</f>
        <v>0</v>
      </c>
      <c r="R368" s="27" t="n">
        <f aca="false">SUMIFS(super1[Qtde],super1[Item],tab_alimentos[[#This Row],[Item]],super1[Bairro],mercado7)+SUMIFS(supercb[Qtde],supercb[Item],tab_alimentos[[#This Row],[Item]],supercb[Bairro],mercado7)</f>
        <v>0</v>
      </c>
      <c r="S368" s="27" t="n">
        <f aca="false">SUMIFS(super1[Qtde],super1[Item],tab_alimentos[[#This Row],[Item]],super1[Bairro],mercado8)+SUMIFS(supercb[Qtde],supercb[Item],tab_alimentos[[#This Row],[Item]],supercb[Bairro],mercado8)</f>
        <v>0</v>
      </c>
      <c r="T368" s="27" t="n">
        <f aca="false">SUMIFS(super1[Qtde],super1[Item],tab_alimentos[[#This Row],[Item]],super1[Bairro],mercado9)+SUMIFS(supercb[Qtde],supercb[Item],tab_alimentos[[#This Row],[Item]],supercb[Bairro],mercado9)</f>
        <v>0</v>
      </c>
      <c r="U368" s="27" t="n">
        <f aca="false">SUMIFS(super1[Qtde],super1[Item],tab_alimentos[[#This Row],[Item]],super1[Bairro],mercado10)+SUMIFS(supercb[Qtde],supercb[Item],tab_alimentos[[#This Row],[Item]],supercb[Bairro],mercado10)</f>
        <v>0</v>
      </c>
      <c r="V368" s="27" t="n">
        <f aca="false">SUMIFS(super1[Qtde],super1[Item],tab_alimentos[[#This Row],[Item]],super1[Bairro],mercado11)+SUMIFS(supercb[Qtde],supercb[Item],tab_alimentos[[#This Row],[Item]],supercb[Bairro],mercado11)</f>
        <v>0</v>
      </c>
      <c r="W368" s="27" t="n">
        <f aca="false">SUMIFS(super1[Qtde],super1[Item],tab_alimentos[[#This Row],[Item]],super1[Bairro],mercado12)+SUMIFS(supercb[Qtde],supercb[Item],tab_alimentos[[#This Row],[Item]],supercb[Bairro],mercado12)</f>
        <v>0</v>
      </c>
      <c r="X368" s="27" t="n">
        <f aca="false">SUMIFS(super1[Qtde],super1[Item],tab_alimentos[[#This Row],[Item]],super1[Bairro],mercado13)+SUMIFS(supercb[Qtde],supercb[Item],tab_alimentos[[#This Row],[Item]],supercb[Bairro],mercado13)</f>
        <v>0</v>
      </c>
      <c r="Y368" s="27" t="n">
        <f aca="false">SUMIFS(super1[Qtde],super1[Item],tab_alimentos[[#This Row],[Item]],super1[Bairro],mercado14)+SUMIFS(supercb[Qtde],supercb[Item],tab_alimentos[[#This Row],[Item]],supercb[Bairro],mercado14)</f>
        <v>0</v>
      </c>
      <c r="Z368" s="27" t="n">
        <f aca="false">SUMIFS(super1[Qtde],super1[Item],tab_alimentos[[#This Row],[Item]],super1[Bairro],mercado15)+SUMIFS(supercb[Qtde],supercb[Item],tab_alimentos[[#This Row],[Item]],supercb[Bairro],mercado15)</f>
        <v>0</v>
      </c>
      <c r="AA368" s="27" t="n">
        <f aca="false">SUMIFS(super1[Qtde],super1[Item],tab_alimentos[[#This Row],[Item]],super1[Bairro],mercado16)+SUMIFS(supercb[Qtde],supercb[Item],tab_alimentos[[#This Row],[Item]],supercb[Bairro],mercado16)</f>
        <v>0</v>
      </c>
      <c r="AB368" s="27" t="n">
        <f aca="false">SUMIFS(super1[Qtde],super1[Item],tab_alimentos[[#This Row],[Item]],super1[Bairro],mercado17)+SUMIFS(supercb[Qtde],supercb[Item],tab_alimentos[[#This Row],[Item]],supercb[Bairro],mercado17)</f>
        <v>0</v>
      </c>
      <c r="AC368" s="27" t="n">
        <f aca="false">SUMIFS(super1[Qtde],super1[Item],tab_alimentos[[#This Row],[Item]],super1[Bairro],mercado18)+SUMIFS(supercb[Qtde],supercb[Item],tab_alimentos[[#This Row],[Item]],supercb[Bairro],mercado18)</f>
        <v>0</v>
      </c>
      <c r="AD368" s="27" t="n">
        <f aca="false">SUMIFS(super1[Qtde],super1[Item],tab_alimentos[[#This Row],[Item]],super1[Bairro],extras)+SUMIFS(supercb[Qtde],supercb[Item],tab_alimentos[[#This Row],[Item]],supercb[Bairro],extras)</f>
        <v>0</v>
      </c>
      <c r="AE368" s="27" t="n">
        <f aca="false">SUM(L368:AC368)</f>
        <v>0</v>
      </c>
      <c r="AF368" s="27" t="n">
        <f aca="false">IFERROR(AE368*K368,0)</f>
        <v>0</v>
      </c>
      <c r="AG368" s="28" t="n">
        <f aca="false">IFERROR(J368*AE368,0)</f>
        <v>0</v>
      </c>
    </row>
    <row r="369" customFormat="false" ht="15" hidden="false" customHeight="false" outlineLevel="0" collapsed="false">
      <c r="I369" s="26" t="e">
        <f aca="false">alimentos[[#This Row],[Item]]</f>
        <v>#VALUE!</v>
      </c>
      <c r="J369" s="27" t="n">
        <f aca="false">IFERROR(alimentos[[#This Row],[kg/embalagem]],0)</f>
        <v>0</v>
      </c>
      <c r="K369" s="27" t="n">
        <f aca="false">IFERROR(alimentos[[#This Row],[Preço]],0)</f>
        <v>0</v>
      </c>
      <c r="L369" s="27" t="n">
        <f aca="false">SUMIFS(super1[Qtde],super1[Item],tab_alimentos[[#This Row],[Item]],super1[Bairro],mercado1)+SUMIFS(supercb[Qtde],supercb[Item],tab_alimentos[[#This Row],[Item]],supercb[Bairro],mercado1)</f>
        <v>0</v>
      </c>
      <c r="M369" s="27" t="n">
        <f aca="false">SUMIFS(super1[Qtde],super1[Item],tab_alimentos[[#This Row],[Item]],super1[Bairro],mercado2)+SUMIFS(supercb[Qtde],supercb[Item],tab_alimentos[[#This Row],[Item]],supercb[Bairro],mercado2)</f>
        <v>0</v>
      </c>
      <c r="N369" s="27" t="n">
        <f aca="false">SUMIFS(super1[Qtde],super1[Item],tab_alimentos[[#This Row],[Item]],super1[Bairro],mercado3)+SUMIFS(supercb[Qtde],supercb[Item],tab_alimentos[[#This Row],[Item]],supercb[Bairro],mercado3)</f>
        <v>0</v>
      </c>
      <c r="O369" s="27" t="n">
        <f aca="false">SUMIFS(super1[Qtde],super1[Item],tab_alimentos[[#This Row],[Item]],super1[Bairro],mercado4)+SUMIFS(supercb[Qtde],supercb[Item],tab_alimentos[[#This Row],[Item]],supercb[Bairro],mercado4)</f>
        <v>0</v>
      </c>
      <c r="P369" s="27" t="n">
        <f aca="false">SUMIFS(super1[Qtde],super1[Item],tab_alimentos[[#This Row],[Item]],super1[Bairro],mercado5)+SUMIFS(supercb[Qtde],supercb[Item],tab_alimentos[[#This Row],[Item]],supercb[Bairro],mercado5)</f>
        <v>0</v>
      </c>
      <c r="Q369" s="27" t="n">
        <f aca="false">SUMIFS(super1[Qtde],super1[Item],tab_alimentos[[#This Row],[Item]],super1[Bairro],mercado6)+SUMIFS(supercb[Qtde],supercb[Item],tab_alimentos[[#This Row],[Item]],supercb[Bairro],mercado6)</f>
        <v>0</v>
      </c>
      <c r="R369" s="27" t="n">
        <f aca="false">SUMIFS(super1[Qtde],super1[Item],tab_alimentos[[#This Row],[Item]],super1[Bairro],mercado7)+SUMIFS(supercb[Qtde],supercb[Item],tab_alimentos[[#This Row],[Item]],supercb[Bairro],mercado7)</f>
        <v>0</v>
      </c>
      <c r="S369" s="27" t="n">
        <f aca="false">SUMIFS(super1[Qtde],super1[Item],tab_alimentos[[#This Row],[Item]],super1[Bairro],mercado8)+SUMIFS(supercb[Qtde],supercb[Item],tab_alimentos[[#This Row],[Item]],supercb[Bairro],mercado8)</f>
        <v>0</v>
      </c>
      <c r="T369" s="27" t="n">
        <f aca="false">SUMIFS(super1[Qtde],super1[Item],tab_alimentos[[#This Row],[Item]],super1[Bairro],mercado9)+SUMIFS(supercb[Qtde],supercb[Item],tab_alimentos[[#This Row],[Item]],supercb[Bairro],mercado9)</f>
        <v>0</v>
      </c>
      <c r="U369" s="27" t="n">
        <f aca="false">SUMIFS(super1[Qtde],super1[Item],tab_alimentos[[#This Row],[Item]],super1[Bairro],mercado10)+SUMIFS(supercb[Qtde],supercb[Item],tab_alimentos[[#This Row],[Item]],supercb[Bairro],mercado10)</f>
        <v>0</v>
      </c>
      <c r="V369" s="27" t="n">
        <f aca="false">SUMIFS(super1[Qtde],super1[Item],tab_alimentos[[#This Row],[Item]],super1[Bairro],mercado11)+SUMIFS(supercb[Qtde],supercb[Item],tab_alimentos[[#This Row],[Item]],supercb[Bairro],mercado11)</f>
        <v>0</v>
      </c>
      <c r="W369" s="27" t="n">
        <f aca="false">SUMIFS(super1[Qtde],super1[Item],tab_alimentos[[#This Row],[Item]],super1[Bairro],mercado12)+SUMIFS(supercb[Qtde],supercb[Item],tab_alimentos[[#This Row],[Item]],supercb[Bairro],mercado12)</f>
        <v>0</v>
      </c>
      <c r="X369" s="27" t="n">
        <f aca="false">SUMIFS(super1[Qtde],super1[Item],tab_alimentos[[#This Row],[Item]],super1[Bairro],mercado13)+SUMIFS(supercb[Qtde],supercb[Item],tab_alimentos[[#This Row],[Item]],supercb[Bairro],mercado13)</f>
        <v>0</v>
      </c>
      <c r="Y369" s="27" t="n">
        <f aca="false">SUMIFS(super1[Qtde],super1[Item],tab_alimentos[[#This Row],[Item]],super1[Bairro],mercado14)+SUMIFS(supercb[Qtde],supercb[Item],tab_alimentos[[#This Row],[Item]],supercb[Bairro],mercado14)</f>
        <v>0</v>
      </c>
      <c r="Z369" s="27" t="n">
        <f aca="false">SUMIFS(super1[Qtde],super1[Item],tab_alimentos[[#This Row],[Item]],super1[Bairro],mercado15)+SUMIFS(supercb[Qtde],supercb[Item],tab_alimentos[[#This Row],[Item]],supercb[Bairro],mercado15)</f>
        <v>0</v>
      </c>
      <c r="AA369" s="27" t="n">
        <f aca="false">SUMIFS(super1[Qtde],super1[Item],tab_alimentos[[#This Row],[Item]],super1[Bairro],mercado16)+SUMIFS(supercb[Qtde],supercb[Item],tab_alimentos[[#This Row],[Item]],supercb[Bairro],mercado16)</f>
        <v>0</v>
      </c>
      <c r="AB369" s="27" t="n">
        <f aca="false">SUMIFS(super1[Qtde],super1[Item],tab_alimentos[[#This Row],[Item]],super1[Bairro],mercado17)+SUMIFS(supercb[Qtde],supercb[Item],tab_alimentos[[#This Row],[Item]],supercb[Bairro],mercado17)</f>
        <v>0</v>
      </c>
      <c r="AC369" s="27" t="n">
        <f aca="false">SUMIFS(super1[Qtde],super1[Item],tab_alimentos[[#This Row],[Item]],super1[Bairro],mercado18)+SUMIFS(supercb[Qtde],supercb[Item],tab_alimentos[[#This Row],[Item]],supercb[Bairro],mercado18)</f>
        <v>0</v>
      </c>
      <c r="AD369" s="27" t="n">
        <f aca="false">SUMIFS(super1[Qtde],super1[Item],tab_alimentos[[#This Row],[Item]],super1[Bairro],extras)+SUMIFS(supercb[Qtde],supercb[Item],tab_alimentos[[#This Row],[Item]],supercb[Bairro],extras)</f>
        <v>0</v>
      </c>
      <c r="AE369" s="27" t="n">
        <f aca="false">SUM(L369:AC369)</f>
        <v>0</v>
      </c>
      <c r="AF369" s="27" t="n">
        <f aca="false">IFERROR(AE369*K369,0)</f>
        <v>0</v>
      </c>
      <c r="AG369" s="28" t="n">
        <f aca="false">IFERROR(J369*AE369,0)</f>
        <v>0</v>
      </c>
    </row>
    <row r="370" customFormat="false" ht="15" hidden="false" customHeight="false" outlineLevel="0" collapsed="false">
      <c r="I370" s="26" t="e">
        <f aca="false">alimentos[[#This Row],[Item]]</f>
        <v>#VALUE!</v>
      </c>
      <c r="J370" s="27" t="n">
        <f aca="false">IFERROR(alimentos[[#This Row],[kg/embalagem]],0)</f>
        <v>0</v>
      </c>
      <c r="K370" s="27" t="n">
        <f aca="false">IFERROR(alimentos[[#This Row],[Preço]],0)</f>
        <v>0</v>
      </c>
      <c r="L370" s="27" t="n">
        <f aca="false">SUMIFS(super1[Qtde],super1[Item],tab_alimentos[[#This Row],[Item]],super1[Bairro],mercado1)+SUMIFS(supercb[Qtde],supercb[Item],tab_alimentos[[#This Row],[Item]],supercb[Bairro],mercado1)</f>
        <v>0</v>
      </c>
      <c r="M370" s="27" t="n">
        <f aca="false">SUMIFS(super1[Qtde],super1[Item],tab_alimentos[[#This Row],[Item]],super1[Bairro],mercado2)+SUMIFS(supercb[Qtde],supercb[Item],tab_alimentos[[#This Row],[Item]],supercb[Bairro],mercado2)</f>
        <v>0</v>
      </c>
      <c r="N370" s="27" t="n">
        <f aca="false">SUMIFS(super1[Qtde],super1[Item],tab_alimentos[[#This Row],[Item]],super1[Bairro],mercado3)+SUMIFS(supercb[Qtde],supercb[Item],tab_alimentos[[#This Row],[Item]],supercb[Bairro],mercado3)</f>
        <v>0</v>
      </c>
      <c r="O370" s="27" t="n">
        <f aca="false">SUMIFS(super1[Qtde],super1[Item],tab_alimentos[[#This Row],[Item]],super1[Bairro],mercado4)+SUMIFS(supercb[Qtde],supercb[Item],tab_alimentos[[#This Row],[Item]],supercb[Bairro],mercado4)</f>
        <v>0</v>
      </c>
      <c r="P370" s="27" t="n">
        <f aca="false">SUMIFS(super1[Qtde],super1[Item],tab_alimentos[[#This Row],[Item]],super1[Bairro],mercado5)+SUMIFS(supercb[Qtde],supercb[Item],tab_alimentos[[#This Row],[Item]],supercb[Bairro],mercado5)</f>
        <v>0</v>
      </c>
      <c r="Q370" s="27" t="n">
        <f aca="false">SUMIFS(super1[Qtde],super1[Item],tab_alimentos[[#This Row],[Item]],super1[Bairro],mercado6)+SUMIFS(supercb[Qtde],supercb[Item],tab_alimentos[[#This Row],[Item]],supercb[Bairro],mercado6)</f>
        <v>0</v>
      </c>
      <c r="R370" s="27" t="n">
        <f aca="false">SUMIFS(super1[Qtde],super1[Item],tab_alimentos[[#This Row],[Item]],super1[Bairro],mercado7)+SUMIFS(supercb[Qtde],supercb[Item],tab_alimentos[[#This Row],[Item]],supercb[Bairro],mercado7)</f>
        <v>0</v>
      </c>
      <c r="S370" s="27" t="n">
        <f aca="false">SUMIFS(super1[Qtde],super1[Item],tab_alimentos[[#This Row],[Item]],super1[Bairro],mercado8)+SUMIFS(supercb[Qtde],supercb[Item],tab_alimentos[[#This Row],[Item]],supercb[Bairro],mercado8)</f>
        <v>0</v>
      </c>
      <c r="T370" s="27" t="n">
        <f aca="false">SUMIFS(super1[Qtde],super1[Item],tab_alimentos[[#This Row],[Item]],super1[Bairro],mercado9)+SUMIFS(supercb[Qtde],supercb[Item],tab_alimentos[[#This Row],[Item]],supercb[Bairro],mercado9)</f>
        <v>0</v>
      </c>
      <c r="U370" s="27" t="n">
        <f aca="false">SUMIFS(super1[Qtde],super1[Item],tab_alimentos[[#This Row],[Item]],super1[Bairro],mercado10)+SUMIFS(supercb[Qtde],supercb[Item],tab_alimentos[[#This Row],[Item]],supercb[Bairro],mercado10)</f>
        <v>0</v>
      </c>
      <c r="V370" s="27" t="n">
        <f aca="false">SUMIFS(super1[Qtde],super1[Item],tab_alimentos[[#This Row],[Item]],super1[Bairro],mercado11)+SUMIFS(supercb[Qtde],supercb[Item],tab_alimentos[[#This Row],[Item]],supercb[Bairro],mercado11)</f>
        <v>0</v>
      </c>
      <c r="W370" s="27" t="n">
        <f aca="false">SUMIFS(super1[Qtde],super1[Item],tab_alimentos[[#This Row],[Item]],super1[Bairro],mercado12)+SUMIFS(supercb[Qtde],supercb[Item],tab_alimentos[[#This Row],[Item]],supercb[Bairro],mercado12)</f>
        <v>0</v>
      </c>
      <c r="X370" s="27" t="n">
        <f aca="false">SUMIFS(super1[Qtde],super1[Item],tab_alimentos[[#This Row],[Item]],super1[Bairro],mercado13)+SUMIFS(supercb[Qtde],supercb[Item],tab_alimentos[[#This Row],[Item]],supercb[Bairro],mercado13)</f>
        <v>0</v>
      </c>
      <c r="Y370" s="27" t="n">
        <f aca="false">SUMIFS(super1[Qtde],super1[Item],tab_alimentos[[#This Row],[Item]],super1[Bairro],mercado14)+SUMIFS(supercb[Qtde],supercb[Item],tab_alimentos[[#This Row],[Item]],supercb[Bairro],mercado14)</f>
        <v>0</v>
      </c>
      <c r="Z370" s="27" t="n">
        <f aca="false">SUMIFS(super1[Qtde],super1[Item],tab_alimentos[[#This Row],[Item]],super1[Bairro],mercado15)+SUMIFS(supercb[Qtde],supercb[Item],tab_alimentos[[#This Row],[Item]],supercb[Bairro],mercado15)</f>
        <v>0</v>
      </c>
      <c r="AA370" s="27" t="n">
        <f aca="false">SUMIFS(super1[Qtde],super1[Item],tab_alimentos[[#This Row],[Item]],super1[Bairro],mercado16)+SUMIFS(supercb[Qtde],supercb[Item],tab_alimentos[[#This Row],[Item]],supercb[Bairro],mercado16)</f>
        <v>0</v>
      </c>
      <c r="AB370" s="27" t="n">
        <f aca="false">SUMIFS(super1[Qtde],super1[Item],tab_alimentos[[#This Row],[Item]],super1[Bairro],mercado17)+SUMIFS(supercb[Qtde],supercb[Item],tab_alimentos[[#This Row],[Item]],supercb[Bairro],mercado17)</f>
        <v>0</v>
      </c>
      <c r="AC370" s="27" t="n">
        <f aca="false">SUMIFS(super1[Qtde],super1[Item],tab_alimentos[[#This Row],[Item]],super1[Bairro],mercado18)+SUMIFS(supercb[Qtde],supercb[Item],tab_alimentos[[#This Row],[Item]],supercb[Bairro],mercado18)</f>
        <v>0</v>
      </c>
      <c r="AD370" s="27" t="n">
        <f aca="false">SUMIFS(super1[Qtde],super1[Item],tab_alimentos[[#This Row],[Item]],super1[Bairro],extras)+SUMIFS(supercb[Qtde],supercb[Item],tab_alimentos[[#This Row],[Item]],supercb[Bairro],extras)</f>
        <v>0</v>
      </c>
      <c r="AE370" s="27" t="n">
        <f aca="false">SUM(L370:AC370)</f>
        <v>0</v>
      </c>
      <c r="AF370" s="27" t="n">
        <f aca="false">IFERROR(AE370*K370,0)</f>
        <v>0</v>
      </c>
      <c r="AG370" s="28" t="n">
        <f aca="false">IFERROR(J370*AE370,0)</f>
        <v>0</v>
      </c>
    </row>
    <row r="371" customFormat="false" ht="15" hidden="false" customHeight="false" outlineLevel="0" collapsed="false">
      <c r="I371" s="26" t="e">
        <f aca="false">alimentos[[#This Row],[Item]]</f>
        <v>#VALUE!</v>
      </c>
      <c r="J371" s="27" t="n">
        <f aca="false">IFERROR(alimentos[[#This Row],[kg/embalagem]],0)</f>
        <v>0</v>
      </c>
      <c r="K371" s="27" t="n">
        <f aca="false">IFERROR(alimentos[[#This Row],[Preço]],0)</f>
        <v>0</v>
      </c>
      <c r="L371" s="27" t="n">
        <f aca="false">SUMIFS(super1[Qtde],super1[Item],tab_alimentos[[#This Row],[Item]],super1[Bairro],mercado1)+SUMIFS(supercb[Qtde],supercb[Item],tab_alimentos[[#This Row],[Item]],supercb[Bairro],mercado1)</f>
        <v>0</v>
      </c>
      <c r="M371" s="27" t="n">
        <f aca="false">SUMIFS(super1[Qtde],super1[Item],tab_alimentos[[#This Row],[Item]],super1[Bairro],mercado2)+SUMIFS(supercb[Qtde],supercb[Item],tab_alimentos[[#This Row],[Item]],supercb[Bairro],mercado2)</f>
        <v>0</v>
      </c>
      <c r="N371" s="27" t="n">
        <f aca="false">SUMIFS(super1[Qtde],super1[Item],tab_alimentos[[#This Row],[Item]],super1[Bairro],mercado3)+SUMIFS(supercb[Qtde],supercb[Item],tab_alimentos[[#This Row],[Item]],supercb[Bairro],mercado3)</f>
        <v>0</v>
      </c>
      <c r="O371" s="27" t="n">
        <f aca="false">SUMIFS(super1[Qtde],super1[Item],tab_alimentos[[#This Row],[Item]],super1[Bairro],mercado4)+SUMIFS(supercb[Qtde],supercb[Item],tab_alimentos[[#This Row],[Item]],supercb[Bairro],mercado4)</f>
        <v>0</v>
      </c>
      <c r="P371" s="27" t="n">
        <f aca="false">SUMIFS(super1[Qtde],super1[Item],tab_alimentos[[#This Row],[Item]],super1[Bairro],mercado5)+SUMIFS(supercb[Qtde],supercb[Item],tab_alimentos[[#This Row],[Item]],supercb[Bairro],mercado5)</f>
        <v>0</v>
      </c>
      <c r="Q371" s="27" t="n">
        <f aca="false">SUMIFS(super1[Qtde],super1[Item],tab_alimentos[[#This Row],[Item]],super1[Bairro],mercado6)+SUMIFS(supercb[Qtde],supercb[Item],tab_alimentos[[#This Row],[Item]],supercb[Bairro],mercado6)</f>
        <v>0</v>
      </c>
      <c r="R371" s="27" t="n">
        <f aca="false">SUMIFS(super1[Qtde],super1[Item],tab_alimentos[[#This Row],[Item]],super1[Bairro],mercado7)+SUMIFS(supercb[Qtde],supercb[Item],tab_alimentos[[#This Row],[Item]],supercb[Bairro],mercado7)</f>
        <v>0</v>
      </c>
      <c r="S371" s="27" t="n">
        <f aca="false">SUMIFS(super1[Qtde],super1[Item],tab_alimentos[[#This Row],[Item]],super1[Bairro],mercado8)+SUMIFS(supercb[Qtde],supercb[Item],tab_alimentos[[#This Row],[Item]],supercb[Bairro],mercado8)</f>
        <v>0</v>
      </c>
      <c r="T371" s="27" t="n">
        <f aca="false">SUMIFS(super1[Qtde],super1[Item],tab_alimentos[[#This Row],[Item]],super1[Bairro],mercado9)+SUMIFS(supercb[Qtde],supercb[Item],tab_alimentos[[#This Row],[Item]],supercb[Bairro],mercado9)</f>
        <v>0</v>
      </c>
      <c r="U371" s="27" t="n">
        <f aca="false">SUMIFS(super1[Qtde],super1[Item],tab_alimentos[[#This Row],[Item]],super1[Bairro],mercado10)+SUMIFS(supercb[Qtde],supercb[Item],tab_alimentos[[#This Row],[Item]],supercb[Bairro],mercado10)</f>
        <v>0</v>
      </c>
      <c r="V371" s="27" t="n">
        <f aca="false">SUMIFS(super1[Qtde],super1[Item],tab_alimentos[[#This Row],[Item]],super1[Bairro],mercado11)+SUMIFS(supercb[Qtde],supercb[Item],tab_alimentos[[#This Row],[Item]],supercb[Bairro],mercado11)</f>
        <v>0</v>
      </c>
      <c r="W371" s="27" t="n">
        <f aca="false">SUMIFS(super1[Qtde],super1[Item],tab_alimentos[[#This Row],[Item]],super1[Bairro],mercado12)+SUMIFS(supercb[Qtde],supercb[Item],tab_alimentos[[#This Row],[Item]],supercb[Bairro],mercado12)</f>
        <v>0</v>
      </c>
      <c r="X371" s="27" t="n">
        <f aca="false">SUMIFS(super1[Qtde],super1[Item],tab_alimentos[[#This Row],[Item]],super1[Bairro],mercado13)+SUMIFS(supercb[Qtde],supercb[Item],tab_alimentos[[#This Row],[Item]],supercb[Bairro],mercado13)</f>
        <v>0</v>
      </c>
      <c r="Y371" s="27" t="n">
        <f aca="false">SUMIFS(super1[Qtde],super1[Item],tab_alimentos[[#This Row],[Item]],super1[Bairro],mercado14)+SUMIFS(supercb[Qtde],supercb[Item],tab_alimentos[[#This Row],[Item]],supercb[Bairro],mercado14)</f>
        <v>0</v>
      </c>
      <c r="Z371" s="27" t="n">
        <f aca="false">SUMIFS(super1[Qtde],super1[Item],tab_alimentos[[#This Row],[Item]],super1[Bairro],mercado15)+SUMIFS(supercb[Qtde],supercb[Item],tab_alimentos[[#This Row],[Item]],supercb[Bairro],mercado15)</f>
        <v>0</v>
      </c>
      <c r="AA371" s="27" t="n">
        <f aca="false">SUMIFS(super1[Qtde],super1[Item],tab_alimentos[[#This Row],[Item]],super1[Bairro],mercado16)+SUMIFS(supercb[Qtde],supercb[Item],tab_alimentos[[#This Row],[Item]],supercb[Bairro],mercado16)</f>
        <v>0</v>
      </c>
      <c r="AB371" s="27" t="n">
        <f aca="false">SUMIFS(super1[Qtde],super1[Item],tab_alimentos[[#This Row],[Item]],super1[Bairro],mercado17)+SUMIFS(supercb[Qtde],supercb[Item],tab_alimentos[[#This Row],[Item]],supercb[Bairro],mercado17)</f>
        <v>0</v>
      </c>
      <c r="AC371" s="27" t="n">
        <f aca="false">SUMIFS(super1[Qtde],super1[Item],tab_alimentos[[#This Row],[Item]],super1[Bairro],mercado18)+SUMIFS(supercb[Qtde],supercb[Item],tab_alimentos[[#This Row],[Item]],supercb[Bairro],mercado18)</f>
        <v>0</v>
      </c>
      <c r="AD371" s="27" t="n">
        <f aca="false">SUMIFS(super1[Qtde],super1[Item],tab_alimentos[[#This Row],[Item]],super1[Bairro],extras)+SUMIFS(supercb[Qtde],supercb[Item],tab_alimentos[[#This Row],[Item]],supercb[Bairro],extras)</f>
        <v>0</v>
      </c>
      <c r="AE371" s="27" t="n">
        <f aca="false">SUM(L371:AC371)</f>
        <v>0</v>
      </c>
      <c r="AF371" s="27" t="n">
        <f aca="false">IFERROR(AE371*K371,0)</f>
        <v>0</v>
      </c>
      <c r="AG371" s="28" t="n">
        <f aca="false">IFERROR(J371*AE371,0)</f>
        <v>0</v>
      </c>
    </row>
    <row r="372" customFormat="false" ht="15" hidden="false" customHeight="false" outlineLevel="0" collapsed="false">
      <c r="I372" s="26" t="e">
        <f aca="false">alimentos[[#This Row],[Item]]</f>
        <v>#VALUE!</v>
      </c>
      <c r="J372" s="27" t="n">
        <f aca="false">IFERROR(alimentos[[#This Row],[kg/embalagem]],0)</f>
        <v>0</v>
      </c>
      <c r="K372" s="27" t="n">
        <f aca="false">IFERROR(alimentos[[#This Row],[Preço]],0)</f>
        <v>0</v>
      </c>
      <c r="L372" s="27" t="n">
        <f aca="false">SUMIFS(super1[Qtde],super1[Item],tab_alimentos[[#This Row],[Item]],super1[Bairro],mercado1)+SUMIFS(supercb[Qtde],supercb[Item],tab_alimentos[[#This Row],[Item]],supercb[Bairro],mercado1)</f>
        <v>0</v>
      </c>
      <c r="M372" s="27" t="n">
        <f aca="false">SUMIFS(super1[Qtde],super1[Item],tab_alimentos[[#This Row],[Item]],super1[Bairro],mercado2)+SUMIFS(supercb[Qtde],supercb[Item],tab_alimentos[[#This Row],[Item]],supercb[Bairro],mercado2)</f>
        <v>0</v>
      </c>
      <c r="N372" s="27" t="n">
        <f aca="false">SUMIFS(super1[Qtde],super1[Item],tab_alimentos[[#This Row],[Item]],super1[Bairro],mercado3)+SUMIFS(supercb[Qtde],supercb[Item],tab_alimentos[[#This Row],[Item]],supercb[Bairro],mercado3)</f>
        <v>0</v>
      </c>
      <c r="O372" s="27" t="n">
        <f aca="false">SUMIFS(super1[Qtde],super1[Item],tab_alimentos[[#This Row],[Item]],super1[Bairro],mercado4)+SUMIFS(supercb[Qtde],supercb[Item],tab_alimentos[[#This Row],[Item]],supercb[Bairro],mercado4)</f>
        <v>0</v>
      </c>
      <c r="P372" s="27" t="n">
        <f aca="false">SUMIFS(super1[Qtde],super1[Item],tab_alimentos[[#This Row],[Item]],super1[Bairro],mercado5)+SUMIFS(supercb[Qtde],supercb[Item],tab_alimentos[[#This Row],[Item]],supercb[Bairro],mercado5)</f>
        <v>0</v>
      </c>
      <c r="Q372" s="27" t="n">
        <f aca="false">SUMIFS(super1[Qtde],super1[Item],tab_alimentos[[#This Row],[Item]],super1[Bairro],mercado6)+SUMIFS(supercb[Qtde],supercb[Item],tab_alimentos[[#This Row],[Item]],supercb[Bairro],mercado6)</f>
        <v>0</v>
      </c>
      <c r="R372" s="27" t="n">
        <f aca="false">SUMIFS(super1[Qtde],super1[Item],tab_alimentos[[#This Row],[Item]],super1[Bairro],mercado7)+SUMIFS(supercb[Qtde],supercb[Item],tab_alimentos[[#This Row],[Item]],supercb[Bairro],mercado7)</f>
        <v>0</v>
      </c>
      <c r="S372" s="27" t="n">
        <f aca="false">SUMIFS(super1[Qtde],super1[Item],tab_alimentos[[#This Row],[Item]],super1[Bairro],mercado8)+SUMIFS(supercb[Qtde],supercb[Item],tab_alimentos[[#This Row],[Item]],supercb[Bairro],mercado8)</f>
        <v>0</v>
      </c>
      <c r="T372" s="27" t="n">
        <f aca="false">SUMIFS(super1[Qtde],super1[Item],tab_alimentos[[#This Row],[Item]],super1[Bairro],mercado9)+SUMIFS(supercb[Qtde],supercb[Item],tab_alimentos[[#This Row],[Item]],supercb[Bairro],mercado9)</f>
        <v>0</v>
      </c>
      <c r="U372" s="27" t="n">
        <f aca="false">SUMIFS(super1[Qtde],super1[Item],tab_alimentos[[#This Row],[Item]],super1[Bairro],mercado10)+SUMIFS(supercb[Qtde],supercb[Item],tab_alimentos[[#This Row],[Item]],supercb[Bairro],mercado10)</f>
        <v>0</v>
      </c>
      <c r="V372" s="27" t="n">
        <f aca="false">SUMIFS(super1[Qtde],super1[Item],tab_alimentos[[#This Row],[Item]],super1[Bairro],mercado11)+SUMIFS(supercb[Qtde],supercb[Item],tab_alimentos[[#This Row],[Item]],supercb[Bairro],mercado11)</f>
        <v>0</v>
      </c>
      <c r="W372" s="27" t="n">
        <f aca="false">SUMIFS(super1[Qtde],super1[Item],tab_alimentos[[#This Row],[Item]],super1[Bairro],mercado12)+SUMIFS(supercb[Qtde],supercb[Item],tab_alimentos[[#This Row],[Item]],supercb[Bairro],mercado12)</f>
        <v>0</v>
      </c>
      <c r="X372" s="27" t="n">
        <f aca="false">SUMIFS(super1[Qtde],super1[Item],tab_alimentos[[#This Row],[Item]],super1[Bairro],mercado13)+SUMIFS(supercb[Qtde],supercb[Item],tab_alimentos[[#This Row],[Item]],supercb[Bairro],mercado13)</f>
        <v>0</v>
      </c>
      <c r="Y372" s="27" t="n">
        <f aca="false">SUMIFS(super1[Qtde],super1[Item],tab_alimentos[[#This Row],[Item]],super1[Bairro],mercado14)+SUMIFS(supercb[Qtde],supercb[Item],tab_alimentos[[#This Row],[Item]],supercb[Bairro],mercado14)</f>
        <v>0</v>
      </c>
      <c r="Z372" s="27" t="n">
        <f aca="false">SUMIFS(super1[Qtde],super1[Item],tab_alimentos[[#This Row],[Item]],super1[Bairro],mercado15)+SUMIFS(supercb[Qtde],supercb[Item],tab_alimentos[[#This Row],[Item]],supercb[Bairro],mercado15)</f>
        <v>0</v>
      </c>
      <c r="AA372" s="27" t="n">
        <f aca="false">SUMIFS(super1[Qtde],super1[Item],tab_alimentos[[#This Row],[Item]],super1[Bairro],mercado16)+SUMIFS(supercb[Qtde],supercb[Item],tab_alimentos[[#This Row],[Item]],supercb[Bairro],mercado16)</f>
        <v>0</v>
      </c>
      <c r="AB372" s="27" t="n">
        <f aca="false">SUMIFS(super1[Qtde],super1[Item],tab_alimentos[[#This Row],[Item]],super1[Bairro],mercado17)+SUMIFS(supercb[Qtde],supercb[Item],tab_alimentos[[#This Row],[Item]],supercb[Bairro],mercado17)</f>
        <v>0</v>
      </c>
      <c r="AC372" s="27" t="n">
        <f aca="false">SUMIFS(super1[Qtde],super1[Item],tab_alimentos[[#This Row],[Item]],super1[Bairro],mercado18)+SUMIFS(supercb[Qtde],supercb[Item],tab_alimentos[[#This Row],[Item]],supercb[Bairro],mercado18)</f>
        <v>0</v>
      </c>
      <c r="AD372" s="27" t="n">
        <f aca="false">SUMIFS(super1[Qtde],super1[Item],tab_alimentos[[#This Row],[Item]],super1[Bairro],extras)+SUMIFS(supercb[Qtde],supercb[Item],tab_alimentos[[#This Row],[Item]],supercb[Bairro],extras)</f>
        <v>0</v>
      </c>
      <c r="AE372" s="27" t="n">
        <f aca="false">SUM(L372:AC372)</f>
        <v>0</v>
      </c>
      <c r="AF372" s="27" t="n">
        <f aca="false">IFERROR(AE372*K372,0)</f>
        <v>0</v>
      </c>
      <c r="AG372" s="28" t="n">
        <f aca="false">IFERROR(J372*AE372,0)</f>
        <v>0</v>
      </c>
    </row>
    <row r="373" customFormat="false" ht="15" hidden="false" customHeight="false" outlineLevel="0" collapsed="false">
      <c r="I373" s="26" t="e">
        <f aca="false">alimentos[[#This Row],[Item]]</f>
        <v>#VALUE!</v>
      </c>
      <c r="J373" s="27" t="n">
        <f aca="false">IFERROR(alimentos[[#This Row],[kg/embalagem]],0)</f>
        <v>0</v>
      </c>
      <c r="K373" s="27" t="n">
        <f aca="false">IFERROR(alimentos[[#This Row],[Preço]],0)</f>
        <v>0</v>
      </c>
      <c r="L373" s="27" t="n">
        <f aca="false">SUMIFS(super1[Qtde],super1[Item],tab_alimentos[[#This Row],[Item]],super1[Bairro],mercado1)+SUMIFS(supercb[Qtde],supercb[Item],tab_alimentos[[#This Row],[Item]],supercb[Bairro],mercado1)</f>
        <v>0</v>
      </c>
      <c r="M373" s="27" t="n">
        <f aca="false">SUMIFS(super1[Qtde],super1[Item],tab_alimentos[[#This Row],[Item]],super1[Bairro],mercado2)+SUMIFS(supercb[Qtde],supercb[Item],tab_alimentos[[#This Row],[Item]],supercb[Bairro],mercado2)</f>
        <v>0</v>
      </c>
      <c r="N373" s="27" t="n">
        <f aca="false">SUMIFS(super1[Qtde],super1[Item],tab_alimentos[[#This Row],[Item]],super1[Bairro],mercado3)+SUMIFS(supercb[Qtde],supercb[Item],tab_alimentos[[#This Row],[Item]],supercb[Bairro],mercado3)</f>
        <v>0</v>
      </c>
      <c r="O373" s="27" t="n">
        <f aca="false">SUMIFS(super1[Qtde],super1[Item],tab_alimentos[[#This Row],[Item]],super1[Bairro],mercado4)+SUMIFS(supercb[Qtde],supercb[Item],tab_alimentos[[#This Row],[Item]],supercb[Bairro],mercado4)</f>
        <v>0</v>
      </c>
      <c r="P373" s="27" t="n">
        <f aca="false">SUMIFS(super1[Qtde],super1[Item],tab_alimentos[[#This Row],[Item]],super1[Bairro],mercado5)+SUMIFS(supercb[Qtde],supercb[Item],tab_alimentos[[#This Row],[Item]],supercb[Bairro],mercado5)</f>
        <v>0</v>
      </c>
      <c r="Q373" s="27" t="n">
        <f aca="false">SUMIFS(super1[Qtde],super1[Item],tab_alimentos[[#This Row],[Item]],super1[Bairro],mercado6)+SUMIFS(supercb[Qtde],supercb[Item],tab_alimentos[[#This Row],[Item]],supercb[Bairro],mercado6)</f>
        <v>0</v>
      </c>
      <c r="R373" s="27" t="n">
        <f aca="false">SUMIFS(super1[Qtde],super1[Item],tab_alimentos[[#This Row],[Item]],super1[Bairro],mercado7)+SUMIFS(supercb[Qtde],supercb[Item],tab_alimentos[[#This Row],[Item]],supercb[Bairro],mercado7)</f>
        <v>0</v>
      </c>
      <c r="S373" s="27" t="n">
        <f aca="false">SUMIFS(super1[Qtde],super1[Item],tab_alimentos[[#This Row],[Item]],super1[Bairro],mercado8)+SUMIFS(supercb[Qtde],supercb[Item],tab_alimentos[[#This Row],[Item]],supercb[Bairro],mercado8)</f>
        <v>0</v>
      </c>
      <c r="T373" s="27" t="n">
        <f aca="false">SUMIFS(super1[Qtde],super1[Item],tab_alimentos[[#This Row],[Item]],super1[Bairro],mercado9)+SUMIFS(supercb[Qtde],supercb[Item],tab_alimentos[[#This Row],[Item]],supercb[Bairro],mercado9)</f>
        <v>0</v>
      </c>
      <c r="U373" s="27" t="n">
        <f aca="false">SUMIFS(super1[Qtde],super1[Item],tab_alimentos[[#This Row],[Item]],super1[Bairro],mercado10)+SUMIFS(supercb[Qtde],supercb[Item],tab_alimentos[[#This Row],[Item]],supercb[Bairro],mercado10)</f>
        <v>0</v>
      </c>
      <c r="V373" s="27" t="n">
        <f aca="false">SUMIFS(super1[Qtde],super1[Item],tab_alimentos[[#This Row],[Item]],super1[Bairro],mercado11)+SUMIFS(supercb[Qtde],supercb[Item],tab_alimentos[[#This Row],[Item]],supercb[Bairro],mercado11)</f>
        <v>0</v>
      </c>
      <c r="W373" s="27" t="n">
        <f aca="false">SUMIFS(super1[Qtde],super1[Item],tab_alimentos[[#This Row],[Item]],super1[Bairro],mercado12)+SUMIFS(supercb[Qtde],supercb[Item],tab_alimentos[[#This Row],[Item]],supercb[Bairro],mercado12)</f>
        <v>0</v>
      </c>
      <c r="X373" s="27" t="n">
        <f aca="false">SUMIFS(super1[Qtde],super1[Item],tab_alimentos[[#This Row],[Item]],super1[Bairro],mercado13)+SUMIFS(supercb[Qtde],supercb[Item],tab_alimentos[[#This Row],[Item]],supercb[Bairro],mercado13)</f>
        <v>0</v>
      </c>
      <c r="Y373" s="27" t="n">
        <f aca="false">SUMIFS(super1[Qtde],super1[Item],tab_alimentos[[#This Row],[Item]],super1[Bairro],mercado14)+SUMIFS(supercb[Qtde],supercb[Item],tab_alimentos[[#This Row],[Item]],supercb[Bairro],mercado14)</f>
        <v>0</v>
      </c>
      <c r="Z373" s="27" t="n">
        <f aca="false">SUMIFS(super1[Qtde],super1[Item],tab_alimentos[[#This Row],[Item]],super1[Bairro],mercado15)+SUMIFS(supercb[Qtde],supercb[Item],tab_alimentos[[#This Row],[Item]],supercb[Bairro],mercado15)</f>
        <v>0</v>
      </c>
      <c r="AA373" s="27" t="n">
        <f aca="false">SUMIFS(super1[Qtde],super1[Item],tab_alimentos[[#This Row],[Item]],super1[Bairro],mercado16)+SUMIFS(supercb[Qtde],supercb[Item],tab_alimentos[[#This Row],[Item]],supercb[Bairro],mercado16)</f>
        <v>0</v>
      </c>
      <c r="AB373" s="27" t="n">
        <f aca="false">SUMIFS(super1[Qtde],super1[Item],tab_alimentos[[#This Row],[Item]],super1[Bairro],mercado17)+SUMIFS(supercb[Qtde],supercb[Item],tab_alimentos[[#This Row],[Item]],supercb[Bairro],mercado17)</f>
        <v>0</v>
      </c>
      <c r="AC373" s="27" t="n">
        <f aca="false">SUMIFS(super1[Qtde],super1[Item],tab_alimentos[[#This Row],[Item]],super1[Bairro],mercado18)+SUMIFS(supercb[Qtde],supercb[Item],tab_alimentos[[#This Row],[Item]],supercb[Bairro],mercado18)</f>
        <v>0</v>
      </c>
      <c r="AD373" s="27" t="n">
        <f aca="false">SUMIFS(super1[Qtde],super1[Item],tab_alimentos[[#This Row],[Item]],super1[Bairro],extras)+SUMIFS(supercb[Qtde],supercb[Item],tab_alimentos[[#This Row],[Item]],supercb[Bairro],extras)</f>
        <v>0</v>
      </c>
      <c r="AE373" s="27" t="n">
        <f aca="false">SUM(L373:AC373)</f>
        <v>0</v>
      </c>
      <c r="AF373" s="27" t="n">
        <f aca="false">IFERROR(AE373*K373,0)</f>
        <v>0</v>
      </c>
      <c r="AG373" s="28" t="n">
        <f aca="false">IFERROR(J373*AE373,0)</f>
        <v>0</v>
      </c>
    </row>
    <row r="374" customFormat="false" ht="15" hidden="false" customHeight="false" outlineLevel="0" collapsed="false">
      <c r="I374" s="26" t="e">
        <f aca="false">alimentos[[#This Row],[Item]]</f>
        <v>#VALUE!</v>
      </c>
      <c r="J374" s="27" t="n">
        <f aca="false">IFERROR(alimentos[[#This Row],[kg/embalagem]],0)</f>
        <v>0</v>
      </c>
      <c r="K374" s="27" t="n">
        <f aca="false">IFERROR(alimentos[[#This Row],[Preço]],0)</f>
        <v>0</v>
      </c>
      <c r="L374" s="27" t="n">
        <f aca="false">SUMIFS(super1[Qtde],super1[Item],tab_alimentos[[#This Row],[Item]],super1[Bairro],mercado1)+SUMIFS(supercb[Qtde],supercb[Item],tab_alimentos[[#This Row],[Item]],supercb[Bairro],mercado1)</f>
        <v>0</v>
      </c>
      <c r="M374" s="27" t="n">
        <f aca="false">SUMIFS(super1[Qtde],super1[Item],tab_alimentos[[#This Row],[Item]],super1[Bairro],mercado2)+SUMIFS(supercb[Qtde],supercb[Item],tab_alimentos[[#This Row],[Item]],supercb[Bairro],mercado2)</f>
        <v>0</v>
      </c>
      <c r="N374" s="27" t="n">
        <f aca="false">SUMIFS(super1[Qtde],super1[Item],tab_alimentos[[#This Row],[Item]],super1[Bairro],mercado3)+SUMIFS(supercb[Qtde],supercb[Item],tab_alimentos[[#This Row],[Item]],supercb[Bairro],mercado3)</f>
        <v>0</v>
      </c>
      <c r="O374" s="27" t="n">
        <f aca="false">SUMIFS(super1[Qtde],super1[Item],tab_alimentos[[#This Row],[Item]],super1[Bairro],mercado4)+SUMIFS(supercb[Qtde],supercb[Item],tab_alimentos[[#This Row],[Item]],supercb[Bairro],mercado4)</f>
        <v>0</v>
      </c>
      <c r="P374" s="27" t="n">
        <f aca="false">SUMIFS(super1[Qtde],super1[Item],tab_alimentos[[#This Row],[Item]],super1[Bairro],mercado5)+SUMIFS(supercb[Qtde],supercb[Item],tab_alimentos[[#This Row],[Item]],supercb[Bairro],mercado5)</f>
        <v>0</v>
      </c>
      <c r="Q374" s="27" t="n">
        <f aca="false">SUMIFS(super1[Qtde],super1[Item],tab_alimentos[[#This Row],[Item]],super1[Bairro],mercado6)+SUMIFS(supercb[Qtde],supercb[Item],tab_alimentos[[#This Row],[Item]],supercb[Bairro],mercado6)</f>
        <v>0</v>
      </c>
      <c r="R374" s="27" t="n">
        <f aca="false">SUMIFS(super1[Qtde],super1[Item],tab_alimentos[[#This Row],[Item]],super1[Bairro],mercado7)+SUMIFS(supercb[Qtde],supercb[Item],tab_alimentos[[#This Row],[Item]],supercb[Bairro],mercado7)</f>
        <v>0</v>
      </c>
      <c r="S374" s="27" t="n">
        <f aca="false">SUMIFS(super1[Qtde],super1[Item],tab_alimentos[[#This Row],[Item]],super1[Bairro],mercado8)+SUMIFS(supercb[Qtde],supercb[Item],tab_alimentos[[#This Row],[Item]],supercb[Bairro],mercado8)</f>
        <v>0</v>
      </c>
      <c r="T374" s="27" t="n">
        <f aca="false">SUMIFS(super1[Qtde],super1[Item],tab_alimentos[[#This Row],[Item]],super1[Bairro],mercado9)+SUMIFS(supercb[Qtde],supercb[Item],tab_alimentos[[#This Row],[Item]],supercb[Bairro],mercado9)</f>
        <v>0</v>
      </c>
      <c r="U374" s="27" t="n">
        <f aca="false">SUMIFS(super1[Qtde],super1[Item],tab_alimentos[[#This Row],[Item]],super1[Bairro],mercado10)+SUMIFS(supercb[Qtde],supercb[Item],tab_alimentos[[#This Row],[Item]],supercb[Bairro],mercado10)</f>
        <v>0</v>
      </c>
      <c r="V374" s="27" t="n">
        <f aca="false">SUMIFS(super1[Qtde],super1[Item],tab_alimentos[[#This Row],[Item]],super1[Bairro],mercado11)+SUMIFS(supercb[Qtde],supercb[Item],tab_alimentos[[#This Row],[Item]],supercb[Bairro],mercado11)</f>
        <v>0</v>
      </c>
      <c r="W374" s="27" t="n">
        <f aca="false">SUMIFS(super1[Qtde],super1[Item],tab_alimentos[[#This Row],[Item]],super1[Bairro],mercado12)+SUMIFS(supercb[Qtde],supercb[Item],tab_alimentos[[#This Row],[Item]],supercb[Bairro],mercado12)</f>
        <v>0</v>
      </c>
      <c r="X374" s="27" t="n">
        <f aca="false">SUMIFS(super1[Qtde],super1[Item],tab_alimentos[[#This Row],[Item]],super1[Bairro],mercado13)+SUMIFS(supercb[Qtde],supercb[Item],tab_alimentos[[#This Row],[Item]],supercb[Bairro],mercado13)</f>
        <v>0</v>
      </c>
      <c r="Y374" s="27" t="n">
        <f aca="false">SUMIFS(super1[Qtde],super1[Item],tab_alimentos[[#This Row],[Item]],super1[Bairro],mercado14)+SUMIFS(supercb[Qtde],supercb[Item],tab_alimentos[[#This Row],[Item]],supercb[Bairro],mercado14)</f>
        <v>0</v>
      </c>
      <c r="Z374" s="27" t="n">
        <f aca="false">SUMIFS(super1[Qtde],super1[Item],tab_alimentos[[#This Row],[Item]],super1[Bairro],mercado15)+SUMIFS(supercb[Qtde],supercb[Item],tab_alimentos[[#This Row],[Item]],supercb[Bairro],mercado15)</f>
        <v>0</v>
      </c>
      <c r="AA374" s="27" t="n">
        <f aca="false">SUMIFS(super1[Qtde],super1[Item],tab_alimentos[[#This Row],[Item]],super1[Bairro],mercado16)+SUMIFS(supercb[Qtde],supercb[Item],tab_alimentos[[#This Row],[Item]],supercb[Bairro],mercado16)</f>
        <v>0</v>
      </c>
      <c r="AB374" s="27" t="n">
        <f aca="false">SUMIFS(super1[Qtde],super1[Item],tab_alimentos[[#This Row],[Item]],super1[Bairro],mercado17)+SUMIFS(supercb[Qtde],supercb[Item],tab_alimentos[[#This Row],[Item]],supercb[Bairro],mercado17)</f>
        <v>0</v>
      </c>
      <c r="AC374" s="27" t="n">
        <f aca="false">SUMIFS(super1[Qtde],super1[Item],tab_alimentos[[#This Row],[Item]],super1[Bairro],mercado18)+SUMIFS(supercb[Qtde],supercb[Item],tab_alimentos[[#This Row],[Item]],supercb[Bairro],mercado18)</f>
        <v>0</v>
      </c>
      <c r="AD374" s="27" t="n">
        <f aca="false">SUMIFS(super1[Qtde],super1[Item],tab_alimentos[[#This Row],[Item]],super1[Bairro],extras)+SUMIFS(supercb[Qtde],supercb[Item],tab_alimentos[[#This Row],[Item]],supercb[Bairro],extras)</f>
        <v>0</v>
      </c>
      <c r="AE374" s="27" t="n">
        <f aca="false">SUM(L374:AC374)</f>
        <v>0</v>
      </c>
      <c r="AF374" s="27" t="n">
        <f aca="false">IFERROR(AE374*K374,0)</f>
        <v>0</v>
      </c>
      <c r="AG374" s="28" t="n">
        <f aca="false">IFERROR(J374*AE374,0)</f>
        <v>0</v>
      </c>
    </row>
    <row r="375" customFormat="false" ht="15" hidden="false" customHeight="false" outlineLevel="0" collapsed="false">
      <c r="I375" s="26" t="e">
        <f aca="false">alimentos[[#This Row],[Item]]</f>
        <v>#VALUE!</v>
      </c>
      <c r="J375" s="27" t="n">
        <f aca="false">IFERROR(alimentos[[#This Row],[kg/embalagem]],0)</f>
        <v>0</v>
      </c>
      <c r="K375" s="27" t="n">
        <f aca="false">IFERROR(alimentos[[#This Row],[Preço]],0)</f>
        <v>0</v>
      </c>
      <c r="L375" s="27" t="n">
        <f aca="false">SUMIFS(super1[Qtde],super1[Item],tab_alimentos[[#This Row],[Item]],super1[Bairro],mercado1)+SUMIFS(supercb[Qtde],supercb[Item],tab_alimentos[[#This Row],[Item]],supercb[Bairro],mercado1)</f>
        <v>0</v>
      </c>
      <c r="M375" s="27" t="n">
        <f aca="false">SUMIFS(super1[Qtde],super1[Item],tab_alimentos[[#This Row],[Item]],super1[Bairro],mercado2)+SUMIFS(supercb[Qtde],supercb[Item],tab_alimentos[[#This Row],[Item]],supercb[Bairro],mercado2)</f>
        <v>0</v>
      </c>
      <c r="N375" s="27" t="n">
        <f aca="false">SUMIFS(super1[Qtde],super1[Item],tab_alimentos[[#This Row],[Item]],super1[Bairro],mercado3)+SUMIFS(supercb[Qtde],supercb[Item],tab_alimentos[[#This Row],[Item]],supercb[Bairro],mercado3)</f>
        <v>0</v>
      </c>
      <c r="O375" s="27" t="n">
        <f aca="false">SUMIFS(super1[Qtde],super1[Item],tab_alimentos[[#This Row],[Item]],super1[Bairro],mercado4)+SUMIFS(supercb[Qtde],supercb[Item],tab_alimentos[[#This Row],[Item]],supercb[Bairro],mercado4)</f>
        <v>0</v>
      </c>
      <c r="P375" s="27" t="n">
        <f aca="false">SUMIFS(super1[Qtde],super1[Item],tab_alimentos[[#This Row],[Item]],super1[Bairro],mercado5)+SUMIFS(supercb[Qtde],supercb[Item],tab_alimentos[[#This Row],[Item]],supercb[Bairro],mercado5)</f>
        <v>0</v>
      </c>
      <c r="Q375" s="27" t="n">
        <f aca="false">SUMIFS(super1[Qtde],super1[Item],tab_alimentos[[#This Row],[Item]],super1[Bairro],mercado6)+SUMIFS(supercb[Qtde],supercb[Item],tab_alimentos[[#This Row],[Item]],supercb[Bairro],mercado6)</f>
        <v>0</v>
      </c>
      <c r="R375" s="27" t="n">
        <f aca="false">SUMIFS(super1[Qtde],super1[Item],tab_alimentos[[#This Row],[Item]],super1[Bairro],mercado7)+SUMIFS(supercb[Qtde],supercb[Item],tab_alimentos[[#This Row],[Item]],supercb[Bairro],mercado7)</f>
        <v>0</v>
      </c>
      <c r="S375" s="27" t="n">
        <f aca="false">SUMIFS(super1[Qtde],super1[Item],tab_alimentos[[#This Row],[Item]],super1[Bairro],mercado8)+SUMIFS(supercb[Qtde],supercb[Item],tab_alimentos[[#This Row],[Item]],supercb[Bairro],mercado8)</f>
        <v>0</v>
      </c>
      <c r="T375" s="27" t="n">
        <f aca="false">SUMIFS(super1[Qtde],super1[Item],tab_alimentos[[#This Row],[Item]],super1[Bairro],mercado9)+SUMIFS(supercb[Qtde],supercb[Item],tab_alimentos[[#This Row],[Item]],supercb[Bairro],mercado9)</f>
        <v>0</v>
      </c>
      <c r="U375" s="27" t="n">
        <f aca="false">SUMIFS(super1[Qtde],super1[Item],tab_alimentos[[#This Row],[Item]],super1[Bairro],mercado10)+SUMIFS(supercb[Qtde],supercb[Item],tab_alimentos[[#This Row],[Item]],supercb[Bairro],mercado10)</f>
        <v>0</v>
      </c>
      <c r="V375" s="27" t="n">
        <f aca="false">SUMIFS(super1[Qtde],super1[Item],tab_alimentos[[#This Row],[Item]],super1[Bairro],mercado11)+SUMIFS(supercb[Qtde],supercb[Item],tab_alimentos[[#This Row],[Item]],supercb[Bairro],mercado11)</f>
        <v>0</v>
      </c>
      <c r="W375" s="27" t="n">
        <f aca="false">SUMIFS(super1[Qtde],super1[Item],tab_alimentos[[#This Row],[Item]],super1[Bairro],mercado12)+SUMIFS(supercb[Qtde],supercb[Item],tab_alimentos[[#This Row],[Item]],supercb[Bairro],mercado12)</f>
        <v>0</v>
      </c>
      <c r="X375" s="27" t="n">
        <f aca="false">SUMIFS(super1[Qtde],super1[Item],tab_alimentos[[#This Row],[Item]],super1[Bairro],mercado13)+SUMIFS(supercb[Qtde],supercb[Item],tab_alimentos[[#This Row],[Item]],supercb[Bairro],mercado13)</f>
        <v>0</v>
      </c>
      <c r="Y375" s="27" t="n">
        <f aca="false">SUMIFS(super1[Qtde],super1[Item],tab_alimentos[[#This Row],[Item]],super1[Bairro],mercado14)+SUMIFS(supercb[Qtde],supercb[Item],tab_alimentos[[#This Row],[Item]],supercb[Bairro],mercado14)</f>
        <v>0</v>
      </c>
      <c r="Z375" s="27" t="n">
        <f aca="false">SUMIFS(super1[Qtde],super1[Item],tab_alimentos[[#This Row],[Item]],super1[Bairro],mercado15)+SUMIFS(supercb[Qtde],supercb[Item],tab_alimentos[[#This Row],[Item]],supercb[Bairro],mercado15)</f>
        <v>0</v>
      </c>
      <c r="AA375" s="27" t="n">
        <f aca="false">SUMIFS(super1[Qtde],super1[Item],tab_alimentos[[#This Row],[Item]],super1[Bairro],mercado16)+SUMIFS(supercb[Qtde],supercb[Item],tab_alimentos[[#This Row],[Item]],supercb[Bairro],mercado16)</f>
        <v>0</v>
      </c>
      <c r="AB375" s="27" t="n">
        <f aca="false">SUMIFS(super1[Qtde],super1[Item],tab_alimentos[[#This Row],[Item]],super1[Bairro],mercado17)+SUMIFS(supercb[Qtde],supercb[Item],tab_alimentos[[#This Row],[Item]],supercb[Bairro],mercado17)</f>
        <v>0</v>
      </c>
      <c r="AC375" s="27" t="n">
        <f aca="false">SUMIFS(super1[Qtde],super1[Item],tab_alimentos[[#This Row],[Item]],super1[Bairro],mercado18)+SUMIFS(supercb[Qtde],supercb[Item],tab_alimentos[[#This Row],[Item]],supercb[Bairro],mercado18)</f>
        <v>0</v>
      </c>
      <c r="AD375" s="27" t="n">
        <f aca="false">SUMIFS(super1[Qtde],super1[Item],tab_alimentos[[#This Row],[Item]],super1[Bairro],extras)+SUMIFS(supercb[Qtde],supercb[Item],tab_alimentos[[#This Row],[Item]],supercb[Bairro],extras)</f>
        <v>0</v>
      </c>
      <c r="AE375" s="27" t="n">
        <f aca="false">SUM(L375:AC375)</f>
        <v>0</v>
      </c>
      <c r="AF375" s="27" t="n">
        <f aca="false">IFERROR(AE375*K375,0)</f>
        <v>0</v>
      </c>
      <c r="AG375" s="28" t="n">
        <f aca="false">IFERROR(J375*AE375,0)</f>
        <v>0</v>
      </c>
    </row>
  </sheetData>
  <mergeCells count="21">
    <mergeCell ref="A3:G3"/>
    <mergeCell ref="I3:AG3"/>
    <mergeCell ref="AH3:BF3"/>
    <mergeCell ref="BI3:BN3"/>
    <mergeCell ref="BP3:BW3"/>
    <mergeCell ref="A5:C5"/>
    <mergeCell ref="D5:G5"/>
    <mergeCell ref="A7:A8"/>
    <mergeCell ref="B7:C7"/>
    <mergeCell ref="D7:E7"/>
    <mergeCell ref="F7:G7"/>
    <mergeCell ref="A31:G31"/>
    <mergeCell ref="A32:G33"/>
    <mergeCell ref="A34:G34"/>
    <mergeCell ref="A35:G36"/>
    <mergeCell ref="A37:G37"/>
    <mergeCell ref="A38:G39"/>
    <mergeCell ref="A40:G40"/>
    <mergeCell ref="A41:G42"/>
    <mergeCell ref="A43:G43"/>
    <mergeCell ref="A44:G45"/>
  </mergeCells>
  <conditionalFormatting sqref="K5:AG375 AJ5:BF315">
    <cfRule type="cellIs" priority="2" operator="greaterThan" aboveAverage="0" equalAverage="0" bottom="0" percent="0" rank="0" text="" dxfId="0">
      <formula>0</formula>
    </cfRule>
  </conditionalFormatting>
  <conditionalFormatting sqref="A32">
    <cfRule type="cellIs" priority="3" operator="greaterThan" aboveAverage="0" equalAverage="0" bottom="0" percent="0" rank="0" text="" dxfId="1">
      <formula>0</formula>
    </cfRule>
  </conditionalFormatting>
  <conditionalFormatting sqref="A35">
    <cfRule type="cellIs" priority="4" operator="greaterThan" aboveAverage="0" equalAverage="0" bottom="0" percent="0" rank="0" text="" dxfId="2">
      <formula>0</formula>
    </cfRule>
  </conditionalFormatting>
  <conditionalFormatting sqref="A44">
    <cfRule type="cellIs" priority="5" operator="greaterThan" aboveAverage="0" equalAverage="0" bottom="0" percent="0" rank="0" text="" dxfId="3">
      <formula>0</formula>
    </cfRule>
  </conditionalFormatting>
  <conditionalFormatting sqref="A41">
    <cfRule type="cellIs" priority="6" operator="greaterThan" aboveAverage="0" equalAverage="0" bottom="0" percent="0" rank="0" text="" dxfId="0">
      <formula>0</formula>
    </cfRule>
  </conditionalFormatting>
  <conditionalFormatting sqref="A38">
    <cfRule type="cellIs" priority="7" operator="greaterThan" aboveAverage="0" equalAverage="0" bottom="0" percent="0" rank="0" text="" dxfId="1">
      <formula>0</formula>
    </cfRule>
  </conditionalFormatting>
  <hyperlinks>
    <hyperlink ref="I1" location="toporesumo" display="Topo"/>
    <hyperlink ref="A3" location="topocategorias" display="Categorias"/>
    <hyperlink ref="A5" location="topo1" display="Cadastro"/>
    <hyperlink ref="D5" location="topo_cb" display="CadastroCB"/>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tableParts>
    <tablePart r:id="rId2"/>
    <tablePart r:id="rId3"/>
  </tableParts>
</worksheet>
</file>

<file path=xl/worksheets/sheet4.xml><?xml version="1.0" encoding="utf-8"?>
<worksheet xmlns="http://schemas.openxmlformats.org/spreadsheetml/2006/main" xmlns:r="http://schemas.openxmlformats.org/officeDocument/2006/relationships">
  <sheetPr filterMode="false">
    <tabColor rgb="FF92D050"/>
    <pageSetUpPr fitToPage="false"/>
  </sheetPr>
  <dimension ref="A3:J9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R7" activeCellId="0" sqref="R7"/>
    </sheetView>
  </sheetViews>
  <sheetFormatPr defaultRowHeight="15" zeroHeight="false" outlineLevelRow="0" outlineLevelCol="0"/>
  <cols>
    <col collapsed="false" customWidth="true" hidden="false" outlineLevel="0" max="1" min="1" style="0" width="17"/>
    <col collapsed="false" customWidth="true" hidden="false" outlineLevel="0" max="2" min="2" style="0" width="16.71"/>
    <col collapsed="false" customWidth="true" hidden="false" outlineLevel="0" max="8" min="3" style="0" width="16.57"/>
    <col collapsed="false" customWidth="true" hidden="false" outlineLevel="0" max="9" min="9" style="0" width="17.57"/>
    <col collapsed="false" customWidth="true" hidden="false" outlineLevel="0" max="10" min="10" style="0" width="16.71"/>
    <col collapsed="false" customWidth="true" hidden="false" outlineLevel="0" max="16" min="11" style="0" width="8.53"/>
    <col collapsed="false" customWidth="true" hidden="false" outlineLevel="0" max="17" min="17" style="0" width="26.42"/>
    <col collapsed="false" customWidth="true" hidden="false" outlineLevel="0" max="18" min="18" style="0" width="22.43"/>
    <col collapsed="false" customWidth="true" hidden="false" outlineLevel="0" max="1025" min="19" style="0" width="8.53"/>
  </cols>
  <sheetData>
    <row r="3" customFormat="false" ht="15" hidden="false" customHeight="false" outlineLevel="0" collapsed="false">
      <c r="A3" s="41" t="s">
        <v>4</v>
      </c>
      <c r="B3" s="42" t="s">
        <v>375</v>
      </c>
      <c r="I3" s="41" t="s">
        <v>4</v>
      </c>
      <c r="J3" s="42" t="s">
        <v>375</v>
      </c>
    </row>
    <row r="4" customFormat="false" ht="15" hidden="false" customHeight="false" outlineLevel="0" collapsed="false">
      <c r="A4" s="43" t="s">
        <v>259</v>
      </c>
      <c r="B4" s="44" t="n">
        <v>0</v>
      </c>
      <c r="I4" s="43" t="s">
        <v>181</v>
      </c>
      <c r="J4" s="44" t="n">
        <v>0</v>
      </c>
    </row>
    <row r="5" customFormat="false" ht="15" hidden="false" customHeight="false" outlineLevel="0" collapsed="false">
      <c r="A5" s="45" t="s">
        <v>36</v>
      </c>
      <c r="B5" s="46" t="n">
        <v>6</v>
      </c>
      <c r="I5" s="45" t="s">
        <v>170</v>
      </c>
      <c r="J5" s="46" t="n">
        <v>0</v>
      </c>
    </row>
    <row r="6" customFormat="false" ht="15" hidden="false" customHeight="false" outlineLevel="0" collapsed="false">
      <c r="A6" s="45" t="s">
        <v>72</v>
      </c>
      <c r="B6" s="46" t="n">
        <v>8</v>
      </c>
      <c r="I6" s="45" t="s">
        <v>23</v>
      </c>
      <c r="J6" s="46" t="n">
        <v>1</v>
      </c>
    </row>
    <row r="7" customFormat="false" ht="15" hidden="false" customHeight="false" outlineLevel="0" collapsed="false">
      <c r="A7" s="45" t="s">
        <v>37</v>
      </c>
      <c r="B7" s="46" t="n">
        <v>8</v>
      </c>
      <c r="I7" s="45" t="s">
        <v>66</v>
      </c>
      <c r="J7" s="46" t="n">
        <v>0</v>
      </c>
    </row>
    <row r="8" customFormat="false" ht="15" hidden="false" customHeight="false" outlineLevel="0" collapsed="false">
      <c r="A8" s="45" t="s">
        <v>376</v>
      </c>
      <c r="B8" s="46" t="n">
        <v>0</v>
      </c>
      <c r="I8" s="45" t="s">
        <v>377</v>
      </c>
      <c r="J8" s="46" t="n">
        <v>0</v>
      </c>
    </row>
    <row r="9" customFormat="false" ht="15" hidden="false" customHeight="false" outlineLevel="0" collapsed="false">
      <c r="A9" s="45" t="s">
        <v>281</v>
      </c>
      <c r="B9" s="46" t="n">
        <v>0</v>
      </c>
      <c r="I9" s="45" t="s">
        <v>378</v>
      </c>
      <c r="J9" s="46" t="n">
        <v>0</v>
      </c>
    </row>
    <row r="10" customFormat="false" ht="15" hidden="false" customHeight="false" outlineLevel="0" collapsed="false">
      <c r="A10" s="45" t="s">
        <v>250</v>
      </c>
      <c r="B10" s="46" t="n">
        <v>0</v>
      </c>
      <c r="I10" s="45" t="s">
        <v>93</v>
      </c>
      <c r="J10" s="46" t="n">
        <v>2</v>
      </c>
    </row>
    <row r="11" customFormat="false" ht="15" hidden="false" customHeight="false" outlineLevel="0" collapsed="false">
      <c r="A11" s="45" t="s">
        <v>379</v>
      </c>
      <c r="B11" s="46" t="n">
        <v>0</v>
      </c>
      <c r="I11" s="45" t="s">
        <v>199</v>
      </c>
      <c r="J11" s="46" t="n">
        <v>0</v>
      </c>
    </row>
    <row r="12" customFormat="false" ht="15" hidden="false" customHeight="false" outlineLevel="0" collapsed="false">
      <c r="A12" s="45" t="s">
        <v>380</v>
      </c>
      <c r="B12" s="46" t="n">
        <v>0</v>
      </c>
      <c r="I12" s="45" t="s">
        <v>114</v>
      </c>
      <c r="J12" s="46" t="n">
        <v>1</v>
      </c>
    </row>
    <row r="13" customFormat="false" ht="15" hidden="false" customHeight="false" outlineLevel="0" collapsed="false">
      <c r="A13" s="45" t="s">
        <v>70</v>
      </c>
      <c r="B13" s="46" t="n">
        <v>3</v>
      </c>
      <c r="I13" s="45" t="s">
        <v>48</v>
      </c>
      <c r="J13" s="46" t="n">
        <v>0</v>
      </c>
    </row>
    <row r="14" customFormat="false" ht="15" hidden="false" customHeight="false" outlineLevel="0" collapsed="false">
      <c r="A14" s="45" t="s">
        <v>381</v>
      </c>
      <c r="B14" s="46" t="n">
        <v>0</v>
      </c>
      <c r="I14" s="45" t="s">
        <v>139</v>
      </c>
      <c r="J14" s="46" t="n">
        <v>0</v>
      </c>
    </row>
    <row r="15" customFormat="false" ht="15" hidden="false" customHeight="false" outlineLevel="0" collapsed="false">
      <c r="A15" s="45" t="s">
        <v>382</v>
      </c>
      <c r="B15" s="46" t="n">
        <v>0</v>
      </c>
      <c r="I15" s="45" t="s">
        <v>27</v>
      </c>
      <c r="J15" s="46" t="n">
        <v>28</v>
      </c>
    </row>
    <row r="16" customFormat="false" ht="15" hidden="false" customHeight="false" outlineLevel="0" collapsed="false">
      <c r="A16" s="45" t="s">
        <v>76</v>
      </c>
      <c r="B16" s="46" t="n">
        <v>3</v>
      </c>
      <c r="I16" s="45" t="s">
        <v>71</v>
      </c>
      <c r="J16" s="46" t="n">
        <v>1</v>
      </c>
    </row>
    <row r="17" customFormat="false" ht="15" hidden="false" customHeight="false" outlineLevel="0" collapsed="false">
      <c r="A17" s="45" t="s">
        <v>383</v>
      </c>
      <c r="B17" s="46" t="n">
        <v>0</v>
      </c>
      <c r="I17" s="45" t="s">
        <v>187</v>
      </c>
      <c r="J17" s="46" t="n">
        <v>0</v>
      </c>
    </row>
    <row r="18" customFormat="false" ht="15" hidden="false" customHeight="false" outlineLevel="0" collapsed="false">
      <c r="A18" s="45" t="s">
        <v>104</v>
      </c>
      <c r="B18" s="46" t="n">
        <v>1</v>
      </c>
      <c r="I18" s="45" t="s">
        <v>73</v>
      </c>
      <c r="J18" s="46" t="n">
        <v>0</v>
      </c>
    </row>
    <row r="19" customFormat="false" ht="15" hidden="false" customHeight="false" outlineLevel="0" collapsed="false">
      <c r="A19" s="45" t="s">
        <v>64</v>
      </c>
      <c r="B19" s="46" t="n">
        <v>0</v>
      </c>
      <c r="I19" s="45" t="s">
        <v>250</v>
      </c>
      <c r="J19" s="46" t="n">
        <v>0</v>
      </c>
    </row>
    <row r="20" customFormat="false" ht="15" hidden="false" customHeight="false" outlineLevel="0" collapsed="false">
      <c r="A20" s="45" t="s">
        <v>15</v>
      </c>
      <c r="B20" s="46" t="n">
        <v>32</v>
      </c>
      <c r="I20" s="45" t="s">
        <v>47</v>
      </c>
      <c r="J20" s="46" t="n">
        <v>0</v>
      </c>
    </row>
    <row r="21" customFormat="false" ht="15" hidden="false" customHeight="false" outlineLevel="0" collapsed="false">
      <c r="A21" s="45" t="s">
        <v>33</v>
      </c>
      <c r="B21" s="46" t="n">
        <v>3</v>
      </c>
      <c r="I21" s="45" t="s">
        <v>179</v>
      </c>
      <c r="J21" s="46" t="n">
        <v>0</v>
      </c>
    </row>
    <row r="22" customFormat="false" ht="15" hidden="false" customHeight="false" outlineLevel="0" collapsed="false">
      <c r="A22" s="45" t="s">
        <v>384</v>
      </c>
      <c r="B22" s="46" t="n">
        <v>0</v>
      </c>
      <c r="I22" s="45" t="s">
        <v>209</v>
      </c>
      <c r="J22" s="46" t="n">
        <v>0</v>
      </c>
    </row>
    <row r="23" customFormat="false" ht="15" hidden="false" customHeight="false" outlineLevel="0" collapsed="false">
      <c r="A23" s="45" t="s">
        <v>74</v>
      </c>
      <c r="B23" s="46" t="n">
        <v>1</v>
      </c>
      <c r="I23" s="45" t="s">
        <v>385</v>
      </c>
      <c r="J23" s="46" t="n">
        <v>0</v>
      </c>
    </row>
    <row r="24" customFormat="false" ht="15" hidden="false" customHeight="false" outlineLevel="0" collapsed="false">
      <c r="A24" s="45" t="s">
        <v>386</v>
      </c>
      <c r="B24" s="46" t="n">
        <v>0</v>
      </c>
      <c r="I24" s="45" t="s">
        <v>387</v>
      </c>
      <c r="J24" s="46" t="n">
        <v>0</v>
      </c>
    </row>
    <row r="25" customFormat="false" ht="15" hidden="false" customHeight="false" outlineLevel="0" collapsed="false">
      <c r="A25" s="45" t="s">
        <v>141</v>
      </c>
      <c r="B25" s="46" t="n">
        <v>1</v>
      </c>
      <c r="I25" s="45" t="s">
        <v>388</v>
      </c>
      <c r="J25" s="46" t="n">
        <v>0</v>
      </c>
    </row>
    <row r="26" customFormat="false" ht="15" hidden="false" customHeight="false" outlineLevel="0" collapsed="false">
      <c r="A26" s="45" t="s">
        <v>389</v>
      </c>
      <c r="B26" s="46" t="n">
        <v>0</v>
      </c>
      <c r="I26" s="45" t="s">
        <v>390</v>
      </c>
      <c r="J26" s="46" t="n">
        <v>0</v>
      </c>
    </row>
    <row r="27" customFormat="false" ht="15" hidden="false" customHeight="false" outlineLevel="0" collapsed="false">
      <c r="A27" s="45" t="s">
        <v>391</v>
      </c>
      <c r="B27" s="46" t="n">
        <v>0</v>
      </c>
      <c r="I27" s="45" t="s">
        <v>195</v>
      </c>
      <c r="J27" s="46" t="n">
        <v>0</v>
      </c>
    </row>
    <row r="28" customFormat="false" ht="15" hidden="false" customHeight="false" outlineLevel="0" collapsed="false">
      <c r="A28" s="45" t="s">
        <v>392</v>
      </c>
      <c r="B28" s="46" t="n">
        <v>0</v>
      </c>
      <c r="I28" s="45" t="s">
        <v>393</v>
      </c>
      <c r="J28" s="46" t="n">
        <v>0</v>
      </c>
    </row>
    <row r="29" customFormat="false" ht="15" hidden="false" customHeight="false" outlineLevel="0" collapsed="false">
      <c r="A29" s="45" t="s">
        <v>394</v>
      </c>
      <c r="B29" s="46" t="n">
        <v>0</v>
      </c>
      <c r="I29" s="45" t="s">
        <v>395</v>
      </c>
      <c r="J29" s="46" t="n">
        <v>0</v>
      </c>
    </row>
    <row r="30" customFormat="false" ht="15" hidden="false" customHeight="false" outlineLevel="0" collapsed="false">
      <c r="A30" s="45" t="s">
        <v>396</v>
      </c>
      <c r="B30" s="46" t="n">
        <v>0</v>
      </c>
      <c r="I30" s="45" t="s">
        <v>397</v>
      </c>
      <c r="J30" s="46" t="n">
        <v>0</v>
      </c>
    </row>
    <row r="31" customFormat="false" ht="15" hidden="false" customHeight="false" outlineLevel="0" collapsed="false">
      <c r="A31" s="45" t="s">
        <v>398</v>
      </c>
      <c r="B31" s="46" t="n">
        <v>0</v>
      </c>
      <c r="I31" s="45" t="s">
        <v>399</v>
      </c>
      <c r="J31" s="46" t="n">
        <v>0</v>
      </c>
    </row>
    <row r="32" customFormat="false" ht="15" hidden="false" customHeight="false" outlineLevel="0" collapsed="false">
      <c r="A32" s="45" t="s">
        <v>400</v>
      </c>
      <c r="B32" s="46" t="n">
        <v>0</v>
      </c>
      <c r="I32" s="45" t="s">
        <v>401</v>
      </c>
      <c r="J32" s="46" t="n">
        <v>0</v>
      </c>
    </row>
    <row r="33" customFormat="false" ht="15" hidden="false" customHeight="false" outlineLevel="0" collapsed="false">
      <c r="A33" s="45" t="s">
        <v>402</v>
      </c>
      <c r="B33" s="46" t="n">
        <v>0</v>
      </c>
      <c r="I33" s="45" t="s">
        <v>403</v>
      </c>
      <c r="J33" s="46" t="n">
        <v>0</v>
      </c>
    </row>
    <row r="34" customFormat="false" ht="15" hidden="false" customHeight="false" outlineLevel="0" collapsed="false">
      <c r="A34" s="45" t="s">
        <v>404</v>
      </c>
      <c r="B34" s="46" t="n">
        <v>0</v>
      </c>
      <c r="I34" s="45" t="s">
        <v>405</v>
      </c>
      <c r="J34" s="46" t="n">
        <v>0</v>
      </c>
    </row>
    <row r="35" customFormat="false" ht="15" hidden="false" customHeight="false" outlineLevel="0" collapsed="false">
      <c r="A35" s="45" t="s">
        <v>406</v>
      </c>
      <c r="B35" s="46" t="n">
        <v>0</v>
      </c>
      <c r="I35" s="45" t="s">
        <v>407</v>
      </c>
      <c r="J35" s="46" t="n">
        <v>0</v>
      </c>
    </row>
    <row r="36" customFormat="false" ht="15" hidden="false" customHeight="false" outlineLevel="0" collapsed="false">
      <c r="A36" s="45" t="s">
        <v>408</v>
      </c>
      <c r="B36" s="46" t="n">
        <v>0</v>
      </c>
      <c r="I36" s="45" t="s">
        <v>24</v>
      </c>
      <c r="J36" s="46" t="n">
        <v>0</v>
      </c>
    </row>
    <row r="37" customFormat="false" ht="15" hidden="false" customHeight="false" outlineLevel="0" collapsed="false">
      <c r="A37" s="45" t="s">
        <v>409</v>
      </c>
      <c r="B37" s="46" t="n">
        <v>0</v>
      </c>
      <c r="I37" s="45" t="s">
        <v>410</v>
      </c>
      <c r="J37" s="46" t="n">
        <v>0</v>
      </c>
    </row>
    <row r="38" customFormat="false" ht="15" hidden="false" customHeight="false" outlineLevel="0" collapsed="false">
      <c r="A38" s="45" t="s">
        <v>411</v>
      </c>
      <c r="B38" s="46" t="n">
        <v>0</v>
      </c>
      <c r="I38" s="45" t="s">
        <v>412</v>
      </c>
      <c r="J38" s="46" t="n">
        <v>0</v>
      </c>
    </row>
    <row r="39" customFormat="false" ht="15" hidden="false" customHeight="false" outlineLevel="0" collapsed="false">
      <c r="A39" s="45" t="s">
        <v>271</v>
      </c>
      <c r="B39" s="46" t="n">
        <v>0</v>
      </c>
      <c r="I39" s="45" t="s">
        <v>271</v>
      </c>
      <c r="J39" s="46" t="n">
        <v>0</v>
      </c>
    </row>
    <row r="40" customFormat="false" ht="15" hidden="false" customHeight="false" outlineLevel="0" collapsed="false">
      <c r="A40" s="45" t="s">
        <v>166</v>
      </c>
      <c r="B40" s="46" t="n">
        <v>0</v>
      </c>
      <c r="I40" s="45" t="s">
        <v>413</v>
      </c>
      <c r="J40" s="46" t="n">
        <v>0</v>
      </c>
    </row>
    <row r="41" customFormat="false" ht="15" hidden="false" customHeight="false" outlineLevel="0" collapsed="false">
      <c r="A41" s="45" t="s">
        <v>414</v>
      </c>
      <c r="B41" s="46" t="n">
        <v>0</v>
      </c>
      <c r="I41" s="45" t="s">
        <v>415</v>
      </c>
      <c r="J41" s="46" t="n">
        <v>0</v>
      </c>
    </row>
    <row r="42" customFormat="false" ht="15" hidden="false" customHeight="false" outlineLevel="0" collapsed="false">
      <c r="A42" s="45" t="s">
        <v>143</v>
      </c>
      <c r="B42" s="46" t="n">
        <v>0</v>
      </c>
      <c r="I42" s="45" t="s">
        <v>416</v>
      </c>
      <c r="J42" s="46" t="n">
        <v>0</v>
      </c>
    </row>
    <row r="43" customFormat="false" ht="15" hidden="false" customHeight="false" outlineLevel="0" collapsed="false">
      <c r="A43" s="45" t="s">
        <v>216</v>
      </c>
      <c r="B43" s="46" t="n">
        <v>0</v>
      </c>
      <c r="I43" s="45" t="s">
        <v>417</v>
      </c>
      <c r="J43" s="46" t="n">
        <v>0</v>
      </c>
    </row>
    <row r="44" customFormat="false" ht="15" hidden="false" customHeight="false" outlineLevel="0" collapsed="false">
      <c r="A44" s="45" t="s">
        <v>418</v>
      </c>
      <c r="B44" s="46" t="n">
        <v>0</v>
      </c>
      <c r="I44" s="45" t="s">
        <v>419</v>
      </c>
      <c r="J44" s="46" t="n">
        <v>0</v>
      </c>
    </row>
    <row r="45" customFormat="false" ht="15" hidden="false" customHeight="false" outlineLevel="0" collapsed="false">
      <c r="A45" s="45" t="s">
        <v>153</v>
      </c>
      <c r="B45" s="46" t="n">
        <v>0</v>
      </c>
      <c r="I45" s="45" t="s">
        <v>273</v>
      </c>
      <c r="J45" s="46" t="n">
        <v>0</v>
      </c>
    </row>
    <row r="46" customFormat="false" ht="15" hidden="false" customHeight="false" outlineLevel="0" collapsed="false">
      <c r="A46" s="45" t="s">
        <v>149</v>
      </c>
      <c r="B46" s="46" t="n">
        <v>0</v>
      </c>
      <c r="I46" s="45" t="s">
        <v>420</v>
      </c>
      <c r="J46" s="46" t="n">
        <v>0</v>
      </c>
    </row>
    <row r="47" customFormat="false" ht="15" hidden="false" customHeight="false" outlineLevel="0" collapsed="false">
      <c r="A47" s="45" t="s">
        <v>421</v>
      </c>
      <c r="B47" s="46" t="n">
        <v>0</v>
      </c>
      <c r="I47" s="45" t="s">
        <v>422</v>
      </c>
      <c r="J47" s="46" t="n">
        <v>0</v>
      </c>
    </row>
    <row r="48" customFormat="false" ht="15" hidden="false" customHeight="false" outlineLevel="0" collapsed="false">
      <c r="A48" s="45" t="s">
        <v>97</v>
      </c>
      <c r="B48" s="46" t="n">
        <v>0</v>
      </c>
      <c r="I48" s="45" t="s">
        <v>423</v>
      </c>
      <c r="J48" s="46" t="n">
        <v>0</v>
      </c>
    </row>
    <row r="49" customFormat="false" ht="15" hidden="false" customHeight="false" outlineLevel="0" collapsed="false">
      <c r="A49" s="45" t="s">
        <v>424</v>
      </c>
      <c r="B49" s="46" t="n">
        <v>0</v>
      </c>
      <c r="I49" s="45" t="s">
        <v>425</v>
      </c>
      <c r="J49" s="46" t="n">
        <v>0</v>
      </c>
    </row>
    <row r="50" customFormat="false" ht="15" hidden="false" customHeight="false" outlineLevel="0" collapsed="false">
      <c r="A50" s="45" t="s">
        <v>167</v>
      </c>
      <c r="B50" s="46" t="n">
        <v>0</v>
      </c>
      <c r="I50" s="45" t="s">
        <v>426</v>
      </c>
      <c r="J50" s="46" t="n">
        <v>0</v>
      </c>
    </row>
    <row r="51" customFormat="false" ht="15" hidden="false" customHeight="false" outlineLevel="0" collapsed="false">
      <c r="A51" s="45" t="s">
        <v>46</v>
      </c>
      <c r="B51" s="46" t="n">
        <v>3</v>
      </c>
      <c r="I51" s="45" t="s">
        <v>427</v>
      </c>
      <c r="J51" s="46" t="n">
        <v>0</v>
      </c>
    </row>
    <row r="52" customFormat="false" ht="15" hidden="false" customHeight="false" outlineLevel="0" collapsed="false">
      <c r="A52" s="45" t="s">
        <v>68</v>
      </c>
      <c r="B52" s="46" t="n">
        <v>0</v>
      </c>
      <c r="I52" s="45" t="s">
        <v>428</v>
      </c>
      <c r="J52" s="46" t="n">
        <v>0</v>
      </c>
    </row>
    <row r="53" customFormat="false" ht="15" hidden="false" customHeight="false" outlineLevel="0" collapsed="false">
      <c r="A53" s="45" t="s">
        <v>96</v>
      </c>
      <c r="B53" s="46" t="n">
        <v>6</v>
      </c>
      <c r="I53" s="45" t="s">
        <v>275</v>
      </c>
      <c r="J53" s="46" t="n">
        <v>0</v>
      </c>
    </row>
    <row r="54" customFormat="false" ht="15" hidden="false" customHeight="false" outlineLevel="0" collapsed="false">
      <c r="A54" s="45" t="s">
        <v>169</v>
      </c>
      <c r="B54" s="46" t="n">
        <v>0</v>
      </c>
      <c r="I54" s="45" t="s">
        <v>205</v>
      </c>
      <c r="J54" s="46" t="n">
        <v>0</v>
      </c>
    </row>
    <row r="55" customFormat="false" ht="15" hidden="false" customHeight="false" outlineLevel="0" collapsed="false">
      <c r="A55" s="45" t="s">
        <v>429</v>
      </c>
      <c r="B55" s="46" t="n">
        <v>0</v>
      </c>
      <c r="I55" s="45" t="s">
        <v>160</v>
      </c>
      <c r="J55" s="46" t="n">
        <v>1</v>
      </c>
    </row>
    <row r="56" customFormat="false" ht="15" hidden="false" customHeight="false" outlineLevel="0" collapsed="false">
      <c r="A56" s="45" t="s">
        <v>113</v>
      </c>
      <c r="B56" s="46" t="n">
        <v>0</v>
      </c>
      <c r="I56" s="45" t="s">
        <v>86</v>
      </c>
      <c r="J56" s="46" t="n">
        <v>0</v>
      </c>
    </row>
    <row r="57" customFormat="false" ht="15" hidden="false" customHeight="false" outlineLevel="0" collapsed="false">
      <c r="A57" s="45" t="s">
        <v>94</v>
      </c>
      <c r="B57" s="46" t="n">
        <v>0</v>
      </c>
      <c r="I57" s="45" t="s">
        <v>430</v>
      </c>
      <c r="J57" s="46" t="n">
        <v>0</v>
      </c>
    </row>
    <row r="58" customFormat="false" ht="15" hidden="false" customHeight="false" outlineLevel="0" collapsed="false">
      <c r="A58" s="45" t="s">
        <v>88</v>
      </c>
      <c r="B58" s="46" t="n">
        <v>4</v>
      </c>
      <c r="I58" s="45" t="s">
        <v>212</v>
      </c>
      <c r="J58" s="46" t="n">
        <v>0</v>
      </c>
    </row>
    <row r="59" customFormat="false" ht="15" hidden="false" customHeight="false" outlineLevel="0" collapsed="false">
      <c r="A59" s="45" t="s">
        <v>431</v>
      </c>
      <c r="B59" s="46" t="n">
        <v>0</v>
      </c>
      <c r="I59" s="45" t="s">
        <v>92</v>
      </c>
      <c r="J59" s="46" t="n">
        <v>0</v>
      </c>
    </row>
    <row r="60" customFormat="false" ht="15" hidden="false" customHeight="false" outlineLevel="0" collapsed="false">
      <c r="A60" s="45" t="s">
        <v>101</v>
      </c>
      <c r="B60" s="46" t="n">
        <v>3</v>
      </c>
      <c r="I60" s="45" t="s">
        <v>155</v>
      </c>
      <c r="J60" s="46" t="n">
        <v>0</v>
      </c>
    </row>
    <row r="61" customFormat="false" ht="15" hidden="false" customHeight="false" outlineLevel="0" collapsed="false">
      <c r="A61" s="45" t="s">
        <v>432</v>
      </c>
      <c r="B61" s="46" t="n">
        <v>0</v>
      </c>
      <c r="I61" s="45" t="s">
        <v>22</v>
      </c>
      <c r="J61" s="46" t="n">
        <v>0</v>
      </c>
    </row>
    <row r="62" customFormat="false" ht="15" hidden="false" customHeight="false" outlineLevel="0" collapsed="false">
      <c r="A62" s="45" t="s">
        <v>215</v>
      </c>
      <c r="B62" s="46" t="n">
        <v>0</v>
      </c>
      <c r="I62" s="45" t="s">
        <v>433</v>
      </c>
      <c r="J62" s="46" t="n">
        <v>0</v>
      </c>
    </row>
    <row r="63" customFormat="false" ht="15" hidden="false" customHeight="false" outlineLevel="0" collapsed="false">
      <c r="A63" s="45" t="s">
        <v>156</v>
      </c>
      <c r="B63" s="46" t="n">
        <v>7</v>
      </c>
      <c r="I63" s="45" t="s">
        <v>434</v>
      </c>
      <c r="J63" s="46" t="n">
        <v>0</v>
      </c>
    </row>
    <row r="64" customFormat="false" ht="15" hidden="false" customHeight="false" outlineLevel="0" collapsed="false">
      <c r="A64" s="45" t="s">
        <v>67</v>
      </c>
      <c r="B64" s="46" t="n">
        <v>0</v>
      </c>
      <c r="I64" s="45" t="s">
        <v>435</v>
      </c>
      <c r="J64" s="46" t="n">
        <v>0</v>
      </c>
    </row>
    <row r="65" customFormat="false" ht="15" hidden="false" customHeight="false" outlineLevel="0" collapsed="false">
      <c r="A65" s="45" t="s">
        <v>80</v>
      </c>
      <c r="B65" s="46" t="n">
        <v>5</v>
      </c>
      <c r="I65" s="45" t="s">
        <v>436</v>
      </c>
      <c r="J65" s="46" t="n">
        <v>0</v>
      </c>
    </row>
    <row r="66" customFormat="false" ht="15" hidden="false" customHeight="false" outlineLevel="0" collapsed="false">
      <c r="A66" s="45" t="s">
        <v>437</v>
      </c>
      <c r="B66" s="46" t="n">
        <v>0</v>
      </c>
      <c r="I66" s="45" t="s">
        <v>438</v>
      </c>
      <c r="J66" s="46" t="n">
        <v>0</v>
      </c>
    </row>
    <row r="67" customFormat="false" ht="15" hidden="false" customHeight="false" outlineLevel="0" collapsed="false">
      <c r="A67" s="45" t="s">
        <v>111</v>
      </c>
      <c r="B67" s="46" t="n">
        <v>0</v>
      </c>
      <c r="I67" s="45" t="s">
        <v>172</v>
      </c>
      <c r="J67" s="46" t="n">
        <v>0</v>
      </c>
    </row>
    <row r="68" customFormat="false" ht="15" hidden="false" customHeight="false" outlineLevel="0" collapsed="false">
      <c r="A68" s="45" t="s">
        <v>194</v>
      </c>
      <c r="B68" s="46" t="n">
        <v>0</v>
      </c>
      <c r="I68" s="45" t="s">
        <v>284</v>
      </c>
      <c r="J68" s="46" t="n">
        <v>0</v>
      </c>
    </row>
    <row r="69" customFormat="false" ht="15" hidden="false" customHeight="false" outlineLevel="0" collapsed="false">
      <c r="A69" s="45" t="s">
        <v>439</v>
      </c>
      <c r="B69" s="46" t="n">
        <v>0</v>
      </c>
      <c r="I69" s="45" t="s">
        <v>440</v>
      </c>
      <c r="J69" s="46" t="n">
        <v>0</v>
      </c>
    </row>
    <row r="70" customFormat="false" ht="15" hidden="false" customHeight="false" outlineLevel="0" collapsed="false">
      <c r="A70" s="45" t="s">
        <v>273</v>
      </c>
      <c r="B70" s="46" t="n">
        <v>0</v>
      </c>
      <c r="I70" s="45" t="s">
        <v>441</v>
      </c>
      <c r="J70" s="46" t="n">
        <v>0</v>
      </c>
    </row>
    <row r="71" customFormat="false" ht="15" hidden="false" customHeight="false" outlineLevel="0" collapsed="false">
      <c r="A71" s="45" t="s">
        <v>442</v>
      </c>
      <c r="B71" s="46" t="n">
        <v>0</v>
      </c>
      <c r="I71" s="45" t="s">
        <v>443</v>
      </c>
      <c r="J71" s="46" t="n">
        <v>0</v>
      </c>
    </row>
    <row r="72" customFormat="false" ht="15" hidden="false" customHeight="false" outlineLevel="0" collapsed="false">
      <c r="A72" s="45" t="s">
        <v>61</v>
      </c>
      <c r="B72" s="46" t="n">
        <v>2</v>
      </c>
      <c r="I72" s="45" t="s">
        <v>53</v>
      </c>
      <c r="J72" s="46" t="n">
        <v>1</v>
      </c>
    </row>
    <row r="73" customFormat="false" ht="15" hidden="false" customHeight="false" outlineLevel="0" collapsed="false">
      <c r="A73" s="45" t="s">
        <v>444</v>
      </c>
      <c r="B73" s="46" t="n">
        <v>0</v>
      </c>
      <c r="I73" s="45" t="s">
        <v>56</v>
      </c>
      <c r="J73" s="46" t="n">
        <v>0</v>
      </c>
    </row>
    <row r="74" customFormat="false" ht="15" hidden="false" customHeight="false" outlineLevel="0" collapsed="false">
      <c r="A74" s="45" t="s">
        <v>44</v>
      </c>
      <c r="B74" s="46" t="n">
        <v>0</v>
      </c>
      <c r="I74" s="45" t="s">
        <v>54</v>
      </c>
      <c r="J74" s="46" t="n">
        <v>0</v>
      </c>
    </row>
    <row r="75" customFormat="false" ht="15" hidden="false" customHeight="false" outlineLevel="0" collapsed="false">
      <c r="A75" s="45" t="s">
        <v>278</v>
      </c>
      <c r="B75" s="46" t="n">
        <v>0</v>
      </c>
      <c r="I75" s="45" t="s">
        <v>55</v>
      </c>
      <c r="J75" s="46" t="n">
        <v>0</v>
      </c>
    </row>
    <row r="76" customFormat="false" ht="15" hidden="false" customHeight="false" outlineLevel="0" collapsed="false">
      <c r="A76" s="45" t="s">
        <v>445</v>
      </c>
      <c r="B76" s="46" t="n">
        <v>0</v>
      </c>
      <c r="I76" s="45" t="s">
        <v>154</v>
      </c>
      <c r="J76" s="46" t="n">
        <v>0</v>
      </c>
    </row>
    <row r="77" customFormat="false" ht="15" hidden="false" customHeight="false" outlineLevel="0" collapsed="false">
      <c r="A77" s="45" t="s">
        <v>446</v>
      </c>
      <c r="B77" s="46" t="n">
        <v>0</v>
      </c>
      <c r="I77" s="45" t="s">
        <v>78</v>
      </c>
      <c r="J77" s="46" t="n">
        <v>0</v>
      </c>
    </row>
    <row r="78" customFormat="false" ht="15" hidden="false" customHeight="false" outlineLevel="0" collapsed="false">
      <c r="A78" s="45" t="s">
        <v>447</v>
      </c>
      <c r="B78" s="46" t="n">
        <v>0</v>
      </c>
      <c r="I78" s="45" t="s">
        <v>43</v>
      </c>
      <c r="J78" s="46" t="n">
        <v>1</v>
      </c>
    </row>
    <row r="79" customFormat="false" ht="15" hidden="false" customHeight="false" outlineLevel="0" collapsed="false">
      <c r="A79" s="45" t="s">
        <v>123</v>
      </c>
      <c r="B79" s="46" t="n">
        <v>0</v>
      </c>
      <c r="I79" s="45" t="s">
        <v>83</v>
      </c>
      <c r="J79" s="46" t="n">
        <v>0</v>
      </c>
    </row>
    <row r="80" customFormat="false" ht="15" hidden="false" customHeight="false" outlineLevel="0" collapsed="false">
      <c r="A80" s="45" t="s">
        <v>448</v>
      </c>
      <c r="B80" s="46" t="n">
        <v>0</v>
      </c>
      <c r="I80" s="45" t="s">
        <v>291</v>
      </c>
      <c r="J80" s="46" t="n">
        <v>0</v>
      </c>
    </row>
    <row r="81" customFormat="false" ht="15" hidden="false" customHeight="false" outlineLevel="0" collapsed="false">
      <c r="A81" s="45" t="s">
        <v>449</v>
      </c>
      <c r="B81" s="46" t="n">
        <v>0</v>
      </c>
      <c r="I81" s="45" t="s">
        <v>450</v>
      </c>
      <c r="J81" s="46" t="n">
        <v>0</v>
      </c>
    </row>
    <row r="82" customFormat="false" ht="15" hidden="false" customHeight="false" outlineLevel="0" collapsed="false">
      <c r="A82" s="45" t="s">
        <v>451</v>
      </c>
      <c r="B82" s="46" t="n">
        <v>0</v>
      </c>
      <c r="I82" s="45" t="s">
        <v>452</v>
      </c>
      <c r="J82" s="46" t="n">
        <v>0</v>
      </c>
    </row>
    <row r="83" customFormat="false" ht="15" hidden="false" customHeight="false" outlineLevel="0" collapsed="false">
      <c r="A83" s="45" t="s">
        <v>453</v>
      </c>
      <c r="B83" s="46" t="n">
        <v>0</v>
      </c>
      <c r="I83" s="45" t="s">
        <v>454</v>
      </c>
      <c r="J83" s="46" t="n">
        <v>0</v>
      </c>
    </row>
    <row r="84" customFormat="false" ht="15" hidden="false" customHeight="false" outlineLevel="0" collapsed="false">
      <c r="A84" s="45" t="s">
        <v>455</v>
      </c>
      <c r="B84" s="46" t="n">
        <v>0</v>
      </c>
      <c r="I84" s="45" t="s">
        <v>202</v>
      </c>
      <c r="J84" s="46" t="n">
        <v>0</v>
      </c>
    </row>
    <row r="85" customFormat="false" ht="15" hidden="false" customHeight="false" outlineLevel="0" collapsed="false">
      <c r="A85" s="45" t="s">
        <v>456</v>
      </c>
      <c r="B85" s="46" t="n">
        <v>0</v>
      </c>
      <c r="I85" s="45" t="s">
        <v>457</v>
      </c>
      <c r="J85" s="46" t="n">
        <v>0</v>
      </c>
    </row>
    <row r="86" customFormat="false" ht="15" hidden="false" customHeight="false" outlineLevel="0" collapsed="false">
      <c r="A86" s="45" t="s">
        <v>458</v>
      </c>
      <c r="B86" s="46" t="n">
        <v>0</v>
      </c>
      <c r="I86" s="45" t="s">
        <v>459</v>
      </c>
      <c r="J86" s="46" t="n">
        <v>0</v>
      </c>
    </row>
    <row r="87" customFormat="false" ht="15" hidden="false" customHeight="false" outlineLevel="0" collapsed="false">
      <c r="A87" s="45" t="s">
        <v>460</v>
      </c>
      <c r="B87" s="46" t="n">
        <v>0</v>
      </c>
      <c r="I87" s="45" t="s">
        <v>461</v>
      </c>
      <c r="J87" s="46" t="n">
        <v>0</v>
      </c>
    </row>
    <row r="88" customFormat="false" ht="15" hidden="false" customHeight="false" outlineLevel="0" collapsed="false">
      <c r="A88" s="45" t="s">
        <v>462</v>
      </c>
      <c r="B88" s="46" t="n">
        <v>0</v>
      </c>
      <c r="I88" s="45" t="s">
        <v>90</v>
      </c>
      <c r="J88" s="46" t="n">
        <v>0</v>
      </c>
    </row>
    <row r="89" customFormat="false" ht="15" hidden="false" customHeight="false" outlineLevel="0" collapsed="false">
      <c r="A89" s="45" t="s">
        <v>463</v>
      </c>
      <c r="B89" s="46" t="n">
        <v>0</v>
      </c>
      <c r="I89" s="45" t="s">
        <v>130</v>
      </c>
      <c r="J89" s="46" t="n">
        <v>0</v>
      </c>
    </row>
    <row r="90" customFormat="false" ht="15" hidden="false" customHeight="false" outlineLevel="0" collapsed="false">
      <c r="A90" s="45" t="s">
        <v>464</v>
      </c>
      <c r="B90" s="47" t="n">
        <v>0</v>
      </c>
      <c r="I90" s="45" t="s">
        <v>465</v>
      </c>
      <c r="J90" s="47" t="n">
        <v>0</v>
      </c>
    </row>
    <row r="91" customFormat="false" ht="15" hidden="false" customHeight="false" outlineLevel="0" collapsed="false">
      <c r="A91" s="48" t="s">
        <v>466</v>
      </c>
      <c r="B91" s="49" t="n">
        <v>96</v>
      </c>
      <c r="I91" s="48" t="s">
        <v>466</v>
      </c>
      <c r="J91" s="49" t="n">
        <v>36</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sheetPr filterMode="false">
    <tabColor rgb="FF002060"/>
    <pageSetUpPr fitToPage="false"/>
  </sheetPr>
  <dimension ref="A1:Q36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2" topLeftCell="G189" activePane="bottomRight" state="frozen"/>
      <selection pane="topLeft" activeCell="A1" activeCellId="0" sqref="A1"/>
      <selection pane="topRight" activeCell="G1" activeCellId="0" sqref="G1"/>
      <selection pane="bottomLeft" activeCell="A189" activeCellId="0" sqref="A189"/>
      <selection pane="bottomRight" activeCell="J198" activeCellId="0" sqref="J198"/>
    </sheetView>
  </sheetViews>
  <sheetFormatPr defaultRowHeight="15" zeroHeight="false" outlineLevelRow="0" outlineLevelCol="0"/>
  <cols>
    <col collapsed="false" customWidth="true" hidden="false" outlineLevel="0" max="1" min="1" style="0" width="30.42"/>
    <col collapsed="false" customWidth="true" hidden="false" outlineLevel="0" max="2" min="2" style="0" width="2.57"/>
    <col collapsed="false" customWidth="true" hidden="false" outlineLevel="0" max="3" min="3" style="0" width="2.28"/>
    <col collapsed="false" customWidth="true" hidden="false" outlineLevel="0" max="4" min="4" style="0" width="30.57"/>
    <col collapsed="false" customWidth="true" hidden="false" outlineLevel="0" max="6" min="5" style="0" width="19"/>
    <col collapsed="false" customWidth="true" hidden="false" outlineLevel="0" max="7" min="7" style="0" width="3.14"/>
    <col collapsed="false" customWidth="true" hidden="false" outlineLevel="0" max="8" min="8" style="0" width="31.71"/>
    <col collapsed="false" customWidth="true" hidden="false" outlineLevel="0" max="11" min="9" style="0" width="19"/>
    <col collapsed="false" customWidth="true" hidden="false" outlineLevel="0" max="12" min="12" style="0" width="3.43"/>
    <col collapsed="false" customWidth="true" hidden="false" outlineLevel="0" max="13" min="13" style="0" width="30.42"/>
    <col collapsed="false" customWidth="true" hidden="false" outlineLevel="0" max="1025" min="14" style="0" width="8.53"/>
  </cols>
  <sheetData>
    <row r="1" customFormat="false" ht="21" hidden="false" customHeight="true" outlineLevel="0" collapsed="false">
      <c r="D1" s="1" t="s">
        <v>0</v>
      </c>
    </row>
    <row r="3" customFormat="false" ht="15" hidden="false" customHeight="false" outlineLevel="0" collapsed="false">
      <c r="A3" s="50" t="s">
        <v>1</v>
      </c>
      <c r="B3" s="50"/>
      <c r="D3" s="51" t="s">
        <v>2</v>
      </c>
      <c r="E3" s="51"/>
      <c r="F3" s="52"/>
      <c r="H3" s="51" t="s">
        <v>3</v>
      </c>
      <c r="I3" s="51"/>
      <c r="J3" s="52"/>
      <c r="K3" s="52"/>
      <c r="M3" s="0" t="s">
        <v>467</v>
      </c>
    </row>
    <row r="4" customFormat="false" ht="15" hidden="false" customHeight="false" outlineLevel="0" collapsed="false">
      <c r="A4" s="1"/>
      <c r="B4" s="1"/>
      <c r="D4" s="53" t="s">
        <v>4</v>
      </c>
      <c r="E4" s="53" t="s">
        <v>222</v>
      </c>
      <c r="F4" s="53" t="s">
        <v>223</v>
      </c>
      <c r="H4" s="54" t="s">
        <v>4</v>
      </c>
      <c r="I4" s="55" t="s">
        <v>468</v>
      </c>
      <c r="J4" s="55" t="s">
        <v>469</v>
      </c>
      <c r="K4" s="56" t="s">
        <v>470</v>
      </c>
      <c r="Q4" s="0" t="str">
        <f aca="false">D5</f>
        <v>A</v>
      </c>
    </row>
    <row r="5" customFormat="false" ht="15" hidden="false" customHeight="false" outlineLevel="0" collapsed="false">
      <c r="A5" s="1"/>
      <c r="B5" s="1"/>
      <c r="D5" s="22" t="s">
        <v>250</v>
      </c>
      <c r="E5" s="57"/>
      <c r="F5" s="22"/>
      <c r="H5" s="58" t="s">
        <v>250</v>
      </c>
      <c r="I5" s="28"/>
      <c r="J5" s="28"/>
      <c r="K5" s="27" t="n">
        <f aca="false">IFERROR(higiene[[#This Row],[Preço por produto]]/PMA,0)</f>
        <v>0</v>
      </c>
      <c r="Q5" s="0" t="str">
        <f aca="false">D6</f>
        <v>Abacaxi em calda (820g)</v>
      </c>
    </row>
    <row r="6" customFormat="false" ht="15" hidden="false" customHeight="false" outlineLevel="0" collapsed="false">
      <c r="A6" s="50" t="s">
        <v>8</v>
      </c>
      <c r="B6" s="50"/>
      <c r="D6" s="22" t="s">
        <v>379</v>
      </c>
      <c r="E6" s="57" t="n">
        <v>0.82</v>
      </c>
      <c r="F6" s="22" t="n">
        <v>7.95</v>
      </c>
      <c r="H6" s="58" t="s">
        <v>47</v>
      </c>
      <c r="I6" s="28" t="n">
        <v>8</v>
      </c>
      <c r="J6" s="28" t="n">
        <v>3.5</v>
      </c>
      <c r="K6" s="27" t="n">
        <f aca="false">IFERROR(higiene[[#This Row],[Preço por produto]]/PMA,0)</f>
        <v>1.05663174012811</v>
      </c>
      <c r="Q6" s="0" t="str">
        <f aca="false">D7</f>
        <v>Abacaxi em calda (830g)</v>
      </c>
    </row>
    <row r="7" customFormat="false" ht="15" hidden="false" customHeight="false" outlineLevel="0" collapsed="false">
      <c r="A7" s="18"/>
      <c r="B7" s="18"/>
      <c r="D7" s="22" t="s">
        <v>380</v>
      </c>
      <c r="E7" s="57" t="n">
        <v>0.83</v>
      </c>
      <c r="F7" s="22" t="n">
        <v>8.75</v>
      </c>
      <c r="H7" s="58" t="s">
        <v>179</v>
      </c>
      <c r="I7" s="28" t="n">
        <v>15</v>
      </c>
      <c r="J7" s="28" t="n">
        <v>5.69</v>
      </c>
      <c r="K7" s="27" t="n">
        <f aca="false">IFERROR(higiene[[#This Row],[Preço por produto]]/PMA,0)</f>
        <v>1.7177813146654</v>
      </c>
      <c r="Q7" s="0" t="str">
        <f aca="false">D8</f>
        <v>Achocolatado (1kg)</v>
      </c>
    </row>
    <row r="8" customFormat="false" ht="15" hidden="false" customHeight="false" outlineLevel="0" collapsed="false">
      <c r="D8" s="22" t="s">
        <v>70</v>
      </c>
      <c r="E8" s="57" t="n">
        <v>1</v>
      </c>
      <c r="F8" s="22" t="n">
        <v>12.192</v>
      </c>
      <c r="H8" s="58" t="s">
        <v>209</v>
      </c>
      <c r="I8" s="28" t="n">
        <v>16</v>
      </c>
      <c r="J8" s="28" t="n">
        <v>6.408</v>
      </c>
      <c r="K8" s="27" t="n">
        <f aca="false">IFERROR(higiene[[#This Row],[Preço por produto]]/PMA,0)</f>
        <v>1.93454176878311</v>
      </c>
      <c r="M8" s="6" t="s">
        <v>471</v>
      </c>
      <c r="Q8" s="0" t="str">
        <f aca="false">D9</f>
        <v>Achocolatado (200g)</v>
      </c>
    </row>
    <row r="9" customFormat="false" ht="15" hidden="false" customHeight="false" outlineLevel="0" collapsed="false">
      <c r="A9" s="50" t="s">
        <v>10</v>
      </c>
      <c r="B9" s="50"/>
      <c r="D9" s="22" t="s">
        <v>381</v>
      </c>
      <c r="E9" s="57" t="n">
        <v>0.2</v>
      </c>
      <c r="F9" s="22" t="n">
        <v>4.19</v>
      </c>
      <c r="H9" s="58" t="s">
        <v>181</v>
      </c>
      <c r="I9" s="28" t="n">
        <v>32</v>
      </c>
      <c r="J9" s="28" t="n">
        <v>14.368</v>
      </c>
      <c r="K9" s="27" t="n">
        <f aca="false">IFERROR(higiene[[#This Row],[Preço por produto]]/PMA,0)</f>
        <v>4.33762424061732</v>
      </c>
      <c r="M9" s="59" t="s">
        <v>157</v>
      </c>
      <c r="Q9" s="0" t="str">
        <f aca="false">D10</f>
        <v>Achocolatado (300g)</v>
      </c>
    </row>
    <row r="10" customFormat="false" ht="15" hidden="false" customHeight="false" outlineLevel="0" collapsed="false">
      <c r="B10" s="1"/>
      <c r="D10" s="22" t="s">
        <v>382</v>
      </c>
      <c r="E10" s="57" t="n">
        <v>0.3</v>
      </c>
      <c r="F10" s="22" t="n">
        <v>7.0175</v>
      </c>
      <c r="H10" s="58" t="s">
        <v>385</v>
      </c>
      <c r="I10" s="28" t="n">
        <v>36</v>
      </c>
      <c r="J10" s="28" t="n">
        <v>20.43</v>
      </c>
      <c r="K10" s="27" t="n">
        <f aca="false">IFERROR(higiene[[#This Row],[Preço por produto]]/PMA,0)</f>
        <v>6.16771041451919</v>
      </c>
      <c r="M10" s="59" t="s">
        <v>124</v>
      </c>
      <c r="Q10" s="0" t="str">
        <f aca="false">D11</f>
        <v>Achocolatado (400g)</v>
      </c>
    </row>
    <row r="11" customFormat="false" ht="15" hidden="false" customHeight="false" outlineLevel="0" collapsed="false">
      <c r="D11" s="22" t="s">
        <v>76</v>
      </c>
      <c r="E11" s="57" t="n">
        <v>0.4</v>
      </c>
      <c r="F11" s="22" t="n">
        <v>3.85333333333333</v>
      </c>
      <c r="H11" s="58" t="s">
        <v>387</v>
      </c>
      <c r="I11" s="28" t="n">
        <v>40</v>
      </c>
      <c r="J11" s="28" t="n">
        <v>9.53</v>
      </c>
      <c r="K11" s="27" t="n">
        <f aca="false">IFERROR(higiene[[#This Row],[Preço por produto]]/PMA,0)</f>
        <v>2.87705728097738</v>
      </c>
      <c r="M11" s="59" t="s">
        <v>140</v>
      </c>
      <c r="Q11" s="0" t="str">
        <f aca="false">D12</f>
        <v>Achocolatado (500g)</v>
      </c>
    </row>
    <row r="12" customFormat="false" ht="15" hidden="false" customHeight="false" outlineLevel="0" collapsed="false">
      <c r="D12" s="22" t="s">
        <v>383</v>
      </c>
      <c r="E12" s="57" t="n">
        <v>0.5</v>
      </c>
      <c r="F12" s="22" t="n">
        <v>5.99</v>
      </c>
      <c r="H12" s="58" t="s">
        <v>388</v>
      </c>
      <c r="I12" s="28" t="n">
        <v>60</v>
      </c>
      <c r="J12" s="28" t="n">
        <v>15.85</v>
      </c>
      <c r="K12" s="27" t="n">
        <f aca="false">IFERROR(higiene[[#This Row],[Preço por produto]]/PMA,0)</f>
        <v>4.78503230886585</v>
      </c>
      <c r="M12" s="59" t="s">
        <v>91</v>
      </c>
      <c r="Q12" s="0" t="str">
        <f aca="false">D13</f>
        <v>Achocolatado (700g)</v>
      </c>
    </row>
    <row r="13" customFormat="false" ht="15" hidden="false" customHeight="false" outlineLevel="0" collapsed="false">
      <c r="D13" s="22" t="s">
        <v>104</v>
      </c>
      <c r="E13" s="57" t="n">
        <v>0.7</v>
      </c>
      <c r="F13" s="22" t="n">
        <v>7.25666666666667</v>
      </c>
      <c r="H13" s="58" t="s">
        <v>390</v>
      </c>
      <c r="I13" s="28" t="n">
        <v>80</v>
      </c>
      <c r="J13" s="28" t="n">
        <v>14.98</v>
      </c>
      <c r="K13" s="27" t="n">
        <f aca="false">IFERROR(higiene[[#This Row],[Preço por produto]]/PMA,0)</f>
        <v>4.52238384774829</v>
      </c>
      <c r="M13" s="59" t="s">
        <v>79</v>
      </c>
      <c r="Q13" s="0" t="str">
        <f aca="false">D14</f>
        <v>Achocolatado (800g)</v>
      </c>
    </row>
    <row r="14" customFormat="false" ht="15" hidden="false" customHeight="false" outlineLevel="0" collapsed="false">
      <c r="D14" s="22" t="s">
        <v>64</v>
      </c>
      <c r="E14" s="57" t="n">
        <v>0.8</v>
      </c>
      <c r="F14" s="22" t="n">
        <v>10.1233333333333</v>
      </c>
      <c r="H14" s="58" t="s">
        <v>170</v>
      </c>
      <c r="I14" s="28" t="n">
        <v>1</v>
      </c>
      <c r="J14" s="28" t="n">
        <v>2.548</v>
      </c>
      <c r="K14" s="27" t="n">
        <f aca="false">IFERROR(higiene[[#This Row],[Preço por produto]]/PMA,0)</f>
        <v>0.76922790681326</v>
      </c>
      <c r="M14" s="59" t="s">
        <v>103</v>
      </c>
      <c r="Q14" s="0" t="str">
        <f aca="false">D15</f>
        <v>Açúcar (1kg)</v>
      </c>
    </row>
    <row r="15" customFormat="false" ht="15" hidden="false" customHeight="false" outlineLevel="0" collapsed="false">
      <c r="D15" s="22" t="s">
        <v>15</v>
      </c>
      <c r="E15" s="57" t="n">
        <v>1</v>
      </c>
      <c r="F15" s="22" t="n">
        <v>1.71833333333333</v>
      </c>
      <c r="H15" s="58" t="s">
        <v>23</v>
      </c>
      <c r="I15" s="28" t="n">
        <v>2</v>
      </c>
      <c r="J15" s="28" t="n">
        <v>3.624</v>
      </c>
      <c r="K15" s="27" t="n">
        <f aca="false">IFERROR(higiene[[#This Row],[Preço por produto]]/PMA,0)</f>
        <v>1.09406669320693</v>
      </c>
      <c r="M15" s="0" t="s">
        <v>109</v>
      </c>
      <c r="Q15" s="0" t="str">
        <f aca="false">D16</f>
        <v>Açúcar (2kg)</v>
      </c>
    </row>
    <row r="16" customFormat="false" ht="15" hidden="false" customHeight="false" outlineLevel="0" collapsed="false">
      <c r="D16" s="22" t="s">
        <v>33</v>
      </c>
      <c r="E16" s="57" t="n">
        <v>2</v>
      </c>
      <c r="F16" s="22" t="n">
        <v>3.34</v>
      </c>
      <c r="H16" s="58" t="s">
        <v>66</v>
      </c>
      <c r="I16" s="28" t="n">
        <v>5</v>
      </c>
      <c r="J16" s="28" t="n">
        <v>12.35</v>
      </c>
      <c r="K16" s="27" t="n">
        <f aca="false">IFERROR(higiene[[#This Row],[Preço por produto]]/PMA,0)</f>
        <v>3.72840056873774</v>
      </c>
      <c r="M16" s="59" t="s">
        <v>146</v>
      </c>
      <c r="Q16" s="0" t="str">
        <f aca="false">D17</f>
        <v>Açucar (500g)</v>
      </c>
    </row>
    <row r="17" customFormat="false" ht="15" hidden="false" customHeight="false" outlineLevel="0" collapsed="false">
      <c r="D17" s="22" t="s">
        <v>384</v>
      </c>
      <c r="E17" s="57" t="n">
        <v>0.5</v>
      </c>
      <c r="F17" s="22" t="n">
        <v>3.45</v>
      </c>
      <c r="H17" s="58" t="s">
        <v>195</v>
      </c>
      <c r="I17" s="28" t="n">
        <v>1</v>
      </c>
      <c r="J17" s="28" t="n">
        <v>5.558</v>
      </c>
      <c r="K17" s="27" t="n">
        <f aca="false">IFERROR(higiene[[#This Row],[Preço por produto]]/PMA,0)</f>
        <v>1.67793120332343</v>
      </c>
      <c r="M17" s="59" t="s">
        <v>16</v>
      </c>
      <c r="Q17" s="0" t="str">
        <f aca="false">D18</f>
        <v>Açúcar (5kg)</v>
      </c>
    </row>
    <row r="18" customFormat="false" ht="15" hidden="false" customHeight="false" outlineLevel="0" collapsed="false">
      <c r="D18" s="22" t="s">
        <v>74</v>
      </c>
      <c r="E18" s="57" t="n">
        <v>5</v>
      </c>
      <c r="F18" s="22" t="n">
        <v>6.98666666666667</v>
      </c>
      <c r="H18" s="58" t="s">
        <v>393</v>
      </c>
      <c r="I18" s="28" t="n">
        <v>1</v>
      </c>
      <c r="J18" s="28" t="n">
        <v>6.49</v>
      </c>
      <c r="K18" s="27" t="n">
        <f aca="false">IFERROR(higiene[[#This Row],[Preço por produto]]/PMA,0)</f>
        <v>1.9592971409804</v>
      </c>
      <c r="M18" s="59" t="s">
        <v>38</v>
      </c>
      <c r="Q18" s="0" t="str">
        <f aca="false">D19</f>
        <v>Adoçante</v>
      </c>
    </row>
    <row r="19" customFormat="false" ht="15" hidden="false" customHeight="false" outlineLevel="0" collapsed="false">
      <c r="D19" s="22" t="s">
        <v>259</v>
      </c>
      <c r="E19" s="57" t="n">
        <v>0.1</v>
      </c>
      <c r="F19" s="22" t="n">
        <v>3.04666666666667</v>
      </c>
      <c r="H19" s="58" t="s">
        <v>395</v>
      </c>
      <c r="I19" s="28" t="n">
        <v>0.5</v>
      </c>
      <c r="J19" s="28" t="n">
        <v>6.1375</v>
      </c>
      <c r="K19" s="27" t="n">
        <f aca="false">IFERROR(higiene[[#This Row],[Preço por produto]]/PMA,0)</f>
        <v>1.85287923001035</v>
      </c>
      <c r="M19" s="0" t="s">
        <v>75</v>
      </c>
      <c r="Q19" s="0" t="str">
        <f aca="false">D20</f>
        <v>Água de Coco (2L)</v>
      </c>
    </row>
    <row r="20" customFormat="false" ht="15" hidden="false" customHeight="false" outlineLevel="0" collapsed="false">
      <c r="D20" s="22" t="s">
        <v>386</v>
      </c>
      <c r="E20" s="57" t="n">
        <v>2</v>
      </c>
      <c r="F20" s="22" t="n">
        <v>6.2375</v>
      </c>
      <c r="H20" s="58" t="s">
        <v>397</v>
      </c>
      <c r="I20" s="28" t="n">
        <v>0.025</v>
      </c>
      <c r="J20" s="28" t="n">
        <v>2.16</v>
      </c>
      <c r="K20" s="27" t="n">
        <f aca="false">IFERROR(higiene[[#This Row],[Preço por produto]]/PMA,0)</f>
        <v>0.652092731050488</v>
      </c>
      <c r="M20" s="59"/>
      <c r="Q20" s="0" t="str">
        <f aca="false">D21</f>
        <v>Arroz (1kg)</v>
      </c>
    </row>
    <row r="21" customFormat="false" ht="15" hidden="false" customHeight="false" outlineLevel="0" collapsed="false">
      <c r="D21" s="22" t="s">
        <v>36</v>
      </c>
      <c r="E21" s="57" t="n">
        <v>1</v>
      </c>
      <c r="F21" s="22" t="n">
        <v>3.25</v>
      </c>
      <c r="H21" s="58" t="s">
        <v>399</v>
      </c>
      <c r="I21" s="28" t="n">
        <v>0.05</v>
      </c>
      <c r="J21" s="28" t="n">
        <v>3.586</v>
      </c>
      <c r="K21" s="27" t="n">
        <f aca="false">IFERROR(higiene[[#This Row],[Preço por produto]]/PMA,0)</f>
        <v>1.08259469145697</v>
      </c>
      <c r="M21" s="59" t="s">
        <v>13</v>
      </c>
      <c r="Q21" s="0" t="str">
        <f aca="false">D22</f>
        <v>Arroz (2kg)</v>
      </c>
    </row>
    <row r="22" customFormat="false" ht="15" hidden="false" customHeight="false" outlineLevel="0" collapsed="false">
      <c r="D22" s="22" t="s">
        <v>72</v>
      </c>
      <c r="E22" s="57" t="n">
        <v>2</v>
      </c>
      <c r="F22" s="22" t="n">
        <v>5.13</v>
      </c>
      <c r="H22" s="58" t="s">
        <v>377</v>
      </c>
      <c r="I22" s="28" t="n">
        <v>1</v>
      </c>
      <c r="J22" s="28" t="n">
        <v>6.29</v>
      </c>
      <c r="K22" s="27" t="n">
        <f aca="false">IFERROR(higiene[[#This Row],[Preço por produto]]/PMA,0)</f>
        <v>1.89891818440165</v>
      </c>
      <c r="M22" s="59" t="s">
        <v>472</v>
      </c>
      <c r="Q22" s="0" t="str">
        <f aca="false">D23</f>
        <v>Arroz (5kg)</v>
      </c>
    </row>
    <row r="23" customFormat="false" ht="15" hidden="false" customHeight="false" outlineLevel="0" collapsed="false">
      <c r="D23" s="22" t="s">
        <v>37</v>
      </c>
      <c r="E23" s="57" t="n">
        <v>5</v>
      </c>
      <c r="F23" s="22" t="n">
        <v>11.3816666666667</v>
      </c>
      <c r="H23" s="58" t="s">
        <v>378</v>
      </c>
      <c r="I23" s="28" t="n">
        <v>2</v>
      </c>
      <c r="J23" s="28" t="n">
        <v>9.048</v>
      </c>
      <c r="K23" s="27" t="n">
        <f aca="false">IFERROR(higiene[[#This Row],[Preço por produto]]/PMA,0)</f>
        <v>2.7315439956226</v>
      </c>
      <c r="M23" s="59"/>
      <c r="Q23" s="0" t="str">
        <f aca="false">D24</f>
        <v>Arroz integral (1kg)</v>
      </c>
    </row>
    <row r="24" customFormat="false" ht="15" hidden="false" customHeight="false" outlineLevel="0" collapsed="false">
      <c r="D24" s="22" t="s">
        <v>141</v>
      </c>
      <c r="E24" s="57" t="n">
        <v>1</v>
      </c>
      <c r="F24" s="22" t="n">
        <v>3.782</v>
      </c>
      <c r="H24" s="58" t="s">
        <v>401</v>
      </c>
      <c r="I24" s="28" t="n">
        <v>2</v>
      </c>
      <c r="J24" s="28" t="n">
        <v>9.68</v>
      </c>
      <c r="K24" s="27" t="n">
        <f aca="false">IFERROR(higiene[[#This Row],[Preço por produto]]/PMA,0)</f>
        <v>2.92234149841144</v>
      </c>
      <c r="M24" s="59"/>
      <c r="Q24" s="0" t="str">
        <f aca="false">D25</f>
        <v>Arroz integral (500g)</v>
      </c>
    </row>
    <row r="25" customFormat="false" ht="15" hidden="false" customHeight="false" outlineLevel="0" collapsed="false">
      <c r="D25" s="22" t="s">
        <v>389</v>
      </c>
      <c r="E25" s="57" t="n">
        <v>0.5</v>
      </c>
      <c r="F25" s="60" t="n">
        <v>4.76</v>
      </c>
      <c r="H25" s="58" t="s">
        <v>93</v>
      </c>
      <c r="I25" s="28" t="n">
        <v>0.5</v>
      </c>
      <c r="J25" s="28" t="n">
        <v>4.4625</v>
      </c>
      <c r="K25" s="27" t="n">
        <f aca="false">IFERROR(higiene[[#This Row],[Preço por produto]]/PMA,0)</f>
        <v>1.34720546866333</v>
      </c>
      <c r="M25" s="59"/>
      <c r="Q25" s="0" t="str">
        <f aca="false">D26</f>
        <v>Atum (170g)</v>
      </c>
    </row>
    <row r="26" customFormat="false" ht="15" hidden="false" customHeight="false" outlineLevel="0" collapsed="false">
      <c r="D26" s="22" t="s">
        <v>391</v>
      </c>
      <c r="E26" s="57" t="n">
        <v>0.17</v>
      </c>
      <c r="F26" s="22" t="n">
        <v>4.694</v>
      </c>
      <c r="H26" s="58" t="s">
        <v>403</v>
      </c>
      <c r="I26" s="28" t="n">
        <v>5</v>
      </c>
      <c r="J26" s="28" t="n">
        <v>6.388</v>
      </c>
      <c r="K26" s="27" t="n">
        <f aca="false">IFERROR(higiene[[#This Row],[Preço por produto]]/PMA,0)</f>
        <v>1.92850387312524</v>
      </c>
      <c r="M26" s="61"/>
      <c r="Q26" s="0" t="str">
        <f aca="false">D27</f>
        <v>Atum (325g)</v>
      </c>
    </row>
    <row r="27" customFormat="false" ht="15" hidden="false" customHeight="false" outlineLevel="0" collapsed="false">
      <c r="D27" s="22" t="s">
        <v>392</v>
      </c>
      <c r="E27" s="57" t="n">
        <v>0.325</v>
      </c>
      <c r="F27" s="60" t="n">
        <v>7.52</v>
      </c>
      <c r="H27" s="58" t="s">
        <v>199</v>
      </c>
      <c r="I27" s="28" t="n">
        <v>0.1</v>
      </c>
      <c r="J27" s="28" t="n">
        <v>9.916</v>
      </c>
      <c r="K27" s="27" t="n">
        <f aca="false">IFERROR(higiene[[#This Row],[Preço por produto]]/PMA,0)</f>
        <v>2.99358866717437</v>
      </c>
      <c r="M27" s="6"/>
      <c r="Q27" s="0" t="str">
        <f aca="false">D28</f>
        <v>Aveia (200g)</v>
      </c>
    </row>
    <row r="28" customFormat="false" ht="15" hidden="false" customHeight="false" outlineLevel="0" collapsed="false">
      <c r="D28" s="22" t="s">
        <v>394</v>
      </c>
      <c r="E28" s="57" t="n">
        <v>0.2</v>
      </c>
      <c r="F28" s="22" t="n">
        <v>2.726</v>
      </c>
      <c r="H28" s="58" t="s">
        <v>405</v>
      </c>
      <c r="I28" s="28" t="n">
        <v>2</v>
      </c>
      <c r="J28" s="62" t="n">
        <v>8.18</v>
      </c>
      <c r="K28" s="27" t="n">
        <f aca="false">IFERROR(higiene[[#This Row],[Preço por produto]]/PMA,0)</f>
        <v>2.46949932407083</v>
      </c>
      <c r="Q28" s="0" t="str">
        <f aca="false">D29</f>
        <v>Aveia (500g)</v>
      </c>
    </row>
    <row r="29" customFormat="false" ht="15" hidden="false" customHeight="false" outlineLevel="0" collapsed="false">
      <c r="D29" s="22" t="s">
        <v>396</v>
      </c>
      <c r="E29" s="57" t="n">
        <v>0.5</v>
      </c>
      <c r="F29" s="22" t="n">
        <v>7.648</v>
      </c>
      <c r="H29" s="58" t="s">
        <v>407</v>
      </c>
      <c r="I29" s="28"/>
      <c r="J29" s="28" t="n">
        <v>18.5</v>
      </c>
      <c r="K29" s="27" t="n">
        <f aca="false">IFERROR(higiene[[#This Row],[Preço por produto]]/PMA,0)</f>
        <v>5.58505348353427</v>
      </c>
      <c r="Q29" s="0" t="str">
        <f aca="false">D30</f>
        <v>Azeite (200mL)</v>
      </c>
    </row>
    <row r="30" customFormat="false" ht="15" hidden="false" customHeight="false" outlineLevel="0" collapsed="false">
      <c r="D30" s="22" t="s">
        <v>398</v>
      </c>
      <c r="E30" s="57" t="n">
        <v>0.2</v>
      </c>
      <c r="F30" s="22" t="n">
        <v>9.096</v>
      </c>
      <c r="H30" s="58" t="s">
        <v>24</v>
      </c>
      <c r="I30" s="28" t="s">
        <v>473</v>
      </c>
      <c r="J30" s="28" t="n">
        <v>3.99</v>
      </c>
      <c r="K30" s="27" t="n">
        <f aca="false">IFERROR(higiene[[#This Row],[Preço por produto]]/PMA,0)</f>
        <v>1.20456018374604</v>
      </c>
      <c r="Q30" s="0" t="str">
        <f aca="false">D31</f>
        <v>Azeite (500mL)</v>
      </c>
    </row>
    <row r="31" customFormat="false" ht="15" hidden="false" customHeight="false" outlineLevel="0" collapsed="false">
      <c r="D31" s="22" t="s">
        <v>400</v>
      </c>
      <c r="E31" s="57" t="n">
        <v>0.5</v>
      </c>
      <c r="F31" s="22" t="n">
        <v>10.6066666666667</v>
      </c>
      <c r="H31" s="58" t="s">
        <v>410</v>
      </c>
      <c r="I31" s="28" t="n">
        <v>1</v>
      </c>
      <c r="J31" s="28" t="n">
        <v>4.56</v>
      </c>
      <c r="K31" s="27" t="n">
        <f aca="false">IFERROR(higiene[[#This Row],[Preço por produto]]/PMA,0)</f>
        <v>1.37664020999547</v>
      </c>
      <c r="Q31" s="0" t="str">
        <f aca="false">D32</f>
        <v>Azeitona (100g)</v>
      </c>
    </row>
    <row r="32" customFormat="false" ht="15" hidden="false" customHeight="false" outlineLevel="0" collapsed="false">
      <c r="D32" s="22" t="s">
        <v>402</v>
      </c>
      <c r="E32" s="57" t="n">
        <v>0.1</v>
      </c>
      <c r="F32" s="22" t="n">
        <v>2.26</v>
      </c>
      <c r="H32" s="58" t="s">
        <v>412</v>
      </c>
      <c r="I32" s="28"/>
      <c r="J32" s="28" t="n">
        <v>11.98</v>
      </c>
      <c r="K32" s="27" t="n">
        <f aca="false">IFERROR(higiene[[#This Row],[Preço por produto]]/PMA,0)</f>
        <v>3.61669949906706</v>
      </c>
      <c r="Q32" s="0" t="str">
        <f aca="false">D33</f>
        <v>Azeitona (120g)</v>
      </c>
    </row>
    <row r="33" customFormat="false" ht="15" hidden="false" customHeight="false" outlineLevel="0" collapsed="false">
      <c r="D33" s="22" t="s">
        <v>404</v>
      </c>
      <c r="E33" s="57" t="n">
        <v>0.12</v>
      </c>
      <c r="F33" s="22" t="n">
        <v>4.45</v>
      </c>
      <c r="H33" s="58" t="s">
        <v>271</v>
      </c>
      <c r="I33" s="28"/>
      <c r="J33" s="28"/>
      <c r="K33" s="27" t="n">
        <f aca="false">IFERROR(higiene[[#This Row],[Preço por produto]]/PMA,0)</f>
        <v>0</v>
      </c>
      <c r="Q33" s="0" t="str">
        <f aca="false">D34</f>
        <v>Azeitona (150g)</v>
      </c>
    </row>
    <row r="34" customFormat="false" ht="15" hidden="false" customHeight="false" outlineLevel="0" collapsed="false">
      <c r="D34" s="22" t="s">
        <v>406</v>
      </c>
      <c r="E34" s="57" t="n">
        <v>0.15</v>
      </c>
      <c r="F34" s="22" t="n">
        <v>3.28</v>
      </c>
      <c r="H34" s="58" t="s">
        <v>413</v>
      </c>
      <c r="I34" s="28" t="n">
        <v>1</v>
      </c>
      <c r="J34" s="28" t="n">
        <v>8.44</v>
      </c>
      <c r="K34" s="27" t="n">
        <f aca="false">IFERROR(higiene[[#This Row],[Preço por produto]]/PMA,0)</f>
        <v>2.5479919676232</v>
      </c>
      <c r="Q34" s="0" t="str">
        <f aca="false">D35</f>
        <v>Azeitona (160g)</v>
      </c>
    </row>
    <row r="35" customFormat="false" ht="15" hidden="false" customHeight="false" outlineLevel="0" collapsed="false">
      <c r="D35" s="22" t="s">
        <v>408</v>
      </c>
      <c r="E35" s="57" t="n">
        <v>0.16</v>
      </c>
      <c r="F35" s="22" t="n">
        <v>4.2175</v>
      </c>
      <c r="H35" s="58" t="s">
        <v>415</v>
      </c>
      <c r="I35" s="28" t="n">
        <v>1</v>
      </c>
      <c r="J35" s="28" t="n">
        <v>4.25</v>
      </c>
      <c r="K35" s="27" t="n">
        <f aca="false">IFERROR(higiene[[#This Row],[Preço por produto]]/PMA,0)</f>
        <v>1.28305282729841</v>
      </c>
      <c r="Q35" s="0" t="str">
        <f aca="false">D36</f>
        <v>Azeitona (1kg)</v>
      </c>
    </row>
    <row r="36" customFormat="false" ht="15" hidden="false" customHeight="false" outlineLevel="0" collapsed="false">
      <c r="D36" s="22" t="s">
        <v>409</v>
      </c>
      <c r="E36" s="57" t="n">
        <v>1</v>
      </c>
      <c r="F36" s="22" t="n">
        <v>13.98</v>
      </c>
      <c r="H36" s="58" t="s">
        <v>416</v>
      </c>
      <c r="I36" s="28"/>
      <c r="J36" s="28" t="n">
        <v>11.49</v>
      </c>
      <c r="K36" s="27" t="n">
        <f aca="false">IFERROR(higiene[[#This Row],[Preço por produto]]/PMA,0)</f>
        <v>3.46877105544912</v>
      </c>
      <c r="Q36" s="0" t="str">
        <f aca="false">D37</f>
        <v>Azeitona (270g)</v>
      </c>
    </row>
    <row r="37" customFormat="false" ht="15" hidden="false" customHeight="false" outlineLevel="0" collapsed="false">
      <c r="D37" s="22" t="s">
        <v>411</v>
      </c>
      <c r="E37" s="57" t="n">
        <v>0.27</v>
      </c>
      <c r="F37" s="22" t="n">
        <v>6.99</v>
      </c>
      <c r="H37" s="58" t="s">
        <v>417</v>
      </c>
      <c r="I37" s="28" t="n">
        <v>0.5</v>
      </c>
      <c r="J37" s="28" t="n">
        <v>5.89</v>
      </c>
      <c r="K37" s="27" t="n">
        <f aca="false">IFERROR(higiene[[#This Row],[Preço por produto]]/PMA,0)</f>
        <v>1.77816027124415</v>
      </c>
      <c r="Q37" s="0" t="str">
        <f aca="false">D38</f>
        <v>B</v>
      </c>
    </row>
    <row r="38" customFormat="false" ht="15" hidden="false" customHeight="false" outlineLevel="0" collapsed="false">
      <c r="D38" s="22" t="s">
        <v>271</v>
      </c>
      <c r="E38" s="57"/>
      <c r="F38" s="22"/>
      <c r="H38" s="58" t="s">
        <v>419</v>
      </c>
      <c r="I38" s="28" t="n">
        <v>1</v>
      </c>
      <c r="J38" s="28" t="n">
        <v>1.89</v>
      </c>
      <c r="K38" s="27" t="n">
        <f aca="false">IFERROR(higiene[[#This Row],[Preço por produto]]/PMA,0)</f>
        <v>0.570581139669177</v>
      </c>
      <c r="Q38" s="0" t="str">
        <f aca="false">D39</f>
        <v>Barra de Cereal (4un)</v>
      </c>
    </row>
    <row r="39" customFormat="false" ht="15" hidden="false" customHeight="false" outlineLevel="0" collapsed="false">
      <c r="D39" s="63" t="s">
        <v>166</v>
      </c>
      <c r="E39" s="64" t="n">
        <v>0.08</v>
      </c>
      <c r="F39" s="60" t="n">
        <v>4.17</v>
      </c>
      <c r="H39" s="58" t="s">
        <v>273</v>
      </c>
      <c r="I39" s="28"/>
      <c r="J39" s="28"/>
      <c r="K39" s="27" t="n">
        <f aca="false">IFERROR(higiene[[#This Row],[Preço por produto]]/PMA,0)</f>
        <v>0</v>
      </c>
      <c r="Q39" s="0" t="str">
        <f aca="false">D40</f>
        <v>Batata Palha (120g)</v>
      </c>
    </row>
    <row r="40" customFormat="false" ht="15" hidden="false" customHeight="false" outlineLevel="0" collapsed="false">
      <c r="D40" s="22" t="s">
        <v>414</v>
      </c>
      <c r="E40" s="57" t="n">
        <v>0.12</v>
      </c>
      <c r="F40" s="22" t="n">
        <v>4.57166666666667</v>
      </c>
      <c r="H40" s="58" t="s">
        <v>420</v>
      </c>
      <c r="I40" s="28" t="n">
        <v>0.3</v>
      </c>
      <c r="J40" s="28" t="n">
        <v>9.02333333333333</v>
      </c>
      <c r="K40" s="27" t="n">
        <f aca="false">IFERROR(higiene[[#This Row],[Preço por produto]]/PMA,0)</f>
        <v>2.72409725764455</v>
      </c>
      <c r="Q40" s="0" t="str">
        <f aca="false">D41</f>
        <v>Bebida Láctea Chocolate (180mL)</v>
      </c>
    </row>
    <row r="41" customFormat="false" ht="15" hidden="false" customHeight="false" outlineLevel="0" collapsed="false">
      <c r="D41" s="22" t="s">
        <v>143</v>
      </c>
      <c r="E41" s="57" t="n">
        <v>0.18</v>
      </c>
      <c r="F41" s="22" t="n">
        <v>1.062</v>
      </c>
      <c r="H41" s="58" t="s">
        <v>422</v>
      </c>
      <c r="I41" s="28" t="n">
        <v>5</v>
      </c>
      <c r="J41" s="28" t="n">
        <v>26.5</v>
      </c>
      <c r="K41" s="27" t="n">
        <f aca="false">IFERROR(higiene[[#This Row],[Preço por produto]]/PMA,0)</f>
        <v>8.00021174668422</v>
      </c>
      <c r="Q41" s="0" t="str">
        <f aca="false">D42</f>
        <v>bebida láctea chocolate (1l)</v>
      </c>
    </row>
    <row r="42" customFormat="false" ht="15" hidden="false" customHeight="false" outlineLevel="0" collapsed="false">
      <c r="D42" s="63" t="s">
        <v>216</v>
      </c>
      <c r="E42" s="64" t="n">
        <v>1</v>
      </c>
      <c r="F42" s="60" t="n">
        <v>5.48</v>
      </c>
      <c r="H42" s="58" t="s">
        <v>423</v>
      </c>
      <c r="I42" s="28" t="n">
        <v>0.75</v>
      </c>
      <c r="J42" s="28" t="n">
        <v>8.49</v>
      </c>
      <c r="K42" s="27" t="n">
        <f aca="false">IFERROR(higiene[[#This Row],[Preço por produto]]/PMA,0)</f>
        <v>2.56308670676789</v>
      </c>
      <c r="Q42" s="0" t="str">
        <f aca="false">D43</f>
        <v>Biscoito de Polvinho</v>
      </c>
    </row>
    <row r="43" customFormat="false" ht="15" hidden="false" customHeight="false" outlineLevel="0" collapsed="false">
      <c r="D43" s="22" t="s">
        <v>418</v>
      </c>
      <c r="E43" s="57" t="n">
        <v>0.3</v>
      </c>
      <c r="F43" s="22" t="n">
        <v>3.70666666666667</v>
      </c>
      <c r="H43" s="58" t="s">
        <v>425</v>
      </c>
      <c r="I43" s="28" t="n">
        <v>0.5</v>
      </c>
      <c r="J43" s="28" t="n">
        <v>7.19</v>
      </c>
      <c r="K43" s="27" t="n">
        <f aca="false">IFERROR(higiene[[#This Row],[Preço por produto]]/PMA,0)</f>
        <v>2.17062348900602</v>
      </c>
      <c r="Q43" s="0" t="str">
        <f aca="false">D44</f>
        <v>Bisnaguinha (300g)</v>
      </c>
    </row>
    <row r="44" customFormat="false" ht="15" hidden="false" customHeight="false" outlineLevel="0" collapsed="false">
      <c r="D44" s="65" t="s">
        <v>153</v>
      </c>
      <c r="E44" s="57" t="n">
        <v>0.3</v>
      </c>
      <c r="F44" s="22" t="n">
        <v>4</v>
      </c>
      <c r="H44" s="58" t="s">
        <v>426</v>
      </c>
      <c r="I44" s="28" t="n">
        <v>1</v>
      </c>
      <c r="J44" s="28" t="n">
        <v>6.99</v>
      </c>
      <c r="K44" s="27" t="n">
        <f aca="false">IFERROR(higiene[[#This Row],[Preço por produto]]/PMA,0)</f>
        <v>2.11024453242727</v>
      </c>
      <c r="Q44" s="0" t="str">
        <f aca="false">D45</f>
        <v>Bolacha (090g)</v>
      </c>
    </row>
    <row r="45" customFormat="false" ht="15" hidden="false" customHeight="false" outlineLevel="0" collapsed="false">
      <c r="D45" s="22" t="s">
        <v>149</v>
      </c>
      <c r="E45" s="57" t="n">
        <v>0.09</v>
      </c>
      <c r="F45" s="22" t="n">
        <v>1.81</v>
      </c>
      <c r="H45" s="58" t="s">
        <v>427</v>
      </c>
      <c r="I45" s="28" t="n">
        <v>1</v>
      </c>
      <c r="J45" s="28" t="n">
        <v>17.59</v>
      </c>
      <c r="K45" s="27" t="n">
        <f aca="false">IFERROR(higiene[[#This Row],[Preço por produto]]/PMA,0)</f>
        <v>5.31032923110096</v>
      </c>
      <c r="Q45" s="0" t="str">
        <f aca="false">D46</f>
        <v>Bolacha (100g)</v>
      </c>
    </row>
    <row r="46" customFormat="false" ht="15" hidden="false" customHeight="false" outlineLevel="0" collapsed="false">
      <c r="D46" s="22" t="s">
        <v>421</v>
      </c>
      <c r="E46" s="57" t="n">
        <v>0.1</v>
      </c>
      <c r="F46" s="22" t="n">
        <v>1.71</v>
      </c>
      <c r="H46" s="58" t="s">
        <v>114</v>
      </c>
      <c r="I46" s="28" t="n">
        <v>1</v>
      </c>
      <c r="J46" s="28" t="n">
        <v>2.83</v>
      </c>
      <c r="K46" s="27" t="n">
        <f aca="false">IFERROR(higiene[[#This Row],[Preço por produto]]/PMA,0)</f>
        <v>0.854362235589296</v>
      </c>
      <c r="Q46" s="0" t="str">
        <f aca="false">D47</f>
        <v>Bolacha (110g)</v>
      </c>
    </row>
    <row r="47" customFormat="false" ht="15" hidden="false" customHeight="false" outlineLevel="0" collapsed="false">
      <c r="D47" s="22" t="s">
        <v>97</v>
      </c>
      <c r="E47" s="57" t="n">
        <v>0.11</v>
      </c>
      <c r="F47" s="22" t="n">
        <v>2.10333333333333</v>
      </c>
      <c r="H47" s="58" t="s">
        <v>428</v>
      </c>
      <c r="I47" s="28" t="n">
        <v>6</v>
      </c>
      <c r="J47" s="28" t="n">
        <v>7.432</v>
      </c>
      <c r="K47" s="27" t="n">
        <f aca="false">IFERROR(higiene[[#This Row],[Preço por produto]]/PMA,0)</f>
        <v>2.24368202646631</v>
      </c>
      <c r="Q47" s="0" t="str">
        <f aca="false">D48</f>
        <v>Bolacha (115g)</v>
      </c>
    </row>
    <row r="48" customFormat="false" ht="15" hidden="false" customHeight="false" outlineLevel="0" collapsed="false">
      <c r="D48" s="22" t="s">
        <v>424</v>
      </c>
      <c r="E48" s="57" t="n">
        <v>0.115</v>
      </c>
      <c r="F48" s="22" t="n">
        <v>1.93</v>
      </c>
      <c r="H48" s="58" t="s">
        <v>275</v>
      </c>
      <c r="I48" s="28"/>
      <c r="J48" s="28"/>
      <c r="K48" s="27" t="n">
        <f aca="false">IFERROR(higiene[[#This Row],[Preço por produto]]/PMA,0)</f>
        <v>0</v>
      </c>
      <c r="Q48" s="0" t="str">
        <f aca="false">D49</f>
        <v>Bolacha (120g)</v>
      </c>
    </row>
    <row r="49" customFormat="false" ht="15" hidden="false" customHeight="false" outlineLevel="0" collapsed="false">
      <c r="D49" s="22" t="s">
        <v>167</v>
      </c>
      <c r="E49" s="57" t="n">
        <v>0.12</v>
      </c>
      <c r="F49" s="22" t="n">
        <v>1.946</v>
      </c>
      <c r="H49" s="58" t="s">
        <v>205</v>
      </c>
      <c r="I49" s="28" t="n">
        <v>0.25</v>
      </c>
      <c r="J49" s="28" t="n">
        <v>5.79</v>
      </c>
      <c r="K49" s="27" t="n">
        <f aca="false">IFERROR(higiene[[#This Row],[Preço por produto]]/PMA,0)</f>
        <v>1.74797079295478</v>
      </c>
      <c r="Q49" s="0" t="str">
        <f aca="false">D50</f>
        <v>Bolacha (130g)</v>
      </c>
    </row>
    <row r="50" customFormat="false" ht="15" hidden="false" customHeight="false" outlineLevel="0" collapsed="false">
      <c r="D50" s="22" t="s">
        <v>46</v>
      </c>
      <c r="E50" s="57" t="n">
        <v>0.13</v>
      </c>
      <c r="F50" s="22" t="n">
        <v>1.92166666666667</v>
      </c>
      <c r="H50" s="58" t="s">
        <v>160</v>
      </c>
      <c r="I50" s="28" t="n">
        <v>0.5</v>
      </c>
      <c r="J50" s="28" t="n">
        <v>7.49</v>
      </c>
      <c r="K50" s="27" t="n">
        <f aca="false">IFERROR(higiene[[#This Row],[Preço por produto]]/PMA,0)</f>
        <v>2.26119192387414</v>
      </c>
      <c r="Q50" s="0" t="str">
        <f aca="false">D51</f>
        <v>Bolacha (135g)</v>
      </c>
    </row>
    <row r="51" customFormat="false" ht="15" hidden="false" customHeight="false" outlineLevel="0" collapsed="false">
      <c r="D51" s="22" t="s">
        <v>68</v>
      </c>
      <c r="E51" s="57" t="n">
        <v>0.135</v>
      </c>
      <c r="F51" s="22" t="n">
        <v>1.93</v>
      </c>
      <c r="H51" s="58" t="s">
        <v>48</v>
      </c>
      <c r="I51" s="28" t="n">
        <v>1</v>
      </c>
      <c r="J51" s="28" t="n">
        <v>7.3875</v>
      </c>
      <c r="K51" s="27" t="n">
        <f aca="false">IFERROR(higiene[[#This Row],[Preço por produto]]/PMA,0)</f>
        <v>2.23024770862754</v>
      </c>
      <c r="Q51" s="0" t="str">
        <f aca="false">D52</f>
        <v>Bolacha (140g)</v>
      </c>
    </row>
    <row r="52" customFormat="false" ht="15" hidden="false" customHeight="false" outlineLevel="0" collapsed="false">
      <c r="D52" s="22" t="s">
        <v>96</v>
      </c>
      <c r="E52" s="57" t="n">
        <v>0.14</v>
      </c>
      <c r="F52" s="22" t="n">
        <v>2.04</v>
      </c>
      <c r="H52" s="58" t="s">
        <v>86</v>
      </c>
      <c r="I52" s="28" t="n">
        <v>2</v>
      </c>
      <c r="J52" s="28" t="n">
        <v>4.846</v>
      </c>
      <c r="K52" s="27" t="n">
        <f aca="false">IFERROR(higiene[[#This Row],[Preço por produto]]/PMA,0)</f>
        <v>1.46298211790308</v>
      </c>
      <c r="Q52" s="0" t="str">
        <f aca="false">D53</f>
        <v>Bolacha (145g)</v>
      </c>
    </row>
    <row r="53" customFormat="false" ht="15" hidden="false" customHeight="false" outlineLevel="0" collapsed="false">
      <c r="D53" s="63" t="s">
        <v>169</v>
      </c>
      <c r="E53" s="64" t="n">
        <v>0.145</v>
      </c>
      <c r="F53" s="60" t="n">
        <v>2.13</v>
      </c>
      <c r="H53" s="58" t="s">
        <v>430</v>
      </c>
      <c r="I53" s="28" t="n">
        <v>3</v>
      </c>
      <c r="J53" s="28" t="n">
        <v>4.98</v>
      </c>
      <c r="K53" s="27" t="n">
        <f aca="false">IFERROR(higiene[[#This Row],[Preço por produto]]/PMA,0)</f>
        <v>1.50343601881085</v>
      </c>
      <c r="Q53" s="0" t="str">
        <f aca="false">D54</f>
        <v>Bolacha (150g)</v>
      </c>
    </row>
    <row r="54" customFormat="false" ht="15" hidden="false" customHeight="false" outlineLevel="0" collapsed="false">
      <c r="D54" s="22" t="s">
        <v>429</v>
      </c>
      <c r="E54" s="57" t="n">
        <v>0.15</v>
      </c>
      <c r="F54" s="22" t="n">
        <v>2.17</v>
      </c>
      <c r="H54" s="58" t="s">
        <v>212</v>
      </c>
      <c r="I54" s="28" t="n">
        <v>1</v>
      </c>
      <c r="J54" s="28" t="n">
        <v>9.72</v>
      </c>
      <c r="K54" s="27" t="n">
        <f aca="false">IFERROR(higiene[[#This Row],[Preço por produto]]/PMA,0)</f>
        <v>2.93441728972719</v>
      </c>
      <c r="Q54" s="0" t="str">
        <f aca="false">D55</f>
        <v>Bolacha (160g)</v>
      </c>
    </row>
    <row r="55" customFormat="false" ht="15" hidden="false" customHeight="false" outlineLevel="0" collapsed="false">
      <c r="D55" s="22" t="s">
        <v>113</v>
      </c>
      <c r="E55" s="57" t="n">
        <v>0.16</v>
      </c>
      <c r="F55" s="22" t="n">
        <v>2.00666666666667</v>
      </c>
      <c r="H55" s="58" t="s">
        <v>92</v>
      </c>
      <c r="I55" s="28" t="n">
        <v>3</v>
      </c>
      <c r="J55" s="28" t="n">
        <v>3.0375</v>
      </c>
      <c r="K55" s="27" t="n">
        <f aca="false">IFERROR(higiene[[#This Row],[Preço por produto]]/PMA,0)</f>
        <v>0.917005403039748</v>
      </c>
      <c r="Q55" s="0" t="str">
        <f aca="false">D56</f>
        <v>Bolacha (170g)</v>
      </c>
    </row>
    <row r="56" customFormat="false" ht="15" hidden="false" customHeight="false" outlineLevel="0" collapsed="false">
      <c r="D56" s="63" t="s">
        <v>94</v>
      </c>
      <c r="E56" s="64" t="n">
        <v>0.17</v>
      </c>
      <c r="F56" s="60" t="n">
        <v>2.11</v>
      </c>
      <c r="H56" s="58" t="s">
        <v>155</v>
      </c>
      <c r="I56" s="28" t="n">
        <v>4</v>
      </c>
      <c r="J56" s="28" t="n">
        <v>4.15</v>
      </c>
      <c r="K56" s="27" t="n">
        <f aca="false">IFERROR(higiene[[#This Row],[Preço por produto]]/PMA,0)</f>
        <v>1.25286334900904</v>
      </c>
      <c r="Q56" s="0" t="str">
        <f aca="false">D57</f>
        <v>Bolacha (200g)</v>
      </c>
    </row>
    <row r="57" customFormat="false" ht="15" hidden="false" customHeight="false" outlineLevel="0" collapsed="false">
      <c r="D57" s="22" t="s">
        <v>88</v>
      </c>
      <c r="E57" s="57" t="n">
        <v>0.2</v>
      </c>
      <c r="F57" s="22" t="n">
        <v>2.56666666666667</v>
      </c>
      <c r="H57" s="58" t="s">
        <v>22</v>
      </c>
      <c r="I57" s="28" t="n">
        <v>1</v>
      </c>
      <c r="J57" s="28" t="n">
        <v>2.67</v>
      </c>
      <c r="K57" s="27" t="n">
        <f aca="false">IFERROR(higiene[[#This Row],[Preço por produto]]/PMA,0)</f>
        <v>0.806059070326297</v>
      </c>
      <c r="Q57" s="0" t="str">
        <f aca="false">D58</f>
        <v>Bolacha (250g)</v>
      </c>
    </row>
    <row r="58" customFormat="false" ht="15" hidden="false" customHeight="false" outlineLevel="0" collapsed="false">
      <c r="D58" s="22" t="s">
        <v>431</v>
      </c>
      <c r="E58" s="57" t="n">
        <v>0.25</v>
      </c>
      <c r="F58" s="22" t="n">
        <v>7.59</v>
      </c>
      <c r="H58" s="58" t="s">
        <v>139</v>
      </c>
      <c r="I58" s="28"/>
      <c r="J58" s="28" t="n">
        <v>6.304</v>
      </c>
      <c r="K58" s="27" t="n">
        <f aca="false">IFERROR(higiene[[#This Row],[Preço por produto]]/PMA,0)</f>
        <v>1.90314471136216</v>
      </c>
      <c r="Q58" s="0" t="str">
        <f aca="false">D59</f>
        <v>Bolacha (300g)</v>
      </c>
    </row>
    <row r="59" customFormat="false" ht="15" hidden="false" customHeight="false" outlineLevel="0" collapsed="false">
      <c r="D59" s="22" t="s">
        <v>101</v>
      </c>
      <c r="E59" s="57" t="n">
        <v>0.3</v>
      </c>
      <c r="F59" s="22" t="n">
        <v>3.29</v>
      </c>
      <c r="H59" s="58" t="s">
        <v>433</v>
      </c>
      <c r="I59" s="28" t="n">
        <v>30</v>
      </c>
      <c r="J59" s="28" t="n">
        <v>3.99</v>
      </c>
      <c r="K59" s="27" t="n">
        <f aca="false">IFERROR(higiene[[#This Row],[Preço por produto]]/PMA,0)</f>
        <v>1.20456018374604</v>
      </c>
      <c r="Q59" s="0" t="e">
        <f aca="false">#REF!</f>
        <v>#REF!</v>
      </c>
    </row>
    <row r="60" customFormat="false" ht="15" hidden="false" customHeight="false" outlineLevel="0" collapsed="false">
      <c r="D60" s="22" t="s">
        <v>432</v>
      </c>
      <c r="E60" s="57" t="n">
        <v>0.315</v>
      </c>
      <c r="F60" s="22" t="n">
        <v>7.69</v>
      </c>
      <c r="H60" s="58" t="s">
        <v>434</v>
      </c>
      <c r="I60" s="28" t="n">
        <v>0.05</v>
      </c>
      <c r="J60" s="28" t="n">
        <v>5.89</v>
      </c>
      <c r="K60" s="27" t="n">
        <f aca="false">IFERROR(higiene[[#This Row],[Preço por produto]]/PMA,0)</f>
        <v>1.77816027124415</v>
      </c>
      <c r="Q60" s="0" t="str">
        <f aca="false">D60</f>
        <v>Bolacha (315g)</v>
      </c>
    </row>
    <row r="61" customFormat="false" ht="15" hidden="false" customHeight="false" outlineLevel="0" collapsed="false">
      <c r="D61" s="22" t="s">
        <v>215</v>
      </c>
      <c r="E61" s="57" t="n">
        <v>0.33</v>
      </c>
      <c r="F61" s="22" t="n">
        <v>5.004</v>
      </c>
      <c r="H61" s="58" t="s">
        <v>435</v>
      </c>
      <c r="I61" s="28" t="n">
        <v>1</v>
      </c>
      <c r="J61" s="28" t="n">
        <v>5.69</v>
      </c>
      <c r="K61" s="27" t="n">
        <f aca="false">IFERROR(higiene[[#This Row],[Preço por produto]]/PMA,0)</f>
        <v>1.7177813146654</v>
      </c>
      <c r="Q61" s="0" t="str">
        <f aca="false">D61</f>
        <v>Bolacha (330g)</v>
      </c>
    </row>
    <row r="62" customFormat="false" ht="15" hidden="false" customHeight="false" outlineLevel="0" collapsed="false">
      <c r="D62" s="22" t="s">
        <v>156</v>
      </c>
      <c r="E62" s="57" t="n">
        <v>0.36</v>
      </c>
      <c r="F62" s="22" t="n">
        <v>3.1375</v>
      </c>
      <c r="H62" s="58" t="s">
        <v>27</v>
      </c>
      <c r="I62" s="28" t="n">
        <v>10</v>
      </c>
      <c r="J62" s="28" t="n">
        <v>1.218</v>
      </c>
      <c r="K62" s="27" t="n">
        <f aca="false">IFERROR(higiene[[#This Row],[Preço por produto]]/PMA,0)</f>
        <v>0.36770784556458</v>
      </c>
      <c r="Q62" s="0" t="str">
        <f aca="false">D62</f>
        <v>Bolacha (360g)</v>
      </c>
    </row>
    <row r="63" customFormat="false" ht="15" hidden="false" customHeight="false" outlineLevel="0" collapsed="false">
      <c r="D63" s="22" t="s">
        <v>67</v>
      </c>
      <c r="E63" s="57" t="n">
        <v>0.375</v>
      </c>
      <c r="F63" s="22" t="n">
        <v>3.79</v>
      </c>
      <c r="H63" s="58" t="s">
        <v>436</v>
      </c>
      <c r="I63" s="28" t="n">
        <v>0.2</v>
      </c>
      <c r="J63" s="28" t="n">
        <v>11.985</v>
      </c>
      <c r="K63" s="27" t="n">
        <f aca="false">IFERROR(higiene[[#This Row],[Preço por produto]]/PMA,0)</f>
        <v>3.61820897298152</v>
      </c>
      <c r="Q63" s="0" t="str">
        <f aca="false">D63</f>
        <v>Bolacha (375g)</v>
      </c>
    </row>
    <row r="64" customFormat="false" ht="15" hidden="false" customHeight="false" outlineLevel="0" collapsed="false">
      <c r="D64" s="22" t="s">
        <v>80</v>
      </c>
      <c r="E64" s="57" t="n">
        <v>0.4</v>
      </c>
      <c r="F64" s="22" t="n">
        <v>4.08833333333333</v>
      </c>
      <c r="H64" s="58" t="s">
        <v>438</v>
      </c>
      <c r="I64" s="28" t="n">
        <v>40</v>
      </c>
      <c r="J64" s="28" t="n">
        <v>8.0025</v>
      </c>
      <c r="K64" s="27" t="n">
        <f aca="false">IFERROR(higiene[[#This Row],[Preço por produto]]/PMA,0)</f>
        <v>2.41591300010719</v>
      </c>
      <c r="Q64" s="0" t="str">
        <f aca="false">D64</f>
        <v>Bolacha (400g)</v>
      </c>
    </row>
    <row r="65" customFormat="false" ht="15" hidden="false" customHeight="false" outlineLevel="0" collapsed="false">
      <c r="D65" s="22" t="s">
        <v>437</v>
      </c>
      <c r="E65" s="57" t="n">
        <v>0.42</v>
      </c>
      <c r="F65" s="22" t="n">
        <v>5.29</v>
      </c>
      <c r="H65" s="58" t="s">
        <v>172</v>
      </c>
      <c r="I65" s="28" t="n">
        <v>7</v>
      </c>
      <c r="J65" s="28" t="n">
        <v>1.15</v>
      </c>
      <c r="K65" s="27" t="n">
        <f aca="false">IFERROR(higiene[[#This Row],[Preço por produto]]/PMA,0)</f>
        <v>0.347179000327806</v>
      </c>
      <c r="Q65" s="0" t="str">
        <f aca="false">D65</f>
        <v>Bolacha (420g)</v>
      </c>
    </row>
    <row r="66" customFormat="false" ht="15" hidden="false" customHeight="false" outlineLevel="0" collapsed="false">
      <c r="D66" s="22" t="s">
        <v>111</v>
      </c>
      <c r="E66" s="57" t="n">
        <v>0.5</v>
      </c>
      <c r="F66" s="22" t="n">
        <v>6.642</v>
      </c>
      <c r="H66" s="58" t="s">
        <v>284</v>
      </c>
      <c r="I66" s="28" t="n">
        <v>8</v>
      </c>
      <c r="J66" s="28"/>
      <c r="K66" s="27" t="n">
        <f aca="false">IFERROR(higiene[[#This Row],[Preço por produto]]/PMA,0)</f>
        <v>0</v>
      </c>
      <c r="Q66" s="0" t="str">
        <f aca="false">D66</f>
        <v>Bolacha (500g)</v>
      </c>
    </row>
    <row r="67" customFormat="false" ht="15" hidden="false" customHeight="false" outlineLevel="0" collapsed="false">
      <c r="D67" s="63" t="s">
        <v>194</v>
      </c>
      <c r="E67" s="64" t="n">
        <v>0.4</v>
      </c>
      <c r="F67" s="60" t="n">
        <v>6.98</v>
      </c>
      <c r="H67" s="58" t="s">
        <v>440</v>
      </c>
      <c r="I67" s="28" t="n">
        <v>9</v>
      </c>
      <c r="J67" s="28" t="n">
        <v>12.5066666666667</v>
      </c>
      <c r="K67" s="27" t="n">
        <f aca="false">IFERROR(higiene[[#This Row],[Preço por produto]]/PMA,0)</f>
        <v>3.77569741805776</v>
      </c>
      <c r="Q67" s="0" t="str">
        <f aca="false">D67</f>
        <v>bolo</v>
      </c>
    </row>
    <row r="68" customFormat="false" ht="15" hidden="false" customHeight="false" outlineLevel="0" collapsed="false">
      <c r="D68" s="22" t="s">
        <v>439</v>
      </c>
      <c r="E68" s="57" t="n">
        <v>0.094</v>
      </c>
      <c r="F68" s="22" t="n">
        <v>7.25666666666667</v>
      </c>
      <c r="H68" s="58" t="s">
        <v>441</v>
      </c>
      <c r="I68" s="28" t="n">
        <v>10</v>
      </c>
      <c r="J68" s="28" t="n">
        <v>15.69</v>
      </c>
      <c r="K68" s="27" t="n">
        <f aca="false">IFERROR(higiene[[#This Row],[Preço por produto]]/PMA,0)</f>
        <v>4.73672914360285</v>
      </c>
      <c r="Q68" s="0" t="str">
        <f aca="false">D68</f>
        <v>Bombom de Cereja (94g)</v>
      </c>
    </row>
    <row r="69" customFormat="false" ht="15" hidden="false" customHeight="false" outlineLevel="0" collapsed="false">
      <c r="D69" s="22" t="s">
        <v>273</v>
      </c>
      <c r="E69" s="57"/>
      <c r="F69" s="22"/>
      <c r="H69" s="58" t="s">
        <v>443</v>
      </c>
      <c r="I69" s="28" t="n">
        <v>18</v>
      </c>
      <c r="J69" s="28" t="n">
        <v>17.165</v>
      </c>
      <c r="K69" s="27" t="n">
        <f aca="false">IFERROR(higiene[[#This Row],[Preço por produto]]/PMA,0)</f>
        <v>5.18202394837112</v>
      </c>
      <c r="Q69" s="0" t="str">
        <f aca="false">D69</f>
        <v>C</v>
      </c>
    </row>
    <row r="70" customFormat="false" ht="15" hidden="false" customHeight="false" outlineLevel="0" collapsed="false">
      <c r="D70" s="22" t="s">
        <v>376</v>
      </c>
      <c r="E70" s="57" t="n">
        <v>1</v>
      </c>
      <c r="F70" s="22" t="n">
        <v>27.2633333333333</v>
      </c>
      <c r="H70" s="66" t="s">
        <v>53</v>
      </c>
      <c r="I70" s="67" t="n">
        <v>20</v>
      </c>
      <c r="J70" s="67" t="n">
        <v>3.3</v>
      </c>
      <c r="K70" s="27" t="n">
        <f aca="false">IFERROR(higiene[[#This Row],[Preço por produto]]/PMA,0)</f>
        <v>0.996252783549356</v>
      </c>
      <c r="Q70" s="0" t="str">
        <f aca="false">D70</f>
        <v>Café (1kg)</v>
      </c>
    </row>
    <row r="71" customFormat="false" ht="15" hidden="false" customHeight="false" outlineLevel="0" collapsed="false">
      <c r="D71" s="22" t="s">
        <v>442</v>
      </c>
      <c r="E71" s="57" t="n">
        <v>0.25</v>
      </c>
      <c r="F71" s="22" t="n">
        <v>5.57333333333333</v>
      </c>
      <c r="H71" s="58" t="s">
        <v>56</v>
      </c>
      <c r="I71" s="28" t="n">
        <v>24</v>
      </c>
      <c r="J71" s="28" t="n">
        <v>7.04333333333333</v>
      </c>
      <c r="K71" s="27" t="n">
        <f aca="false">IFERROR(higiene[[#This Row],[Preço por produto]]/PMA,0)</f>
        <v>2.12634558751494</v>
      </c>
      <c r="Q71" s="0" t="str">
        <f aca="false">D71</f>
        <v>Café (250g)</v>
      </c>
    </row>
    <row r="72" customFormat="false" ht="15" hidden="false" customHeight="false" outlineLevel="0" collapsed="false">
      <c r="D72" s="22" t="s">
        <v>61</v>
      </c>
      <c r="E72" s="57" t="n">
        <v>0.5</v>
      </c>
      <c r="F72" s="22" t="n">
        <v>7.00666666666667</v>
      </c>
      <c r="H72" s="58" t="s">
        <v>54</v>
      </c>
      <c r="I72" s="28" t="n">
        <v>30</v>
      </c>
      <c r="J72" s="28" t="n">
        <v>8.00666666666667</v>
      </c>
      <c r="K72" s="27" t="n">
        <f aca="false">IFERROR(higiene[[#This Row],[Preço por produto]]/PMA,0)</f>
        <v>2.41717089503591</v>
      </c>
      <c r="Q72" s="0" t="str">
        <f aca="false">D72</f>
        <v>Café (500g)</v>
      </c>
    </row>
    <row r="73" customFormat="false" ht="15" hidden="false" customHeight="false" outlineLevel="0" collapsed="false">
      <c r="D73" s="22" t="s">
        <v>444</v>
      </c>
      <c r="E73" s="57" t="n">
        <v>0.05</v>
      </c>
      <c r="F73" s="22" t="n">
        <v>3.455</v>
      </c>
      <c r="H73" s="68" t="s">
        <v>55</v>
      </c>
      <c r="I73" s="69" t="n">
        <v>4</v>
      </c>
      <c r="J73" s="62" t="n">
        <v>10.56</v>
      </c>
      <c r="K73" s="27" t="n">
        <f aca="false">IFERROR(higiene[[#This Row],[Preço por produto]]/PMA,0)</f>
        <v>3.18800890735794</v>
      </c>
      <c r="Q73" s="0" t="str">
        <f aca="false">D73</f>
        <v>Café solúvel (50g)</v>
      </c>
    </row>
    <row r="74" customFormat="false" ht="15" hidden="false" customHeight="false" outlineLevel="0" collapsed="false">
      <c r="D74" s="63" t="s">
        <v>44</v>
      </c>
      <c r="E74" s="64" t="n">
        <v>0.3</v>
      </c>
      <c r="F74" s="60" t="n">
        <v>8.99</v>
      </c>
      <c r="H74" s="58" t="s">
        <v>154</v>
      </c>
      <c r="I74" s="28" t="n">
        <v>14</v>
      </c>
      <c r="J74" s="28" t="n">
        <v>1.384</v>
      </c>
      <c r="K74" s="27" t="n">
        <f aca="false">IFERROR(higiene[[#This Row],[Preço por produto]]/PMA,0)</f>
        <v>0.417822379524942</v>
      </c>
      <c r="Q74" s="0" t="str">
        <f aca="false">D74</f>
        <v>Caixa de Bombons</v>
      </c>
    </row>
    <row r="75" customFormat="false" ht="15" hidden="false" customHeight="false" outlineLevel="0" collapsed="false">
      <c r="D75" s="22" t="s">
        <v>278</v>
      </c>
      <c r="E75" s="57" t="n">
        <v>1</v>
      </c>
      <c r="F75" s="22" t="n">
        <v>1.236</v>
      </c>
      <c r="H75" s="58" t="s">
        <v>78</v>
      </c>
      <c r="I75" s="28" t="n">
        <v>16</v>
      </c>
      <c r="J75" s="28" t="n">
        <v>3.368</v>
      </c>
      <c r="K75" s="27" t="n">
        <f aca="false">IFERROR(higiene[[#This Row],[Preço por produto]]/PMA,0)</f>
        <v>1.01678162878613</v>
      </c>
      <c r="Q75" s="0" t="str">
        <f aca="false">D75</f>
        <v>Caldo Knor</v>
      </c>
    </row>
    <row r="76" customFormat="false" ht="15" hidden="false" customHeight="false" outlineLevel="0" collapsed="false">
      <c r="D76" s="22" t="s">
        <v>445</v>
      </c>
      <c r="E76" s="57" t="n">
        <v>0.5</v>
      </c>
      <c r="F76" s="22" t="n">
        <v>3.07333333333333</v>
      </c>
      <c r="H76" s="58" t="s">
        <v>43</v>
      </c>
      <c r="I76" s="28" t="n">
        <v>18</v>
      </c>
      <c r="J76" s="28" t="n">
        <v>2.924</v>
      </c>
      <c r="K76" s="27" t="n">
        <f aca="false">IFERROR(higiene[[#This Row],[Preço por produto]]/PMA,0)</f>
        <v>0.882740345181308</v>
      </c>
      <c r="Q76" s="0" t="str">
        <f aca="false">D76</f>
        <v>Canjica (500g)</v>
      </c>
    </row>
    <row r="77" customFormat="false" ht="15" hidden="false" customHeight="false" outlineLevel="0" collapsed="false">
      <c r="D77" s="22" t="s">
        <v>446</v>
      </c>
      <c r="E77" s="57" t="n">
        <v>0.2</v>
      </c>
      <c r="F77" s="22" t="n">
        <v>8.14333333333333</v>
      </c>
      <c r="H77" s="58" t="s">
        <v>83</v>
      </c>
      <c r="I77" s="28" t="n">
        <v>20</v>
      </c>
      <c r="J77" s="28" t="n">
        <v>1.488</v>
      </c>
      <c r="K77" s="27" t="n">
        <f aca="false">IFERROR(higiene[[#This Row],[Preço por produto]]/PMA,0)</f>
        <v>0.449219436945891</v>
      </c>
      <c r="Q77" s="0" t="str">
        <f aca="false">D77</f>
        <v>Cappuccino (200g)</v>
      </c>
    </row>
    <row r="78" customFormat="false" ht="15" hidden="false" customHeight="false" outlineLevel="0" collapsed="false">
      <c r="D78" s="22" t="s">
        <v>447</v>
      </c>
      <c r="E78" s="57" t="n">
        <v>0.02</v>
      </c>
      <c r="F78" s="22" t="n">
        <v>1.69</v>
      </c>
      <c r="H78" s="58" t="s">
        <v>291</v>
      </c>
      <c r="I78" s="28" t="n">
        <v>22</v>
      </c>
      <c r="J78" s="28"/>
      <c r="K78" s="27" t="n">
        <f aca="false">IFERROR(higiene[[#This Row],[Preço por produto]]/PMA,0)</f>
        <v>0</v>
      </c>
      <c r="Q78" s="0" t="str">
        <f aca="false">D78</f>
        <v>Cappuccino (20g)</v>
      </c>
    </row>
    <row r="79" customFormat="false" ht="15" hidden="false" customHeight="false" outlineLevel="0" collapsed="false">
      <c r="D79" s="63" t="s">
        <v>123</v>
      </c>
      <c r="E79" s="64" t="n">
        <v>0.12</v>
      </c>
      <c r="F79" s="60" t="n">
        <v>3.99</v>
      </c>
      <c r="H79" s="58" t="s">
        <v>450</v>
      </c>
      <c r="I79" s="28" t="n">
        <v>24</v>
      </c>
      <c r="J79" s="28" t="n">
        <v>2.79</v>
      </c>
      <c r="K79" s="27" t="n">
        <f aca="false">IFERROR(higiene[[#This Row],[Preço por produto]]/PMA,0)</f>
        <v>0.842286444273547</v>
      </c>
      <c r="Q79" s="0" t="str">
        <f aca="false">D79</f>
        <v>Cereal (120g)</v>
      </c>
    </row>
    <row r="80" customFormat="false" ht="15" hidden="false" customHeight="false" outlineLevel="0" collapsed="false">
      <c r="D80" s="22" t="s">
        <v>448</v>
      </c>
      <c r="E80" s="57" t="n">
        <v>0.23</v>
      </c>
      <c r="F80" s="22" t="n">
        <v>7.65</v>
      </c>
      <c r="H80" s="58" t="s">
        <v>452</v>
      </c>
      <c r="I80" s="28" t="n">
        <v>26</v>
      </c>
      <c r="J80" s="28" t="n">
        <v>6.89</v>
      </c>
      <c r="K80" s="27" t="n">
        <f aca="false">IFERROR(higiene[[#This Row],[Preço por produto]]/PMA,0)</f>
        <v>2.0800550541379</v>
      </c>
      <c r="Q80" s="0" t="str">
        <f aca="false">D80</f>
        <v>Cereal infantil (230g)</v>
      </c>
    </row>
    <row r="81" customFormat="false" ht="15" hidden="false" customHeight="false" outlineLevel="0" collapsed="false">
      <c r="D81" s="22" t="s">
        <v>281</v>
      </c>
      <c r="E81" s="57" t="n">
        <v>0.5</v>
      </c>
      <c r="F81" s="22" t="n">
        <v>6.97</v>
      </c>
      <c r="H81" s="58" t="s">
        <v>454</v>
      </c>
      <c r="I81" s="28" t="n">
        <v>30</v>
      </c>
      <c r="J81" s="28" t="n">
        <v>3.59</v>
      </c>
      <c r="K81" s="27" t="n">
        <f aca="false">IFERROR(higiene[[#This Row],[Preço por produto]]/PMA,0)</f>
        <v>1.08380227058854</v>
      </c>
      <c r="Q81" s="0" t="str">
        <f aca="false">D81</f>
        <v>Cevada</v>
      </c>
    </row>
    <row r="82" customFormat="false" ht="15" hidden="false" customHeight="false" outlineLevel="0" collapsed="false">
      <c r="D82" s="22" t="s">
        <v>449</v>
      </c>
      <c r="E82" s="57" t="n">
        <v>0.1</v>
      </c>
      <c r="F82" s="22" t="n">
        <v>7.99</v>
      </c>
      <c r="H82" s="58" t="s">
        <v>202</v>
      </c>
      <c r="I82" s="28" t="n">
        <v>32</v>
      </c>
      <c r="J82" s="28" t="n">
        <v>3.665</v>
      </c>
      <c r="K82" s="27" t="n">
        <f aca="false">IFERROR(higiene[[#This Row],[Preço por produto]]/PMA,0)</f>
        <v>1.10644437930557</v>
      </c>
      <c r="Q82" s="0" t="str">
        <f aca="false">D82</f>
        <v>Chá (100g)</v>
      </c>
    </row>
    <row r="83" customFormat="false" ht="15" hidden="false" customHeight="false" outlineLevel="0" collapsed="false">
      <c r="D83" s="22" t="s">
        <v>451</v>
      </c>
      <c r="E83" s="57" t="n">
        <v>0.1</v>
      </c>
      <c r="F83" s="22" t="n">
        <v>4.04166666666667</v>
      </c>
      <c r="H83" s="58" t="s">
        <v>457</v>
      </c>
      <c r="I83" s="28" t="n">
        <v>34</v>
      </c>
      <c r="J83" s="28" t="n">
        <v>3.74333333333333</v>
      </c>
      <c r="K83" s="27" t="n">
        <f aca="false">IFERROR(higiene[[#This Row],[Preço por produto]]/PMA,0)</f>
        <v>1.13009280396558</v>
      </c>
      <c r="Q83" s="0" t="str">
        <f aca="false">D83</f>
        <v>Chá (10un)</v>
      </c>
    </row>
    <row r="84" customFormat="false" ht="15" hidden="false" customHeight="false" outlineLevel="0" collapsed="false">
      <c r="D84" s="22" t="s">
        <v>453</v>
      </c>
      <c r="E84" s="57" t="n">
        <v>0.012</v>
      </c>
      <c r="F84" s="22" t="n">
        <v>6.6</v>
      </c>
      <c r="H84" s="58" t="s">
        <v>459</v>
      </c>
      <c r="I84" s="28" t="n">
        <v>40</v>
      </c>
      <c r="J84" s="28" t="n">
        <v>3.19</v>
      </c>
      <c r="K84" s="27" t="n">
        <f aca="false">IFERROR(higiene[[#This Row],[Preço por produto]]/PMA,0)</f>
        <v>0.963044357431044</v>
      </c>
      <c r="Q84" s="0" t="str">
        <f aca="false">D84</f>
        <v>Chá (12g)</v>
      </c>
    </row>
    <row r="85" customFormat="false" ht="15" hidden="false" customHeight="false" outlineLevel="0" collapsed="false">
      <c r="D85" s="22" t="s">
        <v>455</v>
      </c>
      <c r="E85" s="57" t="n">
        <v>0.0225</v>
      </c>
      <c r="F85" s="22" t="n">
        <v>7.08333333333333</v>
      </c>
      <c r="H85" s="58" t="s">
        <v>461</v>
      </c>
      <c r="I85" s="28" t="n">
        <v>46</v>
      </c>
      <c r="J85" s="28" t="n">
        <v>2.79</v>
      </c>
      <c r="K85" s="27" t="n">
        <f aca="false">IFERROR(higiene[[#This Row],[Preço por produto]]/PMA,0)</f>
        <v>0.842286444273547</v>
      </c>
      <c r="Q85" s="0" t="str">
        <f aca="false">D85</f>
        <v>Chá (22,5g)</v>
      </c>
    </row>
    <row r="86" customFormat="false" ht="15" hidden="false" customHeight="false" outlineLevel="0" collapsed="false">
      <c r="D86" s="22" t="s">
        <v>456</v>
      </c>
      <c r="E86" s="57" t="n">
        <v>0.1</v>
      </c>
      <c r="F86" s="22" t="n">
        <v>4.82333333333333</v>
      </c>
      <c r="H86" s="58" t="s">
        <v>90</v>
      </c>
      <c r="I86" s="28" t="n">
        <v>50</v>
      </c>
      <c r="J86" s="28" t="n">
        <v>16.894</v>
      </c>
      <c r="K86" s="27" t="n">
        <f aca="false">IFERROR(higiene[[#This Row],[Preço por produto]]/PMA,0)</f>
        <v>5.10021046220692</v>
      </c>
      <c r="Q86" s="0" t="str">
        <f aca="false">D86</f>
        <v>Chocolate barra (100g)</v>
      </c>
    </row>
    <row r="87" customFormat="false" ht="15" hidden="false" customHeight="false" outlineLevel="0" collapsed="false">
      <c r="D87" s="22" t="s">
        <v>458</v>
      </c>
      <c r="E87" s="57" t="n">
        <v>1.5</v>
      </c>
      <c r="F87" s="22" t="n">
        <v>3.89</v>
      </c>
      <c r="H87" s="58" t="s">
        <v>71</v>
      </c>
      <c r="I87" s="28"/>
      <c r="J87" s="28" t="n">
        <v>14.794</v>
      </c>
      <c r="K87" s="27" t="n">
        <f aca="false">IFERROR(higiene[[#This Row],[Preço por produto]]/PMA,0)</f>
        <v>4.46623141813005</v>
      </c>
      <c r="Q87" s="0" t="str">
        <f aca="false">D87</f>
        <v>Coca-cola (1,5L)</v>
      </c>
    </row>
    <row r="88" customFormat="false" ht="15" hidden="false" customHeight="false" outlineLevel="0" collapsed="false">
      <c r="D88" s="22" t="s">
        <v>460</v>
      </c>
      <c r="E88" s="57" t="n">
        <v>2.5</v>
      </c>
      <c r="F88" s="22" t="n">
        <v>7.19</v>
      </c>
      <c r="H88" s="58" t="s">
        <v>187</v>
      </c>
      <c r="I88" s="28" t="n">
        <v>1</v>
      </c>
      <c r="J88" s="28" t="n">
        <v>20.5833333333333</v>
      </c>
      <c r="K88" s="27" t="n">
        <f aca="false">IFERROR(higiene[[#This Row],[Preço por produto]]/PMA,0)</f>
        <v>6.21400094789624</v>
      </c>
      <c r="Q88" s="0" t="str">
        <f aca="false">D88</f>
        <v>Coca-cola (2,5L)</v>
      </c>
    </row>
    <row r="89" customFormat="false" ht="15" hidden="false" customHeight="false" outlineLevel="0" collapsed="false">
      <c r="D89" s="22" t="s">
        <v>462</v>
      </c>
      <c r="E89" s="57" t="n">
        <v>2</v>
      </c>
      <c r="F89" s="22" t="n">
        <v>6.49</v>
      </c>
      <c r="H89" s="58" t="s">
        <v>130</v>
      </c>
      <c r="I89" s="28"/>
      <c r="J89" s="28" t="n">
        <v>17.79</v>
      </c>
      <c r="K89" s="27" t="n">
        <f aca="false">IFERROR(higiene[[#This Row],[Preço por produto]]/PMA,0)</f>
        <v>5.37070818767971</v>
      </c>
      <c r="Q89" s="0" t="str">
        <f aca="false">D89</f>
        <v>Coca-cola (2L)</v>
      </c>
    </row>
    <row r="90" customFormat="false" ht="15" hidden="false" customHeight="false" outlineLevel="0" collapsed="false">
      <c r="D90" s="22" t="s">
        <v>463</v>
      </c>
      <c r="E90" s="57" t="n">
        <v>3</v>
      </c>
      <c r="F90" s="22" t="n">
        <v>7.99</v>
      </c>
      <c r="H90" s="58" t="s">
        <v>465</v>
      </c>
      <c r="I90" s="28"/>
      <c r="J90" s="28" t="n">
        <v>51.99</v>
      </c>
      <c r="K90" s="27" t="n">
        <f aca="false">IFERROR(higiene[[#This Row],[Preço por produto]]/PMA,0)</f>
        <v>15.6955097626458</v>
      </c>
      <c r="Q90" s="0" t="str">
        <f aca="false">D90</f>
        <v>Coca-cola (3L)</v>
      </c>
    </row>
    <row r="91" customFormat="false" ht="15" hidden="false" customHeight="false" outlineLevel="0" collapsed="false">
      <c r="D91" s="22" t="s">
        <v>464</v>
      </c>
      <c r="E91" s="57" t="n">
        <v>0.1</v>
      </c>
      <c r="F91" s="22" t="n">
        <v>3.84</v>
      </c>
      <c r="H91" s="58" t="s">
        <v>73</v>
      </c>
      <c r="I91" s="28"/>
      <c r="J91" s="28" t="n">
        <v>14.224</v>
      </c>
      <c r="K91" s="27" t="n">
        <f aca="false">IFERROR(higiene[[#This Row],[Preço por produto]]/PMA,0)</f>
        <v>4.29415139188062</v>
      </c>
      <c r="Q91" s="0" t="str">
        <f aca="false">D91</f>
        <v>Coco Ralado (100g)</v>
      </c>
    </row>
    <row r="92" customFormat="false" ht="15" hidden="false" customHeight="false" outlineLevel="0" collapsed="false">
      <c r="D92" s="22" t="s">
        <v>474</v>
      </c>
      <c r="E92" s="57" t="n">
        <v>0.4</v>
      </c>
      <c r="F92" s="22" t="n">
        <v>4.88</v>
      </c>
      <c r="H92" s="58" t="s">
        <v>475</v>
      </c>
      <c r="I92" s="28"/>
      <c r="J92" s="62" t="n">
        <v>49.9</v>
      </c>
      <c r="K92" s="27" t="n">
        <f aca="false">IFERROR(higiene[[#This Row],[Preço por produto]]/PMA,0)</f>
        <v>15.0645496663978</v>
      </c>
      <c r="Q92" s="0" t="str">
        <f aca="false">D92</f>
        <v>Cookie (400g)</v>
      </c>
    </row>
    <row r="93" customFormat="false" ht="15" hidden="false" customHeight="false" outlineLevel="0" collapsed="false">
      <c r="D93" s="22" t="s">
        <v>476</v>
      </c>
      <c r="E93" s="57" t="n">
        <v>0.068</v>
      </c>
      <c r="F93" s="22" t="n">
        <v>5.3</v>
      </c>
      <c r="H93" s="58" t="s">
        <v>477</v>
      </c>
      <c r="I93" s="28" t="n">
        <v>1</v>
      </c>
      <c r="J93" s="62" t="n">
        <v>45.3</v>
      </c>
      <c r="K93" s="27" t="n">
        <f aca="false">IFERROR(higiene[[#This Row],[Preço por produto]]/PMA,0)</f>
        <v>13.6758336650866</v>
      </c>
      <c r="Q93" s="0" t="str">
        <f aca="false">D93</f>
        <v>Creme de Cebola em Pó (68g)</v>
      </c>
    </row>
    <row r="94" customFormat="false" ht="15" hidden="false" customHeight="false" outlineLevel="0" collapsed="false">
      <c r="D94" s="22" t="s">
        <v>283</v>
      </c>
      <c r="E94" s="57" t="n">
        <v>0.2</v>
      </c>
      <c r="F94" s="22" t="n">
        <v>2.64666666666667</v>
      </c>
      <c r="H94" s="58" t="s">
        <v>478</v>
      </c>
      <c r="I94" s="28" t="n">
        <v>12</v>
      </c>
      <c r="J94" s="28" t="n">
        <v>13.69</v>
      </c>
      <c r="K94" s="27" t="n">
        <f aca="false">IFERROR(higiene[[#This Row],[Preço por produto]]/PMA,0)</f>
        <v>4.13293957781536</v>
      </c>
      <c r="Q94" s="0" t="str">
        <f aca="false">D94</f>
        <v>Creme de Leite</v>
      </c>
    </row>
    <row r="95" customFormat="false" ht="15" hidden="false" customHeight="false" outlineLevel="0" collapsed="false">
      <c r="D95" s="22" t="s">
        <v>479</v>
      </c>
      <c r="E95" s="57" t="n">
        <v>0.5</v>
      </c>
      <c r="F95" s="22" t="n">
        <v>7.09</v>
      </c>
      <c r="H95" s="58" t="s">
        <v>480</v>
      </c>
      <c r="I95" s="28" t="n">
        <v>2</v>
      </c>
      <c r="J95" s="28" t="n">
        <v>18.39</v>
      </c>
      <c r="K95" s="27" t="n">
        <f aca="false">IFERROR(higiene[[#This Row],[Preço por produto]]/PMA,0)</f>
        <v>5.55184505741596</v>
      </c>
      <c r="Q95" s="0" t="str">
        <f aca="false">D95</f>
        <v>Cuscuz (500g)</v>
      </c>
    </row>
    <row r="96" customFormat="false" ht="15" hidden="false" customHeight="false" outlineLevel="0" collapsed="false">
      <c r="D96" s="22" t="s">
        <v>275</v>
      </c>
      <c r="E96" s="57"/>
      <c r="F96" s="22"/>
      <c r="H96" s="58" t="s">
        <v>481</v>
      </c>
      <c r="I96" s="28" t="n">
        <v>4</v>
      </c>
      <c r="J96" s="28" t="n">
        <v>25.2875</v>
      </c>
      <c r="K96" s="27" t="n">
        <f aca="false">IFERROR(higiene[[#This Row],[Preço por produto]]/PMA,0)</f>
        <v>7.63416432242556</v>
      </c>
      <c r="Q96" s="0" t="str">
        <f aca="false">D96</f>
        <v>D</v>
      </c>
    </row>
    <row r="97" customFormat="false" ht="15" hidden="false" customHeight="false" outlineLevel="0" collapsed="false">
      <c r="D97" s="22" t="s">
        <v>482</v>
      </c>
      <c r="E97" s="57" t="n">
        <v>0.22</v>
      </c>
      <c r="F97" s="60" t="n">
        <v>8.56</v>
      </c>
      <c r="H97" s="58" t="s">
        <v>483</v>
      </c>
      <c r="I97" s="28" t="n">
        <v>5</v>
      </c>
      <c r="J97" s="28" t="n">
        <v>19.2525</v>
      </c>
      <c r="K97" s="27" t="n">
        <f aca="false">IFERROR(higiene[[#This Row],[Preço por produto]]/PMA,0)</f>
        <v>5.81222930766181</v>
      </c>
      <c r="Q97" s="0" t="str">
        <f aca="false">D97</f>
        <v>Doce de Abóbora (220g)</v>
      </c>
    </row>
    <row r="98" customFormat="false" ht="15" hidden="false" customHeight="false" outlineLevel="0" collapsed="false">
      <c r="D98" s="22" t="s">
        <v>484</v>
      </c>
      <c r="E98" s="57" t="n">
        <v>0.15</v>
      </c>
      <c r="F98" s="22" t="n">
        <v>3.666</v>
      </c>
      <c r="H98" s="58" t="s">
        <v>131</v>
      </c>
      <c r="I98" s="28" t="n">
        <v>7</v>
      </c>
      <c r="J98" s="28" t="n">
        <v>14.8925</v>
      </c>
      <c r="K98" s="27" t="n">
        <f aca="false">IFERROR(higiene[[#This Row],[Preço por produto]]/PMA,0)</f>
        <v>4.49596805424509</v>
      </c>
      <c r="Q98" s="0" t="str">
        <f aca="false">D98</f>
        <v>Doces (bala - 150g)</v>
      </c>
    </row>
    <row r="99" customFormat="false" ht="15" hidden="false" customHeight="false" outlineLevel="0" collapsed="false">
      <c r="D99" s="22" t="s">
        <v>485</v>
      </c>
      <c r="E99" s="57" t="n">
        <v>0.2</v>
      </c>
      <c r="F99" s="22" t="n">
        <v>5.18666666666667</v>
      </c>
      <c r="H99" s="58" t="s">
        <v>178</v>
      </c>
      <c r="I99" s="28" t="n">
        <v>8</v>
      </c>
      <c r="J99" s="28" t="n">
        <v>19.794</v>
      </c>
      <c r="K99" s="27" t="n">
        <f aca="false">IFERROR(higiene[[#This Row],[Preço por produto]]/PMA,0)</f>
        <v>5.97570533259877</v>
      </c>
      <c r="Q99" s="0" t="str">
        <f aca="false">D99</f>
        <v>Doces (bala - 200g)</v>
      </c>
    </row>
    <row r="100" customFormat="false" ht="15" hidden="false" customHeight="false" outlineLevel="0" collapsed="false">
      <c r="D100" s="22" t="s">
        <v>486</v>
      </c>
      <c r="E100" s="57" t="n">
        <v>0.3</v>
      </c>
      <c r="F100" s="22" t="n">
        <v>5.19</v>
      </c>
      <c r="H100" s="58" t="s">
        <v>217</v>
      </c>
      <c r="I100" s="28" t="n">
        <v>2</v>
      </c>
      <c r="J100" s="28" t="n">
        <v>19.7925</v>
      </c>
      <c r="K100" s="27" t="n">
        <f aca="false">IFERROR(higiene[[#This Row],[Preço por produto]]/PMA,0)</f>
        <v>5.97525249042443</v>
      </c>
      <c r="Q100" s="0" t="str">
        <f aca="false">D100</f>
        <v>Doces (bala - 300g)</v>
      </c>
    </row>
    <row r="101" customFormat="false" ht="15" hidden="false" customHeight="false" outlineLevel="0" collapsed="false">
      <c r="D101" s="22" t="s">
        <v>487</v>
      </c>
      <c r="E101" s="57" t="n">
        <v>0.6</v>
      </c>
      <c r="F101" s="22" t="n">
        <v>9.6925</v>
      </c>
      <c r="H101" s="58" t="s">
        <v>488</v>
      </c>
      <c r="I101" s="28" t="n">
        <v>5</v>
      </c>
      <c r="J101" s="28" t="n">
        <v>28.745</v>
      </c>
      <c r="K101" s="27" t="n">
        <f aca="false">IFERROR(higiene[[#This Row],[Preço por produto]]/PMA,0)</f>
        <v>8.67796553428068</v>
      </c>
      <c r="Q101" s="0" t="str">
        <f aca="false">D101</f>
        <v>Doces (bala - 600g)</v>
      </c>
    </row>
    <row r="102" customFormat="false" ht="15" hidden="false" customHeight="false" outlineLevel="0" collapsed="false">
      <c r="D102" s="22" t="s">
        <v>489</v>
      </c>
      <c r="E102" s="57" t="n">
        <v>0.07</v>
      </c>
      <c r="F102" s="22" t="n">
        <v>3.59</v>
      </c>
      <c r="H102" s="58" t="s">
        <v>490</v>
      </c>
      <c r="I102" s="28" t="n">
        <v>1</v>
      </c>
      <c r="J102" s="28" t="n">
        <v>25.98</v>
      </c>
      <c r="K102" s="27" t="n">
        <f aca="false">IFERROR(higiene[[#This Row],[Preço por produto]]/PMA,0)</f>
        <v>7.84322645957948</v>
      </c>
      <c r="Q102" s="0" t="str">
        <f aca="false">D102</f>
        <v>Doces (bala - 70 g)</v>
      </c>
    </row>
    <row r="103" customFormat="false" ht="15" hidden="false" customHeight="false" outlineLevel="0" collapsed="false">
      <c r="D103" s="22" t="s">
        <v>284</v>
      </c>
      <c r="E103" s="57"/>
      <c r="F103" s="22"/>
      <c r="H103" s="58" t="s">
        <v>491</v>
      </c>
      <c r="I103" s="28" t="n">
        <v>1</v>
      </c>
      <c r="J103" s="28" t="n">
        <v>38.0125</v>
      </c>
      <c r="K103" s="27" t="n">
        <f aca="false">IFERROR(higiene[[#This Row],[Preço por produto]]/PMA,0)</f>
        <v>11.4757754347485</v>
      </c>
      <c r="Q103" s="0" t="str">
        <f aca="false">D103</f>
        <v>E</v>
      </c>
    </row>
    <row r="104" customFormat="false" ht="15" hidden="false" customHeight="false" outlineLevel="0" collapsed="false">
      <c r="D104" s="22" t="s">
        <v>492</v>
      </c>
      <c r="E104" s="57" t="n">
        <v>0.3</v>
      </c>
      <c r="F104" s="22" t="n">
        <v>1.69</v>
      </c>
      <c r="H104" s="58" t="s">
        <v>183</v>
      </c>
      <c r="I104" s="28"/>
      <c r="J104" s="28" t="n">
        <v>37.715</v>
      </c>
      <c r="K104" s="27" t="n">
        <f aca="false">IFERROR(higiene[[#This Row],[Preço por produto]]/PMA,0)</f>
        <v>11.3859617368376</v>
      </c>
      <c r="Q104" s="0" t="str">
        <f aca="false">D104</f>
        <v>Ervilha (Sachê)</v>
      </c>
    </row>
    <row r="105" customFormat="false" ht="15" hidden="false" customHeight="false" outlineLevel="0" collapsed="false">
      <c r="D105" s="22" t="s">
        <v>39</v>
      </c>
      <c r="E105" s="57" t="n">
        <v>0.3</v>
      </c>
      <c r="F105" s="22" t="n">
        <v>1.50166666666667</v>
      </c>
      <c r="H105" s="58" t="s">
        <v>493</v>
      </c>
      <c r="I105" s="28" t="n">
        <v>1</v>
      </c>
      <c r="J105" s="28" t="n">
        <v>27.4725</v>
      </c>
      <c r="K105" s="27" t="n">
        <f aca="false">IFERROR(higiene[[#This Row],[Preço por produto]]/PMA,0)</f>
        <v>8.29380442304839</v>
      </c>
      <c r="Q105" s="0" t="str">
        <f aca="false">D105</f>
        <v>Ervilha conserva (Lata)</v>
      </c>
    </row>
    <row r="106" customFormat="false" ht="15" hidden="false" customHeight="false" outlineLevel="0" collapsed="false">
      <c r="D106" s="22" t="s">
        <v>494</v>
      </c>
      <c r="E106" s="57" t="n">
        <v>0.5</v>
      </c>
      <c r="F106" s="22" t="n">
        <v>7.04</v>
      </c>
      <c r="H106" s="68" t="s">
        <v>186</v>
      </c>
      <c r="I106" s="69" t="n">
        <v>1</v>
      </c>
      <c r="J106" s="62" t="n">
        <v>23.9</v>
      </c>
      <c r="K106" s="27" t="n">
        <f aca="false">IFERROR(higiene[[#This Row],[Preço por produto]]/PMA,0)</f>
        <v>7.21528531116049</v>
      </c>
      <c r="Q106" s="0" t="str">
        <f aca="false">D106</f>
        <v>Ervilha Seca (500g)</v>
      </c>
    </row>
    <row r="107" customFormat="false" ht="15" hidden="false" customHeight="false" outlineLevel="0" collapsed="false">
      <c r="D107" s="22" t="s">
        <v>200</v>
      </c>
      <c r="E107" s="70" t="n">
        <v>0.13</v>
      </c>
      <c r="F107" s="53" t="n">
        <v>1.98166666666667</v>
      </c>
      <c r="H107" s="58" t="s">
        <v>495</v>
      </c>
      <c r="I107" s="28" t="n">
        <v>0.2</v>
      </c>
      <c r="J107" s="28" t="n">
        <v>45.98</v>
      </c>
      <c r="K107" s="27" t="n">
        <f aca="false">IFERROR(higiene[[#This Row],[Preço por produto]]/PMA,0)</f>
        <v>13.8811221174544</v>
      </c>
      <c r="Q107" s="0" t="str">
        <f aca="false">D107</f>
        <v>Extrato de tomate (130g)</v>
      </c>
    </row>
    <row r="108" customFormat="false" ht="15" hidden="false" customHeight="false" outlineLevel="0" collapsed="false">
      <c r="D108" s="22" t="s">
        <v>496</v>
      </c>
      <c r="E108" s="57" t="n">
        <v>0.28</v>
      </c>
      <c r="F108" s="22" t="n">
        <v>4.235</v>
      </c>
      <c r="H108" s="58" t="s">
        <v>182</v>
      </c>
      <c r="I108" s="28" t="n">
        <v>0.5</v>
      </c>
      <c r="J108" s="28" t="n">
        <v>33.7966666666667</v>
      </c>
      <c r="K108" s="27" t="n">
        <f aca="false">IFERROR(higiene[[#This Row],[Preço por produto]]/PMA,0)</f>
        <v>10.2030373458656</v>
      </c>
      <c r="Q108" s="0" t="str">
        <f aca="false">D108</f>
        <v>Extrato de tomate (280g)</v>
      </c>
    </row>
    <row r="109" customFormat="false" ht="15" hidden="false" customHeight="false" outlineLevel="0" collapsed="false">
      <c r="D109" s="22" t="s">
        <v>497</v>
      </c>
      <c r="E109" s="57" t="n">
        <v>0.32</v>
      </c>
      <c r="F109" s="60" t="n">
        <v>3.07</v>
      </c>
      <c r="H109" s="58" t="s">
        <v>197</v>
      </c>
      <c r="I109" s="28" t="n">
        <v>0.75</v>
      </c>
      <c r="J109" s="28" t="n">
        <v>45.98</v>
      </c>
      <c r="K109" s="27" t="n">
        <f aca="false">IFERROR(higiene[[#This Row],[Preço por produto]]/PMA,0)</f>
        <v>13.8811221174544</v>
      </c>
      <c r="Q109" s="0" t="str">
        <f aca="false">D109</f>
        <v>Extrato de tomate (320g)</v>
      </c>
    </row>
    <row r="110" customFormat="false" ht="15" hidden="false" customHeight="false" outlineLevel="0" collapsed="false">
      <c r="D110" s="22" t="s">
        <v>126</v>
      </c>
      <c r="E110" s="57" t="n">
        <v>0.34</v>
      </c>
      <c r="F110" s="22" t="n">
        <v>3.17333333333333</v>
      </c>
      <c r="H110" s="58" t="s">
        <v>498</v>
      </c>
      <c r="I110" s="28" t="n">
        <v>3</v>
      </c>
      <c r="J110" s="28" t="n">
        <v>32.454</v>
      </c>
      <c r="K110" s="27" t="n">
        <f aca="false">IFERROR(higiene[[#This Row],[Preço por produto]]/PMA,0)</f>
        <v>9.79769328403358</v>
      </c>
      <c r="Q110" s="0" t="str">
        <f aca="false">D110</f>
        <v>Extrato de tomate (340g)</v>
      </c>
    </row>
    <row r="111" customFormat="false" ht="15" hidden="false" customHeight="false" outlineLevel="0" collapsed="false">
      <c r="D111" s="22" t="s">
        <v>499</v>
      </c>
      <c r="E111" s="57" t="n">
        <v>0.4</v>
      </c>
      <c r="F111" s="22" t="n">
        <v>3.335</v>
      </c>
      <c r="H111" s="58" t="s">
        <v>211</v>
      </c>
      <c r="I111" s="28"/>
      <c r="J111" s="28" t="n">
        <v>34.9</v>
      </c>
      <c r="K111" s="27" t="n">
        <f aca="false">IFERROR(higiene[[#This Row],[Preço por produto]]/PMA,0)</f>
        <v>10.5361279229917</v>
      </c>
      <c r="Q111" s="0" t="str">
        <f aca="false">D111</f>
        <v>Extrato de tomate (400g)</v>
      </c>
    </row>
    <row r="112" customFormat="false" ht="15" hidden="false" customHeight="false" outlineLevel="0" collapsed="false">
      <c r="D112" s="22" t="s">
        <v>500</v>
      </c>
      <c r="E112" s="57" t="n">
        <v>0.52</v>
      </c>
      <c r="F112" s="22" t="n">
        <v>2.72</v>
      </c>
      <c r="H112" s="58" t="s">
        <v>218</v>
      </c>
      <c r="I112" s="28"/>
      <c r="J112" s="28" t="n">
        <v>33.118</v>
      </c>
      <c r="K112" s="27" t="n">
        <f aca="false">IFERROR(higiene[[#This Row],[Preço por produto]]/PMA,0)</f>
        <v>9.99815141987502</v>
      </c>
      <c r="Q112" s="0" t="str">
        <f aca="false">D112</f>
        <v>Extrato de tomate (520g)</v>
      </c>
    </row>
    <row r="113" customFormat="false" ht="15" hidden="false" customHeight="false" outlineLevel="0" collapsed="false">
      <c r="D113" s="22" t="s">
        <v>291</v>
      </c>
      <c r="E113" s="57"/>
      <c r="F113" s="22"/>
      <c r="H113" s="58" t="s">
        <v>501</v>
      </c>
      <c r="I113" s="28"/>
      <c r="J113" s="28" t="n">
        <v>43.98</v>
      </c>
      <c r="K113" s="27" t="n">
        <f aca="false">IFERROR(higiene[[#This Row],[Preço por produto]]/PMA,0)</f>
        <v>13.2773325516669</v>
      </c>
      <c r="Q113" s="0" t="str">
        <f aca="false">D113</f>
        <v>F</v>
      </c>
    </row>
    <row r="114" customFormat="false" ht="15" hidden="false" customHeight="false" outlineLevel="0" collapsed="false">
      <c r="D114" s="22" t="s">
        <v>502</v>
      </c>
      <c r="E114" s="57" t="n">
        <v>0.5</v>
      </c>
      <c r="F114" s="22" t="n">
        <v>3.89</v>
      </c>
      <c r="H114" s="58" t="s">
        <v>503</v>
      </c>
      <c r="I114" s="28" t="n">
        <v>4</v>
      </c>
      <c r="J114" s="28" t="n">
        <v>43.98</v>
      </c>
      <c r="K114" s="27" t="n">
        <f aca="false">IFERROR(higiene[[#This Row],[Preço por produto]]/PMA,0)</f>
        <v>13.2773325516669</v>
      </c>
      <c r="Q114" s="0" t="str">
        <f aca="false">D114</f>
        <v>Farinha de Kibe (500g)</v>
      </c>
    </row>
    <row r="115" customFormat="false" ht="15" hidden="false" customHeight="false" outlineLevel="0" collapsed="false">
      <c r="D115" s="22" t="s">
        <v>504</v>
      </c>
      <c r="E115" s="57" t="n">
        <v>1</v>
      </c>
      <c r="F115" s="22" t="n">
        <v>7.99</v>
      </c>
      <c r="H115" s="58" t="s">
        <v>505</v>
      </c>
      <c r="I115" s="28" t="n">
        <v>8</v>
      </c>
      <c r="J115" s="28" t="n">
        <v>43.98</v>
      </c>
      <c r="K115" s="27" t="n">
        <f aca="false">IFERROR(higiene[[#This Row],[Preço por produto]]/PMA,0)</f>
        <v>13.2773325516669</v>
      </c>
      <c r="Q115" s="0" t="str">
        <f aca="false">D115</f>
        <v>Farinha de Mandioca (1kg)</v>
      </c>
    </row>
    <row r="116" customFormat="false" ht="15" hidden="false" customHeight="false" outlineLevel="0" collapsed="false">
      <c r="D116" s="22" t="s">
        <v>150</v>
      </c>
      <c r="E116" s="57" t="n">
        <v>0.5</v>
      </c>
      <c r="F116" s="22" t="n">
        <v>4.06833333333333</v>
      </c>
      <c r="H116" s="58" t="s">
        <v>297</v>
      </c>
      <c r="I116" s="28" t="n">
        <v>16</v>
      </c>
      <c r="J116" s="28"/>
      <c r="K116" s="27" t="n">
        <f aca="false">IFERROR(higiene[[#This Row],[Preço por produto]]/PMA,0)</f>
        <v>0</v>
      </c>
      <c r="Q116" s="0" t="str">
        <f aca="false">D116</f>
        <v>Farinha de mandioca (500g)</v>
      </c>
    </row>
    <row r="117" customFormat="false" ht="15" hidden="false" customHeight="false" outlineLevel="0" collapsed="false">
      <c r="D117" s="22" t="s">
        <v>207</v>
      </c>
      <c r="E117" s="57" t="n">
        <v>0.5</v>
      </c>
      <c r="F117" s="22" t="n">
        <v>3.49</v>
      </c>
      <c r="H117" s="58" t="s">
        <v>119</v>
      </c>
      <c r="I117" s="28" t="n">
        <v>24</v>
      </c>
      <c r="J117" s="28" t="n">
        <v>1.70666666666667</v>
      </c>
      <c r="K117" s="27" t="n">
        <f aca="false">IFERROR(higiene[[#This Row],[Preço por produto]]/PMA,0)</f>
        <v>0.515233762805323</v>
      </c>
      <c r="Q117" s="0" t="str">
        <f aca="false">D117</f>
        <v>Farinha de milho(500g)</v>
      </c>
    </row>
    <row r="118" customFormat="false" ht="15" hidden="false" customHeight="false" outlineLevel="0" collapsed="false">
      <c r="D118" s="22" t="s">
        <v>506</v>
      </c>
      <c r="E118" s="57" t="n">
        <v>0.5</v>
      </c>
      <c r="F118" s="22" t="n">
        <v>4.3</v>
      </c>
      <c r="H118" s="58" t="s">
        <v>299</v>
      </c>
      <c r="I118" s="28" t="n">
        <v>2</v>
      </c>
      <c r="J118" s="28"/>
      <c r="K118" s="27" t="n">
        <f aca="false">IFERROR(higiene[[#This Row],[Preço por produto]]/PMA,0)</f>
        <v>0</v>
      </c>
      <c r="Q118" s="0" t="str">
        <f aca="false">D118</f>
        <v>Farinha de rosca (500g)</v>
      </c>
    </row>
    <row r="119" customFormat="false" ht="15" hidden="false" customHeight="false" outlineLevel="0" collapsed="false">
      <c r="D119" s="22" t="s">
        <v>110</v>
      </c>
      <c r="E119" s="57" t="n">
        <v>1</v>
      </c>
      <c r="F119" s="22" t="n">
        <v>2.74</v>
      </c>
      <c r="H119" s="58" t="s">
        <v>302</v>
      </c>
      <c r="I119" s="28" t="n">
        <v>0.18</v>
      </c>
      <c r="J119" s="28"/>
      <c r="K119" s="27" t="n">
        <f aca="false">IFERROR(higiene[[#This Row],[Preço por produto]]/PMA,0)</f>
        <v>0</v>
      </c>
      <c r="Q119" s="0" t="str">
        <f aca="false">D119</f>
        <v>Farinha de trigo (1kg)</v>
      </c>
    </row>
    <row r="120" customFormat="false" ht="15" hidden="false" customHeight="false" outlineLevel="0" collapsed="false">
      <c r="D120" s="22" t="s">
        <v>507</v>
      </c>
      <c r="E120" s="57" t="n">
        <v>0.15</v>
      </c>
      <c r="F120" s="60" t="n">
        <v>2.35</v>
      </c>
      <c r="H120" s="58" t="s">
        <v>304</v>
      </c>
      <c r="I120" s="28" t="n">
        <v>0.05</v>
      </c>
      <c r="J120" s="28"/>
      <c r="K120" s="27" t="n">
        <f aca="false">IFERROR(higiene[[#This Row],[Preço por produto]]/PMA,0)</f>
        <v>0</v>
      </c>
      <c r="Q120" s="0" t="str">
        <f aca="false">D120</f>
        <v>Farofa (150g)</v>
      </c>
    </row>
    <row r="121" customFormat="false" ht="15" hidden="false" customHeight="false" outlineLevel="0" collapsed="false">
      <c r="D121" s="22" t="s">
        <v>508</v>
      </c>
      <c r="E121" s="57" t="n">
        <v>0.25</v>
      </c>
      <c r="F121" s="22" t="n">
        <v>2.562</v>
      </c>
      <c r="H121" s="58" t="s">
        <v>306</v>
      </c>
      <c r="I121" s="28" t="n">
        <v>0.07</v>
      </c>
      <c r="J121" s="28"/>
      <c r="K121" s="27" t="n">
        <f aca="false">IFERROR(higiene[[#This Row],[Preço por produto]]/PMA,0)</f>
        <v>0</v>
      </c>
      <c r="Q121" s="0" t="e">
        <f aca="false">#REF!</f>
        <v>#REF!</v>
      </c>
    </row>
    <row r="122" customFormat="false" ht="15" hidden="false" customHeight="false" outlineLevel="0" collapsed="false">
      <c r="D122" s="22" t="s">
        <v>509</v>
      </c>
      <c r="E122" s="57" t="n">
        <v>0.3</v>
      </c>
      <c r="F122" s="22" t="n">
        <v>3.39</v>
      </c>
      <c r="H122" s="58" t="s">
        <v>510</v>
      </c>
      <c r="I122" s="28" t="n">
        <v>0.09</v>
      </c>
      <c r="J122" s="28" t="n">
        <v>22.595</v>
      </c>
      <c r="K122" s="27" t="n">
        <f aca="false">IFERROR(higiene[[#This Row],[Preço por produto]]/PMA,0)</f>
        <v>6.82131261948415</v>
      </c>
      <c r="Q122" s="0" t="e">
        <f aca="false">#REF!</f>
        <v>#REF!</v>
      </c>
    </row>
    <row r="123" customFormat="false" ht="15" hidden="false" customHeight="false" outlineLevel="0" collapsed="false">
      <c r="D123" s="22" t="s">
        <v>127</v>
      </c>
      <c r="E123" s="57" t="n">
        <v>0.5</v>
      </c>
      <c r="F123" s="22" t="n">
        <v>4.406</v>
      </c>
      <c r="H123" s="58" t="s">
        <v>52</v>
      </c>
      <c r="I123" s="28" t="n">
        <v>0.1</v>
      </c>
      <c r="J123" s="28" t="n">
        <v>5.99</v>
      </c>
      <c r="K123" s="27" t="n">
        <f aca="false">IFERROR(higiene[[#This Row],[Preço por produto]]/PMA,0)</f>
        <v>1.80834974953353</v>
      </c>
      <c r="Q123" s="0" t="str">
        <f aca="false">D121</f>
        <v>Farofa (250g)</v>
      </c>
    </row>
    <row r="124" customFormat="false" ht="15" hidden="false" customHeight="false" outlineLevel="0" collapsed="false">
      <c r="D124" s="63" t="s">
        <v>204</v>
      </c>
      <c r="E124" s="64" t="n">
        <v>0.25</v>
      </c>
      <c r="F124" s="60" t="n">
        <v>2.57</v>
      </c>
      <c r="H124" s="58" t="s">
        <v>511</v>
      </c>
      <c r="I124" s="28"/>
      <c r="J124" s="28" t="n">
        <v>20.98</v>
      </c>
      <c r="K124" s="27" t="n">
        <f aca="false">IFERROR(higiene[[#This Row],[Preço por produto]]/PMA,0)</f>
        <v>6.33375254511075</v>
      </c>
      <c r="Q124" s="0" t="str">
        <f aca="false">D122</f>
        <v>Farofa (300g)</v>
      </c>
    </row>
    <row r="125" customFormat="false" ht="15" hidden="false" customHeight="false" outlineLevel="0" collapsed="false">
      <c r="D125" s="22" t="s">
        <v>34</v>
      </c>
      <c r="E125" s="57" t="n">
        <v>1</v>
      </c>
      <c r="F125" s="22" t="n">
        <v>2.625</v>
      </c>
      <c r="H125" s="58" t="s">
        <v>115</v>
      </c>
      <c r="I125" s="28" t="n">
        <v>0.9</v>
      </c>
      <c r="J125" s="28" t="n">
        <v>15.26</v>
      </c>
      <c r="K125" s="27" t="n">
        <f aca="false">IFERROR(higiene[[#This Row],[Preço por produto]]/PMA,0)</f>
        <v>4.60691438695854</v>
      </c>
      <c r="Q125" s="0" t="str">
        <f aca="false">D123</f>
        <v>Farofa (500g)</v>
      </c>
    </row>
    <row r="126" customFormat="false" ht="15" hidden="false" customHeight="false" outlineLevel="0" collapsed="false">
      <c r="D126" s="22" t="s">
        <v>89</v>
      </c>
      <c r="E126" s="57" t="n">
        <v>2</v>
      </c>
      <c r="F126" s="22" t="n">
        <v>6.02</v>
      </c>
      <c r="H126" s="58" t="s">
        <v>51</v>
      </c>
      <c r="I126" s="28"/>
      <c r="J126" s="28" t="n">
        <v>4.02</v>
      </c>
      <c r="K126" s="27" t="n">
        <f aca="false">IFERROR(higiene[[#This Row],[Preço por produto]]/PMA,0)</f>
        <v>1.21361702723285</v>
      </c>
      <c r="Q126" s="0" t="str">
        <f aca="false">D124</f>
        <v>farofa de mandioca (250g)</v>
      </c>
    </row>
    <row r="127" customFormat="false" ht="15" hidden="false" customHeight="false" outlineLevel="0" collapsed="false">
      <c r="D127" s="22" t="s">
        <v>152</v>
      </c>
      <c r="E127" s="57" t="n">
        <v>0.5</v>
      </c>
      <c r="F127" s="22" t="n">
        <v>5.28333333333333</v>
      </c>
      <c r="H127" s="58" t="s">
        <v>50</v>
      </c>
      <c r="I127" s="28" t="n">
        <v>0.45</v>
      </c>
      <c r="J127" s="28" t="n">
        <v>7.635</v>
      </c>
      <c r="K127" s="27" t="n">
        <f aca="false">IFERROR(higiene[[#This Row],[Preço por produto]]/PMA,0)</f>
        <v>2.30496666739374</v>
      </c>
      <c r="Q127" s="0" t="str">
        <f aca="false">D125</f>
        <v>Feijão (1kg)</v>
      </c>
    </row>
    <row r="128" customFormat="false" ht="15" hidden="false" customHeight="false" outlineLevel="0" collapsed="false">
      <c r="D128" s="22" t="s">
        <v>512</v>
      </c>
      <c r="E128" s="57" t="n">
        <v>0.83</v>
      </c>
      <c r="F128" s="22" t="n">
        <v>11.89</v>
      </c>
      <c r="H128" s="58" t="s">
        <v>513</v>
      </c>
      <c r="I128" s="28"/>
      <c r="J128" s="28" t="n">
        <v>5.98</v>
      </c>
      <c r="K128" s="27" t="n">
        <f aca="false">IFERROR(higiene[[#This Row],[Preço por produto]]/PMA,0)</f>
        <v>1.80533080170459</v>
      </c>
      <c r="Q128" s="0" t="str">
        <f aca="false">D126</f>
        <v>Feijão (2kg)</v>
      </c>
    </row>
    <row r="129" customFormat="false" ht="15" hidden="false" customHeight="false" outlineLevel="0" collapsed="false">
      <c r="D129" s="22" t="s">
        <v>514</v>
      </c>
      <c r="E129" s="57" t="n">
        <v>0.1</v>
      </c>
      <c r="F129" s="22" t="n">
        <v>2.51833333333333</v>
      </c>
      <c r="H129" s="58" t="s">
        <v>192</v>
      </c>
      <c r="I129" s="28" t="n">
        <v>1</v>
      </c>
      <c r="J129" s="28" t="n">
        <v>19.26</v>
      </c>
      <c r="K129" s="27" t="n">
        <f aca="false">IFERROR(higiene[[#This Row],[Preço por produto]]/PMA,0)</f>
        <v>5.81449351853351</v>
      </c>
      <c r="Q129" s="0" t="str">
        <f aca="false">D127</f>
        <v>Feijão (500g)</v>
      </c>
    </row>
    <row r="130" customFormat="false" ht="15" hidden="false" customHeight="false" outlineLevel="0" collapsed="false">
      <c r="D130" s="22" t="s">
        <v>185</v>
      </c>
      <c r="E130" s="57" t="n">
        <v>1</v>
      </c>
      <c r="F130" s="22" t="n">
        <v>4.80333333333333</v>
      </c>
      <c r="H130" s="58" t="s">
        <v>515</v>
      </c>
      <c r="I130" s="28" t="n">
        <v>5</v>
      </c>
      <c r="J130" s="28" t="n">
        <v>39.98</v>
      </c>
      <c r="K130" s="27" t="n">
        <f aca="false">IFERROR(higiene[[#This Row],[Preço por produto]]/PMA,0)</f>
        <v>12.0697534200919</v>
      </c>
      <c r="Q130" s="0" t="str">
        <f aca="false">D128</f>
        <v>Feijoada enlatada (830g)</v>
      </c>
    </row>
    <row r="131" customFormat="false" ht="15" hidden="false" customHeight="false" outlineLevel="0" collapsed="false">
      <c r="D131" s="22" t="s">
        <v>77</v>
      </c>
      <c r="E131" s="57" t="n">
        <v>0.5</v>
      </c>
      <c r="F131" s="22" t="n">
        <v>1.74</v>
      </c>
      <c r="H131" s="58" t="s">
        <v>516</v>
      </c>
      <c r="I131" s="28" t="n">
        <v>1</v>
      </c>
      <c r="J131" s="28" t="n">
        <v>22.235</v>
      </c>
      <c r="K131" s="27" t="n">
        <f aca="false">IFERROR(higiene[[#This Row],[Preço por produto]]/PMA,0)</f>
        <v>6.7126304976424</v>
      </c>
      <c r="Q131" s="0" t="str">
        <f aca="false">D129</f>
        <v>Fermento (100g)</v>
      </c>
    </row>
    <row r="132" customFormat="false" ht="15" hidden="false" customHeight="false" outlineLevel="0" collapsed="false">
      <c r="D132" s="22" t="s">
        <v>297</v>
      </c>
      <c r="E132" s="57"/>
      <c r="F132" s="22"/>
      <c r="H132" s="58" t="s">
        <v>517</v>
      </c>
      <c r="I132" s="28" t="n">
        <v>2.8</v>
      </c>
      <c r="J132" s="28" t="n">
        <v>3.215</v>
      </c>
      <c r="K132" s="27" t="n">
        <f aca="false">IFERROR(higiene[[#This Row],[Preço por produto]]/PMA,0)</f>
        <v>0.970591727003388</v>
      </c>
      <c r="Q132" s="0" t="str">
        <f aca="false">D130</f>
        <v>Fuba (1kg)</v>
      </c>
    </row>
    <row r="133" customFormat="false" ht="15" hidden="false" customHeight="false" outlineLevel="0" collapsed="false">
      <c r="D133" s="22" t="s">
        <v>122</v>
      </c>
      <c r="E133" s="57" t="n">
        <v>0.03</v>
      </c>
      <c r="F133" s="22" t="n">
        <v>0.99</v>
      </c>
      <c r="H133" s="58" t="s">
        <v>518</v>
      </c>
      <c r="I133" s="28" t="n">
        <v>2</v>
      </c>
      <c r="J133" s="28" t="n">
        <v>4.79</v>
      </c>
      <c r="K133" s="27" t="n">
        <f aca="false">IFERROR(higiene[[#This Row],[Preço por produto]]/PMA,0)</f>
        <v>1.44607601006104</v>
      </c>
      <c r="Q133" s="0" t="str">
        <f aca="false">D131</f>
        <v>Fuba (500g)</v>
      </c>
    </row>
    <row r="134" customFormat="false" ht="15" hidden="false" customHeight="false" outlineLevel="0" collapsed="false">
      <c r="D134" s="22" t="s">
        <v>184</v>
      </c>
      <c r="E134" s="57" t="n">
        <v>0.035</v>
      </c>
      <c r="F134" s="22" t="n">
        <v>1.185</v>
      </c>
      <c r="H134" s="58" t="s">
        <v>165</v>
      </c>
      <c r="I134" s="28" t="n">
        <v>3</v>
      </c>
      <c r="J134" s="28" t="n">
        <v>2.49</v>
      </c>
      <c r="K134" s="27" t="n">
        <f aca="false">IFERROR(higiene[[#This Row],[Preço por produto]]/PMA,0)</f>
        <v>0.751718009405423</v>
      </c>
      <c r="Q134" s="0" t="str">
        <f aca="false">D132</f>
        <v>G</v>
      </c>
    </row>
    <row r="135" customFormat="false" ht="15" hidden="false" customHeight="false" outlineLevel="0" collapsed="false">
      <c r="D135" s="22" t="s">
        <v>519</v>
      </c>
      <c r="E135" s="57" t="n">
        <v>0.1</v>
      </c>
      <c r="F135" s="22" t="n">
        <v>4.58</v>
      </c>
      <c r="H135" s="58" t="s">
        <v>49</v>
      </c>
      <c r="I135" s="28" t="n">
        <v>1</v>
      </c>
      <c r="J135" s="28" t="n">
        <v>7.69</v>
      </c>
      <c r="K135" s="27" t="n">
        <f aca="false">IFERROR(higiene[[#This Row],[Preço por produto]]/PMA,0)</f>
        <v>2.32157088045289</v>
      </c>
      <c r="Q135" s="0" t="str">
        <f aca="false">D133</f>
        <v>Gelatina (30g)</v>
      </c>
    </row>
    <row r="136" customFormat="false" ht="15" hidden="false" customHeight="false" outlineLevel="0" collapsed="false">
      <c r="D136" s="22" t="s">
        <v>520</v>
      </c>
      <c r="E136" s="57" t="n">
        <v>0.3</v>
      </c>
      <c r="F136" s="22" t="n">
        <v>2.684</v>
      </c>
      <c r="H136" s="58" t="s">
        <v>521</v>
      </c>
      <c r="I136" s="28" t="n">
        <v>5</v>
      </c>
      <c r="J136" s="28" t="n">
        <v>13.49</v>
      </c>
      <c r="K136" s="27" t="n">
        <f aca="false">IFERROR(higiene[[#This Row],[Preço por produto]]/PMA,0)</f>
        <v>4.07256062123661</v>
      </c>
      <c r="Q136" s="0" t="str">
        <f aca="false">D134</f>
        <v>Gelatina (35g)</v>
      </c>
    </row>
    <row r="137" customFormat="false" ht="15" hidden="false" customHeight="false" outlineLevel="0" collapsed="false">
      <c r="D137" s="22" t="s">
        <v>168</v>
      </c>
      <c r="E137" s="57" t="n">
        <v>0.4</v>
      </c>
      <c r="F137" s="22" t="n">
        <v>3.83</v>
      </c>
      <c r="H137" s="58" t="s">
        <v>102</v>
      </c>
      <c r="I137" s="28" t="n">
        <v>1</v>
      </c>
      <c r="J137" s="28" t="n">
        <v>4.25</v>
      </c>
      <c r="K137" s="27" t="n">
        <f aca="false">IFERROR(higiene[[#This Row],[Preço por produto]]/PMA,0)</f>
        <v>1.28305282729841</v>
      </c>
      <c r="Q137" s="0" t="str">
        <f aca="false">D135</f>
        <v>Geleia de goiaba (100g)</v>
      </c>
    </row>
    <row r="138" customFormat="false" ht="15" hidden="false" customHeight="false" outlineLevel="0" collapsed="false">
      <c r="D138" s="22" t="s">
        <v>522</v>
      </c>
      <c r="E138" s="57" t="n">
        <v>0.5</v>
      </c>
      <c r="F138" s="22" t="n">
        <v>6.015</v>
      </c>
      <c r="H138" s="58" t="s">
        <v>315</v>
      </c>
      <c r="I138" s="28" t="n">
        <v>0.18</v>
      </c>
      <c r="J138" s="28"/>
      <c r="K138" s="27" t="n">
        <f aca="false">IFERROR(higiene[[#This Row],[Preço por produto]]/PMA,0)</f>
        <v>0</v>
      </c>
      <c r="Q138" s="0" t="str">
        <f aca="false">D136</f>
        <v>Goiabada (300g)</v>
      </c>
    </row>
    <row r="139" customFormat="false" ht="15" hidden="false" customHeight="false" outlineLevel="0" collapsed="false">
      <c r="D139" s="22" t="s">
        <v>523</v>
      </c>
      <c r="E139" s="57" t="n">
        <v>0.13</v>
      </c>
      <c r="F139" s="22" t="n">
        <v>3.49</v>
      </c>
      <c r="H139" s="68" t="s">
        <v>191</v>
      </c>
      <c r="I139" s="69" t="n">
        <v>4</v>
      </c>
      <c r="J139" s="62" t="n">
        <v>9.6</v>
      </c>
      <c r="K139" s="27" t="n">
        <f aca="false">IFERROR(higiene[[#This Row],[Preço por produto]]/PMA,0)</f>
        <v>2.89818991577994</v>
      </c>
      <c r="Q139" s="0" t="str">
        <f aca="false">D137</f>
        <v>Goiabada (400g)</v>
      </c>
    </row>
    <row r="140" customFormat="false" ht="15" hidden="false" customHeight="false" outlineLevel="0" collapsed="false">
      <c r="D140" s="22" t="s">
        <v>524</v>
      </c>
      <c r="E140" s="57" t="n">
        <v>0.15</v>
      </c>
      <c r="F140" s="22" t="n">
        <v>3.49</v>
      </c>
      <c r="H140" s="58" t="s">
        <v>525</v>
      </c>
      <c r="I140" s="28" t="n">
        <v>1</v>
      </c>
      <c r="J140" s="28" t="n">
        <v>8.99</v>
      </c>
      <c r="K140" s="27" t="n">
        <f aca="false">IFERROR(higiene[[#This Row],[Preço por produto]]/PMA,0)</f>
        <v>2.71403409821476</v>
      </c>
      <c r="Q140" s="0" t="str">
        <f aca="false">D138</f>
        <v>Goiabada (500g)</v>
      </c>
    </row>
    <row r="141" customFormat="false" ht="15" hidden="false" customHeight="false" outlineLevel="0" collapsed="false">
      <c r="D141" s="22" t="s">
        <v>526</v>
      </c>
      <c r="E141" s="57" t="n">
        <v>1</v>
      </c>
      <c r="F141" s="60" t="n">
        <v>18.21</v>
      </c>
      <c r="H141" s="58" t="s">
        <v>527</v>
      </c>
      <c r="I141" s="28" t="n">
        <v>4</v>
      </c>
      <c r="J141" s="28" t="n">
        <v>2.24</v>
      </c>
      <c r="K141" s="27" t="n">
        <f aca="false">IFERROR(higiene[[#This Row],[Preço por produto]]/PMA,0)</f>
        <v>0.676244313681987</v>
      </c>
      <c r="Q141" s="0" t="str">
        <f aca="false">D139</f>
        <v>Granulado (130g)</v>
      </c>
    </row>
    <row r="142" customFormat="false" ht="15" hidden="false" customHeight="false" outlineLevel="0" collapsed="false">
      <c r="D142" s="22" t="s">
        <v>528</v>
      </c>
      <c r="E142" s="57" t="n">
        <v>0.5</v>
      </c>
      <c r="F142" s="22" t="n">
        <v>9.69</v>
      </c>
      <c r="H142" s="58" t="s">
        <v>136</v>
      </c>
      <c r="I142" s="28" t="n">
        <v>1</v>
      </c>
      <c r="J142" s="28" t="n">
        <v>10.3075</v>
      </c>
      <c r="K142" s="27" t="n">
        <f aca="false">IFERROR(higiene[[#This Row],[Preço por produto]]/PMA,0)</f>
        <v>3.11178047467727</v>
      </c>
      <c r="Q142" s="0" t="str">
        <f aca="false">D140</f>
        <v>Granulado (150g)</v>
      </c>
    </row>
    <row r="143" customFormat="false" ht="15" hidden="false" customHeight="false" outlineLevel="0" collapsed="false">
      <c r="D143" s="22" t="s">
        <v>529</v>
      </c>
      <c r="E143" s="57" t="n">
        <v>0.3</v>
      </c>
      <c r="F143" s="22" t="n">
        <v>3.09</v>
      </c>
      <c r="H143" s="58" t="s">
        <v>19</v>
      </c>
      <c r="I143" s="28" t="n">
        <v>1</v>
      </c>
      <c r="J143" s="28" t="n">
        <v>3.068</v>
      </c>
      <c r="K143" s="27" t="n">
        <f aca="false">IFERROR(higiene[[#This Row],[Preço por produto]]/PMA,0)</f>
        <v>0.926213193918007</v>
      </c>
      <c r="Q143" s="0" t="str">
        <f aca="false">D141</f>
        <v>Granulado (1kg)</v>
      </c>
    </row>
    <row r="144" customFormat="false" ht="15" hidden="false" customHeight="false" outlineLevel="0" collapsed="false">
      <c r="D144" s="22" t="s">
        <v>530</v>
      </c>
      <c r="E144" s="57" t="n">
        <v>0.3</v>
      </c>
      <c r="F144" s="22" t="n">
        <v>12.39</v>
      </c>
      <c r="H144" s="58" t="s">
        <v>531</v>
      </c>
      <c r="I144" s="28" t="n">
        <v>10</v>
      </c>
      <c r="J144" s="28" t="n">
        <v>6.215</v>
      </c>
      <c r="K144" s="27" t="n">
        <f aca="false">IFERROR(higiene[[#This Row],[Preço por produto]]/PMA,0)</f>
        <v>1.87627607568462</v>
      </c>
      <c r="Q144" s="0" t="str">
        <f aca="false">D142</f>
        <v>Granulado (500g)</v>
      </c>
    </row>
    <row r="145" customFormat="false" ht="15" hidden="false" customHeight="false" outlineLevel="0" collapsed="false">
      <c r="D145" s="22" t="s">
        <v>299</v>
      </c>
      <c r="E145" s="57"/>
      <c r="F145" s="22"/>
      <c r="H145" s="58" t="s">
        <v>319</v>
      </c>
      <c r="I145" s="28" t="n">
        <v>20</v>
      </c>
      <c r="J145" s="28"/>
      <c r="K145" s="27" t="n">
        <f aca="false">IFERROR(higiene[[#This Row],[Preço por produto]]/PMA,0)</f>
        <v>0</v>
      </c>
      <c r="Q145" s="0" t="str">
        <f aca="false">D143</f>
        <v>Grão de Bico (Lata)</v>
      </c>
    </row>
    <row r="146" customFormat="false" ht="15" hidden="false" customHeight="false" outlineLevel="0" collapsed="false">
      <c r="D146" s="22" t="s">
        <v>302</v>
      </c>
      <c r="E146" s="57"/>
      <c r="F146" s="22"/>
      <c r="H146" s="58" t="s">
        <v>321</v>
      </c>
      <c r="I146" s="28" t="n">
        <v>50</v>
      </c>
      <c r="J146" s="28"/>
      <c r="K146" s="27" t="n">
        <f aca="false">IFERROR(higiene[[#This Row],[Preço por produto]]/PMA,0)</f>
        <v>0</v>
      </c>
      <c r="Q146" s="0" t="str">
        <f aca="false">D144</f>
        <v>Grão de Bico (sache)</v>
      </c>
    </row>
    <row r="147" customFormat="false" ht="15" hidden="false" customHeight="false" outlineLevel="0" collapsed="false">
      <c r="D147" s="22" t="s">
        <v>304</v>
      </c>
      <c r="E147" s="57"/>
      <c r="F147" s="22"/>
      <c r="H147" s="58" t="s">
        <v>322</v>
      </c>
      <c r="I147" s="28" t="n">
        <v>1</v>
      </c>
      <c r="J147" s="28"/>
      <c r="K147" s="27" t="n">
        <f aca="false">IFERROR(higiene[[#This Row],[Preço por produto]]/PMA,0)</f>
        <v>0</v>
      </c>
      <c r="Q147" s="0" t="str">
        <f aca="false">D145</f>
        <v>H</v>
      </c>
    </row>
    <row r="148" customFormat="false" ht="15" hidden="false" customHeight="false" outlineLevel="0" collapsed="false">
      <c r="D148" s="22" t="s">
        <v>532</v>
      </c>
      <c r="E148" s="57" t="n">
        <v>0.4</v>
      </c>
      <c r="F148" s="22" t="n">
        <v>4.192</v>
      </c>
      <c r="H148" s="58" t="s">
        <v>29</v>
      </c>
      <c r="I148" s="28" t="n">
        <v>0.2</v>
      </c>
      <c r="J148" s="28" t="n">
        <v>3.65666666666667</v>
      </c>
      <c r="K148" s="27" t="n">
        <f aca="false">IFERROR(higiene[[#This Row],[Preço por produto]]/PMA,0)</f>
        <v>1.10392858944812</v>
      </c>
      <c r="Q148" s="0" t="str">
        <f aca="false">D146</f>
        <v>I</v>
      </c>
    </row>
    <row r="149" customFormat="false" ht="15" hidden="false" customHeight="false" outlineLevel="0" collapsed="false">
      <c r="D149" s="22" t="s">
        <v>533</v>
      </c>
      <c r="E149" s="57" t="n">
        <v>0.5</v>
      </c>
      <c r="F149" s="22" t="n">
        <v>13.48</v>
      </c>
      <c r="H149" s="58" t="s">
        <v>106</v>
      </c>
      <c r="I149" s="28" t="n">
        <v>0.4</v>
      </c>
      <c r="J149" s="28" t="n">
        <v>5.44</v>
      </c>
      <c r="K149" s="27" t="n">
        <f aca="false">IFERROR(higiene[[#This Row],[Preço por produto]]/PMA,0)</f>
        <v>1.64230761894197</v>
      </c>
      <c r="Q149" s="0" t="str">
        <f aca="false">D147</f>
        <v>J</v>
      </c>
    </row>
    <row r="150" customFormat="false" ht="15" hidden="false" customHeight="false" outlineLevel="0" collapsed="false">
      <c r="D150" s="22" t="s">
        <v>306</v>
      </c>
      <c r="E150" s="57"/>
      <c r="F150" s="22"/>
      <c r="H150" s="58" t="s">
        <v>121</v>
      </c>
      <c r="I150" s="28" t="n">
        <v>0.325</v>
      </c>
      <c r="J150" s="28" t="n">
        <v>13.09</v>
      </c>
      <c r="K150" s="27" t="n">
        <f aca="false">IFERROR(higiene[[#This Row],[Preço por produto]]/PMA,0)</f>
        <v>3.95180270807911</v>
      </c>
      <c r="Q150" s="0" t="str">
        <f aca="false">D148</f>
        <v>Ketchup (400g)</v>
      </c>
    </row>
    <row r="151" customFormat="false" ht="15" hidden="false" customHeight="false" outlineLevel="0" collapsed="false">
      <c r="D151" s="22" t="s">
        <v>180</v>
      </c>
      <c r="E151" s="57" t="n">
        <v>12</v>
      </c>
      <c r="F151" s="22" t="n">
        <v>32.576</v>
      </c>
      <c r="H151" s="58" t="s">
        <v>30</v>
      </c>
      <c r="I151" s="28" t="n">
        <v>0.35</v>
      </c>
      <c r="J151" s="28" t="n">
        <v>14.6766666666667</v>
      </c>
      <c r="K151" s="27" t="n">
        <f aca="false">IFERROR(higiene[[#This Row],[Preço por produto]]/PMA,0)</f>
        <v>4.43080909693719</v>
      </c>
      <c r="Q151" s="0" t="str">
        <f aca="false">D149</f>
        <v>Kibe (500g)</v>
      </c>
    </row>
    <row r="152" customFormat="false" ht="15" hidden="false" customHeight="false" outlineLevel="0" collapsed="false">
      <c r="D152" s="22" t="s">
        <v>21</v>
      </c>
      <c r="E152" s="57" t="n">
        <v>1</v>
      </c>
      <c r="F152" s="22" t="n">
        <v>2.67</v>
      </c>
      <c r="H152" s="58" t="s">
        <v>87</v>
      </c>
      <c r="I152" s="28"/>
      <c r="J152" s="28" t="n">
        <v>27.39</v>
      </c>
      <c r="K152" s="27" t="n">
        <f aca="false">IFERROR(higiene[[#This Row],[Preço por produto]]/PMA,0)</f>
        <v>8.26889810345966</v>
      </c>
      <c r="Q152" s="0" t="str">
        <f aca="false">D150</f>
        <v>L</v>
      </c>
    </row>
    <row r="153" customFormat="false" ht="15" hidden="false" customHeight="false" outlineLevel="0" collapsed="false">
      <c r="D153" s="22" t="s">
        <v>85</v>
      </c>
      <c r="E153" s="57" t="n">
        <v>0.4</v>
      </c>
      <c r="F153" s="22" t="n">
        <v>3.23666666666667</v>
      </c>
      <c r="H153" s="68" t="s">
        <v>120</v>
      </c>
      <c r="I153" s="69" t="n">
        <v>12</v>
      </c>
      <c r="J153" s="62" t="n">
        <v>45.9</v>
      </c>
      <c r="K153" s="27" t="n">
        <f aca="false">IFERROR(higiene[[#This Row],[Preço por produto]]/PMA,0)</f>
        <v>13.8569705348229</v>
      </c>
      <c r="Q153" s="0" t="str">
        <f aca="false">D151</f>
        <v>Leite (caixa com 12)</v>
      </c>
    </row>
    <row r="154" customFormat="false" ht="15" hidden="false" customHeight="false" outlineLevel="0" collapsed="false">
      <c r="D154" s="22" t="s">
        <v>534</v>
      </c>
      <c r="E154" s="57" t="n">
        <v>0.2</v>
      </c>
      <c r="F154" s="22" t="n">
        <v>3.65666666666667</v>
      </c>
      <c r="H154" s="58" t="s">
        <v>535</v>
      </c>
      <c r="I154" s="28" t="n">
        <v>0.1</v>
      </c>
      <c r="J154" s="28" t="n">
        <v>3.568</v>
      </c>
      <c r="K154" s="27" t="n">
        <f aca="false">IFERROR(higiene[[#This Row],[Preço por produto]]/PMA,0)</f>
        <v>1.07716058536488</v>
      </c>
      <c r="Q154" s="0" t="str">
        <f aca="false">D152</f>
        <v>Leite (caixa)</v>
      </c>
    </row>
    <row r="155" customFormat="false" ht="15" hidden="false" customHeight="false" outlineLevel="0" collapsed="false">
      <c r="D155" s="22" t="s">
        <v>536</v>
      </c>
      <c r="E155" s="57" t="n">
        <v>1</v>
      </c>
      <c r="F155" s="22" t="n">
        <v>4.90666666666667</v>
      </c>
      <c r="H155" s="58" t="s">
        <v>129</v>
      </c>
      <c r="I155" s="28" t="n">
        <v>0.2</v>
      </c>
      <c r="J155" s="28" t="n">
        <v>5.19</v>
      </c>
      <c r="K155" s="27" t="n">
        <f aca="false">IFERROR(higiene[[#This Row],[Preço por produto]]/PMA,0)</f>
        <v>1.56683392321853</v>
      </c>
      <c r="Q155" s="0" t="str">
        <f aca="false">D153</f>
        <v>Leite condensado</v>
      </c>
    </row>
    <row r="156" customFormat="false" ht="15" hidden="false" customHeight="false" outlineLevel="0" collapsed="false">
      <c r="D156" s="22" t="s">
        <v>537</v>
      </c>
      <c r="E156" s="57" t="n">
        <v>0.2</v>
      </c>
      <c r="F156" s="22" t="n">
        <v>7.99</v>
      </c>
      <c r="H156" s="68" t="s">
        <v>203</v>
      </c>
      <c r="I156" s="69" t="n">
        <v>3</v>
      </c>
      <c r="J156" s="62" t="n">
        <v>4.98</v>
      </c>
      <c r="K156" s="27" t="n">
        <f aca="false">IFERROR(higiene[[#This Row],[Preço por produto]]/PMA,0)</f>
        <v>1.50343601881085</v>
      </c>
      <c r="Q156" s="0" t="str">
        <f aca="false">D154</f>
        <v>Leite de Coco (200mL)</v>
      </c>
    </row>
    <row r="157" customFormat="false" ht="15" hidden="false" customHeight="false" outlineLevel="0" collapsed="false">
      <c r="D157" s="22" t="s">
        <v>538</v>
      </c>
      <c r="E157" s="57" t="n">
        <v>0.28</v>
      </c>
      <c r="F157" s="22" t="n">
        <v>11.286</v>
      </c>
      <c r="H157" s="58" t="s">
        <v>84</v>
      </c>
      <c r="I157" s="28" t="n">
        <v>0.45</v>
      </c>
      <c r="J157" s="28" t="n">
        <v>7.21333333333333</v>
      </c>
      <c r="K157" s="27" t="n">
        <f aca="false">IFERROR(higiene[[#This Row],[Preço por produto]]/PMA,0)</f>
        <v>2.17766770060688</v>
      </c>
      <c r="Q157" s="0" t="str">
        <f aca="false">D155</f>
        <v>Leite de soja (1L)</v>
      </c>
    </row>
    <row r="158" customFormat="false" ht="15" hidden="false" customHeight="false" outlineLevel="0" collapsed="false">
      <c r="D158" s="22" t="s">
        <v>539</v>
      </c>
      <c r="E158" s="57" t="n">
        <v>0.3</v>
      </c>
      <c r="F158" s="22" t="n">
        <v>11.69</v>
      </c>
      <c r="H158" s="58" t="s">
        <v>32</v>
      </c>
      <c r="I158" s="28"/>
      <c r="J158" s="28" t="n">
        <v>2.44833333333333</v>
      </c>
      <c r="K158" s="27" t="n">
        <f aca="false">IFERROR(higiene[[#This Row],[Preço por produto]]/PMA,0)</f>
        <v>0.739139060118184</v>
      </c>
      <c r="Q158" s="0" t="str">
        <f aca="false">D156</f>
        <v>Leite em Pó (200g)</v>
      </c>
    </row>
    <row r="159" customFormat="false" ht="15" hidden="false" customHeight="false" outlineLevel="0" collapsed="false">
      <c r="D159" s="22" t="s">
        <v>35</v>
      </c>
      <c r="E159" s="57" t="n">
        <v>0.4</v>
      </c>
      <c r="F159" s="22" t="n">
        <v>9.81666666666667</v>
      </c>
      <c r="H159" s="58" t="s">
        <v>57</v>
      </c>
      <c r="I159" s="28"/>
      <c r="J159" s="28" t="n">
        <v>2.65666666666667</v>
      </c>
      <c r="K159" s="27" t="n">
        <f aca="false">IFERROR(higiene[[#This Row],[Preço por produto]]/PMA,0)</f>
        <v>0.802033806554381</v>
      </c>
      <c r="Q159" s="0" t="str">
        <f aca="false">D157</f>
        <v>Leite em pó (280g)</v>
      </c>
    </row>
    <row r="160" customFormat="false" ht="15" hidden="false" customHeight="false" outlineLevel="0" collapsed="false">
      <c r="D160" s="22" t="s">
        <v>540</v>
      </c>
      <c r="E160" s="57" t="n">
        <v>0.5</v>
      </c>
      <c r="F160" s="22" t="n">
        <v>22.49</v>
      </c>
      <c r="H160" s="58" t="s">
        <v>69</v>
      </c>
      <c r="I160" s="28" t="n">
        <v>1</v>
      </c>
      <c r="J160" s="62" t="n">
        <v>7.56</v>
      </c>
      <c r="K160" s="27" t="n">
        <f aca="false">IFERROR(higiene[[#This Row],[Preço por produto]]/PMA,0)</f>
        <v>2.28232455867671</v>
      </c>
      <c r="Q160" s="0" t="str">
        <f aca="false">D158</f>
        <v>Leite em pó (300g)</v>
      </c>
    </row>
    <row r="161" customFormat="false" ht="15" hidden="false" customHeight="false" outlineLevel="0" collapsed="false">
      <c r="D161" s="22" t="s">
        <v>175</v>
      </c>
      <c r="E161" s="57" t="n">
        <v>0.8</v>
      </c>
      <c r="F161" s="22" t="n">
        <v>24.7975</v>
      </c>
      <c r="H161" s="58" t="s">
        <v>541</v>
      </c>
      <c r="I161" s="28"/>
      <c r="J161" s="28" t="n">
        <v>10.945</v>
      </c>
      <c r="K161" s="71" t="n">
        <f aca="false">IFERROR(higiene[[#This Row],[Preço por produto]]/PMA,0)</f>
        <v>3.30423839877203</v>
      </c>
      <c r="Q161" s="0" t="str">
        <f aca="false">D159</f>
        <v>Leite em pó (400g)</v>
      </c>
    </row>
    <row r="162" customFormat="false" ht="15" hidden="false" customHeight="false" outlineLevel="0" collapsed="false">
      <c r="D162" s="22" t="s">
        <v>542</v>
      </c>
      <c r="E162" s="57" t="n">
        <v>1</v>
      </c>
      <c r="F162" s="60" t="n">
        <v>18.54</v>
      </c>
      <c r="H162" s="58" t="s">
        <v>330</v>
      </c>
      <c r="I162" s="28"/>
      <c r="J162" s="28"/>
      <c r="K162" s="27" t="n">
        <f aca="false">IFERROR(higiene[[#This Row],[Preço por produto]]/PMA,0)</f>
        <v>0</v>
      </c>
      <c r="Q162" s="0" t="str">
        <f aca="false">D160</f>
        <v>Leite em Pó (500g)</v>
      </c>
    </row>
    <row r="163" customFormat="false" ht="15" hidden="false" customHeight="false" outlineLevel="0" collapsed="false">
      <c r="D163" s="22" t="s">
        <v>543</v>
      </c>
      <c r="E163" s="57" t="n">
        <v>0.2</v>
      </c>
      <c r="F163" s="22" t="n">
        <v>2.99</v>
      </c>
      <c r="H163" s="58" t="s">
        <v>544</v>
      </c>
      <c r="I163" s="28"/>
      <c r="J163" s="28" t="n">
        <v>9.89</v>
      </c>
      <c r="K163" s="27" t="n">
        <f aca="false">IFERROR(higiene[[#This Row],[Preço por produto]]/PMA,0)</f>
        <v>2.98573940281913</v>
      </c>
      <c r="Q163" s="0" t="str">
        <f aca="false">D161</f>
        <v>Leite em pó (800g)</v>
      </c>
    </row>
    <row r="164" customFormat="false" ht="15" hidden="false" customHeight="false" outlineLevel="0" collapsed="false">
      <c r="D164" s="22" t="s">
        <v>545</v>
      </c>
      <c r="E164" s="57" t="n">
        <v>0.38</v>
      </c>
      <c r="F164" s="60" t="n">
        <v>7.69</v>
      </c>
      <c r="H164" s="58" t="s">
        <v>546</v>
      </c>
      <c r="I164" s="28"/>
      <c r="J164" s="28" t="n">
        <v>11.99</v>
      </c>
      <c r="K164" s="27" t="n">
        <f aca="false">IFERROR(higiene[[#This Row],[Preço por produto]]/PMA,0)</f>
        <v>3.61971844689599</v>
      </c>
      <c r="Q164" s="0" t="str">
        <f aca="false">D162</f>
        <v>Lentilha (1kg)</v>
      </c>
    </row>
    <row r="165" customFormat="false" ht="15" hidden="false" customHeight="false" outlineLevel="0" collapsed="false">
      <c r="D165" s="22" t="s">
        <v>547</v>
      </c>
      <c r="E165" s="57" t="n">
        <v>0.5</v>
      </c>
      <c r="F165" s="22" t="n">
        <v>10.278</v>
      </c>
      <c r="H165" s="58" t="s">
        <v>332</v>
      </c>
      <c r="I165" s="28"/>
      <c r="J165" s="28"/>
      <c r="K165" s="27" t="n">
        <f aca="false">IFERROR(higiene[[#This Row],[Preço por produto]]/PMA,0)</f>
        <v>0</v>
      </c>
      <c r="Q165" s="0" t="str">
        <f aca="false">D206</f>
        <v>Pacote de bala (500g)</v>
      </c>
    </row>
    <row r="166" customFormat="false" ht="15" hidden="false" customHeight="false" outlineLevel="0" collapsed="false">
      <c r="D166" s="22" t="s">
        <v>315</v>
      </c>
      <c r="E166" s="57"/>
      <c r="F166" s="22"/>
      <c r="H166" s="58" t="s">
        <v>548</v>
      </c>
      <c r="I166" s="28"/>
      <c r="J166" s="28" t="n">
        <v>8.18666666666667</v>
      </c>
      <c r="K166" s="27" t="n">
        <f aca="false">IFERROR(higiene[[#This Row],[Preço por produto]]/PMA,0)</f>
        <v>2.47151195595679</v>
      </c>
      <c r="Q166" s="0" t="str">
        <f aca="false">D207</f>
        <v>Pacote de bala (600g)</v>
      </c>
    </row>
    <row r="167" customFormat="false" ht="15" hidden="false" customHeight="false" outlineLevel="0" collapsed="false">
      <c r="D167" s="22" t="s">
        <v>549</v>
      </c>
      <c r="E167" s="57" t="n">
        <v>1</v>
      </c>
      <c r="F167" s="60" t="n">
        <v>4.32</v>
      </c>
      <c r="H167" s="58" t="s">
        <v>335</v>
      </c>
      <c r="I167" s="28"/>
      <c r="J167" s="28"/>
      <c r="K167" s="27" t="n">
        <f aca="false">IFERROR(higiene[[#This Row],[Preço por produto]]/PMA,0)</f>
        <v>0</v>
      </c>
      <c r="Q167" s="0" t="str">
        <f aca="false">D208</f>
        <v>Palmito (300g)</v>
      </c>
    </row>
    <row r="168" customFormat="false" ht="15" hidden="false" customHeight="false" outlineLevel="0" collapsed="false">
      <c r="D168" s="22" t="s">
        <v>550</v>
      </c>
      <c r="E168" s="57" t="n">
        <v>0.2</v>
      </c>
      <c r="F168" s="60" t="n">
        <v>1.85</v>
      </c>
      <c r="H168" s="58" t="s">
        <v>161</v>
      </c>
      <c r="I168" s="28"/>
      <c r="J168" s="28" t="n">
        <v>1.83333333333333</v>
      </c>
      <c r="K168" s="27" t="n">
        <f aca="false">IFERROR(higiene[[#This Row],[Preço por produto]]/PMA,0)</f>
        <v>0.553473768638531</v>
      </c>
      <c r="Q168" s="0" t="str">
        <f aca="false">D209</f>
        <v>Palmito (500g)</v>
      </c>
    </row>
    <row r="169" customFormat="false" ht="15" hidden="false" customHeight="false" outlineLevel="0" collapsed="false">
      <c r="D169" s="22" t="s">
        <v>25</v>
      </c>
      <c r="E169" s="57" t="n">
        <v>0.5</v>
      </c>
      <c r="F169" s="22" t="n">
        <v>2.2</v>
      </c>
      <c r="H169" s="58" t="s">
        <v>551</v>
      </c>
      <c r="I169" s="28"/>
      <c r="J169" s="28" t="n">
        <v>5.98166666666667</v>
      </c>
      <c r="K169" s="27" t="n">
        <f aca="false">IFERROR(higiene[[#This Row],[Preço por produto]]/PMA,0)</f>
        <v>1.80583395967608</v>
      </c>
      <c r="Q169" s="0" t="str">
        <f aca="false">D210</f>
        <v>Palmito (530g)</v>
      </c>
    </row>
    <row r="170" customFormat="false" ht="15" hidden="false" customHeight="false" outlineLevel="0" collapsed="false">
      <c r="D170" s="22" t="s">
        <v>552</v>
      </c>
      <c r="E170" s="57" t="n">
        <v>1</v>
      </c>
      <c r="F170" s="22" t="n">
        <v>5.65</v>
      </c>
      <c r="H170" s="58" t="s">
        <v>12</v>
      </c>
      <c r="I170" s="28"/>
      <c r="J170" s="28" t="n">
        <v>5.88666666666667</v>
      </c>
      <c r="K170" s="27" t="n">
        <f aca="false">IFERROR(higiene[[#This Row],[Preço por produto]]/PMA,0)</f>
        <v>1.77715395530117</v>
      </c>
      <c r="Q170" s="0" t="str">
        <f aca="false">D211</f>
        <v>Panetone</v>
      </c>
    </row>
    <row r="171" customFormat="false" ht="15" hidden="false" customHeight="false" outlineLevel="0" collapsed="false">
      <c r="D171" s="22" t="s">
        <v>553</v>
      </c>
      <c r="E171" s="57" t="n">
        <v>0.2</v>
      </c>
      <c r="F171" s="22" t="n">
        <v>1.45666666666667</v>
      </c>
      <c r="H171" s="58" t="s">
        <v>208</v>
      </c>
      <c r="I171" s="28"/>
      <c r="J171" s="28" t="n">
        <v>24.6916666666667</v>
      </c>
      <c r="K171" s="27" t="n">
        <f aca="false">IFERROR(higiene[[#This Row],[Preço por produto]]/PMA,0)</f>
        <v>7.45428534761804</v>
      </c>
      <c r="Q171" s="0" t="str">
        <f aca="false">D212</f>
        <v>Panetone (80g)</v>
      </c>
    </row>
    <row r="172" customFormat="false" ht="15" hidden="false" customHeight="false" outlineLevel="0" collapsed="false">
      <c r="D172" s="22" t="s">
        <v>554</v>
      </c>
      <c r="E172" s="57" t="n">
        <v>0.25</v>
      </c>
      <c r="F172" s="22" t="n">
        <v>3.36166666666667</v>
      </c>
      <c r="H172" s="58" t="s">
        <v>117</v>
      </c>
      <c r="I172" s="28"/>
      <c r="J172" s="28" t="n">
        <v>11.6116666666667</v>
      </c>
      <c r="K172" s="27" t="n">
        <f aca="false">IFERROR(higiene[[#This Row],[Preço por produto]]/PMA,0)</f>
        <v>3.50550158736786</v>
      </c>
      <c r="Q172" s="0" t="str">
        <f aca="false">D213</f>
        <v>Pão de Forma (500g)</v>
      </c>
    </row>
    <row r="173" customFormat="false" ht="15" hidden="false" customHeight="false" outlineLevel="0" collapsed="false">
      <c r="D173" s="22" t="s">
        <v>555</v>
      </c>
      <c r="E173" s="57" t="n">
        <v>0.3</v>
      </c>
      <c r="F173" s="22" t="n">
        <v>7.71</v>
      </c>
      <c r="H173" s="58" t="s">
        <v>213</v>
      </c>
      <c r="I173" s="28"/>
      <c r="J173" s="28" t="n">
        <v>18.5316666666667</v>
      </c>
      <c r="K173" s="27" t="n">
        <f aca="false">IFERROR(higiene[[#This Row],[Preço por produto]]/PMA,0)</f>
        <v>5.59461348499257</v>
      </c>
      <c r="Q173" s="0" t="e">
        <f aca="false">#REF!</f>
        <v>#REF!</v>
      </c>
    </row>
    <row r="174" customFormat="false" ht="15" hidden="false" customHeight="false" outlineLevel="0" collapsed="false">
      <c r="D174" s="22" t="s">
        <v>556</v>
      </c>
      <c r="E174" s="57" t="n">
        <v>0.4</v>
      </c>
      <c r="F174" s="22" t="n">
        <v>11.01</v>
      </c>
      <c r="H174" s="58" t="s">
        <v>151</v>
      </c>
      <c r="I174" s="28"/>
      <c r="J174" s="28" t="n">
        <v>8.92333333333333</v>
      </c>
      <c r="K174" s="27" t="n">
        <f aca="false">IFERROR(higiene[[#This Row],[Preço por produto]]/PMA,0)</f>
        <v>2.69390777935518</v>
      </c>
      <c r="Q174" s="0" t="str">
        <f aca="false">D214</f>
        <v>Pão de Mel (200g)</v>
      </c>
    </row>
    <row r="175" customFormat="false" ht="15" hidden="false" customHeight="false" outlineLevel="0" collapsed="false">
      <c r="D175" s="22" t="s">
        <v>190</v>
      </c>
      <c r="E175" s="57" t="n">
        <v>0.5</v>
      </c>
      <c r="F175" s="22" t="n">
        <v>2.82</v>
      </c>
      <c r="H175" s="58" t="s">
        <v>557</v>
      </c>
      <c r="I175" s="28"/>
      <c r="J175" s="28" t="n">
        <v>6.69</v>
      </c>
      <c r="K175" s="27" t="n">
        <f aca="false">IFERROR(higiene[[#This Row],[Preço por produto]]/PMA,0)</f>
        <v>2.01967609755915</v>
      </c>
      <c r="Q175" s="0" t="str">
        <f aca="false">D215</f>
        <v>Pão de Mel (240g)</v>
      </c>
    </row>
    <row r="176" customFormat="false" ht="15" hidden="false" customHeight="false" outlineLevel="0" collapsed="false">
      <c r="D176" s="22" t="s">
        <v>558</v>
      </c>
      <c r="E176" s="57" t="n">
        <v>0.7</v>
      </c>
      <c r="F176" s="22" t="n">
        <v>10.2575</v>
      </c>
      <c r="H176" s="58" t="s">
        <v>559</v>
      </c>
      <c r="I176" s="28"/>
      <c r="J176" s="28" t="n">
        <v>16.98</v>
      </c>
      <c r="K176" s="27" t="n">
        <f aca="false">IFERROR(higiene[[#This Row],[Preço por produto]]/PMA,0)</f>
        <v>5.12617341353578</v>
      </c>
      <c r="Q176" s="0" t="str">
        <f aca="false">D216</f>
        <v>Pão de Mel (300g)</v>
      </c>
    </row>
    <row r="177" customFormat="false" ht="15" hidden="false" customHeight="false" outlineLevel="0" collapsed="false">
      <c r="D177" s="22" t="s">
        <v>560</v>
      </c>
      <c r="E177" s="57" t="n">
        <v>0.2</v>
      </c>
      <c r="F177" s="22" t="n">
        <v>4.584</v>
      </c>
      <c r="H177" s="58" t="s">
        <v>561</v>
      </c>
      <c r="I177" s="28"/>
      <c r="J177" s="28" t="n">
        <v>29.295</v>
      </c>
      <c r="K177" s="27" t="n">
        <f aca="false">IFERROR(higiene[[#This Row],[Preço por produto]]/PMA,0)</f>
        <v>8.84400766487224</v>
      </c>
      <c r="Q177" s="0" t="str">
        <f aca="false">D217</f>
        <v>Pão de Mel (500g)</v>
      </c>
    </row>
    <row r="178" customFormat="false" ht="15" hidden="false" customHeight="false" outlineLevel="0" collapsed="false">
      <c r="D178" s="22" t="s">
        <v>562</v>
      </c>
      <c r="E178" s="57" t="n">
        <v>0.5</v>
      </c>
      <c r="F178" s="22" t="n">
        <v>6.855</v>
      </c>
      <c r="H178" s="58" t="s">
        <v>62</v>
      </c>
      <c r="I178" s="28"/>
      <c r="J178" s="28" t="n">
        <v>2.085</v>
      </c>
      <c r="K178" s="27" t="n">
        <f aca="false">IFERROR(higiene[[#This Row],[Preço por produto]]/PMA,0)</f>
        <v>0.629450622333457</v>
      </c>
      <c r="Q178" s="0" t="str">
        <f aca="false">D218</f>
        <v>Pate de peru (100g)</v>
      </c>
    </row>
    <row r="179" customFormat="false" ht="15" hidden="false" customHeight="false" outlineLevel="0" collapsed="false">
      <c r="D179" s="22" t="s">
        <v>563</v>
      </c>
      <c r="E179" s="57" t="n">
        <v>0.05</v>
      </c>
      <c r="F179" s="22" t="n">
        <v>3.37333333333333</v>
      </c>
      <c r="H179" s="58" t="s">
        <v>116</v>
      </c>
      <c r="I179" s="28"/>
      <c r="J179" s="28" t="n">
        <v>2.09</v>
      </c>
      <c r="K179" s="27" t="n">
        <f aca="false">IFERROR(higiene[[#This Row],[Preço por produto]]/PMA,0)</f>
        <v>0.630960096247926</v>
      </c>
      <c r="Q179" s="0" t="str">
        <f aca="false">D219</f>
        <v>Patê de sardinha (150g)</v>
      </c>
    </row>
    <row r="180" customFormat="false" ht="15" hidden="false" customHeight="false" outlineLevel="0" collapsed="false">
      <c r="D180" s="22" t="s">
        <v>564</v>
      </c>
      <c r="E180" s="57" t="n">
        <v>0.3</v>
      </c>
      <c r="F180" s="60" t="n">
        <v>3.68</v>
      </c>
      <c r="H180" s="58" t="s">
        <v>210</v>
      </c>
      <c r="I180" s="28"/>
      <c r="J180" s="28" t="n">
        <v>3.3925</v>
      </c>
      <c r="K180" s="27" t="n">
        <f aca="false">IFERROR(higiene[[#This Row],[Preço por produto]]/PMA,0)</f>
        <v>1.02417805096703</v>
      </c>
      <c r="Q180" s="0" t="str">
        <f aca="false">D220</f>
        <v>Patê de sardinha (170g)</v>
      </c>
    </row>
    <row r="181" customFormat="false" ht="15" hidden="false" customHeight="false" outlineLevel="0" collapsed="false">
      <c r="D181" s="22" t="s">
        <v>132</v>
      </c>
      <c r="E181" s="57" t="n">
        <v>0.3</v>
      </c>
      <c r="F181" s="22" t="n">
        <v>5.56</v>
      </c>
      <c r="H181" s="58" t="s">
        <v>65</v>
      </c>
      <c r="I181" s="28" t="n">
        <v>1</v>
      </c>
      <c r="J181" s="62" t="n">
        <v>2.97</v>
      </c>
      <c r="K181" s="27" t="n">
        <f aca="false">IFERROR(higiene[[#This Row],[Preço por produto]]/PMA,0)</f>
        <v>0.896627505194421</v>
      </c>
      <c r="Q181" s="0" t="str">
        <f aca="false">D221</f>
        <v>Pêssego em calda</v>
      </c>
    </row>
    <row r="182" customFormat="false" ht="15" hidden="false" customHeight="false" outlineLevel="0" collapsed="false">
      <c r="D182" s="22" t="s">
        <v>198</v>
      </c>
      <c r="E182" s="57" t="n">
        <v>0.2</v>
      </c>
      <c r="F182" s="22" t="n">
        <v>2.105</v>
      </c>
      <c r="H182" s="58" t="s">
        <v>145</v>
      </c>
      <c r="I182" s="28"/>
      <c r="J182" s="28" t="n">
        <v>2.97</v>
      </c>
      <c r="K182" s="27" t="n">
        <f aca="false">IFERROR(higiene[[#This Row],[Preço por produto]]/PMA,0)</f>
        <v>0.896627505194421</v>
      </c>
      <c r="Q182" s="0" t="str">
        <f aca="false">D222</f>
        <v>Pipoca doce (100g)</v>
      </c>
    </row>
    <row r="183" customFormat="false" ht="15" hidden="false" customHeight="false" outlineLevel="0" collapsed="false">
      <c r="D183" s="22" t="s">
        <v>128</v>
      </c>
      <c r="E183" s="57" t="n">
        <v>0.23</v>
      </c>
      <c r="F183" s="60" t="n">
        <v>1.59</v>
      </c>
      <c r="H183" s="58" t="s">
        <v>144</v>
      </c>
      <c r="I183" s="28"/>
      <c r="J183" s="28" t="n">
        <v>6.695</v>
      </c>
      <c r="K183" s="71" t="n">
        <f aca="false">IFERROR(higiene[[#This Row],[Preço por produto]]/PMA,0)</f>
        <v>2.02118557147362</v>
      </c>
      <c r="Q183" s="0" t="str">
        <f aca="false">D223</f>
        <v>Polenta (1kg)</v>
      </c>
    </row>
    <row r="184" customFormat="false" ht="15" hidden="false" customHeight="false" outlineLevel="0" collapsed="false">
      <c r="D184" s="22" t="s">
        <v>176</v>
      </c>
      <c r="E184" s="57" t="n">
        <v>0.5</v>
      </c>
      <c r="F184" s="22" t="n">
        <v>1.8</v>
      </c>
      <c r="H184" s="58" t="s">
        <v>112</v>
      </c>
      <c r="I184" s="28"/>
      <c r="J184" s="28" t="n">
        <v>10.325</v>
      </c>
      <c r="K184" s="27" t="n">
        <f aca="false">IFERROR(higiene[[#This Row],[Preço por produto]]/PMA,0)</f>
        <v>3.11706363337791</v>
      </c>
      <c r="Q184" s="0" t="str">
        <f aca="false">D224</f>
        <v>Polenta (500g)</v>
      </c>
    </row>
    <row r="185" customFormat="false" ht="15" hidden="false" customHeight="false" outlineLevel="0" collapsed="false">
      <c r="D185" s="22" t="s">
        <v>196</v>
      </c>
      <c r="E185" s="57" t="n">
        <v>0.5</v>
      </c>
      <c r="F185" s="22" t="n">
        <v>3.29</v>
      </c>
      <c r="H185" s="58" t="s">
        <v>31</v>
      </c>
      <c r="I185" s="28"/>
      <c r="J185" s="28" t="n">
        <v>1.15666666666667</v>
      </c>
      <c r="K185" s="27" t="n">
        <f aca="false">IFERROR(higiene[[#This Row],[Preço por produto]]/PMA,0)</f>
        <v>0.349191632213764</v>
      </c>
      <c r="Q185" s="0" t="str">
        <f aca="false">D225</f>
        <v>Polvilho (1kg)</v>
      </c>
    </row>
    <row r="186" customFormat="false" ht="15" hidden="false" customHeight="false" outlineLevel="0" collapsed="false">
      <c r="D186" s="22" t="s">
        <v>565</v>
      </c>
      <c r="E186" s="57" t="n">
        <v>0.23</v>
      </c>
      <c r="F186" s="60" t="n">
        <v>9.16</v>
      </c>
      <c r="H186" s="58" t="s">
        <v>63</v>
      </c>
      <c r="I186" s="28"/>
      <c r="J186" s="28" t="n">
        <v>1.19</v>
      </c>
      <c r="K186" s="27" t="n">
        <f aca="false">IFERROR(higiene[[#This Row],[Preço por produto]]/PMA,0)</f>
        <v>0.359254791643556</v>
      </c>
      <c r="Q186" s="0" t="str">
        <f aca="false">D226</f>
        <v>Q</v>
      </c>
    </row>
    <row r="187" customFormat="false" ht="15" hidden="false" customHeight="false" outlineLevel="0" collapsed="false">
      <c r="D187" s="22" t="s">
        <v>566</v>
      </c>
      <c r="E187" s="57" t="n">
        <v>0.5</v>
      </c>
      <c r="F187" s="22" t="n">
        <v>6.515</v>
      </c>
      <c r="H187" s="68" t="s">
        <v>163</v>
      </c>
      <c r="I187" s="69" t="n">
        <v>0.68</v>
      </c>
      <c r="J187" s="62" t="n">
        <v>9.45</v>
      </c>
      <c r="K187" s="27" t="n">
        <f aca="false">IFERROR(higiene[[#This Row],[Preço por produto]]/PMA,0)</f>
        <v>2.85290569834588</v>
      </c>
      <c r="Q187" s="0" t="str">
        <f aca="false">D227</f>
        <v>Queijo ralado (50g)</v>
      </c>
    </row>
    <row r="188" customFormat="false" ht="15" hidden="false" customHeight="false" outlineLevel="0" collapsed="false">
      <c r="D188" s="22" t="s">
        <v>28</v>
      </c>
      <c r="E188" s="57" t="n">
        <v>0.08</v>
      </c>
      <c r="F188" s="22" t="n">
        <v>1.18333333333333</v>
      </c>
      <c r="H188" s="58" t="s">
        <v>567</v>
      </c>
      <c r="I188" s="28" t="s">
        <v>568</v>
      </c>
      <c r="J188" s="62" t="n">
        <v>2.97</v>
      </c>
      <c r="K188" s="27" t="n">
        <f aca="false">IFERROR(higiene[[#This Row],[Preço por produto]]/PMA,0)</f>
        <v>0.896627505194421</v>
      </c>
      <c r="Q188" s="0" t="str">
        <f aca="false">D228</f>
        <v>R</v>
      </c>
    </row>
    <row r="189" customFormat="false" ht="15" hidden="false" customHeight="false" outlineLevel="0" collapsed="false">
      <c r="D189" s="22" t="s">
        <v>189</v>
      </c>
      <c r="E189" s="57" t="n">
        <v>0.45</v>
      </c>
      <c r="F189" s="22" t="n">
        <v>3.93</v>
      </c>
      <c r="H189" s="58" t="s">
        <v>220</v>
      </c>
      <c r="I189" s="28"/>
      <c r="J189" s="28" t="n">
        <v>6.55166666666667</v>
      </c>
      <c r="K189" s="27" t="n">
        <f aca="false">IFERROR(higiene[[#This Row],[Preço por produto]]/PMA,0)</f>
        <v>1.97791398592551</v>
      </c>
      <c r="Q189" s="0" t="str">
        <f aca="false">D229</f>
        <v>Refrigerante (1L)</v>
      </c>
    </row>
    <row r="190" customFormat="false" ht="15" hidden="false" customHeight="false" outlineLevel="0" collapsed="false">
      <c r="D190" s="22" t="s">
        <v>173</v>
      </c>
      <c r="E190" s="57" t="n">
        <v>0.13</v>
      </c>
      <c r="F190" s="22" t="n">
        <v>1.25</v>
      </c>
      <c r="H190" s="58" t="s">
        <v>107</v>
      </c>
      <c r="I190" s="28"/>
      <c r="J190" s="28" t="n">
        <v>1.2075</v>
      </c>
      <c r="K190" s="27" t="n">
        <f aca="false">IFERROR(higiene[[#This Row],[Preço por produto]]/PMA,0)</f>
        <v>0.364537950344196</v>
      </c>
      <c r="Q190" s="0" t="str">
        <f aca="false">D230</f>
        <v>Refrigerante (2L)</v>
      </c>
    </row>
    <row r="191" customFormat="false" ht="15" hidden="false" customHeight="false" outlineLevel="0" collapsed="false">
      <c r="D191" s="22" t="s">
        <v>569</v>
      </c>
      <c r="E191" s="57" t="n">
        <v>0.26</v>
      </c>
      <c r="F191" s="60" t="n">
        <v>2.56</v>
      </c>
      <c r="H191" s="68" t="s">
        <v>162</v>
      </c>
      <c r="I191" s="69" t="n">
        <v>3</v>
      </c>
      <c r="J191" s="62" t="n">
        <v>15.9</v>
      </c>
      <c r="K191" s="71" t="n">
        <f aca="false">IFERROR(higiene[[#This Row],[Preço por produto]]/PMA,0)</f>
        <v>4.80012704801053</v>
      </c>
      <c r="Q191" s="0" t="str">
        <f aca="false">D231</f>
        <v>Refrigerante lata</v>
      </c>
    </row>
    <row r="192" customFormat="false" ht="15" hidden="false" customHeight="false" outlineLevel="0" collapsed="false">
      <c r="D192" s="22" t="s">
        <v>570</v>
      </c>
      <c r="E192" s="57" t="n">
        <v>0.3</v>
      </c>
      <c r="F192" s="22" t="n">
        <v>3.05</v>
      </c>
      <c r="H192" s="58" t="s">
        <v>105</v>
      </c>
      <c r="I192" s="28"/>
      <c r="J192" s="28" t="n">
        <v>10.988</v>
      </c>
      <c r="K192" s="27" t="n">
        <f aca="false">IFERROR(higiene[[#This Row],[Preço por produto]]/PMA,0)</f>
        <v>3.31721987443646</v>
      </c>
      <c r="Q192" s="0" t="str">
        <f aca="false">D232</f>
        <v>S</v>
      </c>
    </row>
    <row r="193" customFormat="false" ht="15" hidden="false" customHeight="false" outlineLevel="0" collapsed="false">
      <c r="D193" s="22" t="s">
        <v>41</v>
      </c>
      <c r="E193" s="57" t="n">
        <v>0.34</v>
      </c>
      <c r="F193" s="22" t="n">
        <v>1.08666666666667</v>
      </c>
      <c r="H193" s="58" t="s">
        <v>98</v>
      </c>
      <c r="I193" s="28"/>
      <c r="J193" s="28" t="n">
        <v>3.7</v>
      </c>
      <c r="K193" s="27" t="n">
        <f aca="false">IFERROR(higiene[[#This Row],[Preço por produto]]/PMA,0)</f>
        <v>1.11701069670685</v>
      </c>
      <c r="Q193" s="0" t="str">
        <f aca="false">D233</f>
        <v>Sagu (150g)</v>
      </c>
    </row>
    <row r="194" customFormat="false" ht="15" hidden="false" customHeight="false" outlineLevel="0" collapsed="false">
      <c r="D194" s="22" t="s">
        <v>571</v>
      </c>
      <c r="E194" s="57" t="n">
        <v>0.4</v>
      </c>
      <c r="F194" s="60" t="n">
        <v>4.19</v>
      </c>
      <c r="H194" s="58" t="s">
        <v>572</v>
      </c>
      <c r="I194" s="28"/>
      <c r="J194" s="28" t="n">
        <v>10.93</v>
      </c>
      <c r="K194" s="27" t="n">
        <f aca="false">IFERROR(higiene[[#This Row],[Preço por produto]]/PMA,0)</f>
        <v>3.29970997702863</v>
      </c>
      <c r="Q194" s="0" t="str">
        <f aca="false">D234</f>
        <v>Sagu (250g)</v>
      </c>
    </row>
    <row r="195" customFormat="false" ht="15" hidden="false" customHeight="false" outlineLevel="0" collapsed="false">
      <c r="D195" s="22" t="s">
        <v>573</v>
      </c>
      <c r="E195" s="57" t="n">
        <v>0.44</v>
      </c>
      <c r="F195" s="60" t="n">
        <v>4.32</v>
      </c>
      <c r="H195" s="58" t="s">
        <v>574</v>
      </c>
      <c r="I195" s="28"/>
      <c r="J195" s="28" t="n">
        <v>4.85</v>
      </c>
      <c r="K195" s="27" t="n">
        <f aca="false">IFERROR(higiene[[#This Row],[Preço por produto]]/PMA,0)</f>
        <v>1.46418969703466</v>
      </c>
      <c r="Q195" s="0" t="str">
        <f aca="false">D235</f>
        <v>Sagu (500g)</v>
      </c>
    </row>
    <row r="196" customFormat="false" ht="15" hidden="false" customHeight="false" outlineLevel="0" collapsed="false">
      <c r="D196" s="22" t="s">
        <v>42</v>
      </c>
      <c r="E196" s="57" t="n">
        <v>0.52</v>
      </c>
      <c r="F196" s="22" t="n">
        <v>3.486</v>
      </c>
      <c r="H196" s="58" t="s">
        <v>575</v>
      </c>
      <c r="I196" s="28"/>
      <c r="J196" s="28" t="n">
        <v>13.7175</v>
      </c>
      <c r="K196" s="27" t="n">
        <f aca="false">IFERROR(higiene[[#This Row],[Preço por produto]]/PMA,0)</f>
        <v>4.14124168434494</v>
      </c>
      <c r="Q196" s="0" t="str">
        <f aca="false">D236</f>
        <v>Sal (1kg)</v>
      </c>
    </row>
    <row r="197" customFormat="false" ht="15" hidden="false" customHeight="false" outlineLevel="0" collapsed="false">
      <c r="D197" s="22" t="s">
        <v>576</v>
      </c>
      <c r="E197" s="57" t="n">
        <v>0.68</v>
      </c>
      <c r="F197" s="22" t="n">
        <v>8.99</v>
      </c>
      <c r="H197" s="68" t="s">
        <v>99</v>
      </c>
      <c r="I197" s="69" t="n">
        <v>5</v>
      </c>
      <c r="J197" s="62" t="n">
        <v>4.59</v>
      </c>
      <c r="K197" s="27" t="n">
        <f aca="false">IFERROR(higiene[[#This Row],[Preço por produto]]/PMA,0)</f>
        <v>1.38569705348229</v>
      </c>
      <c r="Q197" s="0" t="str">
        <f aca="false">D237</f>
        <v>Sal (500g)</v>
      </c>
    </row>
    <row r="198" customFormat="false" ht="15" hidden="false" customHeight="false" outlineLevel="0" collapsed="false">
      <c r="D198" s="63" t="s">
        <v>95</v>
      </c>
      <c r="E198" s="64" t="n">
        <v>0.39</v>
      </c>
      <c r="F198" s="60" t="n">
        <v>2.98</v>
      </c>
      <c r="H198" s="58" t="s">
        <v>135</v>
      </c>
      <c r="I198" s="28" t="n">
        <v>1</v>
      </c>
      <c r="J198" s="62" t="n">
        <v>4.59</v>
      </c>
      <c r="K198" s="27" t="n">
        <f aca="false">IFERROR(higiene[[#This Row],[Preço por produto]]/PMA,0)</f>
        <v>1.38569705348229</v>
      </c>
      <c r="Q198" s="0" t="str">
        <f aca="false">D238</f>
        <v>Sal Grosso (1kg)</v>
      </c>
    </row>
    <row r="199" customFormat="false" ht="15" hidden="false" customHeight="false" outlineLevel="0" collapsed="false">
      <c r="D199" s="22" t="s">
        <v>319</v>
      </c>
      <c r="E199" s="57"/>
      <c r="F199" s="22"/>
      <c r="H199" s="58" t="s">
        <v>577</v>
      </c>
      <c r="I199" s="28"/>
      <c r="J199" s="28" t="n">
        <v>9.22</v>
      </c>
      <c r="K199" s="27" t="n">
        <f aca="false">IFERROR(higiene[[#This Row],[Preço por produto]]/PMA,0)</f>
        <v>2.78346989828032</v>
      </c>
      <c r="Q199" s="0" t="str">
        <f aca="false">D239</f>
        <v>Salgadinho (50g)</v>
      </c>
    </row>
    <row r="200" customFormat="false" ht="15" hidden="false" customHeight="false" outlineLevel="0" collapsed="false">
      <c r="D200" s="22" t="s">
        <v>578</v>
      </c>
      <c r="E200" s="57" t="n">
        <v>0.2</v>
      </c>
      <c r="F200" s="60" t="n">
        <v>18.9</v>
      </c>
      <c r="H200" s="58" t="s">
        <v>138</v>
      </c>
      <c r="I200" s="28"/>
      <c r="J200" s="28" t="n">
        <v>8.99</v>
      </c>
      <c r="K200" s="27" t="n">
        <f aca="false">IFERROR(higiene[[#This Row],[Preço por produto]]/PMA,0)</f>
        <v>2.71403409821476</v>
      </c>
      <c r="Q200" s="0" t="str">
        <f aca="false">D240</f>
        <v>Salsicha (lata)</v>
      </c>
    </row>
    <row r="201" customFormat="false" ht="15" hidden="false" customHeight="false" outlineLevel="0" collapsed="false">
      <c r="D201" s="22" t="s">
        <v>321</v>
      </c>
      <c r="E201" s="57"/>
      <c r="F201" s="22"/>
      <c r="H201" s="58" t="s">
        <v>58</v>
      </c>
      <c r="I201" s="28"/>
      <c r="J201" s="28" t="n">
        <v>14.59</v>
      </c>
      <c r="K201" s="27" t="n">
        <f aca="false">IFERROR(higiene[[#This Row],[Preço por produto]]/PMA,0)</f>
        <v>4.40464488241973</v>
      </c>
      <c r="Q201" s="0" t="str">
        <f aca="false">D241</f>
        <v>Salsicha tipo Viena</v>
      </c>
    </row>
    <row r="202" customFormat="false" ht="15" hidden="false" customHeight="false" outlineLevel="0" collapsed="false">
      <c r="D202" s="22" t="s">
        <v>26</v>
      </c>
      <c r="E202" s="57" t="n">
        <v>0.9</v>
      </c>
      <c r="F202" s="22" t="n">
        <v>2.96833333333333</v>
      </c>
      <c r="H202" s="58" t="s">
        <v>137</v>
      </c>
      <c r="I202" s="28" t="n">
        <v>1</v>
      </c>
      <c r="J202" s="62" t="n">
        <v>12.98</v>
      </c>
      <c r="K202" s="27" t="n">
        <f aca="false">IFERROR(higiene[[#This Row],[Preço por produto]]/PMA,0)</f>
        <v>3.9185942819608</v>
      </c>
      <c r="Q202" s="0" t="str">
        <f aca="false">D242</f>
        <v>Sardinha (125g)</v>
      </c>
    </row>
    <row r="203" customFormat="false" ht="15" hidden="false" customHeight="false" outlineLevel="0" collapsed="false">
      <c r="D203" s="22" t="s">
        <v>579</v>
      </c>
      <c r="E203" s="57" t="n">
        <v>0.01</v>
      </c>
      <c r="F203" s="60" t="n">
        <v>3.65</v>
      </c>
      <c r="H203" s="58" t="s">
        <v>214</v>
      </c>
      <c r="I203" s="28"/>
      <c r="J203" s="28" t="n">
        <v>9.1425</v>
      </c>
      <c r="K203" s="27" t="n">
        <f aca="false">IFERROR(higiene[[#This Row],[Preço por produto]]/PMA,0)</f>
        <v>2.76007305260606</v>
      </c>
      <c r="Q203" s="0" t="str">
        <f aca="false">D243</f>
        <v>Sazon (60g)</v>
      </c>
    </row>
    <row r="204" customFormat="false" ht="15" hidden="false" customHeight="false" outlineLevel="0" collapsed="false">
      <c r="D204" s="22" t="s">
        <v>322</v>
      </c>
      <c r="E204" s="57"/>
      <c r="F204" s="22"/>
      <c r="H204" s="58" t="s">
        <v>580</v>
      </c>
      <c r="I204" s="28"/>
      <c r="J204" s="28" t="n">
        <v>11.8125</v>
      </c>
      <c r="K204" s="71" t="n">
        <f aca="false">IFERROR(higiene[[#This Row],[Preço por produto]]/PMA,0)</f>
        <v>3.56613212293235</v>
      </c>
      <c r="Q204" s="0" t="str">
        <f aca="false">D244</f>
        <v>Seleta de legumes (200g)</v>
      </c>
    </row>
    <row r="205" customFormat="false" ht="15" hidden="false" customHeight="false" outlineLevel="0" collapsed="false">
      <c r="D205" s="22" t="s">
        <v>581</v>
      </c>
      <c r="E205" s="57" t="n">
        <v>0.2</v>
      </c>
      <c r="F205" s="22" t="n">
        <v>4.59</v>
      </c>
      <c r="H205" s="58" t="s">
        <v>582</v>
      </c>
      <c r="I205" s="28"/>
      <c r="J205" s="28" t="n">
        <v>7.8</v>
      </c>
      <c r="K205" s="27" t="n">
        <f aca="false">IFERROR(higiene[[#This Row],[Preço por produto]]/PMA,0)</f>
        <v>2.3547793065712</v>
      </c>
      <c r="Q205" s="0" t="str">
        <f aca="false">D245</f>
        <v>Seleta de legumes (280g)</v>
      </c>
    </row>
    <row r="206" customFormat="false" ht="15" hidden="false" customHeight="false" outlineLevel="0" collapsed="false">
      <c r="D206" s="22" t="s">
        <v>583</v>
      </c>
      <c r="E206" s="57" t="n">
        <v>0.5</v>
      </c>
      <c r="F206" s="22" t="n">
        <v>6.69</v>
      </c>
      <c r="H206" s="58" t="s">
        <v>206</v>
      </c>
      <c r="I206" s="28"/>
      <c r="J206" s="28" t="n">
        <v>6.2175</v>
      </c>
      <c r="K206" s="27" t="n">
        <f aca="false">IFERROR(higiene[[#This Row],[Preço por produto]]/PMA,0)</f>
        <v>1.87703081264185</v>
      </c>
      <c r="Q206" s="0" t="str">
        <f aca="false">D246</f>
        <v>Sopa de Cebola (38g)</v>
      </c>
    </row>
    <row r="207" customFormat="false" ht="15" hidden="false" customHeight="false" outlineLevel="0" collapsed="false">
      <c r="D207" s="22" t="s">
        <v>584</v>
      </c>
      <c r="E207" s="57" t="n">
        <v>0.6</v>
      </c>
      <c r="F207" s="22" t="n">
        <v>7.45666666666667</v>
      </c>
      <c r="H207" s="58" t="s">
        <v>82</v>
      </c>
      <c r="I207" s="28"/>
      <c r="J207" s="28" t="n">
        <v>6.2925</v>
      </c>
      <c r="K207" s="27" t="n">
        <f aca="false">IFERROR(higiene[[#This Row],[Preço por produto]]/PMA,0)</f>
        <v>1.89967292135889</v>
      </c>
      <c r="Q207" s="0" t="str">
        <f aca="false">H5</f>
        <v>A</v>
      </c>
    </row>
    <row r="208" customFormat="false" ht="15" hidden="false" customHeight="false" outlineLevel="0" collapsed="false">
      <c r="D208" s="22" t="s">
        <v>585</v>
      </c>
      <c r="E208" s="57" t="n">
        <v>0.3</v>
      </c>
      <c r="F208" s="22" t="n">
        <v>5.95</v>
      </c>
      <c r="H208" s="58" t="s">
        <v>586</v>
      </c>
      <c r="I208" s="28"/>
      <c r="J208" s="28" t="n">
        <v>13.9</v>
      </c>
      <c r="K208" s="71" t="n">
        <f aca="false">IFERROR(higiene[[#This Row],[Preço por produto]]/PMA,0)</f>
        <v>4.19633748222305</v>
      </c>
      <c r="Q208" s="0" t="str">
        <f aca="false">H6</f>
        <v>Absorvente (08un)</v>
      </c>
    </row>
    <row r="209" customFormat="false" ht="15" hidden="false" customHeight="false" outlineLevel="0" collapsed="false">
      <c r="D209" s="22" t="s">
        <v>587</v>
      </c>
      <c r="E209" s="57" t="n">
        <v>0.5</v>
      </c>
      <c r="F209" s="22" t="n">
        <v>27.58</v>
      </c>
      <c r="H209" s="58" t="s">
        <v>352</v>
      </c>
      <c r="I209" s="28"/>
      <c r="J209" s="28"/>
      <c r="K209" s="27" t="n">
        <f aca="false">IFERROR(higiene[[#This Row],[Preço por produto]]/PMA,0)</f>
        <v>0</v>
      </c>
      <c r="Q209" s="0" t="str">
        <f aca="false">H7</f>
        <v>Absorvente (15un)</v>
      </c>
    </row>
    <row r="210" customFormat="false" ht="15" hidden="false" customHeight="false" outlineLevel="0" collapsed="false">
      <c r="D210" s="22" t="s">
        <v>588</v>
      </c>
      <c r="E210" s="57" t="n">
        <v>0.53</v>
      </c>
      <c r="F210" s="22" t="n">
        <v>18.15</v>
      </c>
      <c r="H210" s="58" t="s">
        <v>589</v>
      </c>
      <c r="I210" s="28"/>
      <c r="J210" s="28" t="n">
        <v>8.285</v>
      </c>
      <c r="K210" s="27" t="n">
        <f aca="false">IFERROR(higiene[[#This Row],[Preço por produto]]/PMA,0)</f>
        <v>2.50119827627467</v>
      </c>
      <c r="Q210" s="0" t="str">
        <f aca="false">H8</f>
        <v>Absorvente (16un)</v>
      </c>
    </row>
    <row r="211" customFormat="false" ht="15" hidden="false" customHeight="false" outlineLevel="0" collapsed="false">
      <c r="D211" s="22" t="s">
        <v>356</v>
      </c>
      <c r="E211" s="57" t="n">
        <v>0.5</v>
      </c>
      <c r="F211" s="22" t="n">
        <v>7.99</v>
      </c>
      <c r="H211" s="58" t="s">
        <v>590</v>
      </c>
      <c r="I211" s="28"/>
      <c r="J211" s="28" t="n">
        <v>16.24</v>
      </c>
      <c r="K211" s="27" t="n">
        <f aca="false">IFERROR(higiene[[#This Row],[Preço por produto]]/PMA,0)</f>
        <v>4.90277127419441</v>
      </c>
      <c r="Q211" s="0" t="str">
        <f aca="false">H9</f>
        <v>Absorvente (32un)</v>
      </c>
    </row>
    <row r="212" customFormat="false" ht="15" hidden="false" customHeight="false" outlineLevel="0" collapsed="false">
      <c r="D212" s="22" t="s">
        <v>591</v>
      </c>
      <c r="E212" s="57" t="n">
        <v>0.08</v>
      </c>
      <c r="F212" s="60" t="n">
        <v>2.53</v>
      </c>
      <c r="H212" s="58" t="s">
        <v>592</v>
      </c>
      <c r="I212" s="28"/>
      <c r="J212" s="28" t="n">
        <v>14.59</v>
      </c>
      <c r="K212" s="27" t="n">
        <f aca="false">IFERROR(higiene[[#This Row],[Preço por produto]]/PMA,0)</f>
        <v>4.40464488241973</v>
      </c>
      <c r="Q212" s="0" t="str">
        <f aca="false">H10</f>
        <v>Absorvente (36un)</v>
      </c>
    </row>
    <row r="213" customFormat="false" ht="15" hidden="false" customHeight="false" outlineLevel="0" collapsed="false">
      <c r="D213" s="63" t="s">
        <v>142</v>
      </c>
      <c r="E213" s="64" t="n">
        <v>0.5</v>
      </c>
      <c r="F213" s="60" t="n">
        <v>5.29</v>
      </c>
      <c r="H213" s="58" t="s">
        <v>593</v>
      </c>
      <c r="I213" s="28"/>
      <c r="J213" s="28" t="n">
        <v>5.365</v>
      </c>
      <c r="K213" s="27" t="n">
        <f aca="false">IFERROR(higiene[[#This Row],[Preço por produto]]/PMA,0)</f>
        <v>1.61966551022494</v>
      </c>
      <c r="Q213" s="0" t="str">
        <f aca="false">H11</f>
        <v>Absorvente (40 un)</v>
      </c>
    </row>
    <row r="214" customFormat="false" ht="15" hidden="false" customHeight="false" outlineLevel="0" collapsed="false">
      <c r="D214" s="22" t="s">
        <v>594</v>
      </c>
      <c r="E214" s="57" t="n">
        <v>0.2</v>
      </c>
      <c r="F214" s="22" t="n">
        <v>8.29</v>
      </c>
      <c r="H214" s="58" t="s">
        <v>355</v>
      </c>
      <c r="I214" s="28"/>
      <c r="J214" s="28"/>
      <c r="K214" s="27" t="n">
        <f aca="false">IFERROR(higiene[[#This Row],[Preço por produto]]/PMA,0)</f>
        <v>0</v>
      </c>
      <c r="Q214" s="0" t="str">
        <f aca="false">H12</f>
        <v>Absorvente (60un)</v>
      </c>
    </row>
    <row r="215" customFormat="false" ht="15" hidden="false" customHeight="false" outlineLevel="0" collapsed="false">
      <c r="D215" s="22" t="s">
        <v>595</v>
      </c>
      <c r="E215" s="57" t="n">
        <v>0.24</v>
      </c>
      <c r="F215" s="22" t="n">
        <v>7.99</v>
      </c>
      <c r="H215" s="58" t="s">
        <v>357</v>
      </c>
      <c r="I215" s="28"/>
      <c r="J215" s="28"/>
      <c r="K215" s="27" t="n">
        <f aca="false">IFERROR(higiene[[#This Row],[Preço por produto]]/PMA,0)</f>
        <v>0</v>
      </c>
      <c r="Q215" s="0" t="str">
        <f aca="false">H13</f>
        <v>Absorvente (80un)</v>
      </c>
    </row>
    <row r="216" customFormat="false" ht="15" hidden="false" customHeight="false" outlineLevel="0" collapsed="false">
      <c r="D216" s="63" t="s">
        <v>201</v>
      </c>
      <c r="E216" s="64" t="n">
        <v>0.3</v>
      </c>
      <c r="F216" s="60" t="n">
        <v>7.56</v>
      </c>
      <c r="H216" s="58" t="s">
        <v>359</v>
      </c>
      <c r="I216" s="28"/>
      <c r="J216" s="28"/>
      <c r="K216" s="27" t="n">
        <f aca="false">IFERROR(higiene[[#This Row],[Preço por produto]]/PMA,0)</f>
        <v>0</v>
      </c>
      <c r="Q216" s="0" t="str">
        <f aca="false">H14</f>
        <v>Água Sanitária (1L)</v>
      </c>
    </row>
    <row r="217" customFormat="false" ht="15" hidden="false" customHeight="false" outlineLevel="0" collapsed="false">
      <c r="D217" s="22" t="s">
        <v>596</v>
      </c>
      <c r="E217" s="57" t="n">
        <v>0.5</v>
      </c>
      <c r="F217" s="22" t="n">
        <v>5.49</v>
      </c>
      <c r="H217" s="58" t="s">
        <v>360</v>
      </c>
      <c r="I217" s="28"/>
      <c r="J217" s="28"/>
      <c r="K217" s="27" t="n">
        <f aca="false">IFERROR(higiene[[#This Row],[Preço por produto]]/PMA,0)</f>
        <v>0</v>
      </c>
      <c r="Q217" s="0" t="str">
        <f aca="false">H15</f>
        <v>Água Sanitária (2L)</v>
      </c>
    </row>
    <row r="218" customFormat="false" ht="15" hidden="false" customHeight="false" outlineLevel="0" collapsed="false">
      <c r="D218" s="22" t="s">
        <v>597</v>
      </c>
      <c r="E218" s="57" t="n">
        <v>0.1</v>
      </c>
      <c r="F218" s="22" t="n">
        <v>3.45</v>
      </c>
      <c r="H218" s="58" t="s">
        <v>361</v>
      </c>
      <c r="I218" s="28"/>
      <c r="J218" s="28"/>
      <c r="K218" s="27" t="n">
        <f aca="false">IFERROR(higiene[[#This Row],[Preço por produto]]/PMA,0)</f>
        <v>0</v>
      </c>
      <c r="Q218" s="0" t="str">
        <f aca="false">H16</f>
        <v>Água Sanitária (5L)</v>
      </c>
    </row>
    <row r="219" customFormat="false" ht="15" hidden="false" customHeight="false" outlineLevel="0" collapsed="false">
      <c r="D219" s="22" t="s">
        <v>598</v>
      </c>
      <c r="E219" s="57" t="n">
        <v>0.15</v>
      </c>
      <c r="F219" s="22" t="n">
        <v>6.52</v>
      </c>
      <c r="H219" s="58" t="s">
        <v>363</v>
      </c>
      <c r="I219" s="28"/>
      <c r="J219" s="28"/>
      <c r="K219" s="27" t="n">
        <f aca="false">IFERROR(higiene[[#This Row],[Preço por produto]]/PMA,0)</f>
        <v>0</v>
      </c>
      <c r="Q219" s="0" t="str">
        <f aca="false">H17</f>
        <v>Alcool (1L)</v>
      </c>
    </row>
    <row r="220" customFormat="false" ht="15" hidden="false" customHeight="false" outlineLevel="0" collapsed="false">
      <c r="D220" s="22" t="s">
        <v>599</v>
      </c>
      <c r="E220" s="57" t="n">
        <v>0.17</v>
      </c>
      <c r="F220" s="22" t="n">
        <v>5.99</v>
      </c>
      <c r="Q220" s="0" t="str">
        <f aca="false">H18</f>
        <v>Álcool Gel (1L)</v>
      </c>
    </row>
    <row r="221" customFormat="false" ht="15" hidden="false" customHeight="false" outlineLevel="0" collapsed="false">
      <c r="D221" s="22" t="s">
        <v>193</v>
      </c>
      <c r="E221" s="57" t="n">
        <v>0.5</v>
      </c>
      <c r="F221" s="22" t="n">
        <v>7.735</v>
      </c>
      <c r="Q221" s="0" t="str">
        <f aca="false">H19</f>
        <v>Álcool Gel (500ml)</v>
      </c>
    </row>
    <row r="222" customFormat="false" ht="15" hidden="false" customHeight="false" outlineLevel="0" collapsed="false">
      <c r="D222" s="63" t="s">
        <v>134</v>
      </c>
      <c r="E222" s="64" t="n">
        <v>0.1</v>
      </c>
      <c r="F222" s="60" t="n">
        <v>5.39</v>
      </c>
      <c r="Q222" s="0" t="str">
        <f aca="false">H20</f>
        <v>Algodão (25g)</v>
      </c>
    </row>
    <row r="223" customFormat="false" ht="15" hidden="false" customHeight="false" outlineLevel="0" collapsed="false">
      <c r="D223" s="22" t="s">
        <v>600</v>
      </c>
      <c r="E223" s="57" t="n">
        <v>1</v>
      </c>
      <c r="F223" s="22" t="n">
        <v>7.29</v>
      </c>
      <c r="Q223" s="0" t="str">
        <f aca="false">H21</f>
        <v>Algodão (50g)</v>
      </c>
    </row>
    <row r="224" customFormat="false" ht="15" hidden="false" customHeight="false" outlineLevel="0" collapsed="false">
      <c r="D224" s="22" t="s">
        <v>60</v>
      </c>
      <c r="E224" s="57" t="n">
        <v>0.5</v>
      </c>
      <c r="F224" s="22" t="n">
        <v>3.22</v>
      </c>
      <c r="Q224" s="0" t="str">
        <f aca="false">H22</f>
        <v>Alvejante (1L)</v>
      </c>
    </row>
    <row r="225" customFormat="false" ht="15" hidden="false" customHeight="false" outlineLevel="0" collapsed="false">
      <c r="D225" s="22" t="s">
        <v>601</v>
      </c>
      <c r="E225" s="57" t="n">
        <v>1</v>
      </c>
      <c r="F225" s="22" t="n">
        <v>16.19</v>
      </c>
      <c r="Q225" s="0" t="str">
        <f aca="false">H23</f>
        <v>Alvejante (2L)</v>
      </c>
    </row>
    <row r="226" customFormat="false" ht="15" hidden="false" customHeight="false" outlineLevel="0" collapsed="false">
      <c r="D226" s="22" t="s">
        <v>330</v>
      </c>
      <c r="E226" s="57"/>
      <c r="F226" s="22"/>
      <c r="Q226" s="0" t="str">
        <f aca="false">H24</f>
        <v>Alvejante (500mL)</v>
      </c>
    </row>
    <row r="227" customFormat="false" ht="15" hidden="false" customHeight="false" outlineLevel="0" collapsed="false">
      <c r="D227" s="22" t="s">
        <v>602</v>
      </c>
      <c r="E227" s="57" t="n">
        <v>0.05</v>
      </c>
      <c r="F227" s="22" t="n">
        <v>3.122</v>
      </c>
      <c r="Q227" s="0" t="str">
        <f aca="false">H25</f>
        <v>Amaciante (2L)</v>
      </c>
    </row>
    <row r="228" customFormat="false" ht="15" hidden="false" customHeight="false" outlineLevel="0" collapsed="false">
      <c r="D228" s="22" t="s">
        <v>332</v>
      </c>
      <c r="E228" s="57"/>
      <c r="F228" s="22"/>
      <c r="Q228" s="0" t="str">
        <f aca="false">H26</f>
        <v>Amaciante (500mL)</v>
      </c>
    </row>
    <row r="229" customFormat="false" ht="15" hidden="false" customHeight="false" outlineLevel="0" collapsed="false">
      <c r="D229" s="22" t="s">
        <v>603</v>
      </c>
      <c r="E229" s="57" t="n">
        <v>1</v>
      </c>
      <c r="F229" s="22" t="n">
        <v>2.49</v>
      </c>
      <c r="Q229" s="0" t="str">
        <f aca="false">H27</f>
        <v>Amaciante (5L)</v>
      </c>
    </row>
    <row r="230" customFormat="false" ht="15" hidden="false" customHeight="false" outlineLevel="0" collapsed="false">
      <c r="D230" s="22" t="s">
        <v>604</v>
      </c>
      <c r="E230" s="57" t="n">
        <v>2</v>
      </c>
      <c r="F230" s="22" t="n">
        <v>3.2</v>
      </c>
      <c r="Q230" s="0" t="str">
        <f aca="false">H28</f>
        <v>Amaciante (900ml)</v>
      </c>
    </row>
    <row r="231" customFormat="false" ht="15" hidden="false" customHeight="false" outlineLevel="0" collapsed="false">
      <c r="D231" s="22" t="s">
        <v>605</v>
      </c>
      <c r="E231" s="57" t="n">
        <v>0.35</v>
      </c>
      <c r="F231" s="22" t="n">
        <v>1.99</v>
      </c>
      <c r="Q231" s="0" t="str">
        <f aca="false">H29</f>
        <v>Amaciante(1L)</v>
      </c>
    </row>
    <row r="232" customFormat="false" ht="15" hidden="false" customHeight="false" outlineLevel="0" collapsed="false">
      <c r="D232" s="22" t="s">
        <v>335</v>
      </c>
      <c r="E232" s="57"/>
      <c r="F232" s="22"/>
      <c r="Q232" s="0" t="str">
        <f aca="false">H30</f>
        <v>Amaciante(2L)</v>
      </c>
    </row>
    <row r="233" customFormat="false" ht="15" hidden="false" customHeight="false" outlineLevel="0" collapsed="false">
      <c r="D233" s="22" t="s">
        <v>606</v>
      </c>
      <c r="E233" s="57" t="n">
        <v>0.15</v>
      </c>
      <c r="F233" s="22" t="n">
        <v>6.99</v>
      </c>
      <c r="Q233" s="0" t="str">
        <f aca="false">H31</f>
        <v>Antisséptico (100ml)</v>
      </c>
    </row>
    <row r="234" customFormat="false" ht="15" hidden="false" customHeight="false" outlineLevel="0" collapsed="false">
      <c r="D234" s="22" t="s">
        <v>607</v>
      </c>
      <c r="E234" s="57" t="n">
        <v>0.25</v>
      </c>
      <c r="F234" s="22" t="n">
        <v>8.89</v>
      </c>
      <c r="Q234" s="0" t="str">
        <f aca="false">H32</f>
        <v>Antisséptico (440ml)</v>
      </c>
    </row>
    <row r="235" customFormat="false" ht="15" hidden="false" customHeight="false" outlineLevel="0" collapsed="false">
      <c r="D235" s="22" t="s">
        <v>608</v>
      </c>
      <c r="E235" s="57" t="n">
        <v>0.5</v>
      </c>
      <c r="F235" s="22" t="n">
        <v>6.99</v>
      </c>
      <c r="Q235" s="0" t="str">
        <f aca="false">H33</f>
        <v>B</v>
      </c>
    </row>
    <row r="236" customFormat="false" ht="15" hidden="false" customHeight="false" outlineLevel="0" collapsed="false">
      <c r="D236" s="22" t="s">
        <v>18</v>
      </c>
      <c r="E236" s="57" t="n">
        <v>1</v>
      </c>
      <c r="F236" s="22" t="n">
        <v>1.68666666666667</v>
      </c>
      <c r="Q236" s="0" t="str">
        <f aca="false">H34</f>
        <v>Band Aid</v>
      </c>
    </row>
    <row r="237" customFormat="false" ht="15" hidden="false" customHeight="false" outlineLevel="0" collapsed="false">
      <c r="D237" s="22" t="s">
        <v>609</v>
      </c>
      <c r="E237" s="57" t="n">
        <v>0.5</v>
      </c>
      <c r="F237" s="22" t="n">
        <v>6.92</v>
      </c>
      <c r="Q237" s="0" t="str">
        <f aca="false">H35</f>
        <v>Band Aid (10un)</v>
      </c>
    </row>
    <row r="238" customFormat="false" ht="15" hidden="false" customHeight="false" outlineLevel="0" collapsed="false">
      <c r="D238" s="22" t="s">
        <v>610</v>
      </c>
      <c r="E238" s="57" t="n">
        <v>1</v>
      </c>
      <c r="F238" s="22" t="n">
        <v>3.62333333333333</v>
      </c>
      <c r="Q238" s="0" t="str">
        <f aca="false">H36</f>
        <v>Band Aid (40un)</v>
      </c>
    </row>
    <row r="239" customFormat="false" ht="15" hidden="false" customHeight="false" outlineLevel="0" collapsed="false">
      <c r="D239" s="22" t="s">
        <v>611</v>
      </c>
      <c r="E239" s="57" t="n">
        <v>0.05</v>
      </c>
      <c r="F239" s="22" t="n">
        <v>2.72166666666667</v>
      </c>
      <c r="Q239" s="0" t="str">
        <f aca="false">H37</f>
        <v>Brilho Alumínio (2L)</v>
      </c>
    </row>
    <row r="240" customFormat="false" ht="15" hidden="false" customHeight="false" outlineLevel="0" collapsed="false">
      <c r="D240" s="22" t="s">
        <v>171</v>
      </c>
      <c r="E240" s="57" t="n">
        <v>0.2</v>
      </c>
      <c r="F240" s="22" t="n">
        <v>2.852</v>
      </c>
      <c r="Q240" s="0" t="str">
        <f aca="false">H38</f>
        <v>Brilho Alumínio (500mL)</v>
      </c>
    </row>
    <row r="241" customFormat="false" ht="15" hidden="false" customHeight="false" outlineLevel="0" collapsed="false">
      <c r="D241" s="22" t="s">
        <v>366</v>
      </c>
      <c r="E241" s="57" t="n">
        <v>0.2</v>
      </c>
      <c r="F241" s="22" t="n">
        <v>4.49666666666667</v>
      </c>
      <c r="Q241" s="0" t="str">
        <f aca="false">H39</f>
        <v>C</v>
      </c>
    </row>
    <row r="242" customFormat="false" ht="15" hidden="false" customHeight="false" outlineLevel="0" collapsed="false">
      <c r="D242" s="22" t="s">
        <v>45</v>
      </c>
      <c r="E242" s="57" t="n">
        <v>0.125</v>
      </c>
      <c r="F242" s="22" t="n">
        <v>2.99</v>
      </c>
      <c r="Q242" s="0" t="str">
        <f aca="false">H40</f>
        <v>Cloro ativo (500ml)</v>
      </c>
    </row>
    <row r="243" customFormat="false" ht="15" hidden="false" customHeight="false" outlineLevel="0" collapsed="false">
      <c r="D243" s="22" t="s">
        <v>612</v>
      </c>
      <c r="E243" s="57" t="n">
        <v>0.06</v>
      </c>
      <c r="F243" s="22" t="n">
        <v>3.67</v>
      </c>
      <c r="Q243" s="0" t="str">
        <f aca="false">H41</f>
        <v>Cloro ativo (5L)</v>
      </c>
    </row>
    <row r="244" customFormat="false" ht="15" hidden="false" customHeight="false" outlineLevel="0" collapsed="false">
      <c r="D244" s="22" t="s">
        <v>613</v>
      </c>
      <c r="E244" s="57" t="n">
        <v>0.2</v>
      </c>
      <c r="F244" s="22" t="n">
        <v>2.75</v>
      </c>
      <c r="Q244" s="0" t="str">
        <f aca="false">H42</f>
        <v>Condicionador (200mL)</v>
      </c>
    </row>
    <row r="245" customFormat="false" ht="15" hidden="false" customHeight="false" outlineLevel="0" collapsed="false">
      <c r="D245" s="22" t="s">
        <v>614</v>
      </c>
      <c r="E245" s="57" t="n">
        <v>0.28</v>
      </c>
      <c r="F245" s="22" t="n">
        <v>2.20666666666667</v>
      </c>
      <c r="Q245" s="0" t="str">
        <f aca="false">H43</f>
        <v>Condicionador (325 mL)</v>
      </c>
    </row>
    <row r="246" customFormat="false" ht="15" hidden="false" customHeight="false" outlineLevel="0" collapsed="false">
      <c r="D246" s="22" t="s">
        <v>615</v>
      </c>
      <c r="E246" s="57" t="n">
        <v>0.038</v>
      </c>
      <c r="F246" s="22" t="n">
        <v>4.98666666666667</v>
      </c>
      <c r="Q246" s="0" t="str">
        <f aca="false">H44</f>
        <v>Condicionador (350 mL)</v>
      </c>
    </row>
    <row r="247" customFormat="false" ht="15" hidden="false" customHeight="false" outlineLevel="0" collapsed="false">
      <c r="D247" s="22" t="s">
        <v>616</v>
      </c>
      <c r="E247" s="57" t="n">
        <v>0.5</v>
      </c>
      <c r="F247" s="60" t="n">
        <v>7.99</v>
      </c>
      <c r="Q247" s="0" t="str">
        <f aca="false">H45</f>
        <v>Condicionador (400mL)</v>
      </c>
    </row>
    <row r="248" customFormat="false" ht="15" hidden="false" customHeight="false" outlineLevel="0" collapsed="false">
      <c r="D248" s="22" t="s">
        <v>158</v>
      </c>
      <c r="E248" s="57" t="n">
        <v>0.2</v>
      </c>
      <c r="F248" s="22" t="n">
        <v>6.74833333333334</v>
      </c>
      <c r="Q248" s="0" t="str">
        <f aca="false">H46</f>
        <v>Cotonete</v>
      </c>
    </row>
    <row r="249" customFormat="false" ht="15" hidden="false" customHeight="false" outlineLevel="0" collapsed="false">
      <c r="D249" s="63" t="s">
        <v>133</v>
      </c>
      <c r="E249" s="64" t="n">
        <v>1.5</v>
      </c>
      <c r="F249" s="72" t="n">
        <v>8.56</v>
      </c>
      <c r="Q249" s="0" t="str">
        <f aca="false">H47</f>
        <v>Creme de barbear</v>
      </c>
    </row>
    <row r="250" customFormat="false" ht="15" hidden="false" customHeight="false" outlineLevel="0" collapsed="false">
      <c r="D250" s="22" t="s">
        <v>147</v>
      </c>
      <c r="E250" s="57" t="n">
        <v>1</v>
      </c>
      <c r="F250" s="22" t="n">
        <v>3.74</v>
      </c>
      <c r="Q250" s="0" t="str">
        <f aca="false">H48</f>
        <v>D</v>
      </c>
    </row>
    <row r="251" customFormat="false" ht="15" hidden="false" customHeight="false" outlineLevel="0" collapsed="false">
      <c r="D251" s="22" t="s">
        <v>177</v>
      </c>
      <c r="E251" s="57" t="n">
        <v>0.01</v>
      </c>
      <c r="F251" s="22" t="n">
        <v>0.69</v>
      </c>
      <c r="Q251" s="0" t="str">
        <f aca="false">H49</f>
        <v>Desengordurante (500ml)</v>
      </c>
    </row>
    <row r="252" customFormat="false" ht="15" hidden="false" customHeight="false" outlineLevel="0" collapsed="false">
      <c r="D252" s="22" t="s">
        <v>617</v>
      </c>
      <c r="E252" s="57" t="n">
        <v>0.5</v>
      </c>
      <c r="F252" s="22" t="n">
        <v>3.39</v>
      </c>
      <c r="Q252" s="0" t="str">
        <f aca="false">H50</f>
        <v>Desengordurante(500ml)</v>
      </c>
    </row>
    <row r="253" customFormat="false" ht="15" hidden="false" customHeight="false" outlineLevel="0" collapsed="false">
      <c r="D253" s="22" t="s">
        <v>618</v>
      </c>
      <c r="E253" s="57" t="n">
        <v>0.45</v>
      </c>
      <c r="F253" s="60" t="n">
        <v>6.85</v>
      </c>
      <c r="Q253" s="0" t="str">
        <f aca="false">H51</f>
        <v>Desinfetante (1L)</v>
      </c>
    </row>
    <row r="254" customFormat="false" ht="15" hidden="false" customHeight="false" outlineLevel="0" collapsed="false">
      <c r="D254" s="22" t="s">
        <v>352</v>
      </c>
      <c r="E254" s="22"/>
      <c r="F254" s="22"/>
      <c r="Q254" s="0" t="str">
        <f aca="false">H52</f>
        <v>Desinfetante (2L)</v>
      </c>
    </row>
    <row r="255" customFormat="false" ht="15" hidden="false" customHeight="false" outlineLevel="0" collapsed="false">
      <c r="D255" s="22" t="s">
        <v>619</v>
      </c>
      <c r="E255" s="22" t="n">
        <v>1</v>
      </c>
      <c r="F255" s="22" t="n">
        <v>9.735</v>
      </c>
      <c r="Q255" s="0" t="str">
        <f aca="false">H53</f>
        <v>Desinfetante (300mL)</v>
      </c>
    </row>
    <row r="256" customFormat="false" ht="15" hidden="false" customHeight="false" outlineLevel="0" collapsed="false">
      <c r="D256" s="22" t="s">
        <v>620</v>
      </c>
      <c r="E256" s="22" t="n">
        <v>0.5</v>
      </c>
      <c r="F256" s="22" t="n">
        <v>5.824</v>
      </c>
      <c r="Q256" s="0" t="str">
        <f aca="false">H54</f>
        <v>Desinfetante (5L)</v>
      </c>
    </row>
    <row r="257" customFormat="false" ht="15" hidden="false" customHeight="false" outlineLevel="0" collapsed="false">
      <c r="D257" s="22" t="s">
        <v>621</v>
      </c>
      <c r="E257" s="22" t="n">
        <v>0.5</v>
      </c>
      <c r="F257" s="22" t="n">
        <v>3.7</v>
      </c>
      <c r="Q257" s="0" t="str">
        <f aca="false">H55</f>
        <v>Desinfetante (750mL)</v>
      </c>
    </row>
    <row r="258" customFormat="false" ht="15" hidden="false" customHeight="false" outlineLevel="0" collapsed="false">
      <c r="D258" s="22" t="s">
        <v>100</v>
      </c>
      <c r="E258" s="22" t="n">
        <v>0.3</v>
      </c>
      <c r="F258" s="22" t="n">
        <v>1.65</v>
      </c>
      <c r="Q258" s="0" t="str">
        <f aca="false">H56</f>
        <v>Desinfetante(2L)</v>
      </c>
    </row>
    <row r="259" customFormat="false" ht="15" hidden="false" customHeight="false" outlineLevel="0" collapsed="false">
      <c r="D259" s="22" t="s">
        <v>622</v>
      </c>
      <c r="E259" s="57" t="n">
        <v>0.4</v>
      </c>
      <c r="F259" s="22" t="n">
        <v>3.435</v>
      </c>
      <c r="Q259" s="0" t="str">
        <f aca="false">H57</f>
        <v>Desinfetante(500mL)</v>
      </c>
    </row>
    <row r="260" customFormat="false" ht="15" hidden="false" customHeight="false" outlineLevel="0" collapsed="false">
      <c r="D260" s="22" t="s">
        <v>164</v>
      </c>
      <c r="E260" s="57" t="n">
        <v>0.14</v>
      </c>
      <c r="F260" s="22" t="n">
        <v>2.44833333333333</v>
      </c>
      <c r="Q260" s="0" t="str">
        <f aca="false">H58</f>
        <v>Desodorante</v>
      </c>
    </row>
    <row r="261" customFormat="false" ht="15" hidden="false" customHeight="false" outlineLevel="0" collapsed="false">
      <c r="D261" s="22" t="s">
        <v>623</v>
      </c>
      <c r="E261" s="57" t="n">
        <v>0.5</v>
      </c>
      <c r="F261" s="22" t="n">
        <v>4.0125</v>
      </c>
      <c r="Q261" s="0" t="str">
        <f aca="false">H59</f>
        <v>Desodorante creme</v>
      </c>
    </row>
    <row r="262" customFormat="false" ht="15" hidden="false" customHeight="false" outlineLevel="0" collapsed="false">
      <c r="D262" s="22" t="s">
        <v>355</v>
      </c>
      <c r="E262" s="57"/>
      <c r="F262" s="22"/>
      <c r="Q262" s="0" t="str">
        <f aca="false">H60</f>
        <v>Desodorante rollon</v>
      </c>
    </row>
    <row r="263" customFormat="false" ht="15" hidden="false" customHeight="false" outlineLevel="0" collapsed="false">
      <c r="D263" s="22" t="s">
        <v>624</v>
      </c>
      <c r="E263" s="57" t="n">
        <v>0.1</v>
      </c>
      <c r="F263" s="60" t="n">
        <v>2.99</v>
      </c>
      <c r="Q263" s="0" t="str">
        <f aca="false">H61</f>
        <v>Desodorante spray</v>
      </c>
    </row>
    <row r="264" customFormat="false" ht="15" hidden="false" customHeight="false" outlineLevel="0" collapsed="false">
      <c r="D264" s="22" t="s">
        <v>357</v>
      </c>
      <c r="E264" s="57"/>
      <c r="F264" s="22"/>
      <c r="Q264" s="0" t="str">
        <f aca="false">H62</f>
        <v>Detergente</v>
      </c>
    </row>
    <row r="265" customFormat="false" ht="15" hidden="false" customHeight="false" outlineLevel="0" collapsed="false">
      <c r="D265" s="22" t="s">
        <v>81</v>
      </c>
      <c r="E265" s="57" t="n">
        <v>0.75</v>
      </c>
      <c r="F265" s="22" t="n">
        <v>1.79666666666667</v>
      </c>
      <c r="Q265" s="0" t="str">
        <f aca="false">H63</f>
        <v>Detergente (5L)</v>
      </c>
    </row>
    <row r="266" customFormat="false" ht="15" hidden="false" customHeight="false" outlineLevel="0" collapsed="false">
      <c r="D266" s="22" t="s">
        <v>361</v>
      </c>
      <c r="E266" s="57"/>
      <c r="F266" s="22"/>
      <c r="Q266" s="0" t="str">
        <f aca="false">H64</f>
        <v>Detergente (6un)</v>
      </c>
    </row>
    <row r="267" customFormat="false" ht="15" hidden="false" customHeight="false" outlineLevel="0" collapsed="false">
      <c r="D267" s="22" t="s">
        <v>625</v>
      </c>
      <c r="E267" s="57" t="n">
        <v>0.5</v>
      </c>
      <c r="F267" s="22" t="n">
        <v>8.285</v>
      </c>
      <c r="Q267" s="0" t="str">
        <f aca="false">H65</f>
        <v>Detergente(500ml)</v>
      </c>
    </row>
    <row r="268" customFormat="false" ht="15" hidden="false" customHeight="false" outlineLevel="0" collapsed="false">
      <c r="Q268" s="0" t="str">
        <f aca="false">H66</f>
        <v>E</v>
      </c>
    </row>
    <row r="269" customFormat="false" ht="15" hidden="false" customHeight="false" outlineLevel="0" collapsed="false">
      <c r="Q269" s="0" t="str">
        <f aca="false">H67</f>
        <v>Enxaguante bucal (250mL)</v>
      </c>
    </row>
    <row r="270" customFormat="false" ht="15" hidden="false" customHeight="false" outlineLevel="0" collapsed="false">
      <c r="Q270" s="0" t="str">
        <f aca="false">H68</f>
        <v>Enxaguante bucal (350mL)</v>
      </c>
    </row>
    <row r="271" customFormat="false" ht="15" hidden="false" customHeight="false" outlineLevel="0" collapsed="false">
      <c r="Q271" s="0" t="str">
        <f aca="false">H69</f>
        <v>Enxaguante bucal (500mL)</v>
      </c>
    </row>
    <row r="272" customFormat="false" ht="15" hidden="false" customHeight="false" outlineLevel="0" collapsed="false">
      <c r="Q272" s="0" t="str">
        <f aca="false">H70</f>
        <v>Escova de dente (1un)</v>
      </c>
    </row>
    <row r="273" customFormat="false" ht="15" hidden="false" customHeight="false" outlineLevel="0" collapsed="false">
      <c r="Q273" s="0" t="str">
        <f aca="false">H71</f>
        <v>Escova de dente (2un)</v>
      </c>
    </row>
    <row r="274" customFormat="false" ht="15" hidden="false" customHeight="false" outlineLevel="0" collapsed="false">
      <c r="Q274" s="0" t="str">
        <f aca="false">H72</f>
        <v>Escova de dente (3 un)</v>
      </c>
    </row>
    <row r="275" customFormat="false" ht="15" hidden="false" customHeight="false" outlineLevel="0" collapsed="false">
      <c r="Q275" s="0" t="str">
        <f aca="false">H73</f>
        <v>Escova de Dentes (4un)</v>
      </c>
    </row>
    <row r="276" customFormat="false" ht="15" hidden="false" customHeight="false" outlineLevel="0" collapsed="false">
      <c r="Q276" s="0" t="str">
        <f aca="false">H74</f>
        <v>Esponja (1un)</v>
      </c>
    </row>
    <row r="277" customFormat="false" ht="15" hidden="false" customHeight="false" outlineLevel="0" collapsed="false">
      <c r="Q277" s="0" t="str">
        <f aca="false">H75</f>
        <v>Esponja (3un)</v>
      </c>
    </row>
    <row r="278" customFormat="false" ht="15" hidden="false" customHeight="false" outlineLevel="0" collapsed="false">
      <c r="Q278" s="0" t="str">
        <f aca="false">H76</f>
        <v>Esponja (4un)</v>
      </c>
    </row>
    <row r="279" customFormat="false" ht="15" hidden="false" customHeight="false" outlineLevel="0" collapsed="false">
      <c r="Q279" s="0" t="str">
        <f aca="false">H77</f>
        <v>Esponja de aço</v>
      </c>
    </row>
    <row r="280" customFormat="false" ht="15" hidden="false" customHeight="false" outlineLevel="0" collapsed="false">
      <c r="Q280" s="0" t="str">
        <f aca="false">H78</f>
        <v>F</v>
      </c>
    </row>
    <row r="281" customFormat="false" ht="15" hidden="false" customHeight="false" outlineLevel="0" collapsed="false">
      <c r="Q281" s="0" t="str">
        <f aca="false">H79</f>
        <v>Filtro de Café</v>
      </c>
    </row>
    <row r="282" customFormat="false" ht="15" hidden="false" customHeight="false" outlineLevel="0" collapsed="false">
      <c r="Q282" s="0" t="str">
        <f aca="false">H80</f>
        <v>Fio Dental</v>
      </c>
    </row>
    <row r="283" customFormat="false" ht="15" hidden="false" customHeight="false" outlineLevel="0" collapsed="false">
      <c r="Q283" s="0" t="str">
        <f aca="false">H81</f>
        <v>Fosforo</v>
      </c>
    </row>
    <row r="284" customFormat="false" ht="15" hidden="false" customHeight="false" outlineLevel="0" collapsed="false">
      <c r="Q284" s="0" t="str">
        <f aca="false">H82</f>
        <v>Fósforo (10 caixas x 40 un)</v>
      </c>
    </row>
    <row r="285" customFormat="false" ht="15" hidden="false" customHeight="false" outlineLevel="0" collapsed="false">
      <c r="Q285" s="0" t="str">
        <f aca="false">H83</f>
        <v>Fosforo (200un)</v>
      </c>
    </row>
    <row r="286" customFormat="false" ht="15" hidden="false" customHeight="false" outlineLevel="0" collapsed="false">
      <c r="Q286" s="0" t="str">
        <f aca="false">H84</f>
        <v>Fósforo (40un)</v>
      </c>
    </row>
    <row r="287" customFormat="false" ht="15" hidden="false" customHeight="false" outlineLevel="0" collapsed="false">
      <c r="Q287" s="0" t="str">
        <f aca="false">H85</f>
        <v>Fósforo (50un)</v>
      </c>
    </row>
    <row r="288" customFormat="false" ht="15" hidden="false" customHeight="false" outlineLevel="0" collapsed="false">
      <c r="Q288" s="0" t="str">
        <f aca="false">H86</f>
        <v>Fraldas Geriátricas (07un)</v>
      </c>
    </row>
    <row r="289" customFormat="false" ht="15" hidden="false" customHeight="false" outlineLevel="0" collapsed="false">
      <c r="Q289" s="0" t="str">
        <f aca="false">H87</f>
        <v>Fraldas Geriátricas (08un)</v>
      </c>
    </row>
    <row r="290" customFormat="false" ht="15" hidden="false" customHeight="false" outlineLevel="0" collapsed="false">
      <c r="Q290" s="0" t="str">
        <f aca="false">H88</f>
        <v>Fraldas Geriátricas (09un)</v>
      </c>
    </row>
    <row r="291" customFormat="false" ht="15" hidden="false" customHeight="false" outlineLevel="0" collapsed="false">
      <c r="Q291" s="0" t="str">
        <f aca="false">H89</f>
        <v>Fraldas Geriátricas (10un)</v>
      </c>
    </row>
    <row r="292" customFormat="false" ht="15" hidden="false" customHeight="false" outlineLevel="0" collapsed="false">
      <c r="Q292" s="0" t="str">
        <f aca="false">H90</f>
        <v>Fraldas Geriátricas (18un)</v>
      </c>
    </row>
    <row r="293" customFormat="false" ht="15" hidden="false" customHeight="false" outlineLevel="0" collapsed="false">
      <c r="Q293" s="0" t="str">
        <f aca="false">H91</f>
        <v>Fraldas Geriátricas (20un)</v>
      </c>
    </row>
    <row r="294" customFormat="false" ht="15" hidden="false" customHeight="false" outlineLevel="0" collapsed="false">
      <c r="Q294" s="0" t="str">
        <f aca="false">H92</f>
        <v>Fraldas Geriátricas (24 un)</v>
      </c>
    </row>
    <row r="295" customFormat="false" ht="15" hidden="false" customHeight="false" outlineLevel="0" collapsed="false">
      <c r="Q295" s="0" t="str">
        <f aca="false">H93</f>
        <v>Fraldas Geriátricas (30un)</v>
      </c>
    </row>
    <row r="296" customFormat="false" ht="15" hidden="false" customHeight="false" outlineLevel="0" collapsed="false">
      <c r="Q296" s="0" t="e">
        <f aca="false">#REF!</f>
        <v>#REF!</v>
      </c>
    </row>
    <row r="297" customFormat="false" ht="15" hidden="false" customHeight="false" outlineLevel="0" collapsed="false">
      <c r="Q297" s="0" t="str">
        <f aca="false">H94</f>
        <v>Fraldas Infantis (12un)</v>
      </c>
    </row>
    <row r="298" customFormat="false" ht="15" hidden="false" customHeight="false" outlineLevel="0" collapsed="false">
      <c r="Q298" s="0" t="str">
        <f aca="false">H95</f>
        <v>Fraldas Infantis (14un)</v>
      </c>
    </row>
    <row r="299" customFormat="false" ht="15" hidden="false" customHeight="false" outlineLevel="0" collapsed="false">
      <c r="Q299" s="0" t="str">
        <f aca="false">H96</f>
        <v>Fraldas Infantis (16un)</v>
      </c>
    </row>
    <row r="300" customFormat="false" ht="15" hidden="false" customHeight="false" outlineLevel="0" collapsed="false">
      <c r="Q300" s="0" t="str">
        <f aca="false">H97</f>
        <v>Fraldas Infantis (18 un)</v>
      </c>
    </row>
    <row r="301" customFormat="false" ht="15" hidden="false" customHeight="false" outlineLevel="0" collapsed="false">
      <c r="Q301" s="0" t="str">
        <f aca="false">H98</f>
        <v>Fraldas Infantis (20un)</v>
      </c>
    </row>
    <row r="302" customFormat="false" ht="15" hidden="false" customHeight="false" outlineLevel="0" collapsed="false">
      <c r="Q302" s="0" t="str">
        <f aca="false">H99</f>
        <v>Fraldas Infantis (22un)</v>
      </c>
    </row>
    <row r="303" customFormat="false" ht="15" hidden="false" customHeight="false" outlineLevel="0" collapsed="false">
      <c r="Q303" s="0" t="str">
        <f aca="false">H100</f>
        <v>Fraldas Infantis (24un)</v>
      </c>
    </row>
    <row r="304" customFormat="false" ht="15" hidden="false" customHeight="false" outlineLevel="0" collapsed="false">
      <c r="Q304" s="0" t="str">
        <f aca="false">H101</f>
        <v>Fraldas Infantis (26un)</v>
      </c>
    </row>
    <row r="305" customFormat="false" ht="15" hidden="false" customHeight="false" outlineLevel="0" collapsed="false">
      <c r="Q305" s="0" t="str">
        <f aca="false">H102</f>
        <v>Fraldas Infantis (28un)</v>
      </c>
    </row>
    <row r="306" customFormat="false" ht="15" hidden="false" customHeight="false" outlineLevel="0" collapsed="false">
      <c r="Q306" s="0" t="str">
        <f aca="false">H103</f>
        <v>Fraldas Infantis (30un)</v>
      </c>
    </row>
    <row r="307" customFormat="false" ht="15" hidden="false" customHeight="false" outlineLevel="0" collapsed="false">
      <c r="Q307" s="0" t="str">
        <f aca="false">H104</f>
        <v>Fraldas Infantis (32un)</v>
      </c>
    </row>
    <row r="308" customFormat="false" ht="15" hidden="false" customHeight="false" outlineLevel="0" collapsed="false">
      <c r="Q308" s="0" t="str">
        <f aca="false">H105</f>
        <v>Fraldas Infantis (34un)</v>
      </c>
    </row>
    <row r="309" customFormat="false" ht="15" hidden="false" customHeight="false" outlineLevel="0" collapsed="false">
      <c r="Q309" s="0" t="str">
        <f aca="false">H106</f>
        <v>Fraldas Infantis (36un)</v>
      </c>
    </row>
    <row r="310" customFormat="false" ht="15" hidden="false" customHeight="false" outlineLevel="0" collapsed="false">
      <c r="Q310" s="0" t="str">
        <f aca="false">H107</f>
        <v>Fraldas Infantis (38un)</v>
      </c>
    </row>
    <row r="311" customFormat="false" ht="15" hidden="false" customHeight="false" outlineLevel="0" collapsed="false">
      <c r="Q311" s="0" t="str">
        <f aca="false">H108</f>
        <v>Fraldas Infantis (40un)</v>
      </c>
    </row>
    <row r="312" customFormat="false" ht="15" hidden="false" customHeight="false" outlineLevel="0" collapsed="false">
      <c r="Q312" s="0" t="str">
        <f aca="false">H109</f>
        <v>Fraldas Infantis (44un)</v>
      </c>
    </row>
    <row r="313" customFormat="false" ht="15" hidden="false" customHeight="false" outlineLevel="0" collapsed="false">
      <c r="Q313" s="0" t="str">
        <f aca="false">H110</f>
        <v>Fraldas Infantis (46un)</v>
      </c>
    </row>
    <row r="314" customFormat="false" ht="15" hidden="false" customHeight="false" outlineLevel="0" collapsed="false">
      <c r="Q314" s="0" t="str">
        <f aca="false">H111</f>
        <v>Fraldas Infantis (48un)</v>
      </c>
    </row>
    <row r="315" customFormat="false" ht="15" hidden="false" customHeight="false" outlineLevel="0" collapsed="false">
      <c r="Q315" s="0" t="str">
        <f aca="false">H112</f>
        <v>Fraldas Infantis (50un)</v>
      </c>
    </row>
    <row r="316" customFormat="false" ht="15" hidden="false" customHeight="false" outlineLevel="0" collapsed="false">
      <c r="Q316" s="0" t="str">
        <f aca="false">H113</f>
        <v>Fraldas Infantis (52un)</v>
      </c>
    </row>
    <row r="317" customFormat="false" ht="15" hidden="false" customHeight="false" outlineLevel="0" collapsed="false">
      <c r="Q317" s="0" t="str">
        <f aca="false">H114</f>
        <v>Fraldas Infantis (58un)</v>
      </c>
    </row>
    <row r="318" customFormat="false" ht="15" hidden="false" customHeight="false" outlineLevel="0" collapsed="false">
      <c r="Q318" s="0" t="str">
        <f aca="false">H115</f>
        <v>Fraldas Infantis (60un)</v>
      </c>
    </row>
    <row r="319" customFormat="false" ht="15" hidden="false" customHeight="false" outlineLevel="0" collapsed="false">
      <c r="Q319" s="0" t="str">
        <f aca="false">H116</f>
        <v>G</v>
      </c>
    </row>
    <row r="320" customFormat="false" ht="15" hidden="false" customHeight="false" outlineLevel="0" collapsed="false">
      <c r="Q320" s="0" t="str">
        <f aca="false">H117</f>
        <v>Guardanapo</v>
      </c>
    </row>
    <row r="321" customFormat="false" ht="15" hidden="false" customHeight="false" outlineLevel="0" collapsed="false">
      <c r="Q321" s="0" t="str">
        <f aca="false">H118</f>
        <v>H</v>
      </c>
    </row>
    <row r="322" customFormat="false" ht="15" hidden="false" customHeight="false" outlineLevel="0" collapsed="false">
      <c r="Q322" s="0" t="str">
        <f aca="false">H119</f>
        <v>I</v>
      </c>
    </row>
    <row r="323" customFormat="false" ht="15" hidden="false" customHeight="false" outlineLevel="0" collapsed="false">
      <c r="Q323" s="0" t="str">
        <f aca="false">H120</f>
        <v>J</v>
      </c>
    </row>
    <row r="324" customFormat="false" ht="15" hidden="false" customHeight="false" outlineLevel="0" collapsed="false">
      <c r="Q324" s="0" t="str">
        <f aca="false">H121</f>
        <v>L</v>
      </c>
    </row>
    <row r="325" customFormat="false" ht="15" hidden="false" customHeight="false" outlineLevel="0" collapsed="false">
      <c r="Q325" s="0" t="str">
        <f aca="false">H122</f>
        <v>Lâmina de barbear (1un)</v>
      </c>
    </row>
    <row r="326" customFormat="false" ht="15" hidden="false" customHeight="false" outlineLevel="0" collapsed="false">
      <c r="Q326" s="0" t="str">
        <f aca="false">H123</f>
        <v>Lâmina de barbear (2un)</v>
      </c>
    </row>
    <row r="327" customFormat="false" ht="15" hidden="false" customHeight="false" outlineLevel="0" collapsed="false">
      <c r="Q327" s="0" t="str">
        <f aca="false">H124</f>
        <v>Lâmina de barbear (3un)</v>
      </c>
    </row>
    <row r="328" customFormat="false" ht="15" hidden="false" customHeight="false" outlineLevel="0" collapsed="false">
      <c r="Q328" s="0" t="str">
        <f aca="false">H125</f>
        <v>Lâmina de barbear (4un)</v>
      </c>
    </row>
    <row r="329" customFormat="false" ht="15" hidden="false" customHeight="false" outlineLevel="0" collapsed="false">
      <c r="Q329" s="0" t="str">
        <f aca="false">H126</f>
        <v>Lâmina de Barbear (5un)</v>
      </c>
    </row>
    <row r="330" customFormat="false" ht="15" hidden="false" customHeight="false" outlineLevel="0" collapsed="false">
      <c r="Q330" s="0" t="str">
        <f aca="false">H127</f>
        <v>Lâmina de Barbear (7un)</v>
      </c>
    </row>
    <row r="331" customFormat="false" ht="15" hidden="false" customHeight="false" outlineLevel="0" collapsed="false">
      <c r="Q331" s="0" t="str">
        <f aca="false">H128</f>
        <v>Lâmina de barbear (8un)</v>
      </c>
    </row>
    <row r="332" customFormat="false" ht="15" hidden="false" customHeight="false" outlineLevel="0" collapsed="false">
      <c r="Q332" s="0" t="str">
        <f aca="false">H129</f>
        <v>Lâmina refil (2un)</v>
      </c>
    </row>
    <row r="333" customFormat="false" ht="15" hidden="false" customHeight="false" outlineLevel="0" collapsed="false">
      <c r="Q333" s="0" t="str">
        <f aca="false">H130</f>
        <v>Lâmina refil (4un)</v>
      </c>
    </row>
    <row r="334" customFormat="false" ht="15" hidden="false" customHeight="false" outlineLevel="0" collapsed="false">
      <c r="Q334" s="0" t="str">
        <f aca="false">H131</f>
        <v>Lâmina refil (5un)</v>
      </c>
    </row>
    <row r="335" customFormat="false" ht="15" hidden="false" customHeight="false" outlineLevel="0" collapsed="false">
      <c r="Q335" s="0" t="str">
        <f aca="false">H132</f>
        <v>Lenços de papel (50un)</v>
      </c>
    </row>
    <row r="336" customFormat="false" ht="15" hidden="false" customHeight="false" outlineLevel="0" collapsed="false">
      <c r="Q336" s="0" t="str">
        <f aca="false">H133</f>
        <v>lenços papel 100 un</v>
      </c>
    </row>
    <row r="337" customFormat="false" ht="15" hidden="false" customHeight="false" outlineLevel="0" collapsed="false">
      <c r="Q337" s="0" t="str">
        <f aca="false">H134</f>
        <v>Lenços Umidecidos (1pcte)</v>
      </c>
    </row>
    <row r="338" customFormat="false" ht="15" hidden="false" customHeight="false" outlineLevel="0" collapsed="false">
      <c r="Q338" s="0" t="str">
        <f aca="false">H135</f>
        <v>Limpador(1L)</v>
      </c>
    </row>
    <row r="339" customFormat="false" ht="15" hidden="false" customHeight="false" outlineLevel="0" collapsed="false">
      <c r="Q339" s="0" t="str">
        <f aca="false">H136</f>
        <v>Limpador(2L)</v>
      </c>
    </row>
    <row r="340" customFormat="false" ht="15" hidden="false" customHeight="false" outlineLevel="0" collapsed="false">
      <c r="Q340" s="0" t="str">
        <f aca="false">H137</f>
        <v>Limpador(500ml)</v>
      </c>
    </row>
    <row r="341" customFormat="false" ht="15" hidden="false" customHeight="false" outlineLevel="0" collapsed="false">
      <c r="Q341" s="0" t="str">
        <f aca="false">H138</f>
        <v>M</v>
      </c>
    </row>
    <row r="342" customFormat="false" ht="15" hidden="false" customHeight="false" outlineLevel="0" collapsed="false">
      <c r="Q342" s="0" t="str">
        <f aca="false">H139</f>
        <v>multiuso</v>
      </c>
    </row>
    <row r="343" customFormat="false" ht="15" hidden="false" customHeight="false" outlineLevel="0" collapsed="false">
      <c r="Q343" s="0" t="str">
        <f aca="false">H140</f>
        <v>Multiuso (1L)</v>
      </c>
    </row>
    <row r="344" customFormat="false" ht="15" hidden="false" customHeight="false" outlineLevel="0" collapsed="false">
      <c r="Q344" s="0" t="str">
        <f aca="false">H141</f>
        <v>Multiuso (200ml)</v>
      </c>
    </row>
    <row r="345" customFormat="false" ht="15" hidden="false" customHeight="false" outlineLevel="0" collapsed="false">
      <c r="Q345" s="0" t="str">
        <f aca="false">H142</f>
        <v>Multiuso (3un 500ml)</v>
      </c>
    </row>
    <row r="346" customFormat="false" ht="15" hidden="false" customHeight="false" outlineLevel="0" collapsed="false">
      <c r="Q346" s="0" t="str">
        <f aca="false">H143</f>
        <v>Multiuso (500mL)</v>
      </c>
    </row>
    <row r="347" customFormat="false" ht="15" hidden="false" customHeight="false" outlineLevel="0" collapsed="false">
      <c r="Q347" s="0" t="str">
        <f aca="false">H151</f>
        <v>Papel Higiênico (16un)</v>
      </c>
    </row>
    <row r="348" customFormat="false" ht="15" hidden="false" customHeight="false" outlineLevel="0" collapsed="false">
      <c r="Q348" s="0" t="str">
        <f aca="false">H152</f>
        <v>Papel Higiênico (24un)</v>
      </c>
    </row>
    <row r="349" customFormat="false" ht="15" hidden="false" customHeight="false" outlineLevel="0" collapsed="false">
      <c r="Q349" s="0" t="str">
        <f aca="false">H153</f>
        <v>Papel Toalha (12un)</v>
      </c>
    </row>
    <row r="350" customFormat="false" ht="15" hidden="false" customHeight="false" outlineLevel="0" collapsed="false">
      <c r="Q350" s="0" t="str">
        <f aca="false">H154</f>
        <v>Papel Toalha (2un)</v>
      </c>
    </row>
    <row r="351" customFormat="false" ht="15" hidden="false" customHeight="false" outlineLevel="0" collapsed="false">
      <c r="Q351" s="0" t="str">
        <f aca="false">H158</f>
        <v>Pasta de Dente (70g)</v>
      </c>
    </row>
    <row r="352" customFormat="false" ht="15" hidden="false" customHeight="false" outlineLevel="0" collapsed="false">
      <c r="Q352" s="0" t="str">
        <f aca="false">H159</f>
        <v>Pasta de Dente (90g)</v>
      </c>
    </row>
    <row r="353" customFormat="false" ht="15" hidden="false" customHeight="false" outlineLevel="0" collapsed="false">
      <c r="Q353" s="0" t="str">
        <f aca="false">H160</f>
        <v>Pasta de dente 4 un</v>
      </c>
    </row>
    <row r="354" customFormat="false" ht="15" hidden="false" customHeight="false" outlineLevel="0" collapsed="false">
      <c r="Q354" s="0" t="str">
        <f aca="false">H161</f>
        <v>Polvilho antisséptico (100g)</v>
      </c>
    </row>
    <row r="355" customFormat="false" ht="15" hidden="false" customHeight="false" outlineLevel="0" collapsed="false">
      <c r="Q355" s="0" t="str">
        <f aca="false">H162</f>
        <v>Q</v>
      </c>
    </row>
    <row r="356" customFormat="false" ht="15" hidden="false" customHeight="false" outlineLevel="0" collapsed="false">
      <c r="Q356" s="0" t="str">
        <f aca="false">H163</f>
        <v>Querosene (500ml)</v>
      </c>
    </row>
    <row r="357" customFormat="false" ht="15" hidden="false" customHeight="false" outlineLevel="0" collapsed="false">
      <c r="Q357" s="0" t="str">
        <f aca="false">H164</f>
        <v>Querosene (900ml)</v>
      </c>
    </row>
    <row r="358" customFormat="false" ht="15" hidden="false" customHeight="false" outlineLevel="0" collapsed="false">
      <c r="Q358" s="0" t="str">
        <f aca="false">H165</f>
        <v>R</v>
      </c>
    </row>
    <row r="359" customFormat="false" ht="15" hidden="false" customHeight="false" outlineLevel="0" collapsed="false">
      <c r="Q359" s="0" t="str">
        <f aca="false">H166</f>
        <v>Removedor de mancha (450mL)</v>
      </c>
    </row>
    <row r="360" customFormat="false" ht="15" hidden="false" customHeight="false" outlineLevel="0" collapsed="false">
      <c r="Q360" s="0" t="str">
        <f aca="false">H167</f>
        <v>S</v>
      </c>
    </row>
    <row r="361" customFormat="false" ht="15" hidden="false" customHeight="false" outlineLevel="0" collapsed="false">
      <c r="Q361" s="0" t="str">
        <f aca="false">H168</f>
        <v>Sabão em Barra (1un)</v>
      </c>
    </row>
    <row r="362" customFormat="false" ht="15" hidden="false" customHeight="false" outlineLevel="0" collapsed="false">
      <c r="Q362" s="0" t="str">
        <f aca="false">H169</f>
        <v>sabao em barra (5un)</v>
      </c>
    </row>
    <row r="363" customFormat="false" ht="15" hidden="false" customHeight="false" outlineLevel="0" collapsed="false">
      <c r="Q363" s="0" t="str">
        <f aca="false">H170</f>
        <v>Sabão em Pó (1kg)</v>
      </c>
    </row>
    <row r="364" customFormat="false" ht="15" hidden="false" customHeight="false" outlineLevel="0" collapsed="false">
      <c r="Q364" s="0" t="str">
        <f aca="false">H171</f>
        <v>Sabão em pó (2,8kg)</v>
      </c>
    </row>
    <row r="365" customFormat="false" ht="15" hidden="false" customHeight="false" outlineLevel="0" collapsed="false">
      <c r="Q365" s="0" t="str">
        <f aca="false">H172</f>
        <v>Sabão em Pó (2kg)</v>
      </c>
    </row>
    <row r="366" customFormat="false" ht="15" hidden="false" customHeight="false" outlineLevel="0" collapsed="false">
      <c r="Q366" s="0" t="str">
        <f aca="false">H173</f>
        <v>Sabão em Pó (3kg)</v>
      </c>
    </row>
    <row r="367" customFormat="false" ht="15" hidden="false" customHeight="false" outlineLevel="0" collapsed="false">
      <c r="Q367" s="0" t="str">
        <f aca="false">H174</f>
        <v>Sabão Líquido (1L)</v>
      </c>
    </row>
  </sheetData>
  <mergeCells count="5">
    <mergeCell ref="A3:B3"/>
    <mergeCell ref="D3:E3"/>
    <mergeCell ref="H3:I3"/>
    <mergeCell ref="A6:B6"/>
    <mergeCell ref="A9:B9"/>
  </mergeCells>
  <hyperlinks>
    <hyperlink ref="D1" location="topocategorias" display="Topo"/>
    <hyperlink ref="A3" location="topocategorias" display="Categorias"/>
    <hyperlink ref="A6" location="topo_cb" display="CadastroCB"/>
    <hyperlink ref="A9" location="'Resumo total'!A1" display="Resumo"/>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tableParts>
    <tablePart r:id="rId2"/>
    <tablePart r:id="rId3"/>
    <tablePart r:id="rId4"/>
  </tableParts>
</worksheet>
</file>

<file path=xl/worksheets/sheet6.xml><?xml version="1.0" encoding="utf-8"?>
<worksheet xmlns="http://schemas.openxmlformats.org/spreadsheetml/2006/main" xmlns:r="http://schemas.openxmlformats.org/officeDocument/2006/relationships">
  <sheetPr filterMode="false">
    <tabColor rgb="FF002060"/>
    <pageSetUpPr fitToPage="false"/>
  </sheetPr>
  <dimension ref="A1:F943"/>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2" ySplit="2" topLeftCell="C3" activePane="bottomRight" state="frozen"/>
      <selection pane="topLeft" activeCell="A1" activeCellId="0" sqref="A1"/>
      <selection pane="topRight" activeCell="C1" activeCellId="0" sqref="C1"/>
      <selection pane="bottomLeft" activeCell="A3" activeCellId="0" sqref="A3"/>
      <selection pane="bottomRight" activeCell="D5" activeCellId="0" sqref="D5"/>
    </sheetView>
  </sheetViews>
  <sheetFormatPr defaultRowHeight="15" zeroHeight="false" outlineLevelRow="0" outlineLevelCol="0"/>
  <cols>
    <col collapsed="false" customWidth="true" hidden="false" outlineLevel="0" max="1" min="1" style="0" width="30.42"/>
    <col collapsed="false" customWidth="true" hidden="false" outlineLevel="0" max="2" min="2" style="0" width="2.57"/>
    <col collapsed="false" customWidth="true" hidden="false" outlineLevel="0" max="3" min="3" style="0" width="2.28"/>
    <col collapsed="false" customWidth="true" hidden="false" outlineLevel="0" max="4" min="4" style="0" width="18.3"/>
    <col collapsed="false" customWidth="true" hidden="false" outlineLevel="0" max="5" min="5" style="0" width="48.62"/>
    <col collapsed="false" customWidth="true" hidden="false" outlineLevel="0" max="6" min="6" style="0" width="23.43"/>
    <col collapsed="false" customWidth="true" hidden="false" outlineLevel="0" max="1025" min="7" style="0" width="8.53"/>
  </cols>
  <sheetData>
    <row r="1" customFormat="false" ht="21" hidden="false" customHeight="true" outlineLevel="0" collapsed="false">
      <c r="D1" s="1" t="s">
        <v>0</v>
      </c>
    </row>
    <row r="3" customFormat="false" ht="15" hidden="false" customHeight="false" outlineLevel="0" collapsed="false">
      <c r="A3" s="50" t="s">
        <v>1</v>
      </c>
      <c r="B3" s="50"/>
    </row>
    <row r="4" customFormat="false" ht="15" hidden="false" customHeight="false" outlineLevel="0" collapsed="false">
      <c r="A4" s="1"/>
      <c r="B4" s="1"/>
      <c r="D4" s="73" t="s">
        <v>11</v>
      </c>
      <c r="E4" s="6" t="s">
        <v>4</v>
      </c>
      <c r="F4" s="6" t="s">
        <v>626</v>
      </c>
    </row>
    <row r="5" customFormat="false" ht="15" hidden="false" customHeight="false" outlineLevel="0" collapsed="false">
      <c r="A5" s="1"/>
      <c r="B5" s="1"/>
      <c r="D5" s="73" t="s">
        <v>627</v>
      </c>
      <c r="E5" s="0" t="s">
        <v>47</v>
      </c>
      <c r="F5" s="0" t="s">
        <v>628</v>
      </c>
    </row>
    <row r="6" customFormat="false" ht="15" hidden="false" customHeight="false" outlineLevel="0" collapsed="false">
      <c r="A6" s="50" t="s">
        <v>8</v>
      </c>
      <c r="B6" s="50"/>
      <c r="D6" s="73" t="s">
        <v>629</v>
      </c>
      <c r="E6" s="0" t="s">
        <v>47</v>
      </c>
      <c r="F6" s="0" t="s">
        <v>628</v>
      </c>
    </row>
    <row r="7" customFormat="false" ht="15" hidden="false" customHeight="false" outlineLevel="0" collapsed="false">
      <c r="A7" s="18"/>
      <c r="B7" s="18"/>
      <c r="D7" s="73" t="s">
        <v>630</v>
      </c>
      <c r="E7" s="0" t="s">
        <v>47</v>
      </c>
      <c r="F7" s="0" t="s">
        <v>473</v>
      </c>
    </row>
    <row r="8" customFormat="false" ht="15" hidden="false" customHeight="false" outlineLevel="0" collapsed="false">
      <c r="D8" s="74" t="s">
        <v>631</v>
      </c>
      <c r="E8" s="75" t="s">
        <v>47</v>
      </c>
      <c r="F8" s="75" t="s">
        <v>632</v>
      </c>
    </row>
    <row r="9" customFormat="false" ht="15" hidden="false" customHeight="false" outlineLevel="0" collapsed="false">
      <c r="A9" s="50" t="s">
        <v>10</v>
      </c>
      <c r="B9" s="50"/>
      <c r="D9" s="74" t="s">
        <v>633</v>
      </c>
      <c r="E9" s="75" t="s">
        <v>47</v>
      </c>
      <c r="F9" s="75" t="s">
        <v>634</v>
      </c>
    </row>
    <row r="10" customFormat="false" ht="15" hidden="false" customHeight="false" outlineLevel="0" collapsed="false">
      <c r="D10" s="74" t="s">
        <v>635</v>
      </c>
      <c r="E10" s="75" t="s">
        <v>47</v>
      </c>
      <c r="F10" s="75" t="s">
        <v>473</v>
      </c>
    </row>
    <row r="11" customFormat="false" ht="15" hidden="false" customHeight="false" outlineLevel="0" collapsed="false">
      <c r="D11" s="74" t="s">
        <v>636</v>
      </c>
      <c r="E11" s="75" t="s">
        <v>47</v>
      </c>
      <c r="F11" s="75" t="s">
        <v>473</v>
      </c>
    </row>
    <row r="12" customFormat="false" ht="15" hidden="false" customHeight="false" outlineLevel="0" collapsed="false">
      <c r="D12" s="74" t="s">
        <v>637</v>
      </c>
      <c r="E12" s="75" t="s">
        <v>179</v>
      </c>
      <c r="F12" s="75" t="s">
        <v>473</v>
      </c>
    </row>
    <row r="13" customFormat="false" ht="15" hidden="false" customHeight="false" outlineLevel="0" collapsed="false">
      <c r="D13" s="74" t="s">
        <v>638</v>
      </c>
      <c r="E13" s="75" t="s">
        <v>209</v>
      </c>
      <c r="F13" s="75" t="s">
        <v>634</v>
      </c>
    </row>
    <row r="14" customFormat="false" ht="15" hidden="false" customHeight="false" outlineLevel="0" collapsed="false">
      <c r="D14" s="74" t="s">
        <v>639</v>
      </c>
      <c r="E14" s="75" t="s">
        <v>209</v>
      </c>
      <c r="F14" s="75" t="s">
        <v>473</v>
      </c>
    </row>
    <row r="15" customFormat="false" ht="15" hidden="false" customHeight="false" outlineLevel="0" collapsed="false">
      <c r="D15" s="73" t="s">
        <v>640</v>
      </c>
      <c r="E15" s="0" t="s">
        <v>181</v>
      </c>
      <c r="F15" s="0" t="s">
        <v>641</v>
      </c>
    </row>
    <row r="16" customFormat="false" ht="15" hidden="false" customHeight="false" outlineLevel="0" collapsed="false">
      <c r="D16" s="74" t="s">
        <v>642</v>
      </c>
      <c r="E16" s="75" t="s">
        <v>181</v>
      </c>
      <c r="F16" s="75" t="s">
        <v>473</v>
      </c>
    </row>
    <row r="17" customFormat="false" ht="15" hidden="false" customHeight="false" outlineLevel="0" collapsed="false">
      <c r="D17" s="74" t="s">
        <v>643</v>
      </c>
      <c r="E17" s="75" t="s">
        <v>70</v>
      </c>
      <c r="F17" s="75" t="s">
        <v>644</v>
      </c>
    </row>
    <row r="18" customFormat="false" ht="15" hidden="false" customHeight="false" outlineLevel="0" collapsed="false">
      <c r="D18" s="73" t="s">
        <v>645</v>
      </c>
      <c r="E18" s="0" t="s">
        <v>381</v>
      </c>
      <c r="F18" s="0" t="s">
        <v>473</v>
      </c>
    </row>
    <row r="19" customFormat="false" ht="15" hidden="false" customHeight="false" outlineLevel="0" collapsed="false">
      <c r="D19" s="73" t="s">
        <v>646</v>
      </c>
      <c r="E19" s="0" t="s">
        <v>76</v>
      </c>
      <c r="F19" s="0" t="s">
        <v>647</v>
      </c>
    </row>
    <row r="20" customFormat="false" ht="15" hidden="false" customHeight="false" outlineLevel="0" collapsed="false">
      <c r="D20" s="73" t="s">
        <v>648</v>
      </c>
      <c r="E20" s="0" t="s">
        <v>76</v>
      </c>
      <c r="F20" s="0" t="s">
        <v>649</v>
      </c>
    </row>
    <row r="21" customFormat="false" ht="15" hidden="false" customHeight="false" outlineLevel="0" collapsed="false">
      <c r="D21" s="73" t="s">
        <v>650</v>
      </c>
      <c r="E21" s="0" t="s">
        <v>76</v>
      </c>
      <c r="F21" s="0" t="s">
        <v>651</v>
      </c>
    </row>
    <row r="22" customFormat="false" ht="15" hidden="false" customHeight="false" outlineLevel="0" collapsed="false">
      <c r="D22" s="74" t="s">
        <v>652</v>
      </c>
      <c r="E22" s="75" t="s">
        <v>76</v>
      </c>
      <c r="F22" s="75" t="s">
        <v>653</v>
      </c>
    </row>
    <row r="23" customFormat="false" ht="15" hidden="false" customHeight="false" outlineLevel="0" collapsed="false">
      <c r="D23" s="74" t="s">
        <v>654</v>
      </c>
      <c r="E23" s="75" t="s">
        <v>76</v>
      </c>
      <c r="F23" s="75" t="s">
        <v>651</v>
      </c>
    </row>
    <row r="24" customFormat="false" ht="15" hidden="false" customHeight="false" outlineLevel="0" collapsed="false">
      <c r="D24" s="74" t="s">
        <v>655</v>
      </c>
      <c r="E24" s="75" t="s">
        <v>76</v>
      </c>
      <c r="F24" s="75" t="s">
        <v>473</v>
      </c>
    </row>
    <row r="25" customFormat="false" ht="15" hidden="false" customHeight="false" outlineLevel="0" collapsed="false">
      <c r="D25" s="74" t="s">
        <v>656</v>
      </c>
      <c r="E25" s="75" t="s">
        <v>76</v>
      </c>
      <c r="F25" s="75" t="s">
        <v>473</v>
      </c>
    </row>
    <row r="26" customFormat="false" ht="15" hidden="false" customHeight="false" outlineLevel="0" collapsed="false">
      <c r="D26" s="74" t="s">
        <v>657</v>
      </c>
      <c r="E26" s="75" t="s">
        <v>104</v>
      </c>
      <c r="F26" s="75" t="s">
        <v>658</v>
      </c>
    </row>
    <row r="27" customFormat="false" ht="15" hidden="false" customHeight="false" outlineLevel="0" collapsed="false">
      <c r="D27" s="74" t="s">
        <v>659</v>
      </c>
      <c r="E27" s="75" t="s">
        <v>104</v>
      </c>
      <c r="F27" s="75" t="s">
        <v>634</v>
      </c>
    </row>
    <row r="28" customFormat="false" ht="15" hidden="false" customHeight="false" outlineLevel="0" collapsed="false">
      <c r="D28" s="74" t="s">
        <v>660</v>
      </c>
      <c r="E28" s="75" t="s">
        <v>104</v>
      </c>
      <c r="F28" s="75" t="s">
        <v>473</v>
      </c>
    </row>
    <row r="29" customFormat="false" ht="15" hidden="false" customHeight="false" outlineLevel="0" collapsed="false">
      <c r="D29" s="73" t="s">
        <v>661</v>
      </c>
      <c r="E29" s="0" t="s">
        <v>64</v>
      </c>
      <c r="F29" s="0" t="s">
        <v>473</v>
      </c>
    </row>
    <row r="30" customFormat="false" ht="15" hidden="false" customHeight="false" outlineLevel="0" collapsed="false">
      <c r="D30" s="74" t="s">
        <v>662</v>
      </c>
      <c r="E30" s="75" t="s">
        <v>64</v>
      </c>
      <c r="F30" s="75" t="s">
        <v>653</v>
      </c>
    </row>
    <row r="31" customFormat="false" ht="15" hidden="false" customHeight="false" outlineLevel="0" collapsed="false">
      <c r="D31" s="74" t="s">
        <v>663</v>
      </c>
      <c r="E31" s="75" t="s">
        <v>64</v>
      </c>
      <c r="F31" s="75" t="s">
        <v>473</v>
      </c>
    </row>
    <row r="32" customFormat="false" ht="15" hidden="false" customHeight="false" outlineLevel="0" collapsed="false">
      <c r="D32" s="73" t="s">
        <v>664</v>
      </c>
      <c r="E32" s="0" t="s">
        <v>15</v>
      </c>
      <c r="F32" s="0" t="s">
        <v>665</v>
      </c>
    </row>
    <row r="33" customFormat="false" ht="15" hidden="false" customHeight="false" outlineLevel="0" collapsed="false">
      <c r="D33" s="73" t="s">
        <v>666</v>
      </c>
      <c r="E33" s="0" t="s">
        <v>15</v>
      </c>
      <c r="F33" s="0" t="s">
        <v>667</v>
      </c>
    </row>
    <row r="34" customFormat="false" ht="15" hidden="false" customHeight="false" outlineLevel="0" collapsed="false">
      <c r="D34" s="73" t="s">
        <v>668</v>
      </c>
      <c r="E34" s="0" t="s">
        <v>15</v>
      </c>
      <c r="F34" s="0" t="s">
        <v>669</v>
      </c>
    </row>
    <row r="35" customFormat="false" ht="15" hidden="false" customHeight="false" outlineLevel="0" collapsed="false">
      <c r="D35" s="73" t="s">
        <v>670</v>
      </c>
      <c r="E35" s="0" t="s">
        <v>15</v>
      </c>
      <c r="F35" s="0" t="s">
        <v>671</v>
      </c>
    </row>
    <row r="36" customFormat="false" ht="15" hidden="false" customHeight="false" outlineLevel="0" collapsed="false">
      <c r="D36" s="73" t="s">
        <v>672</v>
      </c>
      <c r="E36" s="0" t="s">
        <v>15</v>
      </c>
      <c r="F36" s="0" t="s">
        <v>673</v>
      </c>
    </row>
    <row r="37" customFormat="false" ht="15" hidden="false" customHeight="false" outlineLevel="0" collapsed="false">
      <c r="D37" s="73" t="s">
        <v>674</v>
      </c>
      <c r="E37" s="0" t="s">
        <v>15</v>
      </c>
      <c r="F37" s="0" t="s">
        <v>675</v>
      </c>
    </row>
    <row r="38" customFormat="false" ht="15" hidden="false" customHeight="false" outlineLevel="0" collapsed="false">
      <c r="D38" s="74" t="s">
        <v>676</v>
      </c>
      <c r="E38" s="75" t="s">
        <v>15</v>
      </c>
      <c r="F38" s="75" t="s">
        <v>473</v>
      </c>
    </row>
    <row r="39" customFormat="false" ht="15" hidden="false" customHeight="false" outlineLevel="0" collapsed="false">
      <c r="D39" s="73" t="s">
        <v>677</v>
      </c>
      <c r="E39" s="0" t="s">
        <v>33</v>
      </c>
      <c r="F39" s="0" t="s">
        <v>675</v>
      </c>
    </row>
    <row r="40" customFormat="false" ht="15" hidden="false" customHeight="false" outlineLevel="0" collapsed="false">
      <c r="D40" s="73" t="s">
        <v>678</v>
      </c>
      <c r="E40" s="0" t="s">
        <v>33</v>
      </c>
      <c r="F40" s="0" t="s">
        <v>473</v>
      </c>
    </row>
    <row r="41" customFormat="false" ht="15" hidden="false" customHeight="false" outlineLevel="0" collapsed="false">
      <c r="D41" s="73" t="s">
        <v>679</v>
      </c>
      <c r="E41" s="0" t="s">
        <v>74</v>
      </c>
      <c r="F41" s="0" t="s">
        <v>675</v>
      </c>
    </row>
    <row r="42" customFormat="false" ht="15" hidden="false" customHeight="false" outlineLevel="0" collapsed="false">
      <c r="D42" s="73" t="s">
        <v>680</v>
      </c>
      <c r="E42" s="0" t="s">
        <v>74</v>
      </c>
      <c r="F42" s="0" t="s">
        <v>673</v>
      </c>
    </row>
    <row r="43" customFormat="false" ht="15" hidden="false" customHeight="false" outlineLevel="0" collapsed="false">
      <c r="D43" s="73" t="s">
        <v>681</v>
      </c>
      <c r="E43" s="0" t="s">
        <v>74</v>
      </c>
      <c r="F43" s="0" t="s">
        <v>682</v>
      </c>
    </row>
    <row r="44" customFormat="false" ht="15" hidden="false" customHeight="false" outlineLevel="0" collapsed="false">
      <c r="D44" s="73" t="s">
        <v>683</v>
      </c>
      <c r="E44" s="0" t="s">
        <v>170</v>
      </c>
      <c r="F44" s="0" t="s">
        <v>684</v>
      </c>
    </row>
    <row r="45" customFormat="false" ht="15" hidden="false" customHeight="false" outlineLevel="0" collapsed="false">
      <c r="D45" s="73" t="s">
        <v>685</v>
      </c>
      <c r="E45" s="0" t="s">
        <v>170</v>
      </c>
      <c r="F45" s="0" t="s">
        <v>473</v>
      </c>
    </row>
    <row r="46" customFormat="false" ht="15" hidden="false" customHeight="false" outlineLevel="0" collapsed="false">
      <c r="D46" s="73" t="s">
        <v>686</v>
      </c>
      <c r="E46" s="0" t="s">
        <v>23</v>
      </c>
      <c r="F46" s="0" t="s">
        <v>684</v>
      </c>
    </row>
    <row r="47" customFormat="false" ht="15" hidden="false" customHeight="false" outlineLevel="0" collapsed="false">
      <c r="D47" s="73" t="s">
        <v>687</v>
      </c>
      <c r="E47" s="0" t="s">
        <v>23</v>
      </c>
      <c r="F47" s="0" t="s">
        <v>688</v>
      </c>
    </row>
    <row r="48" customFormat="false" ht="15" hidden="false" customHeight="false" outlineLevel="0" collapsed="false">
      <c r="D48" s="73" t="s">
        <v>689</v>
      </c>
      <c r="E48" s="0" t="s">
        <v>23</v>
      </c>
      <c r="F48" s="0" t="s">
        <v>690</v>
      </c>
    </row>
    <row r="49" customFormat="false" ht="15" hidden="false" customHeight="false" outlineLevel="0" collapsed="false">
      <c r="D49" s="73" t="s">
        <v>691</v>
      </c>
      <c r="E49" s="0" t="s">
        <v>23</v>
      </c>
      <c r="F49" s="0" t="s">
        <v>692</v>
      </c>
    </row>
    <row r="50" customFormat="false" ht="15" hidden="false" customHeight="false" outlineLevel="0" collapsed="false">
      <c r="D50" s="73" t="s">
        <v>693</v>
      </c>
      <c r="E50" s="0" t="s">
        <v>23</v>
      </c>
      <c r="F50" s="0" t="s">
        <v>694</v>
      </c>
    </row>
    <row r="51" customFormat="false" ht="15" hidden="false" customHeight="false" outlineLevel="0" collapsed="false">
      <c r="D51" s="73" t="s">
        <v>695</v>
      </c>
      <c r="E51" s="0" t="s">
        <v>23</v>
      </c>
      <c r="F51" s="0" t="s">
        <v>473</v>
      </c>
    </row>
    <row r="52" customFormat="false" ht="15" hidden="false" customHeight="false" outlineLevel="0" collapsed="false">
      <c r="D52" s="73" t="s">
        <v>696</v>
      </c>
      <c r="E52" s="0" t="s">
        <v>23</v>
      </c>
      <c r="F52" s="0" t="s">
        <v>473</v>
      </c>
    </row>
    <row r="53" customFormat="false" ht="15" hidden="false" customHeight="false" outlineLevel="0" collapsed="false">
      <c r="D53" s="73" t="s">
        <v>697</v>
      </c>
      <c r="E53" s="0" t="s">
        <v>23</v>
      </c>
      <c r="F53" s="0" t="s">
        <v>473</v>
      </c>
    </row>
    <row r="54" customFormat="false" ht="15" hidden="false" customHeight="false" outlineLevel="0" collapsed="false">
      <c r="D54" s="74" t="s">
        <v>698</v>
      </c>
      <c r="E54" s="75" t="s">
        <v>23</v>
      </c>
      <c r="F54" s="75" t="s">
        <v>473</v>
      </c>
    </row>
    <row r="55" customFormat="false" ht="15" hidden="false" customHeight="false" outlineLevel="0" collapsed="false">
      <c r="D55" s="73" t="s">
        <v>699</v>
      </c>
      <c r="E55" s="0" t="s">
        <v>66</v>
      </c>
      <c r="F55" s="0" t="s">
        <v>473</v>
      </c>
    </row>
    <row r="56" customFormat="false" ht="15" hidden="false" customHeight="false" outlineLevel="0" collapsed="false">
      <c r="D56" s="73" t="s">
        <v>700</v>
      </c>
      <c r="E56" s="0" t="s">
        <v>66</v>
      </c>
      <c r="F56" s="0" t="s">
        <v>701</v>
      </c>
    </row>
    <row r="57" customFormat="false" ht="15" hidden="false" customHeight="false" outlineLevel="0" collapsed="false">
      <c r="D57" s="73" t="s">
        <v>702</v>
      </c>
      <c r="E57" s="0" t="s">
        <v>66</v>
      </c>
      <c r="F57" s="0" t="s">
        <v>703</v>
      </c>
    </row>
    <row r="58" customFormat="false" ht="15" hidden="false" customHeight="false" outlineLevel="0" collapsed="false">
      <c r="D58" s="74" t="s">
        <v>704</v>
      </c>
      <c r="E58" s="75" t="s">
        <v>66</v>
      </c>
      <c r="F58" s="75" t="s">
        <v>473</v>
      </c>
    </row>
    <row r="59" customFormat="false" ht="15" hidden="false" customHeight="false" outlineLevel="0" collapsed="false">
      <c r="D59" s="73" t="s">
        <v>705</v>
      </c>
      <c r="E59" s="0" t="s">
        <v>706</v>
      </c>
      <c r="F59" s="0" t="s">
        <v>707</v>
      </c>
    </row>
    <row r="60" customFormat="false" ht="15" hidden="false" customHeight="false" outlineLevel="0" collapsed="false">
      <c r="D60" s="74" t="s">
        <v>708</v>
      </c>
      <c r="E60" s="75" t="s">
        <v>706</v>
      </c>
      <c r="F60" s="75" t="s">
        <v>707</v>
      </c>
    </row>
    <row r="61" customFormat="false" ht="15" hidden="false" customHeight="false" outlineLevel="0" collapsed="false">
      <c r="D61" s="73" t="s">
        <v>709</v>
      </c>
      <c r="E61" s="0" t="s">
        <v>93</v>
      </c>
      <c r="F61" s="0" t="s">
        <v>710</v>
      </c>
    </row>
    <row r="62" customFormat="false" ht="15" hidden="false" customHeight="false" outlineLevel="0" collapsed="false">
      <c r="D62" s="73" t="s">
        <v>711</v>
      </c>
      <c r="E62" s="0" t="s">
        <v>93</v>
      </c>
      <c r="F62" s="0" t="s">
        <v>712</v>
      </c>
    </row>
    <row r="63" customFormat="false" ht="15" hidden="false" customHeight="false" outlineLevel="0" collapsed="false">
      <c r="D63" s="73" t="s">
        <v>713</v>
      </c>
      <c r="E63" s="0" t="s">
        <v>93</v>
      </c>
      <c r="F63" s="0" t="s">
        <v>712</v>
      </c>
    </row>
    <row r="64" customFormat="false" ht="15" hidden="false" customHeight="false" outlineLevel="0" collapsed="false">
      <c r="D64" s="74" t="s">
        <v>714</v>
      </c>
      <c r="E64" s="75" t="s">
        <v>93</v>
      </c>
      <c r="F64" s="75" t="s">
        <v>634</v>
      </c>
    </row>
    <row r="65" customFormat="false" ht="15" hidden="false" customHeight="false" outlineLevel="0" collapsed="false">
      <c r="D65" s="73" t="s">
        <v>715</v>
      </c>
      <c r="E65" s="0" t="s">
        <v>199</v>
      </c>
      <c r="F65" s="0" t="s">
        <v>712</v>
      </c>
    </row>
    <row r="66" customFormat="false" ht="15" hidden="false" customHeight="false" outlineLevel="0" collapsed="false">
      <c r="D66" s="74" t="s">
        <v>716</v>
      </c>
      <c r="E66" s="75" t="s">
        <v>199</v>
      </c>
      <c r="F66" s="75" t="s">
        <v>473</v>
      </c>
    </row>
    <row r="67" customFormat="false" ht="15" hidden="false" customHeight="false" outlineLevel="0" collapsed="false">
      <c r="D67" s="74" t="s">
        <v>717</v>
      </c>
      <c r="E67" s="75" t="s">
        <v>199</v>
      </c>
      <c r="F67" s="75" t="s">
        <v>473</v>
      </c>
    </row>
    <row r="68" customFormat="false" ht="15" hidden="false" customHeight="false" outlineLevel="0" collapsed="false">
      <c r="D68" s="74" t="s">
        <v>718</v>
      </c>
      <c r="E68" s="75" t="s">
        <v>24</v>
      </c>
      <c r="F68" s="75" t="s">
        <v>473</v>
      </c>
    </row>
    <row r="69" customFormat="false" ht="15" hidden="false" customHeight="false" outlineLevel="0" collapsed="false">
      <c r="D69" s="73" t="s">
        <v>719</v>
      </c>
      <c r="E69" s="0" t="s">
        <v>36</v>
      </c>
      <c r="F69" s="0" t="s">
        <v>720</v>
      </c>
    </row>
    <row r="70" customFormat="false" ht="15" hidden="false" customHeight="false" outlineLevel="0" collapsed="false">
      <c r="D70" s="73" t="s">
        <v>721</v>
      </c>
      <c r="E70" s="0" t="s">
        <v>36</v>
      </c>
      <c r="F70" s="0" t="s">
        <v>722</v>
      </c>
    </row>
    <row r="71" customFormat="false" ht="15" hidden="false" customHeight="false" outlineLevel="0" collapsed="false">
      <c r="D71" s="73" t="s">
        <v>723</v>
      </c>
      <c r="E71" s="0" t="s">
        <v>36</v>
      </c>
      <c r="F71" s="0" t="s">
        <v>724</v>
      </c>
    </row>
    <row r="72" customFormat="false" ht="15" hidden="false" customHeight="false" outlineLevel="0" collapsed="false">
      <c r="D72" s="73" t="s">
        <v>725</v>
      </c>
      <c r="E72" s="0" t="s">
        <v>36</v>
      </c>
      <c r="F72" s="0" t="s">
        <v>726</v>
      </c>
    </row>
    <row r="73" customFormat="false" ht="15" hidden="false" customHeight="false" outlineLevel="0" collapsed="false">
      <c r="D73" s="73" t="s">
        <v>727</v>
      </c>
      <c r="E73" s="0" t="s">
        <v>36</v>
      </c>
      <c r="F73" s="0" t="s">
        <v>728</v>
      </c>
    </row>
    <row r="74" customFormat="false" ht="15" hidden="false" customHeight="false" outlineLevel="0" collapsed="false">
      <c r="D74" s="73" t="s">
        <v>729</v>
      </c>
      <c r="E74" s="0" t="s">
        <v>36</v>
      </c>
      <c r="F74" s="0" t="s">
        <v>730</v>
      </c>
    </row>
    <row r="75" customFormat="false" ht="15" hidden="false" customHeight="false" outlineLevel="0" collapsed="false">
      <c r="D75" s="73" t="s">
        <v>731</v>
      </c>
      <c r="E75" s="0" t="s">
        <v>36</v>
      </c>
      <c r="F75" s="0" t="s">
        <v>473</v>
      </c>
    </row>
    <row r="76" customFormat="false" ht="15" hidden="false" customHeight="false" outlineLevel="0" collapsed="false">
      <c r="D76" s="73" t="s">
        <v>732</v>
      </c>
      <c r="E76" s="0" t="s">
        <v>36</v>
      </c>
      <c r="F76" s="0" t="s">
        <v>473</v>
      </c>
    </row>
    <row r="77" customFormat="false" ht="15" hidden="false" customHeight="false" outlineLevel="0" collapsed="false">
      <c r="D77" s="73" t="s">
        <v>733</v>
      </c>
      <c r="E77" s="0" t="s">
        <v>36</v>
      </c>
      <c r="F77" s="0" t="s">
        <v>734</v>
      </c>
    </row>
    <row r="78" customFormat="false" ht="15" hidden="false" customHeight="false" outlineLevel="0" collapsed="false">
      <c r="D78" s="74" t="s">
        <v>735</v>
      </c>
      <c r="E78" s="75" t="s">
        <v>36</v>
      </c>
      <c r="F78" s="75" t="s">
        <v>473</v>
      </c>
    </row>
    <row r="79" customFormat="false" ht="15" hidden="false" customHeight="false" outlineLevel="0" collapsed="false">
      <c r="D79" s="74" t="s">
        <v>736</v>
      </c>
      <c r="E79" s="75" t="s">
        <v>36</v>
      </c>
      <c r="F79" s="75" t="s">
        <v>473</v>
      </c>
    </row>
    <row r="80" customFormat="false" ht="15" hidden="false" customHeight="false" outlineLevel="0" collapsed="false">
      <c r="D80" s="74" t="s">
        <v>737</v>
      </c>
      <c r="E80" s="75" t="s">
        <v>36</v>
      </c>
      <c r="F80" s="75" t="s">
        <v>473</v>
      </c>
    </row>
    <row r="81" customFormat="false" ht="15" hidden="false" customHeight="false" outlineLevel="0" collapsed="false">
      <c r="D81" s="73" t="s">
        <v>738</v>
      </c>
      <c r="E81" s="0" t="s">
        <v>72</v>
      </c>
      <c r="F81" s="0" t="s">
        <v>739</v>
      </c>
    </row>
    <row r="82" customFormat="false" ht="15" hidden="false" customHeight="false" outlineLevel="0" collapsed="false">
      <c r="D82" s="73" t="s">
        <v>740</v>
      </c>
      <c r="E82" s="0" t="s">
        <v>72</v>
      </c>
      <c r="F82" s="0" t="s">
        <v>741</v>
      </c>
    </row>
    <row r="83" customFormat="false" ht="15" hidden="false" customHeight="false" outlineLevel="0" collapsed="false">
      <c r="D83" s="73" t="s">
        <v>742</v>
      </c>
      <c r="E83" s="0" t="s">
        <v>72</v>
      </c>
      <c r="F83" s="0" t="s">
        <v>743</v>
      </c>
    </row>
    <row r="84" customFormat="false" ht="15" hidden="false" customHeight="false" outlineLevel="0" collapsed="false">
      <c r="D84" s="73" t="s">
        <v>744</v>
      </c>
      <c r="E84" s="0" t="s">
        <v>72</v>
      </c>
      <c r="F84" s="0" t="s">
        <v>745</v>
      </c>
    </row>
    <row r="85" customFormat="false" ht="15" hidden="false" customHeight="false" outlineLevel="0" collapsed="false">
      <c r="D85" s="73" t="s">
        <v>746</v>
      </c>
      <c r="E85" s="0" t="s">
        <v>72</v>
      </c>
      <c r="F85" s="0" t="s">
        <v>473</v>
      </c>
    </row>
    <row r="86" customFormat="false" ht="15" hidden="false" customHeight="false" outlineLevel="0" collapsed="false">
      <c r="D86" s="73" t="s">
        <v>747</v>
      </c>
      <c r="E86" s="0" t="s">
        <v>72</v>
      </c>
      <c r="F86" s="0" t="s">
        <v>473</v>
      </c>
    </row>
    <row r="87" customFormat="false" ht="15" hidden="false" customHeight="false" outlineLevel="0" collapsed="false">
      <c r="D87" s="73" t="s">
        <v>748</v>
      </c>
      <c r="E87" s="0" t="s">
        <v>72</v>
      </c>
      <c r="F87" s="0" t="s">
        <v>749</v>
      </c>
    </row>
    <row r="88" customFormat="false" ht="15" hidden="false" customHeight="false" outlineLevel="0" collapsed="false">
      <c r="D88" s="74" t="s">
        <v>750</v>
      </c>
      <c r="E88" s="75" t="s">
        <v>72</v>
      </c>
      <c r="F88" s="75" t="s">
        <v>473</v>
      </c>
    </row>
    <row r="89" customFormat="false" ht="15" hidden="false" customHeight="false" outlineLevel="0" collapsed="false">
      <c r="D89" s="73" t="s">
        <v>751</v>
      </c>
      <c r="E89" s="0" t="s">
        <v>37</v>
      </c>
      <c r="F89" s="0" t="s">
        <v>752</v>
      </c>
    </row>
    <row r="90" customFormat="false" ht="15" hidden="false" customHeight="false" outlineLevel="0" collapsed="false">
      <c r="D90" s="73" t="s">
        <v>753</v>
      </c>
      <c r="E90" s="0" t="s">
        <v>37</v>
      </c>
      <c r="F90" s="0" t="s">
        <v>722</v>
      </c>
    </row>
    <row r="91" customFormat="false" ht="15" hidden="false" customHeight="false" outlineLevel="0" collapsed="false">
      <c r="D91" s="73" t="s">
        <v>754</v>
      </c>
      <c r="E91" s="0" t="s">
        <v>37</v>
      </c>
      <c r="F91" s="0" t="s">
        <v>741</v>
      </c>
    </row>
    <row r="92" customFormat="false" ht="15" hidden="false" customHeight="false" outlineLevel="0" collapsed="false">
      <c r="D92" s="73" t="s">
        <v>755</v>
      </c>
      <c r="E92" s="0" t="s">
        <v>37</v>
      </c>
      <c r="F92" s="0" t="s">
        <v>756</v>
      </c>
    </row>
    <row r="93" customFormat="false" ht="15" hidden="false" customHeight="false" outlineLevel="0" collapsed="false">
      <c r="D93" s="73" t="s">
        <v>757</v>
      </c>
      <c r="E93" s="0" t="s">
        <v>37</v>
      </c>
      <c r="F93" s="0" t="s">
        <v>758</v>
      </c>
    </row>
    <row r="94" customFormat="false" ht="15" hidden="false" customHeight="false" outlineLevel="0" collapsed="false">
      <c r="D94" s="73" t="s">
        <v>759</v>
      </c>
      <c r="E94" s="0" t="s">
        <v>37</v>
      </c>
      <c r="F94" s="0" t="s">
        <v>760</v>
      </c>
    </row>
    <row r="95" customFormat="false" ht="15" hidden="false" customHeight="false" outlineLevel="0" collapsed="false">
      <c r="D95" s="73" t="s">
        <v>761</v>
      </c>
      <c r="E95" s="0" t="s">
        <v>37</v>
      </c>
      <c r="F95" s="0" t="s">
        <v>762</v>
      </c>
    </row>
    <row r="96" customFormat="false" ht="15" hidden="false" customHeight="false" outlineLevel="0" collapsed="false">
      <c r="D96" s="73" t="s">
        <v>763</v>
      </c>
      <c r="E96" s="0" t="s">
        <v>37</v>
      </c>
      <c r="F96" s="0" t="s">
        <v>764</v>
      </c>
    </row>
    <row r="97" customFormat="false" ht="15" hidden="false" customHeight="false" outlineLevel="0" collapsed="false">
      <c r="D97" s="73" t="s">
        <v>765</v>
      </c>
      <c r="E97" s="0" t="s">
        <v>37</v>
      </c>
      <c r="F97" s="0" t="s">
        <v>766</v>
      </c>
    </row>
    <row r="98" customFormat="false" ht="15" hidden="false" customHeight="false" outlineLevel="0" collapsed="false">
      <c r="D98" s="73" t="s">
        <v>767</v>
      </c>
      <c r="E98" s="0" t="s">
        <v>37</v>
      </c>
      <c r="F98" s="0" t="s">
        <v>741</v>
      </c>
    </row>
    <row r="99" customFormat="false" ht="15" hidden="false" customHeight="false" outlineLevel="0" collapsed="false">
      <c r="D99" s="73" t="s">
        <v>768</v>
      </c>
      <c r="E99" s="0" t="s">
        <v>37</v>
      </c>
      <c r="F99" s="0" t="s">
        <v>769</v>
      </c>
    </row>
    <row r="100" customFormat="false" ht="15" hidden="false" customHeight="false" outlineLevel="0" collapsed="false">
      <c r="D100" s="73" t="s">
        <v>770</v>
      </c>
      <c r="E100" s="0" t="s">
        <v>37</v>
      </c>
      <c r="F100" s="0" t="s">
        <v>724</v>
      </c>
    </row>
    <row r="101" customFormat="false" ht="15" hidden="false" customHeight="false" outlineLevel="0" collapsed="false">
      <c r="D101" s="73" t="s">
        <v>771</v>
      </c>
      <c r="E101" s="0" t="s">
        <v>37</v>
      </c>
      <c r="F101" s="0" t="s">
        <v>772</v>
      </c>
    </row>
    <row r="102" customFormat="false" ht="15" hidden="false" customHeight="false" outlineLevel="0" collapsed="false">
      <c r="D102" s="73" t="s">
        <v>773</v>
      </c>
      <c r="E102" s="0" t="s">
        <v>37</v>
      </c>
      <c r="F102" s="0" t="s">
        <v>473</v>
      </c>
    </row>
    <row r="103" customFormat="false" ht="15" hidden="false" customHeight="false" outlineLevel="0" collapsed="false">
      <c r="D103" s="73" t="s">
        <v>774</v>
      </c>
      <c r="E103" s="0" t="s">
        <v>37</v>
      </c>
      <c r="F103" s="0" t="s">
        <v>473</v>
      </c>
    </row>
    <row r="104" customFormat="false" ht="15" hidden="false" customHeight="false" outlineLevel="0" collapsed="false">
      <c r="D104" s="73" t="s">
        <v>775</v>
      </c>
      <c r="E104" s="0" t="s">
        <v>37</v>
      </c>
      <c r="F104" s="0" t="s">
        <v>776</v>
      </c>
    </row>
    <row r="105" customFormat="false" ht="15" hidden="false" customHeight="false" outlineLevel="0" collapsed="false">
      <c r="D105" s="74" t="s">
        <v>777</v>
      </c>
      <c r="E105" s="75" t="s">
        <v>37</v>
      </c>
      <c r="F105" s="75" t="s">
        <v>634</v>
      </c>
    </row>
    <row r="106" customFormat="false" ht="15" hidden="false" customHeight="false" outlineLevel="0" collapsed="false">
      <c r="D106" s="74" t="s">
        <v>778</v>
      </c>
      <c r="E106" s="75" t="s">
        <v>37</v>
      </c>
      <c r="F106" s="75" t="s">
        <v>707</v>
      </c>
    </row>
    <row r="107" customFormat="false" ht="15" hidden="false" customHeight="false" outlineLevel="0" collapsed="false">
      <c r="D107" s="74" t="s">
        <v>779</v>
      </c>
      <c r="E107" s="75" t="s">
        <v>37</v>
      </c>
      <c r="F107" s="75" t="s">
        <v>473</v>
      </c>
    </row>
    <row r="108" customFormat="false" ht="15" hidden="false" customHeight="false" outlineLevel="0" collapsed="false">
      <c r="D108" s="74" t="s">
        <v>780</v>
      </c>
      <c r="E108" s="75" t="s">
        <v>37</v>
      </c>
      <c r="F108" s="75" t="s">
        <v>473</v>
      </c>
    </row>
    <row r="109" customFormat="false" ht="15" hidden="false" customHeight="false" outlineLevel="0" collapsed="false">
      <c r="D109" s="74" t="s">
        <v>781</v>
      </c>
      <c r="E109" s="75" t="s">
        <v>37</v>
      </c>
      <c r="F109" s="75" t="s">
        <v>473</v>
      </c>
    </row>
    <row r="110" customFormat="false" ht="15" hidden="false" customHeight="false" outlineLevel="0" collapsed="false">
      <c r="D110" s="73" t="s">
        <v>782</v>
      </c>
      <c r="E110" s="0" t="s">
        <v>141</v>
      </c>
      <c r="F110" s="0" t="s">
        <v>783</v>
      </c>
    </row>
    <row r="111" customFormat="false" ht="15" hidden="false" customHeight="false" outlineLevel="0" collapsed="false">
      <c r="D111" s="74" t="s">
        <v>784</v>
      </c>
      <c r="E111" s="75" t="s">
        <v>141</v>
      </c>
      <c r="F111" s="75" t="s">
        <v>473</v>
      </c>
    </row>
    <row r="112" customFormat="false" ht="15" hidden="false" customHeight="false" outlineLevel="0" collapsed="false">
      <c r="D112" s="73" t="s">
        <v>785</v>
      </c>
      <c r="E112" s="0" t="s">
        <v>394</v>
      </c>
      <c r="F112" s="0" t="s">
        <v>786</v>
      </c>
    </row>
    <row r="113" customFormat="false" ht="15" hidden="false" customHeight="false" outlineLevel="0" collapsed="false">
      <c r="D113" s="73" t="s">
        <v>787</v>
      </c>
      <c r="E113" s="0" t="s">
        <v>413</v>
      </c>
      <c r="F113" s="0" t="s">
        <v>473</v>
      </c>
    </row>
    <row r="114" customFormat="false" ht="15" hidden="false" customHeight="false" outlineLevel="0" collapsed="false">
      <c r="D114" s="74" t="s">
        <v>788</v>
      </c>
      <c r="E114" s="75" t="s">
        <v>166</v>
      </c>
      <c r="F114" s="75" t="s">
        <v>473</v>
      </c>
    </row>
    <row r="115" customFormat="false" ht="15" hidden="false" customHeight="false" outlineLevel="0" collapsed="false">
      <c r="D115" s="74" t="s">
        <v>789</v>
      </c>
      <c r="E115" s="75" t="s">
        <v>143</v>
      </c>
      <c r="F115" s="75" t="s">
        <v>473</v>
      </c>
    </row>
    <row r="116" customFormat="false" ht="15" hidden="false" customHeight="false" outlineLevel="0" collapsed="false">
      <c r="D116" s="74" t="s">
        <v>790</v>
      </c>
      <c r="E116" s="75" t="s">
        <v>216</v>
      </c>
      <c r="F116" s="75" t="s">
        <v>473</v>
      </c>
    </row>
    <row r="117" customFormat="false" ht="15" hidden="false" customHeight="false" outlineLevel="0" collapsed="false">
      <c r="D117" s="74" t="s">
        <v>791</v>
      </c>
      <c r="E117" s="75" t="s">
        <v>153</v>
      </c>
      <c r="F117" s="75" t="s">
        <v>473</v>
      </c>
    </row>
    <row r="118" customFormat="false" ht="15" hidden="false" customHeight="false" outlineLevel="0" collapsed="false">
      <c r="D118" s="74" t="s">
        <v>792</v>
      </c>
      <c r="E118" s="75" t="s">
        <v>149</v>
      </c>
      <c r="F118" s="75" t="s">
        <v>634</v>
      </c>
    </row>
    <row r="119" customFormat="false" ht="15" hidden="false" customHeight="false" outlineLevel="0" collapsed="false">
      <c r="D119" s="74" t="s">
        <v>793</v>
      </c>
      <c r="E119" s="75" t="s">
        <v>149</v>
      </c>
      <c r="F119" s="75" t="s">
        <v>794</v>
      </c>
    </row>
    <row r="120" customFormat="false" ht="15" hidden="false" customHeight="false" outlineLevel="0" collapsed="false">
      <c r="D120" s="73" t="s">
        <v>795</v>
      </c>
      <c r="E120" s="0" t="s">
        <v>421</v>
      </c>
      <c r="F120" s="0" t="s">
        <v>796</v>
      </c>
    </row>
    <row r="121" customFormat="false" ht="15" hidden="false" customHeight="false" outlineLevel="0" collapsed="false">
      <c r="D121" s="73" t="s">
        <v>797</v>
      </c>
      <c r="E121" s="0" t="s">
        <v>421</v>
      </c>
      <c r="F121" s="0" t="s">
        <v>798</v>
      </c>
    </row>
    <row r="122" customFormat="false" ht="15" hidden="false" customHeight="false" outlineLevel="0" collapsed="false">
      <c r="D122" s="73" t="s">
        <v>799</v>
      </c>
      <c r="E122" s="0" t="s">
        <v>421</v>
      </c>
      <c r="F122" s="0" t="s">
        <v>800</v>
      </c>
    </row>
    <row r="123" customFormat="false" ht="15" hidden="false" customHeight="false" outlineLevel="0" collapsed="false">
      <c r="D123" s="73" t="s">
        <v>801</v>
      </c>
      <c r="E123" s="0" t="s">
        <v>421</v>
      </c>
      <c r="F123" s="0" t="s">
        <v>473</v>
      </c>
    </row>
    <row r="124" customFormat="false" ht="15" hidden="false" customHeight="false" outlineLevel="0" collapsed="false">
      <c r="D124" s="73" t="s">
        <v>802</v>
      </c>
      <c r="E124" s="0" t="s">
        <v>97</v>
      </c>
      <c r="F124" s="0" t="s">
        <v>803</v>
      </c>
    </row>
    <row r="125" customFormat="false" ht="15" hidden="false" customHeight="false" outlineLevel="0" collapsed="false">
      <c r="D125" s="73" t="s">
        <v>804</v>
      </c>
      <c r="E125" s="0" t="s">
        <v>97</v>
      </c>
      <c r="F125" s="0" t="s">
        <v>805</v>
      </c>
    </row>
    <row r="126" customFormat="false" ht="15" hidden="false" customHeight="false" outlineLevel="0" collapsed="false">
      <c r="D126" s="73" t="s">
        <v>806</v>
      </c>
      <c r="E126" s="0" t="s">
        <v>97</v>
      </c>
      <c r="F126" s="0" t="s">
        <v>807</v>
      </c>
    </row>
    <row r="127" customFormat="false" ht="15" hidden="false" customHeight="false" outlineLevel="0" collapsed="false">
      <c r="D127" s="73" t="s">
        <v>808</v>
      </c>
      <c r="E127" s="0" t="s">
        <v>97</v>
      </c>
      <c r="F127" s="0" t="s">
        <v>473</v>
      </c>
    </row>
    <row r="128" customFormat="false" ht="15" hidden="false" customHeight="false" outlineLevel="0" collapsed="false">
      <c r="D128" s="74" t="s">
        <v>809</v>
      </c>
      <c r="E128" s="75" t="s">
        <v>97</v>
      </c>
      <c r="F128" s="75" t="s">
        <v>473</v>
      </c>
    </row>
    <row r="129" customFormat="false" ht="15" hidden="false" customHeight="false" outlineLevel="0" collapsed="false">
      <c r="D129" s="74" t="s">
        <v>810</v>
      </c>
      <c r="E129" s="75" t="s">
        <v>97</v>
      </c>
      <c r="F129" s="75" t="s">
        <v>473</v>
      </c>
    </row>
    <row r="130" customFormat="false" ht="15" hidden="false" customHeight="false" outlineLevel="0" collapsed="false">
      <c r="D130" s="73" t="s">
        <v>811</v>
      </c>
      <c r="E130" s="0" t="s">
        <v>167</v>
      </c>
      <c r="F130" s="0" t="s">
        <v>473</v>
      </c>
    </row>
    <row r="131" customFormat="false" ht="15" hidden="false" customHeight="false" outlineLevel="0" collapsed="false">
      <c r="D131" s="73" t="s">
        <v>812</v>
      </c>
      <c r="E131" s="0" t="s">
        <v>167</v>
      </c>
      <c r="F131" s="0" t="s">
        <v>473</v>
      </c>
    </row>
    <row r="132" customFormat="false" ht="15" hidden="false" customHeight="false" outlineLevel="0" collapsed="false">
      <c r="D132" s="74" t="s">
        <v>813</v>
      </c>
      <c r="E132" s="75" t="s">
        <v>167</v>
      </c>
      <c r="F132" s="75" t="s">
        <v>814</v>
      </c>
    </row>
    <row r="133" customFormat="false" ht="15" hidden="false" customHeight="false" outlineLevel="0" collapsed="false">
      <c r="D133" s="74" t="s">
        <v>815</v>
      </c>
      <c r="E133" s="75" t="s">
        <v>167</v>
      </c>
      <c r="F133" s="75" t="s">
        <v>473</v>
      </c>
    </row>
    <row r="134" customFormat="false" ht="15" hidden="false" customHeight="false" outlineLevel="0" collapsed="false">
      <c r="D134" s="73" t="s">
        <v>816</v>
      </c>
      <c r="E134" s="0" t="s">
        <v>46</v>
      </c>
      <c r="F134" s="0" t="s">
        <v>817</v>
      </c>
    </row>
    <row r="135" customFormat="false" ht="15" hidden="false" customHeight="false" outlineLevel="0" collapsed="false">
      <c r="D135" s="74" t="s">
        <v>818</v>
      </c>
      <c r="E135" s="75" t="s">
        <v>46</v>
      </c>
      <c r="F135" s="75" t="s">
        <v>634</v>
      </c>
    </row>
    <row r="136" customFormat="false" ht="15" hidden="false" customHeight="false" outlineLevel="0" collapsed="false">
      <c r="D136" s="74" t="s">
        <v>819</v>
      </c>
      <c r="E136" s="75" t="s">
        <v>46</v>
      </c>
      <c r="F136" s="75" t="s">
        <v>634</v>
      </c>
    </row>
    <row r="137" customFormat="false" ht="15" hidden="false" customHeight="false" outlineLevel="0" collapsed="false">
      <c r="D137" s="73" t="s">
        <v>820</v>
      </c>
      <c r="E137" s="0" t="s">
        <v>68</v>
      </c>
      <c r="F137" s="0" t="s">
        <v>821</v>
      </c>
    </row>
    <row r="138" customFormat="false" ht="15" hidden="false" customHeight="false" outlineLevel="0" collapsed="false">
      <c r="D138" s="73" t="s">
        <v>822</v>
      </c>
      <c r="E138" s="0" t="s">
        <v>68</v>
      </c>
      <c r="F138" s="0" t="s">
        <v>821</v>
      </c>
    </row>
    <row r="139" customFormat="false" ht="15" hidden="false" customHeight="false" outlineLevel="0" collapsed="false">
      <c r="D139" s="74" t="s">
        <v>823</v>
      </c>
      <c r="E139" s="75" t="s">
        <v>68</v>
      </c>
      <c r="F139" s="75" t="s">
        <v>473</v>
      </c>
    </row>
    <row r="140" customFormat="false" ht="15" hidden="false" customHeight="false" outlineLevel="0" collapsed="false">
      <c r="D140" s="74" t="s">
        <v>824</v>
      </c>
      <c r="E140" s="75" t="s">
        <v>68</v>
      </c>
      <c r="F140" s="75" t="s">
        <v>473</v>
      </c>
    </row>
    <row r="141" customFormat="false" ht="15" hidden="false" customHeight="false" outlineLevel="0" collapsed="false">
      <c r="D141" s="73" t="s">
        <v>825</v>
      </c>
      <c r="E141" s="0" t="s">
        <v>96</v>
      </c>
      <c r="F141" s="0" t="s">
        <v>826</v>
      </c>
    </row>
    <row r="142" customFormat="false" ht="15" hidden="false" customHeight="false" outlineLevel="0" collapsed="false">
      <c r="D142" s="73" t="s">
        <v>827</v>
      </c>
      <c r="E142" s="0" t="s">
        <v>96</v>
      </c>
      <c r="F142" s="0" t="s">
        <v>473</v>
      </c>
    </row>
    <row r="143" customFormat="false" ht="15" hidden="false" customHeight="false" outlineLevel="0" collapsed="false">
      <c r="D143" s="74" t="s">
        <v>828</v>
      </c>
      <c r="E143" s="75" t="s">
        <v>96</v>
      </c>
      <c r="F143" s="75" t="s">
        <v>634</v>
      </c>
    </row>
    <row r="144" customFormat="false" ht="15" hidden="false" customHeight="false" outlineLevel="0" collapsed="false">
      <c r="D144" s="74" t="s">
        <v>829</v>
      </c>
      <c r="E144" s="75" t="s">
        <v>96</v>
      </c>
      <c r="F144" s="75" t="s">
        <v>634</v>
      </c>
    </row>
    <row r="145" customFormat="false" ht="15" hidden="false" customHeight="false" outlineLevel="0" collapsed="false">
      <c r="D145" s="74" t="s">
        <v>830</v>
      </c>
      <c r="E145" s="75" t="s">
        <v>96</v>
      </c>
      <c r="F145" s="75" t="s">
        <v>831</v>
      </c>
    </row>
    <row r="146" customFormat="false" ht="15" hidden="false" customHeight="false" outlineLevel="0" collapsed="false">
      <c r="D146" s="74" t="s">
        <v>832</v>
      </c>
      <c r="E146" s="75" t="s">
        <v>96</v>
      </c>
      <c r="F146" s="75" t="s">
        <v>658</v>
      </c>
    </row>
    <row r="147" customFormat="false" ht="15" hidden="false" customHeight="false" outlineLevel="0" collapsed="false">
      <c r="D147" s="74" t="s">
        <v>833</v>
      </c>
      <c r="E147" s="75" t="s">
        <v>96</v>
      </c>
      <c r="F147" s="75" t="s">
        <v>834</v>
      </c>
    </row>
    <row r="148" customFormat="false" ht="15" hidden="false" customHeight="false" outlineLevel="0" collapsed="false">
      <c r="D148" s="74" t="s">
        <v>835</v>
      </c>
      <c r="E148" s="75" t="s">
        <v>96</v>
      </c>
      <c r="F148" s="75" t="s">
        <v>836</v>
      </c>
    </row>
    <row r="149" customFormat="false" ht="15" hidden="false" customHeight="false" outlineLevel="0" collapsed="false">
      <c r="D149" s="74" t="s">
        <v>837</v>
      </c>
      <c r="E149" s="75" t="s">
        <v>96</v>
      </c>
      <c r="F149" s="75" t="s">
        <v>838</v>
      </c>
    </row>
    <row r="150" customFormat="false" ht="15" hidden="false" customHeight="false" outlineLevel="0" collapsed="false">
      <c r="D150" s="74" t="s">
        <v>839</v>
      </c>
      <c r="E150" s="75" t="s">
        <v>96</v>
      </c>
      <c r="F150" s="75" t="s">
        <v>840</v>
      </c>
    </row>
    <row r="151" customFormat="false" ht="15" hidden="false" customHeight="false" outlineLevel="0" collapsed="false">
      <c r="D151" s="74" t="s">
        <v>841</v>
      </c>
      <c r="E151" s="75" t="s">
        <v>96</v>
      </c>
      <c r="F151" s="75" t="s">
        <v>473</v>
      </c>
    </row>
    <row r="152" customFormat="false" ht="15" hidden="false" customHeight="false" outlineLevel="0" collapsed="false">
      <c r="D152" s="74" t="s">
        <v>842</v>
      </c>
      <c r="E152" s="75" t="s">
        <v>169</v>
      </c>
      <c r="F152" s="75" t="s">
        <v>473</v>
      </c>
    </row>
    <row r="153" customFormat="false" ht="15" hidden="false" customHeight="false" outlineLevel="0" collapsed="false">
      <c r="D153" s="73" t="s">
        <v>843</v>
      </c>
      <c r="E153" s="0" t="s">
        <v>429</v>
      </c>
      <c r="F153" s="0" t="s">
        <v>844</v>
      </c>
    </row>
    <row r="154" customFormat="false" ht="15" hidden="false" customHeight="false" outlineLevel="0" collapsed="false">
      <c r="D154" s="73" t="s">
        <v>845</v>
      </c>
      <c r="E154" s="0" t="s">
        <v>113</v>
      </c>
      <c r="F154" s="0" t="s">
        <v>846</v>
      </c>
    </row>
    <row r="155" customFormat="false" ht="15" hidden="false" customHeight="false" outlineLevel="0" collapsed="false">
      <c r="D155" s="74" t="s">
        <v>847</v>
      </c>
      <c r="E155" s="75" t="s">
        <v>113</v>
      </c>
      <c r="F155" s="75" t="s">
        <v>634</v>
      </c>
    </row>
    <row r="156" customFormat="false" ht="15" hidden="false" customHeight="false" outlineLevel="0" collapsed="false">
      <c r="D156" s="74" t="s">
        <v>848</v>
      </c>
      <c r="E156" s="75" t="s">
        <v>113</v>
      </c>
      <c r="F156" s="75" t="s">
        <v>634</v>
      </c>
    </row>
    <row r="157" customFormat="false" ht="15" hidden="false" customHeight="false" outlineLevel="0" collapsed="false">
      <c r="D157" s="74" t="s">
        <v>849</v>
      </c>
      <c r="E157" s="75" t="s">
        <v>113</v>
      </c>
      <c r="F157" s="75" t="s">
        <v>850</v>
      </c>
    </row>
    <row r="158" customFormat="false" ht="15" hidden="false" customHeight="false" outlineLevel="0" collapsed="false">
      <c r="D158" s="74" t="s">
        <v>851</v>
      </c>
      <c r="E158" s="75" t="s">
        <v>113</v>
      </c>
      <c r="F158" s="75" t="s">
        <v>473</v>
      </c>
    </row>
    <row r="159" customFormat="false" ht="15" hidden="false" customHeight="false" outlineLevel="0" collapsed="false">
      <c r="D159" s="74" t="s">
        <v>852</v>
      </c>
      <c r="E159" s="75" t="s">
        <v>113</v>
      </c>
      <c r="F159" s="75" t="s">
        <v>473</v>
      </c>
    </row>
    <row r="160" customFormat="false" ht="15" hidden="false" customHeight="false" outlineLevel="0" collapsed="false">
      <c r="D160" s="74" t="s">
        <v>853</v>
      </c>
      <c r="E160" s="75" t="s">
        <v>94</v>
      </c>
      <c r="F160" s="75" t="s">
        <v>473</v>
      </c>
    </row>
    <row r="161" customFormat="false" ht="15" hidden="false" customHeight="false" outlineLevel="0" collapsed="false">
      <c r="D161" s="73" t="s">
        <v>854</v>
      </c>
      <c r="E161" s="0" t="s">
        <v>88</v>
      </c>
      <c r="F161" s="0" t="s">
        <v>855</v>
      </c>
    </row>
    <row r="162" customFormat="false" ht="15" hidden="false" customHeight="false" outlineLevel="0" collapsed="false">
      <c r="D162" s="73" t="s">
        <v>856</v>
      </c>
      <c r="E162" s="0" t="s">
        <v>88</v>
      </c>
      <c r="F162" s="0" t="s">
        <v>857</v>
      </c>
    </row>
    <row r="163" customFormat="false" ht="15" hidden="false" customHeight="false" outlineLevel="0" collapsed="false">
      <c r="D163" s="73" t="s">
        <v>858</v>
      </c>
      <c r="E163" s="0" t="s">
        <v>88</v>
      </c>
      <c r="F163" s="0" t="s">
        <v>855</v>
      </c>
    </row>
    <row r="164" customFormat="false" ht="15" hidden="false" customHeight="false" outlineLevel="0" collapsed="false">
      <c r="D164" s="73" t="s">
        <v>859</v>
      </c>
      <c r="E164" s="0" t="s">
        <v>88</v>
      </c>
      <c r="F164" s="0" t="s">
        <v>860</v>
      </c>
    </row>
    <row r="165" customFormat="false" ht="15" hidden="false" customHeight="false" outlineLevel="0" collapsed="false">
      <c r="D165" s="73" t="s">
        <v>861</v>
      </c>
      <c r="E165" s="0" t="s">
        <v>88</v>
      </c>
      <c r="F165" s="0" t="s">
        <v>473</v>
      </c>
    </row>
    <row r="166" customFormat="false" ht="15" hidden="false" customHeight="false" outlineLevel="0" collapsed="false">
      <c r="D166" s="73" t="s">
        <v>862</v>
      </c>
      <c r="E166" s="0" t="s">
        <v>88</v>
      </c>
      <c r="F166" s="0" t="s">
        <v>863</v>
      </c>
    </row>
    <row r="167" customFormat="false" ht="15" hidden="false" customHeight="false" outlineLevel="0" collapsed="false">
      <c r="D167" s="74" t="s">
        <v>864</v>
      </c>
      <c r="E167" s="75" t="s">
        <v>88</v>
      </c>
      <c r="F167" s="75" t="s">
        <v>634</v>
      </c>
    </row>
    <row r="168" customFormat="false" ht="15" hidden="false" customHeight="false" outlineLevel="0" collapsed="false">
      <c r="D168" s="74" t="s">
        <v>865</v>
      </c>
      <c r="E168" s="75" t="s">
        <v>88</v>
      </c>
      <c r="F168" s="75" t="s">
        <v>866</v>
      </c>
    </row>
    <row r="169" customFormat="false" ht="15" hidden="false" customHeight="false" outlineLevel="0" collapsed="false">
      <c r="D169" s="74" t="s">
        <v>867</v>
      </c>
      <c r="E169" s="75" t="s">
        <v>88</v>
      </c>
      <c r="F169" s="75" t="s">
        <v>868</v>
      </c>
    </row>
    <row r="170" customFormat="false" ht="15" hidden="false" customHeight="false" outlineLevel="0" collapsed="false">
      <c r="D170" s="74" t="s">
        <v>869</v>
      </c>
      <c r="E170" s="75" t="s">
        <v>88</v>
      </c>
      <c r="F170" s="75" t="s">
        <v>870</v>
      </c>
    </row>
    <row r="171" customFormat="false" ht="15" hidden="false" customHeight="false" outlineLevel="0" collapsed="false">
      <c r="D171" s="74" t="s">
        <v>871</v>
      </c>
      <c r="E171" s="75" t="s">
        <v>88</v>
      </c>
      <c r="F171" s="75" t="s">
        <v>872</v>
      </c>
    </row>
    <row r="172" customFormat="false" ht="15" hidden="false" customHeight="false" outlineLevel="0" collapsed="false">
      <c r="D172" s="74" t="s">
        <v>873</v>
      </c>
      <c r="E172" s="75" t="s">
        <v>88</v>
      </c>
      <c r="F172" s="75" t="s">
        <v>473</v>
      </c>
    </row>
    <row r="173" customFormat="false" ht="15" hidden="false" customHeight="false" outlineLevel="0" collapsed="false">
      <c r="D173" s="74" t="s">
        <v>874</v>
      </c>
      <c r="E173" s="75" t="s">
        <v>88</v>
      </c>
      <c r="F173" s="75" t="s">
        <v>875</v>
      </c>
    </row>
    <row r="174" customFormat="false" ht="15" hidden="false" customHeight="false" outlineLevel="0" collapsed="false">
      <c r="D174" s="74" t="s">
        <v>876</v>
      </c>
      <c r="E174" s="75" t="s">
        <v>88</v>
      </c>
      <c r="F174" s="75" t="s">
        <v>473</v>
      </c>
    </row>
    <row r="175" customFormat="false" ht="15" hidden="false" customHeight="false" outlineLevel="0" collapsed="false">
      <c r="D175" s="74" t="s">
        <v>877</v>
      </c>
      <c r="E175" s="75" t="s">
        <v>88</v>
      </c>
      <c r="F175" s="75" t="s">
        <v>473</v>
      </c>
    </row>
    <row r="176" customFormat="false" ht="15" hidden="false" customHeight="false" outlineLevel="0" collapsed="false">
      <c r="D176" s="73" t="s">
        <v>878</v>
      </c>
      <c r="E176" s="0" t="s">
        <v>101</v>
      </c>
      <c r="F176" s="0" t="s">
        <v>879</v>
      </c>
    </row>
    <row r="177" customFormat="false" ht="15" hidden="false" customHeight="false" outlineLevel="0" collapsed="false">
      <c r="D177" s="73" t="s">
        <v>880</v>
      </c>
      <c r="E177" s="0" t="s">
        <v>101</v>
      </c>
      <c r="F177" s="0" t="s">
        <v>879</v>
      </c>
    </row>
    <row r="178" customFormat="false" ht="15" hidden="false" customHeight="false" outlineLevel="0" collapsed="false">
      <c r="D178" s="73" t="s">
        <v>881</v>
      </c>
      <c r="E178" s="0" t="s">
        <v>101</v>
      </c>
      <c r="F178" s="0" t="s">
        <v>879</v>
      </c>
    </row>
    <row r="179" customFormat="false" ht="15" hidden="false" customHeight="false" outlineLevel="0" collapsed="false">
      <c r="D179" s="74" t="s">
        <v>882</v>
      </c>
      <c r="E179" s="75" t="s">
        <v>101</v>
      </c>
      <c r="F179" s="75" t="s">
        <v>634</v>
      </c>
    </row>
    <row r="180" customFormat="false" ht="15" hidden="false" customHeight="false" outlineLevel="0" collapsed="false">
      <c r="D180" s="74" t="s">
        <v>883</v>
      </c>
      <c r="E180" s="75" t="s">
        <v>101</v>
      </c>
      <c r="F180" s="75" t="s">
        <v>634</v>
      </c>
    </row>
    <row r="181" customFormat="false" ht="15" hidden="false" customHeight="false" outlineLevel="0" collapsed="false">
      <c r="D181" s="74" t="s">
        <v>884</v>
      </c>
      <c r="E181" s="75" t="s">
        <v>101</v>
      </c>
      <c r="F181" s="75" t="s">
        <v>473</v>
      </c>
    </row>
    <row r="182" customFormat="false" ht="15" hidden="false" customHeight="false" outlineLevel="0" collapsed="false">
      <c r="D182" s="74" t="s">
        <v>885</v>
      </c>
      <c r="E182" s="75" t="s">
        <v>101</v>
      </c>
      <c r="F182" s="75" t="s">
        <v>473</v>
      </c>
    </row>
    <row r="183" customFormat="false" ht="15" hidden="false" customHeight="false" outlineLevel="0" collapsed="false">
      <c r="D183" s="73" t="s">
        <v>886</v>
      </c>
      <c r="E183" s="0" t="s">
        <v>215</v>
      </c>
      <c r="F183" s="0" t="s">
        <v>855</v>
      </c>
    </row>
    <row r="184" customFormat="false" ht="15" hidden="false" customHeight="false" outlineLevel="0" collapsed="false">
      <c r="D184" s="74" t="s">
        <v>887</v>
      </c>
      <c r="E184" s="75" t="s">
        <v>215</v>
      </c>
      <c r="F184" s="75" t="s">
        <v>473</v>
      </c>
    </row>
    <row r="185" customFormat="false" ht="15" hidden="false" customHeight="false" outlineLevel="0" collapsed="false">
      <c r="D185" s="73" t="s">
        <v>888</v>
      </c>
      <c r="E185" s="0" t="s">
        <v>156</v>
      </c>
      <c r="F185" s="0" t="s">
        <v>855</v>
      </c>
    </row>
    <row r="186" customFormat="false" ht="15" hidden="false" customHeight="false" outlineLevel="0" collapsed="false">
      <c r="D186" s="73" t="s">
        <v>889</v>
      </c>
      <c r="E186" s="0" t="s">
        <v>156</v>
      </c>
      <c r="F186" s="0" t="s">
        <v>855</v>
      </c>
    </row>
    <row r="187" customFormat="false" ht="15" hidden="false" customHeight="false" outlineLevel="0" collapsed="false">
      <c r="D187" s="74" t="s">
        <v>890</v>
      </c>
      <c r="E187" s="75" t="s">
        <v>156</v>
      </c>
      <c r="F187" s="75" t="s">
        <v>891</v>
      </c>
    </row>
    <row r="188" customFormat="false" ht="15" hidden="false" customHeight="false" outlineLevel="0" collapsed="false">
      <c r="D188" s="74" t="s">
        <v>892</v>
      </c>
      <c r="E188" s="75" t="s">
        <v>156</v>
      </c>
      <c r="F188" s="75" t="s">
        <v>866</v>
      </c>
    </row>
    <row r="189" customFormat="false" ht="15" hidden="false" customHeight="false" outlineLevel="0" collapsed="false">
      <c r="D189" s="73" t="s">
        <v>893</v>
      </c>
      <c r="E189" s="0" t="s">
        <v>67</v>
      </c>
      <c r="F189" s="0" t="s">
        <v>894</v>
      </c>
    </row>
    <row r="190" customFormat="false" ht="15" hidden="false" customHeight="false" outlineLevel="0" collapsed="false">
      <c r="D190" s="73" t="s">
        <v>895</v>
      </c>
      <c r="E190" s="0" t="s">
        <v>67</v>
      </c>
      <c r="F190" s="0" t="s">
        <v>473</v>
      </c>
    </row>
    <row r="191" customFormat="false" ht="15" hidden="false" customHeight="false" outlineLevel="0" collapsed="false">
      <c r="D191" s="74" t="s">
        <v>896</v>
      </c>
      <c r="E191" s="75" t="s">
        <v>67</v>
      </c>
      <c r="F191" s="75" t="s">
        <v>897</v>
      </c>
    </row>
    <row r="192" customFormat="false" ht="15" hidden="false" customHeight="false" outlineLevel="0" collapsed="false">
      <c r="D192" s="74" t="s">
        <v>898</v>
      </c>
      <c r="E192" s="75" t="s">
        <v>67</v>
      </c>
      <c r="F192" s="75" t="s">
        <v>473</v>
      </c>
    </row>
    <row r="193" customFormat="false" ht="15" hidden="false" customHeight="false" outlineLevel="0" collapsed="false">
      <c r="D193" s="74" t="s">
        <v>899</v>
      </c>
      <c r="E193" s="75" t="s">
        <v>67</v>
      </c>
      <c r="F193" s="75" t="s">
        <v>473</v>
      </c>
    </row>
    <row r="194" customFormat="false" ht="15" hidden="false" customHeight="false" outlineLevel="0" collapsed="false">
      <c r="D194" s="73" t="s">
        <v>900</v>
      </c>
      <c r="E194" s="0" t="s">
        <v>80</v>
      </c>
      <c r="F194" s="0" t="s">
        <v>860</v>
      </c>
    </row>
    <row r="195" customFormat="false" ht="15" hidden="false" customHeight="false" outlineLevel="0" collapsed="false">
      <c r="D195" s="73" t="s">
        <v>901</v>
      </c>
      <c r="E195" s="0" t="s">
        <v>80</v>
      </c>
      <c r="F195" s="0" t="s">
        <v>902</v>
      </c>
    </row>
    <row r="196" customFormat="false" ht="15" hidden="false" customHeight="false" outlineLevel="0" collapsed="false">
      <c r="D196" s="73" t="s">
        <v>903</v>
      </c>
      <c r="E196" s="0" t="s">
        <v>80</v>
      </c>
      <c r="F196" s="0" t="s">
        <v>860</v>
      </c>
    </row>
    <row r="197" customFormat="false" ht="15" hidden="false" customHeight="false" outlineLevel="0" collapsed="false">
      <c r="D197" s="73" t="s">
        <v>904</v>
      </c>
      <c r="E197" s="0" t="s">
        <v>80</v>
      </c>
      <c r="F197" s="0" t="s">
        <v>902</v>
      </c>
    </row>
    <row r="198" customFormat="false" ht="15" hidden="false" customHeight="false" outlineLevel="0" collapsed="false">
      <c r="D198" s="73" t="s">
        <v>905</v>
      </c>
      <c r="E198" s="0" t="s">
        <v>80</v>
      </c>
      <c r="F198" s="0" t="s">
        <v>860</v>
      </c>
    </row>
    <row r="199" customFormat="false" ht="15" hidden="false" customHeight="false" outlineLevel="0" collapsed="false">
      <c r="D199" s="73" t="s">
        <v>906</v>
      </c>
      <c r="E199" s="0" t="s">
        <v>80</v>
      </c>
      <c r="F199" s="0" t="s">
        <v>860</v>
      </c>
    </row>
    <row r="200" customFormat="false" ht="15" hidden="false" customHeight="false" outlineLevel="0" collapsed="false">
      <c r="D200" s="73" t="s">
        <v>907</v>
      </c>
      <c r="E200" s="0" t="s">
        <v>80</v>
      </c>
      <c r="F200" s="0" t="s">
        <v>860</v>
      </c>
    </row>
    <row r="201" customFormat="false" ht="15" hidden="false" customHeight="false" outlineLevel="0" collapsed="false">
      <c r="D201" s="73" t="s">
        <v>908</v>
      </c>
      <c r="E201" s="0" t="s">
        <v>80</v>
      </c>
      <c r="F201" s="0" t="s">
        <v>909</v>
      </c>
    </row>
    <row r="202" customFormat="false" ht="15" hidden="false" customHeight="false" outlineLevel="0" collapsed="false">
      <c r="D202" s="73" t="s">
        <v>910</v>
      </c>
      <c r="E202" s="0" t="s">
        <v>80</v>
      </c>
      <c r="F202" s="0" t="s">
        <v>860</v>
      </c>
    </row>
    <row r="203" customFormat="false" ht="15" hidden="false" customHeight="false" outlineLevel="0" collapsed="false">
      <c r="D203" s="73" t="s">
        <v>911</v>
      </c>
      <c r="E203" s="0" t="s">
        <v>80</v>
      </c>
      <c r="F203" s="0" t="s">
        <v>860</v>
      </c>
    </row>
    <row r="204" customFormat="false" ht="15" hidden="false" customHeight="false" outlineLevel="0" collapsed="false">
      <c r="D204" s="73" t="s">
        <v>912</v>
      </c>
      <c r="E204" s="0" t="s">
        <v>80</v>
      </c>
      <c r="F204" s="0" t="s">
        <v>909</v>
      </c>
    </row>
    <row r="205" customFormat="false" ht="15" hidden="false" customHeight="false" outlineLevel="0" collapsed="false">
      <c r="D205" s="73" t="s">
        <v>913</v>
      </c>
      <c r="E205" s="0" t="s">
        <v>80</v>
      </c>
      <c r="F205" s="0" t="s">
        <v>473</v>
      </c>
    </row>
    <row r="206" customFormat="false" ht="15" hidden="false" customHeight="false" outlineLevel="0" collapsed="false">
      <c r="D206" s="73" t="s">
        <v>914</v>
      </c>
      <c r="E206" s="0" t="s">
        <v>80</v>
      </c>
      <c r="F206" s="0" t="s">
        <v>473</v>
      </c>
    </row>
    <row r="207" customFormat="false" ht="15" hidden="false" customHeight="false" outlineLevel="0" collapsed="false">
      <c r="D207" s="73" t="s">
        <v>915</v>
      </c>
      <c r="E207" s="0" t="s">
        <v>80</v>
      </c>
      <c r="F207" s="0" t="s">
        <v>891</v>
      </c>
    </row>
    <row r="208" customFormat="false" ht="15" hidden="false" customHeight="false" outlineLevel="0" collapsed="false">
      <c r="D208" s="73" t="s">
        <v>916</v>
      </c>
      <c r="E208" s="0" t="s">
        <v>80</v>
      </c>
      <c r="F208" s="0" t="s">
        <v>917</v>
      </c>
    </row>
    <row r="209" customFormat="false" ht="15" hidden="false" customHeight="false" outlineLevel="0" collapsed="false">
      <c r="D209" s="73" t="s">
        <v>918</v>
      </c>
      <c r="E209" s="0" t="s">
        <v>80</v>
      </c>
      <c r="F209" s="0" t="s">
        <v>919</v>
      </c>
    </row>
    <row r="210" customFormat="false" ht="15" hidden="false" customHeight="false" outlineLevel="0" collapsed="false">
      <c r="D210" s="74" t="s">
        <v>920</v>
      </c>
      <c r="E210" s="75" t="s">
        <v>80</v>
      </c>
      <c r="F210" s="75" t="s">
        <v>634</v>
      </c>
    </row>
    <row r="211" customFormat="false" ht="15" hidden="false" customHeight="false" outlineLevel="0" collapsed="false">
      <c r="D211" s="74" t="s">
        <v>921</v>
      </c>
      <c r="E211" s="75" t="s">
        <v>80</v>
      </c>
      <c r="F211" s="75" t="s">
        <v>473</v>
      </c>
    </row>
    <row r="212" customFormat="false" ht="15" hidden="false" customHeight="false" outlineLevel="0" collapsed="false">
      <c r="D212" s="74" t="s">
        <v>922</v>
      </c>
      <c r="E212" s="75" t="s">
        <v>80</v>
      </c>
      <c r="F212" s="75" t="s">
        <v>299</v>
      </c>
    </row>
    <row r="213" customFormat="false" ht="15" hidden="false" customHeight="false" outlineLevel="0" collapsed="false">
      <c r="D213" s="73" t="s">
        <v>923</v>
      </c>
      <c r="E213" s="0" t="s">
        <v>111</v>
      </c>
      <c r="F213" s="0" t="s">
        <v>924</v>
      </c>
    </row>
    <row r="214" customFormat="false" ht="15" hidden="false" customHeight="false" outlineLevel="0" collapsed="false">
      <c r="D214" s="74" t="s">
        <v>925</v>
      </c>
      <c r="E214" s="75" t="s">
        <v>111</v>
      </c>
      <c r="F214" s="75" t="s">
        <v>473</v>
      </c>
    </row>
    <row r="215" customFormat="false" ht="15" hidden="false" customHeight="false" outlineLevel="0" collapsed="false">
      <c r="D215" s="74" t="s">
        <v>926</v>
      </c>
      <c r="E215" s="75" t="s">
        <v>194</v>
      </c>
      <c r="F215" s="75" t="s">
        <v>473</v>
      </c>
    </row>
    <row r="216" customFormat="false" ht="15" hidden="false" customHeight="false" outlineLevel="0" collapsed="false">
      <c r="D216" s="73" t="s">
        <v>927</v>
      </c>
      <c r="E216" s="0" t="s">
        <v>439</v>
      </c>
      <c r="F216" s="0" t="s">
        <v>473</v>
      </c>
    </row>
    <row r="217" customFormat="false" ht="15" hidden="false" customHeight="false" outlineLevel="0" collapsed="false">
      <c r="D217" s="73" t="s">
        <v>928</v>
      </c>
      <c r="E217" s="0" t="s">
        <v>442</v>
      </c>
      <c r="F217" s="0" t="s">
        <v>929</v>
      </c>
    </row>
    <row r="218" customFormat="false" ht="15" hidden="false" customHeight="false" outlineLevel="0" collapsed="false">
      <c r="D218" s="73" t="s">
        <v>930</v>
      </c>
      <c r="E218" s="0" t="s">
        <v>61</v>
      </c>
      <c r="F218" s="0" t="s">
        <v>931</v>
      </c>
    </row>
    <row r="219" customFormat="false" ht="15" hidden="false" customHeight="false" outlineLevel="0" collapsed="false">
      <c r="D219" s="73" t="s">
        <v>932</v>
      </c>
      <c r="E219" s="0" t="s">
        <v>61</v>
      </c>
      <c r="F219" s="0" t="s">
        <v>933</v>
      </c>
    </row>
    <row r="220" customFormat="false" ht="15" hidden="false" customHeight="false" outlineLevel="0" collapsed="false">
      <c r="D220" s="73" t="s">
        <v>934</v>
      </c>
      <c r="E220" s="0" t="s">
        <v>61</v>
      </c>
      <c r="F220" s="0" t="s">
        <v>935</v>
      </c>
    </row>
    <row r="221" customFormat="false" ht="15" hidden="false" customHeight="false" outlineLevel="0" collapsed="false">
      <c r="D221" s="73" t="s">
        <v>936</v>
      </c>
      <c r="E221" s="0" t="s">
        <v>61</v>
      </c>
      <c r="F221" s="0" t="s">
        <v>937</v>
      </c>
    </row>
    <row r="222" customFormat="false" ht="15" hidden="false" customHeight="false" outlineLevel="0" collapsed="false">
      <c r="D222" s="73" t="s">
        <v>938</v>
      </c>
      <c r="E222" s="0" t="s">
        <v>61</v>
      </c>
      <c r="F222" s="0" t="s">
        <v>473</v>
      </c>
    </row>
    <row r="223" customFormat="false" ht="15" hidden="false" customHeight="false" outlineLevel="0" collapsed="false">
      <c r="D223" s="73" t="s">
        <v>939</v>
      </c>
      <c r="E223" s="0" t="s">
        <v>61</v>
      </c>
      <c r="F223" s="0" t="s">
        <v>473</v>
      </c>
    </row>
    <row r="224" customFormat="false" ht="15" hidden="false" customHeight="false" outlineLevel="0" collapsed="false">
      <c r="D224" s="73" t="s">
        <v>940</v>
      </c>
      <c r="E224" s="0" t="s">
        <v>61</v>
      </c>
      <c r="F224" s="0" t="s">
        <v>941</v>
      </c>
    </row>
    <row r="225" customFormat="false" ht="15" hidden="false" customHeight="false" outlineLevel="0" collapsed="false">
      <c r="D225" s="74" t="s">
        <v>942</v>
      </c>
      <c r="E225" s="75" t="s">
        <v>61</v>
      </c>
      <c r="F225" s="75" t="s">
        <v>943</v>
      </c>
    </row>
    <row r="226" customFormat="false" ht="15" hidden="false" customHeight="false" outlineLevel="0" collapsed="false">
      <c r="D226" s="74" t="s">
        <v>944</v>
      </c>
      <c r="E226" s="75" t="s">
        <v>61</v>
      </c>
      <c r="F226" s="75" t="s">
        <v>473</v>
      </c>
    </row>
    <row r="227" customFormat="false" ht="15" hidden="false" customHeight="false" outlineLevel="0" collapsed="false">
      <c r="D227" s="74" t="s">
        <v>945</v>
      </c>
      <c r="E227" s="75" t="s">
        <v>61</v>
      </c>
      <c r="F227" s="75" t="s">
        <v>473</v>
      </c>
    </row>
    <row r="228" customFormat="false" ht="15" hidden="false" customHeight="false" outlineLevel="0" collapsed="false">
      <c r="D228" s="74" t="s">
        <v>946</v>
      </c>
      <c r="E228" s="75" t="s">
        <v>61</v>
      </c>
      <c r="F228" s="75" t="s">
        <v>473</v>
      </c>
    </row>
    <row r="229" customFormat="false" ht="15" hidden="false" customHeight="false" outlineLevel="0" collapsed="false">
      <c r="D229" s="74" t="s">
        <v>947</v>
      </c>
      <c r="E229" s="75" t="s">
        <v>61</v>
      </c>
      <c r="F229" s="75" t="s">
        <v>473</v>
      </c>
    </row>
    <row r="230" customFormat="false" ht="15" hidden="false" customHeight="false" outlineLevel="0" collapsed="false">
      <c r="D230" s="73" t="s">
        <v>948</v>
      </c>
      <c r="E230" s="0" t="s">
        <v>949</v>
      </c>
      <c r="F230" s="0" t="s">
        <v>950</v>
      </c>
    </row>
    <row r="231" customFormat="false" ht="15" hidden="false" customHeight="false" outlineLevel="0" collapsed="false">
      <c r="D231" s="74" t="s">
        <v>951</v>
      </c>
      <c r="E231" s="75" t="s">
        <v>44</v>
      </c>
      <c r="F231" s="75" t="s">
        <v>473</v>
      </c>
    </row>
    <row r="232" customFormat="false" ht="15" hidden="false" customHeight="false" outlineLevel="0" collapsed="false">
      <c r="D232" s="74" t="s">
        <v>952</v>
      </c>
      <c r="E232" s="75" t="s">
        <v>123</v>
      </c>
      <c r="F232" s="75" t="s">
        <v>473</v>
      </c>
    </row>
    <row r="233" customFormat="false" ht="15" hidden="false" customHeight="false" outlineLevel="0" collapsed="false">
      <c r="D233" s="73" t="s">
        <v>953</v>
      </c>
      <c r="E233" s="0" t="s">
        <v>456</v>
      </c>
      <c r="F233" s="0" t="s">
        <v>473</v>
      </c>
    </row>
    <row r="234" customFormat="false" ht="15" hidden="false" customHeight="false" outlineLevel="0" collapsed="false">
      <c r="D234" s="73" t="s">
        <v>954</v>
      </c>
      <c r="E234" s="0" t="s">
        <v>114</v>
      </c>
      <c r="F234" s="0" t="s">
        <v>955</v>
      </c>
    </row>
    <row r="235" customFormat="false" ht="15" hidden="false" customHeight="false" outlineLevel="0" collapsed="false">
      <c r="D235" s="73" t="s">
        <v>956</v>
      </c>
      <c r="E235" s="0" t="s">
        <v>114</v>
      </c>
      <c r="F235" s="0" t="s">
        <v>473</v>
      </c>
    </row>
    <row r="236" customFormat="false" ht="15" hidden="false" customHeight="false" outlineLevel="0" collapsed="false">
      <c r="D236" s="74" t="s">
        <v>957</v>
      </c>
      <c r="E236" s="75" t="s">
        <v>114</v>
      </c>
      <c r="F236" s="75" t="s">
        <v>473</v>
      </c>
    </row>
    <row r="237" customFormat="false" ht="15" hidden="false" customHeight="false" outlineLevel="0" collapsed="false">
      <c r="D237" s="74" t="s">
        <v>958</v>
      </c>
      <c r="E237" s="75" t="s">
        <v>114</v>
      </c>
      <c r="F237" s="75" t="s">
        <v>473</v>
      </c>
    </row>
    <row r="238" customFormat="false" ht="15" hidden="false" customHeight="false" outlineLevel="0" collapsed="false">
      <c r="D238" s="73" t="s">
        <v>959</v>
      </c>
      <c r="E238" s="0" t="s">
        <v>960</v>
      </c>
      <c r="F238" s="0" t="s">
        <v>961</v>
      </c>
    </row>
    <row r="239" customFormat="false" ht="15" hidden="false" customHeight="false" outlineLevel="0" collapsed="false">
      <c r="D239" s="74" t="s">
        <v>962</v>
      </c>
      <c r="E239" s="75" t="s">
        <v>205</v>
      </c>
      <c r="F239" s="75" t="s">
        <v>634</v>
      </c>
    </row>
    <row r="240" customFormat="false" ht="15" hidden="false" customHeight="false" outlineLevel="0" collapsed="false">
      <c r="D240" s="74" t="s">
        <v>963</v>
      </c>
      <c r="E240" s="75" t="s">
        <v>160</v>
      </c>
      <c r="F240" s="75" t="s">
        <v>634</v>
      </c>
    </row>
    <row r="241" customFormat="false" ht="15" hidden="false" customHeight="false" outlineLevel="0" collapsed="false">
      <c r="D241" s="73" t="s">
        <v>964</v>
      </c>
      <c r="E241" s="0" t="s">
        <v>48</v>
      </c>
      <c r="F241" s="0" t="s">
        <v>965</v>
      </c>
    </row>
    <row r="242" customFormat="false" ht="15" hidden="false" customHeight="false" outlineLevel="0" collapsed="false">
      <c r="D242" s="73" t="s">
        <v>966</v>
      </c>
      <c r="E242" s="0" t="s">
        <v>48</v>
      </c>
      <c r="F242" s="0" t="s">
        <v>967</v>
      </c>
    </row>
    <row r="243" customFormat="false" ht="15" hidden="false" customHeight="false" outlineLevel="0" collapsed="false">
      <c r="D243" s="73" t="s">
        <v>968</v>
      </c>
      <c r="E243" s="0" t="s">
        <v>48</v>
      </c>
      <c r="F243" s="0" t="s">
        <v>688</v>
      </c>
    </row>
    <row r="244" customFormat="false" ht="15" hidden="false" customHeight="false" outlineLevel="0" collapsed="false">
      <c r="D244" s="74" t="s">
        <v>969</v>
      </c>
      <c r="E244" s="75" t="s">
        <v>48</v>
      </c>
      <c r="F244" s="75" t="s">
        <v>473</v>
      </c>
    </row>
    <row r="245" customFormat="false" ht="15" hidden="false" customHeight="false" outlineLevel="0" collapsed="false">
      <c r="D245" s="74" t="s">
        <v>970</v>
      </c>
      <c r="E245" s="75" t="s">
        <v>48</v>
      </c>
      <c r="F245" s="75" t="s">
        <v>473</v>
      </c>
    </row>
    <row r="246" customFormat="false" ht="15" hidden="false" customHeight="false" outlineLevel="0" collapsed="false">
      <c r="D246" s="74" t="s">
        <v>971</v>
      </c>
      <c r="E246" s="75" t="s">
        <v>48</v>
      </c>
      <c r="F246" s="75" t="s">
        <v>473</v>
      </c>
    </row>
    <row r="247" customFormat="false" ht="15" hidden="false" customHeight="false" outlineLevel="0" collapsed="false">
      <c r="D247" s="73" t="s">
        <v>972</v>
      </c>
      <c r="E247" s="0" t="s">
        <v>86</v>
      </c>
      <c r="F247" s="0" t="s">
        <v>973</v>
      </c>
    </row>
    <row r="248" customFormat="false" ht="15" hidden="false" customHeight="false" outlineLevel="0" collapsed="false">
      <c r="D248" s="73" t="s">
        <v>974</v>
      </c>
      <c r="E248" s="0" t="s">
        <v>86</v>
      </c>
      <c r="F248" s="0" t="s">
        <v>684</v>
      </c>
    </row>
    <row r="249" customFormat="false" ht="15" hidden="false" customHeight="false" outlineLevel="0" collapsed="false">
      <c r="D249" s="73" t="s">
        <v>975</v>
      </c>
      <c r="E249" s="0" t="s">
        <v>86</v>
      </c>
      <c r="F249" s="0" t="s">
        <v>976</v>
      </c>
    </row>
    <row r="250" customFormat="false" ht="15" hidden="false" customHeight="false" outlineLevel="0" collapsed="false">
      <c r="D250" s="73" t="s">
        <v>977</v>
      </c>
      <c r="E250" s="0" t="s">
        <v>86</v>
      </c>
      <c r="F250" s="0" t="s">
        <v>973</v>
      </c>
    </row>
    <row r="251" customFormat="false" ht="15" hidden="false" customHeight="false" outlineLevel="0" collapsed="false">
      <c r="D251" s="73" t="s">
        <v>978</v>
      </c>
      <c r="E251" s="0" t="s">
        <v>86</v>
      </c>
      <c r="F251" s="0" t="s">
        <v>979</v>
      </c>
    </row>
    <row r="252" customFormat="false" ht="15" hidden="false" customHeight="false" outlineLevel="0" collapsed="false">
      <c r="D252" s="73" t="s">
        <v>980</v>
      </c>
      <c r="E252" s="0" t="s">
        <v>86</v>
      </c>
      <c r="F252" s="0" t="s">
        <v>473</v>
      </c>
    </row>
    <row r="253" customFormat="false" ht="15" hidden="false" customHeight="false" outlineLevel="0" collapsed="false">
      <c r="D253" s="73" t="s">
        <v>981</v>
      </c>
      <c r="E253" s="0" t="s">
        <v>86</v>
      </c>
      <c r="F253" s="0" t="s">
        <v>473</v>
      </c>
    </row>
    <row r="254" customFormat="false" ht="15" hidden="false" customHeight="false" outlineLevel="0" collapsed="false">
      <c r="D254" s="73" t="s">
        <v>982</v>
      </c>
      <c r="E254" s="0" t="s">
        <v>86</v>
      </c>
      <c r="F254" s="0" t="s">
        <v>473</v>
      </c>
    </row>
    <row r="255" customFormat="false" ht="15" hidden="false" customHeight="false" outlineLevel="0" collapsed="false">
      <c r="D255" s="73" t="s">
        <v>983</v>
      </c>
      <c r="E255" s="0" t="s">
        <v>86</v>
      </c>
      <c r="F255" s="0" t="s">
        <v>701</v>
      </c>
    </row>
    <row r="256" customFormat="false" ht="15" hidden="false" customHeight="false" outlineLevel="0" collapsed="false">
      <c r="D256" s="73" t="s">
        <v>984</v>
      </c>
      <c r="E256" s="0" t="s">
        <v>86</v>
      </c>
      <c r="F256" s="0" t="s">
        <v>985</v>
      </c>
    </row>
    <row r="257" customFormat="false" ht="15" hidden="false" customHeight="false" outlineLevel="0" collapsed="false">
      <c r="D257" s="74" t="s">
        <v>986</v>
      </c>
      <c r="E257" s="75" t="s">
        <v>86</v>
      </c>
      <c r="F257" s="75" t="s">
        <v>987</v>
      </c>
    </row>
    <row r="258" customFormat="false" ht="15" hidden="false" customHeight="false" outlineLevel="0" collapsed="false">
      <c r="D258" s="74" t="s">
        <v>988</v>
      </c>
      <c r="E258" s="75" t="s">
        <v>86</v>
      </c>
      <c r="F258" s="75" t="s">
        <v>473</v>
      </c>
    </row>
    <row r="259" customFormat="false" ht="15" hidden="false" customHeight="false" outlineLevel="0" collapsed="false">
      <c r="D259" s="74" t="s">
        <v>989</v>
      </c>
      <c r="E259" s="75" t="s">
        <v>86</v>
      </c>
      <c r="F259" s="75" t="s">
        <v>473</v>
      </c>
    </row>
    <row r="260" customFormat="false" ht="15" hidden="false" customHeight="false" outlineLevel="0" collapsed="false">
      <c r="D260" s="74" t="s">
        <v>990</v>
      </c>
      <c r="E260" s="75" t="s">
        <v>86</v>
      </c>
      <c r="F260" s="75" t="s">
        <v>473</v>
      </c>
    </row>
    <row r="261" customFormat="false" ht="15" hidden="false" customHeight="false" outlineLevel="0" collapsed="false">
      <c r="D261" s="74" t="s">
        <v>991</v>
      </c>
      <c r="E261" s="75" t="s">
        <v>86</v>
      </c>
      <c r="F261" s="75" t="s">
        <v>473</v>
      </c>
    </row>
    <row r="262" customFormat="false" ht="15" hidden="false" customHeight="false" outlineLevel="0" collapsed="false">
      <c r="D262" s="74" t="s">
        <v>992</v>
      </c>
      <c r="E262" s="75" t="s">
        <v>86</v>
      </c>
      <c r="F262" s="75" t="s">
        <v>473</v>
      </c>
    </row>
    <row r="263" customFormat="false" ht="15" hidden="false" customHeight="false" outlineLevel="0" collapsed="false">
      <c r="D263" s="74" t="s">
        <v>993</v>
      </c>
      <c r="E263" s="75" t="s">
        <v>86</v>
      </c>
      <c r="F263" s="75" t="s">
        <v>473</v>
      </c>
    </row>
    <row r="264" customFormat="false" ht="15" hidden="false" customHeight="false" outlineLevel="0" collapsed="false">
      <c r="D264" s="74" t="s">
        <v>994</v>
      </c>
      <c r="E264" s="75" t="s">
        <v>212</v>
      </c>
      <c r="F264" s="75" t="s">
        <v>473</v>
      </c>
    </row>
    <row r="265" customFormat="false" ht="15" hidden="false" customHeight="false" outlineLevel="0" collapsed="false">
      <c r="D265" s="73" t="s">
        <v>995</v>
      </c>
      <c r="E265" s="0" t="s">
        <v>92</v>
      </c>
      <c r="F265" s="0" t="s">
        <v>996</v>
      </c>
    </row>
    <row r="266" customFormat="false" ht="15" hidden="false" customHeight="false" outlineLevel="0" collapsed="false">
      <c r="D266" s="73" t="s">
        <v>997</v>
      </c>
      <c r="E266" s="0" t="s">
        <v>92</v>
      </c>
      <c r="F266" s="0" t="s">
        <v>996</v>
      </c>
    </row>
    <row r="267" customFormat="false" ht="15" hidden="false" customHeight="false" outlineLevel="0" collapsed="false">
      <c r="D267" s="73" t="s">
        <v>998</v>
      </c>
      <c r="E267" s="0" t="s">
        <v>92</v>
      </c>
      <c r="F267" s="0" t="s">
        <v>473</v>
      </c>
    </row>
    <row r="268" customFormat="false" ht="15" hidden="false" customHeight="false" outlineLevel="0" collapsed="false">
      <c r="D268" s="74" t="s">
        <v>999</v>
      </c>
      <c r="E268" s="75" t="s">
        <v>155</v>
      </c>
      <c r="F268" s="75" t="s">
        <v>1000</v>
      </c>
    </row>
    <row r="269" customFormat="false" ht="15" hidden="false" customHeight="false" outlineLevel="0" collapsed="false">
      <c r="D269" s="74" t="s">
        <v>1001</v>
      </c>
      <c r="E269" s="75" t="s">
        <v>155</v>
      </c>
      <c r="F269" s="75" t="s">
        <v>473</v>
      </c>
    </row>
    <row r="270" customFormat="false" ht="15" hidden="false" customHeight="false" outlineLevel="0" collapsed="false">
      <c r="D270" s="73" t="s">
        <v>1002</v>
      </c>
      <c r="E270" s="0" t="s">
        <v>22</v>
      </c>
      <c r="F270" s="0" t="s">
        <v>694</v>
      </c>
    </row>
    <row r="271" customFormat="false" ht="15" hidden="false" customHeight="false" outlineLevel="0" collapsed="false">
      <c r="D271" s="73" t="s">
        <v>1003</v>
      </c>
      <c r="E271" s="0" t="s">
        <v>22</v>
      </c>
      <c r="F271" s="0" t="s">
        <v>694</v>
      </c>
    </row>
    <row r="272" customFormat="false" ht="15" hidden="false" customHeight="false" outlineLevel="0" collapsed="false">
      <c r="D272" s="73" t="s">
        <v>1004</v>
      </c>
      <c r="E272" s="0" t="s">
        <v>22</v>
      </c>
      <c r="F272" s="0" t="s">
        <v>473</v>
      </c>
    </row>
    <row r="273" customFormat="false" ht="15" hidden="false" customHeight="false" outlineLevel="0" collapsed="false">
      <c r="D273" s="73" t="s">
        <v>1005</v>
      </c>
      <c r="E273" s="0" t="s">
        <v>22</v>
      </c>
      <c r="F273" s="0" t="s">
        <v>701</v>
      </c>
    </row>
    <row r="274" customFormat="false" ht="15" hidden="false" customHeight="false" outlineLevel="0" collapsed="false">
      <c r="D274" s="73" t="s">
        <v>1006</v>
      </c>
      <c r="E274" s="0" t="s">
        <v>22</v>
      </c>
      <c r="F274" s="0" t="s">
        <v>1007</v>
      </c>
    </row>
    <row r="275" customFormat="false" ht="15" hidden="false" customHeight="false" outlineLevel="0" collapsed="false">
      <c r="D275" s="74" t="s">
        <v>1008</v>
      </c>
      <c r="E275" s="75" t="s">
        <v>22</v>
      </c>
      <c r="F275" s="75" t="s">
        <v>473</v>
      </c>
    </row>
    <row r="276" customFormat="false" ht="15" hidden="false" customHeight="false" outlineLevel="0" collapsed="false">
      <c r="D276" s="74" t="s">
        <v>1009</v>
      </c>
      <c r="E276" s="75" t="s">
        <v>22</v>
      </c>
      <c r="F276" s="75" t="s">
        <v>473</v>
      </c>
    </row>
    <row r="277" customFormat="false" ht="15" hidden="false" customHeight="false" outlineLevel="0" collapsed="false">
      <c r="D277" s="74" t="s">
        <v>1010</v>
      </c>
      <c r="E277" s="75" t="s">
        <v>22</v>
      </c>
      <c r="F277" s="75" t="s">
        <v>473</v>
      </c>
    </row>
    <row r="278" customFormat="false" ht="15" hidden="false" customHeight="false" outlineLevel="0" collapsed="false">
      <c r="D278" s="74" t="s">
        <v>1011</v>
      </c>
      <c r="E278" s="75" t="s">
        <v>22</v>
      </c>
      <c r="F278" s="75" t="s">
        <v>473</v>
      </c>
    </row>
    <row r="279" customFormat="false" ht="15" hidden="false" customHeight="false" outlineLevel="0" collapsed="false">
      <c r="D279" s="74" t="s">
        <v>1012</v>
      </c>
      <c r="E279" s="75" t="s">
        <v>22</v>
      </c>
      <c r="F279" s="75" t="s">
        <v>473</v>
      </c>
    </row>
    <row r="280" customFormat="false" ht="15" hidden="false" customHeight="false" outlineLevel="0" collapsed="false">
      <c r="D280" s="74" t="s">
        <v>1013</v>
      </c>
      <c r="E280" s="75" t="s">
        <v>22</v>
      </c>
      <c r="F280" s="75" t="s">
        <v>473</v>
      </c>
    </row>
    <row r="281" customFormat="false" ht="15" hidden="false" customHeight="false" outlineLevel="0" collapsed="false">
      <c r="D281" s="73" t="s">
        <v>1014</v>
      </c>
      <c r="E281" s="0" t="s">
        <v>139</v>
      </c>
      <c r="F281" s="0" t="s">
        <v>473</v>
      </c>
    </row>
    <row r="282" customFormat="false" ht="15" hidden="false" customHeight="false" outlineLevel="0" collapsed="false">
      <c r="D282" s="73" t="s">
        <v>1015</v>
      </c>
      <c r="E282" s="0" t="s">
        <v>139</v>
      </c>
      <c r="F282" s="0" t="s">
        <v>1016</v>
      </c>
    </row>
    <row r="283" customFormat="false" ht="15" hidden="false" customHeight="false" outlineLevel="0" collapsed="false">
      <c r="D283" s="74" t="s">
        <v>1017</v>
      </c>
      <c r="E283" s="75" t="s">
        <v>139</v>
      </c>
      <c r="F283" s="75" t="s">
        <v>473</v>
      </c>
    </row>
    <row r="284" customFormat="false" ht="15" hidden="false" customHeight="false" outlineLevel="0" collapsed="false">
      <c r="D284" s="74" t="s">
        <v>1018</v>
      </c>
      <c r="E284" s="75" t="s">
        <v>139</v>
      </c>
      <c r="F284" s="75" t="s">
        <v>1019</v>
      </c>
    </row>
    <row r="285" customFormat="false" ht="15" hidden="false" customHeight="false" outlineLevel="0" collapsed="false">
      <c r="D285" s="73" t="s">
        <v>1020</v>
      </c>
      <c r="E285" s="0" t="s">
        <v>1021</v>
      </c>
      <c r="F285" s="0" t="s">
        <v>710</v>
      </c>
    </row>
    <row r="286" customFormat="false" ht="15" hidden="false" customHeight="false" outlineLevel="0" collapsed="false">
      <c r="D286" s="73" t="s">
        <v>1022</v>
      </c>
      <c r="E286" s="0" t="s">
        <v>1021</v>
      </c>
      <c r="F286" s="0" t="s">
        <v>710</v>
      </c>
    </row>
    <row r="287" customFormat="false" ht="15" hidden="false" customHeight="false" outlineLevel="0" collapsed="false">
      <c r="D287" s="73" t="s">
        <v>1023</v>
      </c>
      <c r="E287" s="0" t="s">
        <v>1021</v>
      </c>
      <c r="F287" s="0" t="s">
        <v>1024</v>
      </c>
    </row>
    <row r="288" customFormat="false" ht="15" hidden="false" customHeight="false" outlineLevel="0" collapsed="false">
      <c r="D288" s="73" t="s">
        <v>1025</v>
      </c>
      <c r="E288" s="0" t="s">
        <v>1021</v>
      </c>
      <c r="F288" s="0" t="s">
        <v>688</v>
      </c>
    </row>
    <row r="289" customFormat="false" ht="13.8" hidden="false" customHeight="false" outlineLevel="0" collapsed="false">
      <c r="D289" s="73" t="s">
        <v>1026</v>
      </c>
      <c r="E289" s="0" t="s">
        <v>1021</v>
      </c>
      <c r="F289" s="0" t="s">
        <v>694</v>
      </c>
    </row>
    <row r="290" customFormat="false" ht="13.8" hidden="false" customHeight="false" outlineLevel="0" collapsed="false">
      <c r="D290" s="73" t="s">
        <v>1027</v>
      </c>
      <c r="E290" s="0" t="s">
        <v>1021</v>
      </c>
      <c r="F290" s="0" t="s">
        <v>694</v>
      </c>
    </row>
    <row r="291" customFormat="false" ht="15" hidden="false" customHeight="false" outlineLevel="0" collapsed="false">
      <c r="D291" s="73" t="s">
        <v>1028</v>
      </c>
      <c r="E291" s="0" t="s">
        <v>1021</v>
      </c>
      <c r="F291" s="0" t="s">
        <v>1029</v>
      </c>
    </row>
    <row r="292" customFormat="false" ht="15" hidden="false" customHeight="false" outlineLevel="0" collapsed="false">
      <c r="D292" s="73" t="s">
        <v>1030</v>
      </c>
      <c r="E292" s="0" t="s">
        <v>1021</v>
      </c>
      <c r="F292" s="0" t="s">
        <v>1024</v>
      </c>
    </row>
    <row r="293" customFormat="false" ht="15" hidden="false" customHeight="false" outlineLevel="0" collapsed="false">
      <c r="D293" s="73" t="s">
        <v>1031</v>
      </c>
      <c r="E293" s="0" t="s">
        <v>1021</v>
      </c>
      <c r="F293" s="0" t="s">
        <v>1032</v>
      </c>
    </row>
    <row r="294" customFormat="false" ht="15" hidden="false" customHeight="false" outlineLevel="0" collapsed="false">
      <c r="D294" s="73" t="s">
        <v>1033</v>
      </c>
      <c r="E294" s="0" t="s">
        <v>1021</v>
      </c>
      <c r="F294" s="0" t="s">
        <v>688</v>
      </c>
    </row>
    <row r="295" customFormat="false" ht="15" hidden="false" customHeight="false" outlineLevel="0" collapsed="false">
      <c r="D295" s="73" t="s">
        <v>1034</v>
      </c>
      <c r="E295" s="0" t="s">
        <v>1021</v>
      </c>
      <c r="F295" s="0" t="s">
        <v>1029</v>
      </c>
    </row>
    <row r="296" customFormat="false" ht="15" hidden="false" customHeight="false" outlineLevel="0" collapsed="false">
      <c r="D296" s="73" t="s">
        <v>1035</v>
      </c>
      <c r="E296" s="0" t="s">
        <v>1021</v>
      </c>
      <c r="F296" s="0" t="s">
        <v>1029</v>
      </c>
    </row>
    <row r="297" customFormat="false" ht="15" hidden="false" customHeight="false" outlineLevel="0" collapsed="false">
      <c r="D297" s="73" t="s">
        <v>1036</v>
      </c>
      <c r="E297" s="0" t="s">
        <v>1021</v>
      </c>
      <c r="F297" s="0" t="s">
        <v>1029</v>
      </c>
    </row>
    <row r="298" customFormat="false" ht="15" hidden="false" customHeight="false" outlineLevel="0" collapsed="false">
      <c r="D298" s="73" t="s">
        <v>1037</v>
      </c>
      <c r="E298" s="0" t="s">
        <v>1021</v>
      </c>
      <c r="F298" s="0" t="s">
        <v>1024</v>
      </c>
    </row>
    <row r="299" customFormat="false" ht="15" hidden="false" customHeight="false" outlineLevel="0" collapsed="false">
      <c r="D299" s="73" t="s">
        <v>1038</v>
      </c>
      <c r="E299" s="0" t="s">
        <v>1021</v>
      </c>
      <c r="F299" s="0" t="s">
        <v>690</v>
      </c>
    </row>
    <row r="300" customFormat="false" ht="15" hidden="false" customHeight="false" outlineLevel="0" collapsed="false">
      <c r="D300" s="73" t="s">
        <v>1039</v>
      </c>
      <c r="E300" s="0" t="s">
        <v>1021</v>
      </c>
      <c r="F300" s="0" t="s">
        <v>1029</v>
      </c>
    </row>
    <row r="301" customFormat="false" ht="15" hidden="false" customHeight="false" outlineLevel="0" collapsed="false">
      <c r="D301" s="73" t="s">
        <v>1040</v>
      </c>
      <c r="E301" s="0" t="s">
        <v>1021</v>
      </c>
      <c r="F301" s="0" t="s">
        <v>690</v>
      </c>
    </row>
    <row r="302" customFormat="false" ht="15" hidden="false" customHeight="false" outlineLevel="0" collapsed="false">
      <c r="D302" s="73" t="s">
        <v>1041</v>
      </c>
      <c r="E302" s="0" t="s">
        <v>1021</v>
      </c>
      <c r="F302" s="0" t="s">
        <v>694</v>
      </c>
    </row>
    <row r="303" customFormat="false" ht="15" hidden="false" customHeight="false" outlineLevel="0" collapsed="false">
      <c r="D303" s="73" t="s">
        <v>1042</v>
      </c>
      <c r="E303" s="0" t="s">
        <v>1021</v>
      </c>
      <c r="F303" s="0" t="s">
        <v>1024</v>
      </c>
    </row>
    <row r="304" customFormat="false" ht="15" hidden="false" customHeight="false" outlineLevel="0" collapsed="false">
      <c r="D304" s="73" t="s">
        <v>1043</v>
      </c>
      <c r="E304" s="0" t="s">
        <v>1021</v>
      </c>
      <c r="F304" s="0" t="s">
        <v>694</v>
      </c>
    </row>
    <row r="305" customFormat="false" ht="15" hidden="false" customHeight="false" outlineLevel="0" collapsed="false">
      <c r="D305" s="73" t="s">
        <v>1044</v>
      </c>
      <c r="E305" s="0" t="s">
        <v>1021</v>
      </c>
      <c r="F305" s="0" t="s">
        <v>1024</v>
      </c>
    </row>
    <row r="306" customFormat="false" ht="15" hidden="false" customHeight="false" outlineLevel="0" collapsed="false">
      <c r="D306" s="73" t="s">
        <v>1045</v>
      </c>
      <c r="E306" s="0" t="s">
        <v>1021</v>
      </c>
      <c r="F306" s="0" t="s">
        <v>688</v>
      </c>
    </row>
    <row r="307" customFormat="false" ht="15" hidden="false" customHeight="false" outlineLevel="0" collapsed="false">
      <c r="D307" s="74" t="s">
        <v>1046</v>
      </c>
      <c r="E307" s="75" t="s">
        <v>1021</v>
      </c>
      <c r="F307" s="75" t="s">
        <v>634</v>
      </c>
    </row>
    <row r="308" customFormat="false" ht="15" hidden="false" customHeight="false" outlineLevel="0" collapsed="false">
      <c r="D308" s="74" t="s">
        <v>1047</v>
      </c>
      <c r="E308" s="75" t="s">
        <v>1021</v>
      </c>
      <c r="F308" s="75" t="n">
        <v>2</v>
      </c>
    </row>
    <row r="309" customFormat="false" ht="15" hidden="false" customHeight="false" outlineLevel="0" collapsed="false">
      <c r="D309" s="73" t="s">
        <v>1048</v>
      </c>
      <c r="E309" s="0" t="s">
        <v>1049</v>
      </c>
      <c r="F309" s="0" t="s">
        <v>690</v>
      </c>
    </row>
    <row r="310" customFormat="false" ht="15" hidden="false" customHeight="false" outlineLevel="0" collapsed="false">
      <c r="D310" s="73" t="s">
        <v>1050</v>
      </c>
      <c r="E310" s="0" t="s">
        <v>159</v>
      </c>
      <c r="F310" s="0" t="s">
        <v>1051</v>
      </c>
    </row>
    <row r="311" customFormat="false" ht="15" hidden="false" customHeight="false" outlineLevel="0" collapsed="false">
      <c r="D311" s="74" t="s">
        <v>1052</v>
      </c>
      <c r="E311" s="75" t="s">
        <v>172</v>
      </c>
      <c r="F311" s="75" t="s">
        <v>473</v>
      </c>
    </row>
    <row r="312" customFormat="false" ht="15" hidden="false" customHeight="false" outlineLevel="0" collapsed="false">
      <c r="D312" s="74" t="s">
        <v>1053</v>
      </c>
      <c r="E312" s="75" t="s">
        <v>172</v>
      </c>
      <c r="F312" s="75" t="s">
        <v>473</v>
      </c>
    </row>
    <row r="313" customFormat="false" ht="15" hidden="false" customHeight="false" outlineLevel="0" collapsed="false">
      <c r="D313" s="73" t="s">
        <v>1054</v>
      </c>
      <c r="E313" s="0" t="s">
        <v>188</v>
      </c>
      <c r="F313" s="0" t="s">
        <v>473</v>
      </c>
    </row>
    <row r="314" customFormat="false" ht="15" hidden="false" customHeight="false" outlineLevel="0" collapsed="false">
      <c r="D314" s="73" t="s">
        <v>1055</v>
      </c>
      <c r="E314" s="0" t="s">
        <v>492</v>
      </c>
      <c r="F314" s="0" t="s">
        <v>473</v>
      </c>
    </row>
    <row r="315" customFormat="false" ht="15" hidden="false" customHeight="false" outlineLevel="0" collapsed="false">
      <c r="D315" s="73" t="s">
        <v>1056</v>
      </c>
      <c r="E315" s="0" t="s">
        <v>290</v>
      </c>
      <c r="F315" s="0" t="s">
        <v>1057</v>
      </c>
    </row>
    <row r="316" customFormat="false" ht="15" hidden="false" customHeight="false" outlineLevel="0" collapsed="false">
      <c r="D316" s="73" t="s">
        <v>1058</v>
      </c>
      <c r="E316" s="0" t="s">
        <v>290</v>
      </c>
      <c r="F316" s="0" t="s">
        <v>1059</v>
      </c>
    </row>
    <row r="317" customFormat="false" ht="15" hidden="false" customHeight="false" outlineLevel="0" collapsed="false">
      <c r="D317" s="73" t="s">
        <v>1060</v>
      </c>
      <c r="E317" s="0" t="s">
        <v>290</v>
      </c>
      <c r="F317" s="0" t="s">
        <v>473</v>
      </c>
    </row>
    <row r="318" customFormat="false" ht="15" hidden="false" customHeight="false" outlineLevel="0" collapsed="false">
      <c r="D318" s="73" t="s">
        <v>1061</v>
      </c>
      <c r="E318" s="0" t="s">
        <v>290</v>
      </c>
      <c r="F318" s="0" t="s">
        <v>1062</v>
      </c>
    </row>
    <row r="319" customFormat="false" ht="15" hidden="false" customHeight="false" outlineLevel="0" collapsed="false">
      <c r="D319" s="73" t="s">
        <v>1063</v>
      </c>
      <c r="E319" s="0" t="s">
        <v>290</v>
      </c>
      <c r="F319" s="0" t="s">
        <v>473</v>
      </c>
    </row>
    <row r="320" customFormat="false" ht="15" hidden="false" customHeight="false" outlineLevel="0" collapsed="false">
      <c r="D320" s="74" t="s">
        <v>1064</v>
      </c>
      <c r="E320" s="75" t="s">
        <v>290</v>
      </c>
      <c r="F320" s="75" t="s">
        <v>473</v>
      </c>
    </row>
    <row r="321" customFormat="false" ht="15" hidden="false" customHeight="false" outlineLevel="0" collapsed="false">
      <c r="D321" s="73" t="s">
        <v>1065</v>
      </c>
      <c r="E321" s="0" t="s">
        <v>53</v>
      </c>
      <c r="F321" s="0" t="s">
        <v>473</v>
      </c>
    </row>
    <row r="322" customFormat="false" ht="15" hidden="false" customHeight="false" outlineLevel="0" collapsed="false">
      <c r="D322" s="74" t="s">
        <v>1066</v>
      </c>
      <c r="E322" s="75" t="s">
        <v>53</v>
      </c>
      <c r="F322" s="75" t="s">
        <v>634</v>
      </c>
    </row>
    <row r="323" customFormat="false" ht="15" hidden="false" customHeight="false" outlineLevel="0" collapsed="false">
      <c r="D323" s="74" t="s">
        <v>1067</v>
      </c>
      <c r="E323" s="75" t="s">
        <v>53</v>
      </c>
      <c r="F323" s="75" t="s">
        <v>634</v>
      </c>
    </row>
    <row r="324" customFormat="false" ht="15" hidden="false" customHeight="false" outlineLevel="0" collapsed="false">
      <c r="D324" s="74" t="s">
        <v>1068</v>
      </c>
      <c r="E324" s="75" t="s">
        <v>53</v>
      </c>
      <c r="F324" s="75" t="s">
        <v>473</v>
      </c>
    </row>
    <row r="325" customFormat="false" ht="15" hidden="false" customHeight="false" outlineLevel="0" collapsed="false">
      <c r="D325" s="74" t="s">
        <v>1069</v>
      </c>
      <c r="E325" s="75" t="s">
        <v>53</v>
      </c>
      <c r="F325" s="75" t="s">
        <v>473</v>
      </c>
    </row>
    <row r="326" customFormat="false" ht="15" hidden="false" customHeight="false" outlineLevel="0" collapsed="false">
      <c r="D326" s="74" t="s">
        <v>1070</v>
      </c>
      <c r="E326" s="75" t="s">
        <v>53</v>
      </c>
      <c r="F326" s="75" t="n">
        <v>14</v>
      </c>
    </row>
    <row r="327" customFormat="false" ht="15" hidden="false" customHeight="false" outlineLevel="0" collapsed="false">
      <c r="D327" s="73" t="s">
        <v>1071</v>
      </c>
      <c r="E327" s="0" t="s">
        <v>56</v>
      </c>
      <c r="F327" s="0" t="s">
        <v>1072</v>
      </c>
    </row>
    <row r="328" customFormat="false" ht="15" hidden="false" customHeight="false" outlineLevel="0" collapsed="false">
      <c r="D328" s="74" t="s">
        <v>1073</v>
      </c>
      <c r="E328" s="75" t="s">
        <v>56</v>
      </c>
      <c r="F328" s="75" t="s">
        <v>473</v>
      </c>
    </row>
    <row r="329" customFormat="false" ht="15" hidden="false" customHeight="false" outlineLevel="0" collapsed="false">
      <c r="D329" s="74" t="s">
        <v>1074</v>
      </c>
      <c r="E329" s="75" t="s">
        <v>56</v>
      </c>
      <c r="F329" s="75" t="s">
        <v>473</v>
      </c>
    </row>
    <row r="330" customFormat="false" ht="15" hidden="false" customHeight="false" outlineLevel="0" collapsed="false">
      <c r="D330" s="74" t="s">
        <v>1075</v>
      </c>
      <c r="E330" s="75" t="s">
        <v>56</v>
      </c>
      <c r="F330" s="75" t="s">
        <v>473</v>
      </c>
    </row>
    <row r="331" customFormat="false" ht="15" hidden="false" customHeight="false" outlineLevel="0" collapsed="false">
      <c r="D331" s="73" t="s">
        <v>1076</v>
      </c>
      <c r="E331" s="0" t="s">
        <v>54</v>
      </c>
      <c r="F331" s="0" t="s">
        <v>1072</v>
      </c>
    </row>
    <row r="332" customFormat="false" ht="15" hidden="false" customHeight="false" outlineLevel="0" collapsed="false">
      <c r="D332" s="74" t="s">
        <v>1077</v>
      </c>
      <c r="E332" s="75" t="s">
        <v>54</v>
      </c>
      <c r="F332" s="75" t="s">
        <v>473</v>
      </c>
    </row>
    <row r="333" customFormat="false" ht="15" hidden="false" customHeight="false" outlineLevel="0" collapsed="false">
      <c r="D333" s="74" t="s">
        <v>1078</v>
      </c>
      <c r="E333" s="75" t="s">
        <v>54</v>
      </c>
      <c r="F333" s="75" t="s">
        <v>473</v>
      </c>
    </row>
    <row r="334" customFormat="false" ht="15" hidden="false" customHeight="false" outlineLevel="0" collapsed="false">
      <c r="D334" s="74" t="s">
        <v>1079</v>
      </c>
      <c r="E334" s="75" t="s">
        <v>54</v>
      </c>
      <c r="F334" s="75" t="n">
        <v>1</v>
      </c>
    </row>
    <row r="335" customFormat="false" ht="15" hidden="false" customHeight="false" outlineLevel="0" collapsed="false">
      <c r="D335" s="74" t="s">
        <v>1080</v>
      </c>
      <c r="E335" s="75" t="s">
        <v>55</v>
      </c>
      <c r="F335" s="75" t="s">
        <v>473</v>
      </c>
    </row>
    <row r="336" customFormat="false" ht="15" hidden="false" customHeight="false" outlineLevel="0" collapsed="false">
      <c r="D336" s="74" t="s">
        <v>1081</v>
      </c>
      <c r="E336" s="75" t="s">
        <v>55</v>
      </c>
      <c r="F336" s="75" t="s">
        <v>473</v>
      </c>
    </row>
    <row r="337" customFormat="false" ht="15" hidden="false" customHeight="false" outlineLevel="0" collapsed="false">
      <c r="D337" s="74" t="s">
        <v>1082</v>
      </c>
      <c r="E337" s="75" t="s">
        <v>154</v>
      </c>
      <c r="F337" s="75" t="s">
        <v>891</v>
      </c>
    </row>
    <row r="338" customFormat="false" ht="15" hidden="false" customHeight="false" outlineLevel="0" collapsed="false">
      <c r="D338" s="74" t="s">
        <v>1083</v>
      </c>
      <c r="E338" s="75" t="s">
        <v>154</v>
      </c>
      <c r="F338" s="75" t="s">
        <v>473</v>
      </c>
    </row>
    <row r="339" customFormat="false" ht="15" hidden="false" customHeight="false" outlineLevel="0" collapsed="false">
      <c r="D339" s="74" t="s">
        <v>1084</v>
      </c>
      <c r="E339" s="75" t="s">
        <v>154</v>
      </c>
      <c r="F339" s="75" t="s">
        <v>1016</v>
      </c>
    </row>
    <row r="340" customFormat="false" ht="15" hidden="false" customHeight="false" outlineLevel="0" collapsed="false">
      <c r="D340" s="74" t="s">
        <v>1085</v>
      </c>
      <c r="E340" s="75" t="s">
        <v>78</v>
      </c>
      <c r="F340" s="75" t="s">
        <v>634</v>
      </c>
    </row>
    <row r="341" customFormat="false" ht="15" hidden="false" customHeight="false" outlineLevel="0" collapsed="false">
      <c r="D341" s="74" t="s">
        <v>1086</v>
      </c>
      <c r="E341" s="75" t="s">
        <v>78</v>
      </c>
      <c r="F341" s="75" t="s">
        <v>473</v>
      </c>
    </row>
    <row r="342" customFormat="false" ht="15" hidden="false" customHeight="false" outlineLevel="0" collapsed="false">
      <c r="D342" s="74" t="s">
        <v>1087</v>
      </c>
      <c r="E342" s="75" t="s">
        <v>43</v>
      </c>
      <c r="F342" s="75" t="s">
        <v>1088</v>
      </c>
    </row>
    <row r="343" customFormat="false" ht="15" hidden="false" customHeight="false" outlineLevel="0" collapsed="false">
      <c r="D343" s="74" t="s">
        <v>1089</v>
      </c>
      <c r="E343" s="75" t="s">
        <v>43</v>
      </c>
      <c r="F343" s="75" t="s">
        <v>634</v>
      </c>
    </row>
    <row r="344" customFormat="false" ht="15" hidden="false" customHeight="false" outlineLevel="0" collapsed="false">
      <c r="D344" s="74" t="s">
        <v>1090</v>
      </c>
      <c r="E344" s="75" t="s">
        <v>43</v>
      </c>
      <c r="F344" s="75" t="s">
        <v>473</v>
      </c>
    </row>
    <row r="345" customFormat="false" ht="15" hidden="false" customHeight="false" outlineLevel="0" collapsed="false">
      <c r="D345" s="73" t="s">
        <v>1091</v>
      </c>
      <c r="E345" s="0" t="s">
        <v>83</v>
      </c>
      <c r="F345" s="0" t="s">
        <v>1092</v>
      </c>
    </row>
    <row r="346" customFormat="false" ht="15" hidden="false" customHeight="false" outlineLevel="0" collapsed="false">
      <c r="D346" s="73" t="s">
        <v>1093</v>
      </c>
      <c r="E346" s="0" t="s">
        <v>83</v>
      </c>
      <c r="F346" s="0" t="s">
        <v>1094</v>
      </c>
    </row>
    <row r="347" customFormat="false" ht="15" hidden="false" customHeight="false" outlineLevel="0" collapsed="false">
      <c r="D347" s="73" t="s">
        <v>1095</v>
      </c>
      <c r="E347" s="0" t="s">
        <v>83</v>
      </c>
      <c r="F347" s="0" t="s">
        <v>473</v>
      </c>
    </row>
    <row r="348" customFormat="false" ht="15" hidden="false" customHeight="false" outlineLevel="0" collapsed="false">
      <c r="D348" s="73" t="s">
        <v>1096</v>
      </c>
      <c r="E348" s="0" t="s">
        <v>83</v>
      </c>
      <c r="F348" s="0" t="s">
        <v>1097</v>
      </c>
    </row>
    <row r="349" customFormat="false" ht="15" hidden="false" customHeight="false" outlineLevel="0" collapsed="false">
      <c r="D349" s="74" t="s">
        <v>1098</v>
      </c>
      <c r="E349" s="75" t="s">
        <v>200</v>
      </c>
      <c r="F349" s="75" t="s">
        <v>473</v>
      </c>
    </row>
    <row r="350" customFormat="false" ht="15" hidden="false" customHeight="false" outlineLevel="0" collapsed="false">
      <c r="D350" s="73" t="s">
        <v>1099</v>
      </c>
      <c r="E350" s="0" t="s">
        <v>126</v>
      </c>
      <c r="F350" s="0" t="s">
        <v>473</v>
      </c>
    </row>
    <row r="351" customFormat="false" ht="15" hidden="false" customHeight="false" outlineLevel="0" collapsed="false">
      <c r="D351" s="73" t="s">
        <v>1100</v>
      </c>
      <c r="E351" s="0" t="s">
        <v>150</v>
      </c>
      <c r="F351" s="0" t="s">
        <v>473</v>
      </c>
    </row>
    <row r="352" customFormat="false" ht="15" hidden="false" customHeight="false" outlineLevel="0" collapsed="false">
      <c r="D352" s="74" t="s">
        <v>1101</v>
      </c>
      <c r="E352" s="75" t="s">
        <v>150</v>
      </c>
      <c r="F352" s="75" t="s">
        <v>473</v>
      </c>
    </row>
    <row r="353" customFormat="false" ht="15" hidden="false" customHeight="false" outlineLevel="0" collapsed="false">
      <c r="D353" s="73" t="s">
        <v>1102</v>
      </c>
      <c r="E353" s="0" t="s">
        <v>1103</v>
      </c>
      <c r="F353" s="0" t="s">
        <v>473</v>
      </c>
    </row>
    <row r="354" customFormat="false" ht="15" hidden="false" customHeight="false" outlineLevel="0" collapsed="false">
      <c r="D354" s="74" t="s">
        <v>1104</v>
      </c>
      <c r="E354" s="75" t="s">
        <v>207</v>
      </c>
      <c r="F354" s="75" t="s">
        <v>634</v>
      </c>
    </row>
    <row r="355" customFormat="false" ht="15" hidden="false" customHeight="false" outlineLevel="0" collapsed="false">
      <c r="D355" s="73" t="s">
        <v>1105</v>
      </c>
      <c r="E355" s="0" t="s">
        <v>110</v>
      </c>
      <c r="F355" s="0" t="s">
        <v>1106</v>
      </c>
    </row>
    <row r="356" customFormat="false" ht="15" hidden="false" customHeight="false" outlineLevel="0" collapsed="false">
      <c r="D356" s="73" t="s">
        <v>1107</v>
      </c>
      <c r="E356" s="0" t="s">
        <v>110</v>
      </c>
      <c r="F356" s="0" t="s">
        <v>1108</v>
      </c>
    </row>
    <row r="357" customFormat="false" ht="15" hidden="false" customHeight="false" outlineLevel="0" collapsed="false">
      <c r="D357" s="73" t="s">
        <v>1109</v>
      </c>
      <c r="E357" s="0" t="s">
        <v>110</v>
      </c>
      <c r="F357" s="0" t="s">
        <v>1110</v>
      </c>
    </row>
    <row r="358" customFormat="false" ht="15" hidden="false" customHeight="false" outlineLevel="0" collapsed="false">
      <c r="D358" s="73" t="s">
        <v>1111</v>
      </c>
      <c r="E358" s="0" t="s">
        <v>110</v>
      </c>
      <c r="F358" s="0" t="s">
        <v>1112</v>
      </c>
    </row>
    <row r="359" customFormat="false" ht="15" hidden="false" customHeight="false" outlineLevel="0" collapsed="false">
      <c r="D359" s="73" t="s">
        <v>1113</v>
      </c>
      <c r="E359" s="0" t="s">
        <v>110</v>
      </c>
      <c r="F359" s="0" t="s">
        <v>1114</v>
      </c>
    </row>
    <row r="360" customFormat="false" ht="15" hidden="false" customHeight="false" outlineLevel="0" collapsed="false">
      <c r="D360" s="73" t="s">
        <v>1115</v>
      </c>
      <c r="E360" s="0" t="s">
        <v>110</v>
      </c>
      <c r="F360" s="0" t="s">
        <v>473</v>
      </c>
    </row>
    <row r="361" customFormat="false" ht="15" hidden="false" customHeight="false" outlineLevel="0" collapsed="false">
      <c r="D361" s="73" t="s">
        <v>1116</v>
      </c>
      <c r="E361" s="0" t="s">
        <v>110</v>
      </c>
      <c r="F361" s="0" t="s">
        <v>473</v>
      </c>
    </row>
    <row r="362" customFormat="false" ht="15" hidden="false" customHeight="false" outlineLevel="0" collapsed="false">
      <c r="D362" s="73" t="s">
        <v>1117</v>
      </c>
      <c r="E362" s="0" t="s">
        <v>110</v>
      </c>
      <c r="F362" s="0" t="n">
        <v>1</v>
      </c>
    </row>
    <row r="363" customFormat="false" ht="15" hidden="false" customHeight="false" outlineLevel="0" collapsed="false">
      <c r="D363" s="73" t="s">
        <v>1118</v>
      </c>
      <c r="E363" s="0" t="s">
        <v>110</v>
      </c>
      <c r="F363" s="0" t="s">
        <v>1119</v>
      </c>
    </row>
    <row r="364" customFormat="false" ht="15" hidden="false" customHeight="false" outlineLevel="0" collapsed="false">
      <c r="D364" s="74" t="s">
        <v>1120</v>
      </c>
      <c r="E364" s="75" t="s">
        <v>110</v>
      </c>
      <c r="F364" s="75" t="s">
        <v>707</v>
      </c>
    </row>
    <row r="365" customFormat="false" ht="15" hidden="false" customHeight="false" outlineLevel="0" collapsed="false">
      <c r="D365" s="74" t="s">
        <v>1121</v>
      </c>
      <c r="E365" s="75" t="s">
        <v>110</v>
      </c>
      <c r="F365" s="75" t="s">
        <v>634</v>
      </c>
    </row>
    <row r="366" customFormat="false" ht="15" hidden="false" customHeight="false" outlineLevel="0" collapsed="false">
      <c r="D366" s="74" t="s">
        <v>1122</v>
      </c>
      <c r="E366" s="75" t="s">
        <v>110</v>
      </c>
      <c r="F366" s="75" t="s">
        <v>473</v>
      </c>
    </row>
    <row r="367" customFormat="false" ht="15" hidden="false" customHeight="false" outlineLevel="0" collapsed="false">
      <c r="D367" s="74" t="s">
        <v>1123</v>
      </c>
      <c r="E367" s="75" t="s">
        <v>110</v>
      </c>
      <c r="F367" s="75" t="s">
        <v>1124</v>
      </c>
    </row>
    <row r="368" customFormat="false" ht="15" hidden="false" customHeight="false" outlineLevel="0" collapsed="false">
      <c r="D368" s="74" t="s">
        <v>1125</v>
      </c>
      <c r="E368" s="75" t="s">
        <v>110</v>
      </c>
      <c r="F368" s="75" t="s">
        <v>473</v>
      </c>
    </row>
    <row r="369" customFormat="false" ht="15" hidden="false" customHeight="false" outlineLevel="0" collapsed="false">
      <c r="D369" s="74" t="s">
        <v>1126</v>
      </c>
      <c r="E369" s="75" t="s">
        <v>110</v>
      </c>
      <c r="F369" s="75" t="s">
        <v>473</v>
      </c>
    </row>
    <row r="370" customFormat="false" ht="15" hidden="false" customHeight="false" outlineLevel="0" collapsed="false">
      <c r="D370" s="73" t="s">
        <v>1127</v>
      </c>
      <c r="E370" s="0" t="s">
        <v>127</v>
      </c>
      <c r="F370" s="0" t="s">
        <v>473</v>
      </c>
    </row>
    <row r="371" customFormat="false" ht="15" hidden="false" customHeight="false" outlineLevel="0" collapsed="false">
      <c r="D371" s="73" t="s">
        <v>1128</v>
      </c>
      <c r="E371" s="0" t="s">
        <v>127</v>
      </c>
      <c r="F371" s="0" t="s">
        <v>473</v>
      </c>
    </row>
    <row r="372" customFormat="false" ht="15" hidden="false" customHeight="false" outlineLevel="0" collapsed="false">
      <c r="D372" s="74" t="s">
        <v>1129</v>
      </c>
      <c r="E372" s="75" t="s">
        <v>127</v>
      </c>
      <c r="F372" s="75" t="s">
        <v>473</v>
      </c>
    </row>
    <row r="373" customFormat="false" ht="15" hidden="false" customHeight="false" outlineLevel="0" collapsed="false">
      <c r="D373" s="74" t="s">
        <v>1130</v>
      </c>
      <c r="E373" s="75" t="s">
        <v>204</v>
      </c>
      <c r="F373" s="75" t="s">
        <v>473</v>
      </c>
    </row>
    <row r="374" customFormat="false" ht="15" hidden="false" customHeight="false" outlineLevel="0" collapsed="false">
      <c r="D374" s="73" t="s">
        <v>1131</v>
      </c>
      <c r="E374" s="0" t="s">
        <v>303</v>
      </c>
      <c r="F374" s="0" t="s">
        <v>473</v>
      </c>
    </row>
    <row r="375" customFormat="false" ht="15" hidden="false" customHeight="false" outlineLevel="0" collapsed="false">
      <c r="D375" s="73" t="s">
        <v>1132</v>
      </c>
      <c r="E375" s="0" t="s">
        <v>303</v>
      </c>
      <c r="F375" s="0" t="s">
        <v>473</v>
      </c>
    </row>
    <row r="376" customFormat="false" ht="15" hidden="false" customHeight="false" outlineLevel="0" collapsed="false">
      <c r="D376" s="73" t="s">
        <v>1133</v>
      </c>
      <c r="E376" s="0" t="s">
        <v>34</v>
      </c>
      <c r="F376" s="0" t="s">
        <v>1134</v>
      </c>
    </row>
    <row r="377" customFormat="false" ht="15" hidden="false" customHeight="false" outlineLevel="0" collapsed="false">
      <c r="D377" s="73" t="s">
        <v>1135</v>
      </c>
      <c r="E377" s="0" t="s">
        <v>34</v>
      </c>
      <c r="F377" s="0" t="s">
        <v>1136</v>
      </c>
    </row>
    <row r="378" customFormat="false" ht="15" hidden="false" customHeight="false" outlineLevel="0" collapsed="false">
      <c r="D378" s="73" t="s">
        <v>1137</v>
      </c>
      <c r="E378" s="0" t="s">
        <v>34</v>
      </c>
      <c r="F378" s="0" t="s">
        <v>741</v>
      </c>
    </row>
    <row r="379" customFormat="false" ht="15" hidden="false" customHeight="false" outlineLevel="0" collapsed="false">
      <c r="D379" s="73" t="s">
        <v>1138</v>
      </c>
      <c r="E379" s="0" t="s">
        <v>34</v>
      </c>
      <c r="F379" s="0" t="s">
        <v>1139</v>
      </c>
    </row>
    <row r="380" customFormat="false" ht="15" hidden="false" customHeight="false" outlineLevel="0" collapsed="false">
      <c r="D380" s="73" t="s">
        <v>1140</v>
      </c>
      <c r="E380" s="0" t="s">
        <v>34</v>
      </c>
      <c r="F380" s="0" t="s">
        <v>745</v>
      </c>
    </row>
    <row r="381" customFormat="false" ht="15" hidden="false" customHeight="false" outlineLevel="0" collapsed="false">
      <c r="D381" s="73" t="s">
        <v>1141</v>
      </c>
      <c r="E381" s="0" t="s">
        <v>34</v>
      </c>
      <c r="F381" s="0" t="s">
        <v>1142</v>
      </c>
    </row>
    <row r="382" customFormat="false" ht="15" hidden="false" customHeight="false" outlineLevel="0" collapsed="false">
      <c r="D382" s="73" t="s">
        <v>1143</v>
      </c>
      <c r="E382" s="0" t="s">
        <v>34</v>
      </c>
      <c r="F382" s="0" t="s">
        <v>758</v>
      </c>
    </row>
    <row r="383" customFormat="false" ht="15" hidden="false" customHeight="false" outlineLevel="0" collapsed="false">
      <c r="D383" s="73" t="s">
        <v>1144</v>
      </c>
      <c r="E383" s="0" t="s">
        <v>34</v>
      </c>
      <c r="F383" s="0" t="s">
        <v>1145</v>
      </c>
    </row>
    <row r="384" customFormat="false" ht="15" hidden="false" customHeight="false" outlineLevel="0" collapsed="false">
      <c r="D384" s="73" t="s">
        <v>1146</v>
      </c>
      <c r="E384" s="0" t="s">
        <v>34</v>
      </c>
      <c r="F384" s="0" t="s">
        <v>1147</v>
      </c>
    </row>
    <row r="385" customFormat="false" ht="15" hidden="false" customHeight="false" outlineLevel="0" collapsed="false">
      <c r="D385" s="73" t="s">
        <v>1148</v>
      </c>
      <c r="E385" s="0" t="s">
        <v>34</v>
      </c>
      <c r="F385" s="0" t="s">
        <v>1142</v>
      </c>
    </row>
    <row r="386" customFormat="false" ht="15" hidden="false" customHeight="false" outlineLevel="0" collapsed="false">
      <c r="D386" s="73" t="s">
        <v>1149</v>
      </c>
      <c r="E386" s="0" t="s">
        <v>34</v>
      </c>
      <c r="F386" s="0" t="s">
        <v>752</v>
      </c>
    </row>
    <row r="387" customFormat="false" ht="15" hidden="false" customHeight="false" outlineLevel="0" collapsed="false">
      <c r="D387" s="73" t="s">
        <v>1150</v>
      </c>
      <c r="E387" s="0" t="s">
        <v>34</v>
      </c>
      <c r="F387" s="0" t="s">
        <v>1151</v>
      </c>
    </row>
    <row r="388" customFormat="false" ht="15" hidden="false" customHeight="false" outlineLevel="0" collapsed="false">
      <c r="D388" s="73" t="s">
        <v>1152</v>
      </c>
      <c r="E388" s="0" t="s">
        <v>34</v>
      </c>
      <c r="F388" s="0" t="s">
        <v>1153</v>
      </c>
    </row>
    <row r="389" customFormat="false" ht="15" hidden="false" customHeight="false" outlineLevel="0" collapsed="false">
      <c r="D389" s="73" t="s">
        <v>1154</v>
      </c>
      <c r="E389" s="0" t="s">
        <v>34</v>
      </c>
      <c r="F389" s="0" t="s">
        <v>724</v>
      </c>
    </row>
    <row r="390" customFormat="false" ht="15" hidden="false" customHeight="false" outlineLevel="0" collapsed="false">
      <c r="D390" s="73" t="s">
        <v>1155</v>
      </c>
      <c r="E390" s="0" t="s">
        <v>34</v>
      </c>
      <c r="F390" s="0" t="s">
        <v>1156</v>
      </c>
    </row>
    <row r="391" customFormat="false" ht="15" hidden="false" customHeight="false" outlineLevel="0" collapsed="false">
      <c r="D391" s="73" t="s">
        <v>1157</v>
      </c>
      <c r="E391" s="0" t="s">
        <v>34</v>
      </c>
      <c r="F391" s="0" t="s">
        <v>473</v>
      </c>
    </row>
    <row r="392" customFormat="false" ht="15" hidden="false" customHeight="false" outlineLevel="0" collapsed="false">
      <c r="D392" s="73" t="s">
        <v>1158</v>
      </c>
      <c r="E392" s="0" t="s">
        <v>34</v>
      </c>
      <c r="F392" s="0" t="s">
        <v>473</v>
      </c>
    </row>
    <row r="393" customFormat="false" ht="15" hidden="false" customHeight="false" outlineLevel="0" collapsed="false">
      <c r="D393" s="73" t="s">
        <v>1159</v>
      </c>
      <c r="E393" s="0" t="s">
        <v>34</v>
      </c>
      <c r="F393" s="0" t="s">
        <v>473</v>
      </c>
    </row>
    <row r="394" customFormat="false" ht="15" hidden="false" customHeight="false" outlineLevel="0" collapsed="false">
      <c r="D394" s="73" t="s">
        <v>1160</v>
      </c>
      <c r="E394" s="0" t="s">
        <v>34</v>
      </c>
      <c r="F394" s="0" t="s">
        <v>473</v>
      </c>
    </row>
    <row r="395" customFormat="false" ht="15" hidden="false" customHeight="false" outlineLevel="0" collapsed="false">
      <c r="D395" s="74" t="s">
        <v>1161</v>
      </c>
      <c r="E395" s="75" t="s">
        <v>34</v>
      </c>
      <c r="F395" s="75" t="s">
        <v>473</v>
      </c>
    </row>
    <row r="396" customFormat="false" ht="15" hidden="false" customHeight="false" outlineLevel="0" collapsed="false">
      <c r="D396" s="74" t="s">
        <v>1162</v>
      </c>
      <c r="E396" s="75" t="s">
        <v>34</v>
      </c>
      <c r="F396" s="75" t="s">
        <v>1163</v>
      </c>
    </row>
    <row r="397" customFormat="false" ht="15" hidden="false" customHeight="false" outlineLevel="0" collapsed="false">
      <c r="D397" s="74" t="s">
        <v>1164</v>
      </c>
      <c r="E397" s="75" t="s">
        <v>34</v>
      </c>
      <c r="F397" s="75" t="s">
        <v>473</v>
      </c>
    </row>
    <row r="398" customFormat="false" ht="15" hidden="false" customHeight="false" outlineLevel="0" collapsed="false">
      <c r="D398" s="74" t="s">
        <v>1165</v>
      </c>
      <c r="E398" s="75" t="s">
        <v>34</v>
      </c>
      <c r="F398" s="75" t="s">
        <v>473</v>
      </c>
    </row>
    <row r="399" customFormat="false" ht="15" hidden="false" customHeight="false" outlineLevel="0" collapsed="false">
      <c r="D399" s="74" t="s">
        <v>1166</v>
      </c>
      <c r="E399" s="75" t="s">
        <v>34</v>
      </c>
      <c r="F399" s="75" t="s">
        <v>473</v>
      </c>
    </row>
    <row r="400" customFormat="false" ht="15" hidden="false" customHeight="false" outlineLevel="0" collapsed="false">
      <c r="D400" s="73" t="s">
        <v>1167</v>
      </c>
      <c r="E400" s="0" t="s">
        <v>89</v>
      </c>
      <c r="F400" s="0" t="s">
        <v>1168</v>
      </c>
    </row>
    <row r="401" customFormat="false" ht="15" hidden="false" customHeight="false" outlineLevel="0" collapsed="false">
      <c r="D401" s="73" t="s">
        <v>1169</v>
      </c>
      <c r="E401" s="0" t="s">
        <v>89</v>
      </c>
      <c r="F401" s="0" t="s">
        <v>1145</v>
      </c>
    </row>
    <row r="402" customFormat="false" ht="15" hidden="false" customHeight="false" outlineLevel="0" collapsed="false">
      <c r="D402" s="73" t="s">
        <v>1170</v>
      </c>
      <c r="E402" s="0" t="s">
        <v>89</v>
      </c>
      <c r="F402" s="0" t="s">
        <v>1171</v>
      </c>
    </row>
    <row r="403" customFormat="false" ht="15" hidden="false" customHeight="false" outlineLevel="0" collapsed="false">
      <c r="D403" s="73" t="s">
        <v>1172</v>
      </c>
      <c r="E403" s="0" t="s">
        <v>89</v>
      </c>
      <c r="F403" s="0" t="s">
        <v>1173</v>
      </c>
    </row>
    <row r="404" customFormat="false" ht="15" hidden="false" customHeight="false" outlineLevel="0" collapsed="false">
      <c r="D404" s="73" t="s">
        <v>1174</v>
      </c>
      <c r="E404" s="0" t="s">
        <v>89</v>
      </c>
      <c r="F404" s="0" t="s">
        <v>1175</v>
      </c>
    </row>
    <row r="405" customFormat="false" ht="15" hidden="false" customHeight="false" outlineLevel="0" collapsed="false">
      <c r="D405" s="74" t="s">
        <v>1176</v>
      </c>
      <c r="E405" s="75" t="s">
        <v>89</v>
      </c>
      <c r="F405" s="75" t="s">
        <v>473</v>
      </c>
    </row>
    <row r="406" customFormat="false" ht="15" hidden="false" customHeight="false" outlineLevel="0" collapsed="false">
      <c r="D406" s="73" t="s">
        <v>1177</v>
      </c>
      <c r="E406" s="0" t="s">
        <v>152</v>
      </c>
      <c r="F406" s="0" t="s">
        <v>769</v>
      </c>
    </row>
    <row r="407" customFormat="false" ht="15" hidden="false" customHeight="false" outlineLevel="0" collapsed="false">
      <c r="D407" s="74" t="s">
        <v>1178</v>
      </c>
      <c r="E407" s="75" t="s">
        <v>152</v>
      </c>
      <c r="F407" s="75" t="s">
        <v>473</v>
      </c>
    </row>
    <row r="408" customFormat="false" ht="14.9" hidden="false" customHeight="false" outlineLevel="0" collapsed="false">
      <c r="D408" s="74" t="s">
        <v>1179</v>
      </c>
      <c r="E408" s="75" t="s">
        <v>1180</v>
      </c>
      <c r="F408" s="75" t="s">
        <v>473</v>
      </c>
    </row>
    <row r="409" customFormat="false" ht="13.8" hidden="false" customHeight="false" outlineLevel="0" collapsed="false">
      <c r="D409" s="73" t="s">
        <v>1181</v>
      </c>
      <c r="E409" s="0" t="s">
        <v>90</v>
      </c>
      <c r="F409" s="0" t="s">
        <v>473</v>
      </c>
    </row>
    <row r="410" customFormat="false" ht="15" hidden="false" customHeight="false" outlineLevel="0" collapsed="false">
      <c r="D410" s="73" t="s">
        <v>1182</v>
      </c>
      <c r="E410" s="0" t="s">
        <v>90</v>
      </c>
      <c r="F410" s="0" t="s">
        <v>1183</v>
      </c>
    </row>
    <row r="411" customFormat="false" ht="15" hidden="false" customHeight="false" outlineLevel="0" collapsed="false">
      <c r="D411" s="74" t="s">
        <v>1184</v>
      </c>
      <c r="E411" s="75" t="s">
        <v>90</v>
      </c>
      <c r="F411" s="75" t="s">
        <v>1185</v>
      </c>
    </row>
    <row r="412" customFormat="false" ht="15" hidden="false" customHeight="false" outlineLevel="0" collapsed="false">
      <c r="D412" s="73" t="s">
        <v>1186</v>
      </c>
      <c r="E412" s="0" t="s">
        <v>71</v>
      </c>
      <c r="F412" s="0" t="s">
        <v>1187</v>
      </c>
    </row>
    <row r="413" customFormat="false" ht="15" hidden="false" customHeight="false" outlineLevel="0" collapsed="false">
      <c r="D413" s="73" t="s">
        <v>1188</v>
      </c>
      <c r="E413" s="0" t="s">
        <v>71</v>
      </c>
      <c r="F413" s="0" t="s">
        <v>1187</v>
      </c>
    </row>
    <row r="414" customFormat="false" ht="15" hidden="false" customHeight="false" outlineLevel="0" collapsed="false">
      <c r="D414" s="73" t="s">
        <v>1189</v>
      </c>
      <c r="E414" s="0" t="s">
        <v>71</v>
      </c>
      <c r="F414" s="0" t="s">
        <v>1190</v>
      </c>
    </row>
    <row r="415" customFormat="false" ht="15" hidden="false" customHeight="false" outlineLevel="0" collapsed="false">
      <c r="D415" s="73" t="s">
        <v>1191</v>
      </c>
      <c r="E415" s="0" t="s">
        <v>71</v>
      </c>
      <c r="F415" s="0" t="s">
        <v>1192</v>
      </c>
    </row>
    <row r="416" customFormat="false" ht="15" hidden="false" customHeight="false" outlineLevel="0" collapsed="false">
      <c r="D416" s="74" t="s">
        <v>1193</v>
      </c>
      <c r="E416" s="75" t="s">
        <v>71</v>
      </c>
      <c r="F416" s="75" t="s">
        <v>473</v>
      </c>
    </row>
    <row r="417" customFormat="false" ht="15" hidden="false" customHeight="false" outlineLevel="0" collapsed="false">
      <c r="D417" s="74" t="s">
        <v>1194</v>
      </c>
      <c r="E417" s="75" t="s">
        <v>71</v>
      </c>
      <c r="F417" s="75" t="s">
        <v>473</v>
      </c>
    </row>
    <row r="418" customFormat="false" ht="15" hidden="false" customHeight="false" outlineLevel="0" collapsed="false">
      <c r="D418" s="74" t="s">
        <v>1195</v>
      </c>
      <c r="E418" s="75" t="s">
        <v>187</v>
      </c>
      <c r="F418" s="75" t="s">
        <v>834</v>
      </c>
    </row>
    <row r="419" customFormat="false" ht="15" hidden="false" customHeight="false" outlineLevel="0" collapsed="false">
      <c r="D419" s="74" t="s">
        <v>1196</v>
      </c>
      <c r="E419" s="75" t="s">
        <v>187</v>
      </c>
      <c r="F419" s="75" t="s">
        <v>1197</v>
      </c>
    </row>
    <row r="420" customFormat="false" ht="15" hidden="false" customHeight="false" outlineLevel="0" collapsed="false">
      <c r="D420" s="73" t="s">
        <v>1198</v>
      </c>
      <c r="E420" s="0" t="s">
        <v>130</v>
      </c>
      <c r="F420" s="0" t="s">
        <v>1199</v>
      </c>
    </row>
    <row r="421" customFormat="false" ht="15" hidden="false" customHeight="false" outlineLevel="0" collapsed="false">
      <c r="D421" s="73" t="s">
        <v>1200</v>
      </c>
      <c r="E421" s="0" t="s">
        <v>73</v>
      </c>
      <c r="F421" s="0" t="s">
        <v>473</v>
      </c>
    </row>
    <row r="422" customFormat="false" ht="15" hidden="false" customHeight="false" outlineLevel="0" collapsed="false">
      <c r="D422" s="73" t="s">
        <v>1201</v>
      </c>
      <c r="E422" s="0" t="s">
        <v>73</v>
      </c>
      <c r="F422" s="0" t="s">
        <v>917</v>
      </c>
    </row>
    <row r="423" customFormat="false" ht="15" hidden="false" customHeight="false" outlineLevel="0" collapsed="false">
      <c r="D423" s="73" t="s">
        <v>1202</v>
      </c>
      <c r="E423" s="0" t="s">
        <v>483</v>
      </c>
      <c r="F423" s="0" t="s">
        <v>473</v>
      </c>
    </row>
    <row r="424" customFormat="false" ht="15" hidden="false" customHeight="false" outlineLevel="0" collapsed="false">
      <c r="D424" s="73" t="s">
        <v>1203</v>
      </c>
      <c r="E424" s="0" t="s">
        <v>483</v>
      </c>
      <c r="F424" s="0" t="s">
        <v>866</v>
      </c>
    </row>
    <row r="425" customFormat="false" ht="15" hidden="false" customHeight="false" outlineLevel="0" collapsed="false">
      <c r="D425" s="73" t="s">
        <v>1204</v>
      </c>
      <c r="E425" s="0" t="s">
        <v>131</v>
      </c>
      <c r="F425" s="0" t="s">
        <v>473</v>
      </c>
    </row>
    <row r="426" customFormat="false" ht="15" hidden="false" customHeight="false" outlineLevel="0" collapsed="false">
      <c r="D426" s="73" t="s">
        <v>1205</v>
      </c>
      <c r="E426" s="0" t="s">
        <v>131</v>
      </c>
      <c r="F426" s="0" t="s">
        <v>473</v>
      </c>
    </row>
    <row r="427" customFormat="false" ht="15" hidden="false" customHeight="false" outlineLevel="0" collapsed="false">
      <c r="D427" s="74" t="s">
        <v>1206</v>
      </c>
      <c r="E427" s="75" t="s">
        <v>131</v>
      </c>
      <c r="F427" s="75" t="s">
        <v>634</v>
      </c>
    </row>
    <row r="428" customFormat="false" ht="15" hidden="false" customHeight="false" outlineLevel="0" collapsed="false">
      <c r="D428" s="74" t="s">
        <v>1207</v>
      </c>
      <c r="E428" s="75" t="s">
        <v>131</v>
      </c>
      <c r="F428" s="75" t="s">
        <v>473</v>
      </c>
    </row>
    <row r="429" customFormat="false" ht="15" hidden="false" customHeight="false" outlineLevel="0" collapsed="false">
      <c r="D429" s="73" t="s">
        <v>1208</v>
      </c>
      <c r="E429" s="0" t="s">
        <v>178</v>
      </c>
      <c r="F429" s="0" t="s">
        <v>1209</v>
      </c>
    </row>
    <row r="430" customFormat="false" ht="15" hidden="false" customHeight="false" outlineLevel="0" collapsed="false">
      <c r="D430" s="74" t="s">
        <v>1210</v>
      </c>
      <c r="E430" s="75" t="s">
        <v>178</v>
      </c>
      <c r="F430" s="75" t="s">
        <v>1211</v>
      </c>
    </row>
    <row r="431" customFormat="false" ht="15" hidden="false" customHeight="false" outlineLevel="0" collapsed="false">
      <c r="D431" s="74" t="s">
        <v>1212</v>
      </c>
      <c r="E431" s="75" t="s">
        <v>178</v>
      </c>
      <c r="F431" s="75" t="s">
        <v>634</v>
      </c>
    </row>
    <row r="432" customFormat="false" ht="15" hidden="false" customHeight="false" outlineLevel="0" collapsed="false">
      <c r="D432" s="73" t="s">
        <v>1213</v>
      </c>
      <c r="E432" s="0" t="s">
        <v>217</v>
      </c>
      <c r="F432" s="0" t="s">
        <v>473</v>
      </c>
    </row>
    <row r="433" customFormat="false" ht="15" hidden="false" customHeight="false" outlineLevel="0" collapsed="false">
      <c r="D433" s="73" t="s">
        <v>1214</v>
      </c>
      <c r="E433" s="0" t="s">
        <v>488</v>
      </c>
      <c r="F433" s="0" t="s">
        <v>473</v>
      </c>
    </row>
    <row r="434" customFormat="false" ht="15" hidden="false" customHeight="false" outlineLevel="0" collapsed="false">
      <c r="D434" s="73" t="s">
        <v>1215</v>
      </c>
      <c r="E434" s="0" t="s">
        <v>183</v>
      </c>
      <c r="F434" s="0" t="s">
        <v>473</v>
      </c>
    </row>
    <row r="435" customFormat="false" ht="15" hidden="false" customHeight="false" outlineLevel="0" collapsed="false">
      <c r="D435" s="74" t="s">
        <v>1216</v>
      </c>
      <c r="E435" s="75" t="s">
        <v>183</v>
      </c>
      <c r="F435" s="75" t="s">
        <v>473</v>
      </c>
    </row>
    <row r="436" customFormat="false" ht="15" hidden="false" customHeight="false" outlineLevel="0" collapsed="false">
      <c r="D436" s="73" t="s">
        <v>1217</v>
      </c>
      <c r="E436" s="0" t="s">
        <v>493</v>
      </c>
      <c r="F436" s="0" t="s">
        <v>473</v>
      </c>
    </row>
    <row r="437" customFormat="false" ht="15" hidden="false" customHeight="false" outlineLevel="0" collapsed="false">
      <c r="D437" s="74" t="s">
        <v>1218</v>
      </c>
      <c r="E437" s="75" t="s">
        <v>186</v>
      </c>
      <c r="F437" s="75" t="s">
        <v>1219</v>
      </c>
    </row>
    <row r="438" customFormat="false" ht="15" hidden="false" customHeight="false" outlineLevel="0" collapsed="false">
      <c r="D438" s="73" t="s">
        <v>1220</v>
      </c>
      <c r="E438" s="0" t="s">
        <v>182</v>
      </c>
      <c r="F438" s="0" t="s">
        <v>1221</v>
      </c>
    </row>
    <row r="439" customFormat="false" ht="15" hidden="false" customHeight="false" outlineLevel="0" collapsed="false">
      <c r="D439" s="74" t="s">
        <v>1222</v>
      </c>
      <c r="E439" s="75" t="s">
        <v>182</v>
      </c>
      <c r="F439" s="75" t="s">
        <v>473</v>
      </c>
    </row>
    <row r="440" customFormat="false" ht="15" hidden="false" customHeight="false" outlineLevel="0" collapsed="false">
      <c r="D440" s="74" t="s">
        <v>1223</v>
      </c>
      <c r="E440" s="75" t="s">
        <v>197</v>
      </c>
      <c r="F440" s="75" t="s">
        <v>473</v>
      </c>
    </row>
    <row r="441" customFormat="false" ht="15" hidden="false" customHeight="false" outlineLevel="0" collapsed="false">
      <c r="D441" s="74" t="s">
        <v>1224</v>
      </c>
      <c r="E441" s="75" t="s">
        <v>211</v>
      </c>
      <c r="F441" s="75" t="s">
        <v>868</v>
      </c>
    </row>
    <row r="442" customFormat="false" ht="15" hidden="false" customHeight="false" outlineLevel="0" collapsed="false">
      <c r="D442" s="74" t="s">
        <v>1225</v>
      </c>
      <c r="E442" s="75" t="s">
        <v>218</v>
      </c>
      <c r="F442" s="75" t="s">
        <v>473</v>
      </c>
    </row>
    <row r="443" customFormat="false" ht="15" hidden="false" customHeight="false" outlineLevel="0" collapsed="false">
      <c r="D443" s="73" t="s">
        <v>1226</v>
      </c>
      <c r="E443" s="0" t="s">
        <v>185</v>
      </c>
      <c r="F443" s="0" t="s">
        <v>473</v>
      </c>
    </row>
    <row r="444" customFormat="false" ht="15" hidden="false" customHeight="false" outlineLevel="0" collapsed="false">
      <c r="D444" s="73" t="s">
        <v>1227</v>
      </c>
      <c r="E444" s="0" t="s">
        <v>185</v>
      </c>
      <c r="F444" s="0" t="s">
        <v>473</v>
      </c>
    </row>
    <row r="445" customFormat="false" ht="15" hidden="false" customHeight="false" outlineLevel="0" collapsed="false">
      <c r="D445" s="73" t="s">
        <v>1228</v>
      </c>
      <c r="E445" s="0" t="s">
        <v>185</v>
      </c>
      <c r="F445" s="0" t="s">
        <v>473</v>
      </c>
    </row>
    <row r="446" customFormat="false" ht="15" hidden="false" customHeight="false" outlineLevel="0" collapsed="false">
      <c r="D446" s="73" t="s">
        <v>1229</v>
      </c>
      <c r="E446" s="0" t="s">
        <v>185</v>
      </c>
      <c r="F446" s="0" t="s">
        <v>749</v>
      </c>
    </row>
    <row r="447" customFormat="false" ht="15" hidden="false" customHeight="false" outlineLevel="0" collapsed="false">
      <c r="D447" s="74" t="s">
        <v>1230</v>
      </c>
      <c r="E447" s="75" t="s">
        <v>185</v>
      </c>
      <c r="F447" s="75" t="s">
        <v>473</v>
      </c>
    </row>
    <row r="448" customFormat="false" ht="15" hidden="false" customHeight="false" outlineLevel="0" collapsed="false">
      <c r="D448" s="73" t="s">
        <v>1231</v>
      </c>
      <c r="E448" s="0" t="s">
        <v>77</v>
      </c>
      <c r="F448" s="0" t="s">
        <v>1232</v>
      </c>
    </row>
    <row r="449" customFormat="false" ht="15" hidden="false" customHeight="false" outlineLevel="0" collapsed="false">
      <c r="D449" s="73" t="s">
        <v>1233</v>
      </c>
      <c r="E449" s="0" t="s">
        <v>77</v>
      </c>
      <c r="F449" s="0" t="s">
        <v>1234</v>
      </c>
    </row>
    <row r="450" customFormat="false" ht="15" hidden="false" customHeight="false" outlineLevel="0" collapsed="false">
      <c r="D450" s="73" t="s">
        <v>1235</v>
      </c>
      <c r="E450" s="0" t="s">
        <v>77</v>
      </c>
      <c r="F450" s="0" t="s">
        <v>1236</v>
      </c>
    </row>
    <row r="451" customFormat="false" ht="15" hidden="false" customHeight="false" outlineLevel="0" collapsed="false">
      <c r="D451" s="73" t="s">
        <v>1237</v>
      </c>
      <c r="E451" s="0" t="s">
        <v>77</v>
      </c>
      <c r="F451" s="0" t="s">
        <v>1238</v>
      </c>
    </row>
    <row r="452" customFormat="false" ht="15" hidden="false" customHeight="false" outlineLevel="0" collapsed="false">
      <c r="D452" s="73" t="s">
        <v>1239</v>
      </c>
      <c r="E452" s="0" t="s">
        <v>77</v>
      </c>
      <c r="F452" s="0" t="s">
        <v>473</v>
      </c>
    </row>
    <row r="453" customFormat="false" ht="15" hidden="false" customHeight="false" outlineLevel="0" collapsed="false">
      <c r="D453" s="73" t="s">
        <v>1240</v>
      </c>
      <c r="E453" s="0" t="s">
        <v>77</v>
      </c>
      <c r="F453" s="0" t="s">
        <v>473</v>
      </c>
    </row>
    <row r="454" customFormat="false" ht="15" hidden="false" customHeight="false" outlineLevel="0" collapsed="false">
      <c r="D454" s="73" t="s">
        <v>1241</v>
      </c>
      <c r="E454" s="0" t="s">
        <v>77</v>
      </c>
      <c r="F454" s="0" t="s">
        <v>1242</v>
      </c>
    </row>
    <row r="455" customFormat="false" ht="15" hidden="false" customHeight="false" outlineLevel="0" collapsed="false">
      <c r="D455" s="73" t="s">
        <v>1243</v>
      </c>
      <c r="E455" s="0" t="s">
        <v>77</v>
      </c>
      <c r="F455" s="0" t="s">
        <v>473</v>
      </c>
    </row>
    <row r="456" customFormat="false" ht="15" hidden="false" customHeight="false" outlineLevel="0" collapsed="false">
      <c r="D456" s="74" t="s">
        <v>1244</v>
      </c>
      <c r="E456" s="75" t="s">
        <v>77</v>
      </c>
      <c r="F456" s="75" t="s">
        <v>473</v>
      </c>
    </row>
    <row r="457" customFormat="false" ht="15" hidden="false" customHeight="false" outlineLevel="0" collapsed="false">
      <c r="D457" s="74" t="s">
        <v>1245</v>
      </c>
      <c r="E457" s="75" t="s">
        <v>77</v>
      </c>
      <c r="F457" s="75" t="s">
        <v>473</v>
      </c>
    </row>
    <row r="458" customFormat="false" ht="15" hidden="false" customHeight="false" outlineLevel="0" collapsed="false">
      <c r="D458" s="74" t="s">
        <v>1246</v>
      </c>
      <c r="E458" s="75" t="s">
        <v>122</v>
      </c>
      <c r="F458" s="75" t="s">
        <v>1247</v>
      </c>
    </row>
    <row r="459" customFormat="false" ht="15" hidden="false" customHeight="false" outlineLevel="0" collapsed="false">
      <c r="D459" s="74" t="s">
        <v>1248</v>
      </c>
      <c r="E459" s="75" t="s">
        <v>122</v>
      </c>
      <c r="F459" s="75" t="s">
        <v>803</v>
      </c>
    </row>
    <row r="460" customFormat="false" ht="15" hidden="false" customHeight="false" outlineLevel="0" collapsed="false">
      <c r="D460" s="74" t="s">
        <v>1249</v>
      </c>
      <c r="E460" s="75" t="s">
        <v>184</v>
      </c>
      <c r="F460" s="75" t="s">
        <v>1250</v>
      </c>
    </row>
    <row r="461" customFormat="false" ht="15" hidden="false" customHeight="false" outlineLevel="0" collapsed="false">
      <c r="D461" s="74" t="s">
        <v>1251</v>
      </c>
      <c r="E461" s="75" t="s">
        <v>184</v>
      </c>
      <c r="F461" s="75" t="s">
        <v>473</v>
      </c>
    </row>
    <row r="462" customFormat="false" ht="15" hidden="false" customHeight="false" outlineLevel="0" collapsed="false">
      <c r="D462" s="74" t="s">
        <v>1252</v>
      </c>
      <c r="E462" s="75" t="s">
        <v>168</v>
      </c>
      <c r="F462" s="75" t="s">
        <v>473</v>
      </c>
    </row>
    <row r="463" customFormat="false" ht="15" hidden="false" customHeight="false" outlineLevel="0" collapsed="false">
      <c r="D463" s="73" t="s">
        <v>1253</v>
      </c>
      <c r="E463" s="0" t="s">
        <v>119</v>
      </c>
      <c r="F463" s="0" t="s">
        <v>985</v>
      </c>
    </row>
    <row r="464" customFormat="false" ht="15" hidden="false" customHeight="false" outlineLevel="0" collapsed="false">
      <c r="D464" s="74" t="s">
        <v>1254</v>
      </c>
      <c r="E464" s="75" t="s">
        <v>119</v>
      </c>
      <c r="F464" s="75" t="s">
        <v>634</v>
      </c>
    </row>
    <row r="465" customFormat="false" ht="15" hidden="false" customHeight="false" outlineLevel="0" collapsed="false">
      <c r="D465" s="74" t="s">
        <v>1255</v>
      </c>
      <c r="E465" s="75" t="s">
        <v>119</v>
      </c>
      <c r="F465" s="75" t="s">
        <v>473</v>
      </c>
    </row>
    <row r="466" customFormat="false" ht="15" hidden="false" customHeight="false" outlineLevel="0" collapsed="false">
      <c r="D466" s="73" t="s">
        <v>1256</v>
      </c>
      <c r="E466" s="0" t="s">
        <v>52</v>
      </c>
      <c r="F466" s="0" t="s">
        <v>1257</v>
      </c>
    </row>
    <row r="467" customFormat="false" ht="15" hidden="false" customHeight="false" outlineLevel="0" collapsed="false">
      <c r="D467" s="74" t="s">
        <v>1258</v>
      </c>
      <c r="E467" s="75" t="s">
        <v>52</v>
      </c>
      <c r="F467" s="75" t="s">
        <v>634</v>
      </c>
    </row>
    <row r="468" customFormat="false" ht="15" hidden="false" customHeight="false" outlineLevel="0" collapsed="false">
      <c r="D468" s="74" t="s">
        <v>1259</v>
      </c>
      <c r="E468" s="75" t="s">
        <v>52</v>
      </c>
      <c r="F468" s="75" t="s">
        <v>1260</v>
      </c>
    </row>
    <row r="469" customFormat="false" ht="15" hidden="false" customHeight="false" outlineLevel="0" collapsed="false">
      <c r="D469" s="74" t="s">
        <v>1261</v>
      </c>
      <c r="E469" s="75" t="s">
        <v>52</v>
      </c>
      <c r="F469" s="75" t="s">
        <v>473</v>
      </c>
    </row>
    <row r="470" customFormat="false" ht="15" hidden="false" customHeight="false" outlineLevel="0" collapsed="false">
      <c r="D470" s="74" t="s">
        <v>1262</v>
      </c>
      <c r="E470" s="75" t="s">
        <v>52</v>
      </c>
      <c r="F470" s="75" t="s">
        <v>473</v>
      </c>
    </row>
    <row r="471" customFormat="false" ht="15" hidden="false" customHeight="false" outlineLevel="0" collapsed="false">
      <c r="D471" s="74" t="s">
        <v>1263</v>
      </c>
      <c r="E471" s="75" t="s">
        <v>52</v>
      </c>
      <c r="F471" s="75" t="s">
        <v>473</v>
      </c>
    </row>
    <row r="472" customFormat="false" ht="15" hidden="false" customHeight="false" outlineLevel="0" collapsed="false">
      <c r="D472" s="74" t="s">
        <v>1264</v>
      </c>
      <c r="E472" s="75" t="s">
        <v>52</v>
      </c>
      <c r="F472" s="75" t="s">
        <v>473</v>
      </c>
    </row>
    <row r="473" customFormat="false" ht="15" hidden="false" customHeight="false" outlineLevel="0" collapsed="false">
      <c r="D473" s="74" t="s">
        <v>1265</v>
      </c>
      <c r="E473" s="75" t="s">
        <v>52</v>
      </c>
      <c r="F473" s="75" t="s">
        <v>473</v>
      </c>
    </row>
    <row r="474" customFormat="false" ht="15" hidden="false" customHeight="false" outlineLevel="0" collapsed="false">
      <c r="D474" s="74" t="s">
        <v>1266</v>
      </c>
      <c r="E474" s="75" t="s">
        <v>52</v>
      </c>
      <c r="F474" s="75" t="s">
        <v>473</v>
      </c>
    </row>
    <row r="475" customFormat="false" ht="15" hidden="false" customHeight="false" outlineLevel="0" collapsed="false">
      <c r="D475" s="73" t="s">
        <v>1267</v>
      </c>
      <c r="E475" s="0" t="s">
        <v>115</v>
      </c>
      <c r="F475" s="0" t="s">
        <v>360</v>
      </c>
    </row>
    <row r="476" customFormat="false" ht="15" hidden="false" customHeight="false" outlineLevel="0" collapsed="false">
      <c r="D476" s="73" t="s">
        <v>1268</v>
      </c>
      <c r="E476" s="0" t="s">
        <v>115</v>
      </c>
      <c r="F476" s="0" t="s">
        <v>473</v>
      </c>
    </row>
    <row r="477" customFormat="false" ht="15" hidden="false" customHeight="false" outlineLevel="0" collapsed="false">
      <c r="D477" s="74" t="s">
        <v>1269</v>
      </c>
      <c r="E477" s="75" t="s">
        <v>51</v>
      </c>
      <c r="F477" s="75" t="s">
        <v>473</v>
      </c>
    </row>
    <row r="478" customFormat="false" ht="15" hidden="false" customHeight="false" outlineLevel="0" collapsed="false">
      <c r="D478" s="74" t="s">
        <v>1270</v>
      </c>
      <c r="E478" s="75" t="s">
        <v>51</v>
      </c>
      <c r="F478" s="75" t="s">
        <v>473</v>
      </c>
    </row>
    <row r="479" customFormat="false" ht="15" hidden="false" customHeight="false" outlineLevel="0" collapsed="false">
      <c r="D479" s="74" t="s">
        <v>1271</v>
      </c>
      <c r="E479" s="75" t="s">
        <v>51</v>
      </c>
      <c r="F479" s="75" t="s">
        <v>473</v>
      </c>
    </row>
    <row r="480" customFormat="false" ht="15" hidden="false" customHeight="false" outlineLevel="0" collapsed="false">
      <c r="D480" s="73" t="s">
        <v>1272</v>
      </c>
      <c r="E480" s="0" t="s">
        <v>50</v>
      </c>
      <c r="F480" s="0" t="s">
        <v>1273</v>
      </c>
    </row>
    <row r="481" customFormat="false" ht="15" hidden="false" customHeight="false" outlineLevel="0" collapsed="false">
      <c r="D481" s="73" t="s">
        <v>1274</v>
      </c>
      <c r="E481" s="0" t="s">
        <v>50</v>
      </c>
      <c r="F481" s="0" t="s">
        <v>473</v>
      </c>
    </row>
    <row r="482" customFormat="false" ht="15" hidden="false" customHeight="false" outlineLevel="0" collapsed="false">
      <c r="D482" s="73" t="s">
        <v>1275</v>
      </c>
      <c r="E482" s="0" t="s">
        <v>1276</v>
      </c>
      <c r="F482" s="0" t="s">
        <v>1277</v>
      </c>
    </row>
    <row r="483" customFormat="false" ht="15" hidden="false" customHeight="false" outlineLevel="0" collapsed="false">
      <c r="D483" s="73" t="s">
        <v>1278</v>
      </c>
      <c r="E483" s="0" t="s">
        <v>1276</v>
      </c>
      <c r="F483" s="0" t="s">
        <v>1279</v>
      </c>
    </row>
    <row r="484" customFormat="false" ht="15" hidden="false" customHeight="false" outlineLevel="0" collapsed="false">
      <c r="D484" s="74" t="s">
        <v>1280</v>
      </c>
      <c r="E484" s="75" t="s">
        <v>180</v>
      </c>
      <c r="F484" s="75" t="s">
        <v>634</v>
      </c>
    </row>
    <row r="485" customFormat="false" ht="15" hidden="false" customHeight="false" outlineLevel="0" collapsed="false">
      <c r="D485" s="73" t="s">
        <v>1281</v>
      </c>
      <c r="E485" s="0" t="s">
        <v>21</v>
      </c>
      <c r="F485" s="0" t="s">
        <v>1282</v>
      </c>
    </row>
    <row r="486" customFormat="false" ht="15" hidden="false" customHeight="false" outlineLevel="0" collapsed="false">
      <c r="D486" s="73" t="s">
        <v>1283</v>
      </c>
      <c r="E486" s="0" t="s">
        <v>21</v>
      </c>
      <c r="F486" s="0" t="s">
        <v>1284</v>
      </c>
    </row>
    <row r="487" customFormat="false" ht="15" hidden="false" customHeight="false" outlineLevel="0" collapsed="false">
      <c r="D487" s="73" t="s">
        <v>1285</v>
      </c>
      <c r="E487" s="0" t="s">
        <v>21</v>
      </c>
      <c r="F487" s="0" t="s">
        <v>1286</v>
      </c>
    </row>
    <row r="488" customFormat="false" ht="15" hidden="false" customHeight="false" outlineLevel="0" collapsed="false">
      <c r="D488" s="73" t="s">
        <v>1287</v>
      </c>
      <c r="E488" s="0" t="s">
        <v>21</v>
      </c>
      <c r="F488" s="0" t="s">
        <v>1288</v>
      </c>
    </row>
    <row r="489" customFormat="false" ht="15" hidden="false" customHeight="false" outlineLevel="0" collapsed="false">
      <c r="D489" s="73" t="s">
        <v>1289</v>
      </c>
      <c r="E489" s="0" t="s">
        <v>21</v>
      </c>
      <c r="F489" s="0" t="s">
        <v>1290</v>
      </c>
    </row>
    <row r="490" customFormat="false" ht="15" hidden="false" customHeight="false" outlineLevel="0" collapsed="false">
      <c r="D490" s="73" t="s">
        <v>1291</v>
      </c>
      <c r="E490" s="0" t="s">
        <v>21</v>
      </c>
      <c r="F490" s="0" t="s">
        <v>1292</v>
      </c>
    </row>
    <row r="491" customFormat="false" ht="15" hidden="false" customHeight="false" outlineLevel="0" collapsed="false">
      <c r="D491" s="73" t="s">
        <v>1293</v>
      </c>
      <c r="E491" s="0" t="s">
        <v>21</v>
      </c>
      <c r="F491" s="0" t="s">
        <v>1294</v>
      </c>
    </row>
    <row r="492" customFormat="false" ht="15" hidden="false" customHeight="false" outlineLevel="0" collapsed="false">
      <c r="D492" s="73" t="s">
        <v>1295</v>
      </c>
      <c r="E492" s="0" t="s">
        <v>21</v>
      </c>
      <c r="F492" s="0" t="s">
        <v>1284</v>
      </c>
    </row>
    <row r="493" customFormat="false" ht="15" hidden="false" customHeight="false" outlineLevel="0" collapsed="false">
      <c r="D493" s="73" t="s">
        <v>1296</v>
      </c>
      <c r="E493" s="0" t="s">
        <v>21</v>
      </c>
      <c r="F493" s="0" t="s">
        <v>1277</v>
      </c>
    </row>
    <row r="494" customFormat="false" ht="15" hidden="false" customHeight="false" outlineLevel="0" collapsed="false">
      <c r="D494" s="73" t="s">
        <v>1297</v>
      </c>
      <c r="E494" s="0" t="s">
        <v>21</v>
      </c>
      <c r="F494" s="0" t="s">
        <v>1288</v>
      </c>
    </row>
    <row r="495" customFormat="false" ht="15" hidden="false" customHeight="false" outlineLevel="0" collapsed="false">
      <c r="D495" s="73" t="s">
        <v>1298</v>
      </c>
      <c r="E495" s="0" t="s">
        <v>21</v>
      </c>
      <c r="F495" s="0" t="s">
        <v>1288</v>
      </c>
    </row>
    <row r="496" customFormat="false" ht="15" hidden="false" customHeight="false" outlineLevel="0" collapsed="false">
      <c r="D496" s="73" t="s">
        <v>1299</v>
      </c>
      <c r="E496" s="0" t="s">
        <v>21</v>
      </c>
      <c r="F496" s="0" t="s">
        <v>1300</v>
      </c>
    </row>
    <row r="497" customFormat="false" ht="15" hidden="false" customHeight="false" outlineLevel="0" collapsed="false">
      <c r="D497" s="73" t="s">
        <v>1301</v>
      </c>
      <c r="E497" s="0" t="s">
        <v>21</v>
      </c>
      <c r="F497" s="0" t="s">
        <v>1288</v>
      </c>
    </row>
    <row r="498" customFormat="false" ht="15" hidden="false" customHeight="false" outlineLevel="0" collapsed="false">
      <c r="D498" s="73" t="s">
        <v>1302</v>
      </c>
      <c r="E498" s="0" t="s">
        <v>21</v>
      </c>
      <c r="F498" s="0" t="s">
        <v>1303</v>
      </c>
    </row>
    <row r="499" customFormat="false" ht="15" hidden="false" customHeight="false" outlineLevel="0" collapsed="false">
      <c r="D499" s="73" t="s">
        <v>1304</v>
      </c>
      <c r="E499" s="0" t="s">
        <v>21</v>
      </c>
      <c r="F499" s="0" t="s">
        <v>1286</v>
      </c>
    </row>
    <row r="500" customFormat="false" ht="15" hidden="false" customHeight="false" outlineLevel="0" collapsed="false">
      <c r="D500" s="73" t="s">
        <v>1305</v>
      </c>
      <c r="E500" s="0" t="s">
        <v>21</v>
      </c>
      <c r="F500" s="0" t="s">
        <v>1277</v>
      </c>
    </row>
    <row r="501" customFormat="false" ht="15" hidden="false" customHeight="false" outlineLevel="0" collapsed="false">
      <c r="D501" s="73" t="s">
        <v>1306</v>
      </c>
      <c r="E501" s="0" t="s">
        <v>21</v>
      </c>
      <c r="F501" s="0" t="s">
        <v>1307</v>
      </c>
    </row>
    <row r="502" customFormat="false" ht="15" hidden="false" customHeight="false" outlineLevel="0" collapsed="false">
      <c r="D502" s="73" t="s">
        <v>1308</v>
      </c>
      <c r="E502" s="0" t="s">
        <v>21</v>
      </c>
      <c r="F502" s="0" t="s">
        <v>473</v>
      </c>
    </row>
    <row r="503" customFormat="false" ht="15" hidden="false" customHeight="false" outlineLevel="0" collapsed="false">
      <c r="D503" s="74" t="s">
        <v>1309</v>
      </c>
      <c r="E503" s="75" t="s">
        <v>21</v>
      </c>
      <c r="F503" s="75" t="s">
        <v>707</v>
      </c>
    </row>
    <row r="504" customFormat="false" ht="15" hidden="false" customHeight="false" outlineLevel="0" collapsed="false">
      <c r="D504" s="74" t="s">
        <v>1310</v>
      </c>
      <c r="E504" s="75" t="s">
        <v>21</v>
      </c>
      <c r="F504" s="75" t="s">
        <v>634</v>
      </c>
    </row>
    <row r="505" customFormat="false" ht="15" hidden="false" customHeight="false" outlineLevel="0" collapsed="false">
      <c r="D505" s="74" t="s">
        <v>1311</v>
      </c>
      <c r="E505" s="75" t="s">
        <v>21</v>
      </c>
      <c r="F505" s="75" t="n">
        <v>1</v>
      </c>
    </row>
    <row r="506" customFormat="false" ht="15" hidden="false" customHeight="false" outlineLevel="0" collapsed="false">
      <c r="D506" s="74" t="s">
        <v>1312</v>
      </c>
      <c r="E506" s="75" t="s">
        <v>21</v>
      </c>
      <c r="F506" s="75" t="s">
        <v>1290</v>
      </c>
    </row>
    <row r="507" customFormat="false" ht="15" hidden="false" customHeight="false" outlineLevel="0" collapsed="false">
      <c r="D507" s="74" t="s">
        <v>1313</v>
      </c>
      <c r="E507" s="75" t="s">
        <v>21</v>
      </c>
      <c r="F507" s="75" t="s">
        <v>473</v>
      </c>
    </row>
    <row r="508" customFormat="false" ht="15" hidden="false" customHeight="false" outlineLevel="0" collapsed="false">
      <c r="D508" s="74" t="s">
        <v>1314</v>
      </c>
      <c r="E508" s="75" t="s">
        <v>21</v>
      </c>
      <c r="F508" s="75" t="s">
        <v>473</v>
      </c>
    </row>
    <row r="509" customFormat="false" ht="15" hidden="false" customHeight="false" outlineLevel="0" collapsed="false">
      <c r="D509" s="73" t="s">
        <v>1315</v>
      </c>
      <c r="E509" s="0" t="s">
        <v>85</v>
      </c>
      <c r="F509" s="0" t="s">
        <v>1316</v>
      </c>
    </row>
    <row r="510" customFormat="false" ht="15" hidden="false" customHeight="false" outlineLevel="0" collapsed="false">
      <c r="D510" s="74" t="s">
        <v>1317</v>
      </c>
      <c r="E510" s="75" t="s">
        <v>85</v>
      </c>
      <c r="F510" s="75" t="s">
        <v>1318</v>
      </c>
    </row>
    <row r="511" customFormat="false" ht="15" hidden="false" customHeight="false" outlineLevel="0" collapsed="false">
      <c r="D511" s="74" t="s">
        <v>1319</v>
      </c>
      <c r="E511" s="75" t="s">
        <v>85</v>
      </c>
      <c r="F511" s="75" t="s">
        <v>473</v>
      </c>
    </row>
    <row r="512" customFormat="false" ht="15" hidden="false" customHeight="false" outlineLevel="0" collapsed="false">
      <c r="D512" s="73" t="s">
        <v>1320</v>
      </c>
      <c r="E512" s="0" t="s">
        <v>538</v>
      </c>
      <c r="F512" s="0" t="s">
        <v>473</v>
      </c>
    </row>
    <row r="513" customFormat="false" ht="15" hidden="false" customHeight="false" outlineLevel="0" collapsed="false">
      <c r="D513" s="73" t="s">
        <v>1321</v>
      </c>
      <c r="E513" s="0" t="s">
        <v>35</v>
      </c>
      <c r="F513" s="0" t="s">
        <v>1322</v>
      </c>
    </row>
    <row r="514" customFormat="false" ht="15" hidden="false" customHeight="false" outlineLevel="0" collapsed="false">
      <c r="D514" s="73" t="s">
        <v>1323</v>
      </c>
      <c r="E514" s="0" t="s">
        <v>35</v>
      </c>
      <c r="F514" s="0" t="s">
        <v>1324</v>
      </c>
    </row>
    <row r="515" customFormat="false" ht="15" hidden="false" customHeight="false" outlineLevel="0" collapsed="false">
      <c r="D515" s="73" t="s">
        <v>1325</v>
      </c>
      <c r="E515" s="0" t="s">
        <v>35</v>
      </c>
      <c r="F515" s="0" t="s">
        <v>1322</v>
      </c>
    </row>
    <row r="516" customFormat="false" ht="15" hidden="false" customHeight="false" outlineLevel="0" collapsed="false">
      <c r="D516" s="73" t="s">
        <v>1326</v>
      </c>
      <c r="E516" s="0" t="s">
        <v>35</v>
      </c>
      <c r="F516" s="0" t="s">
        <v>1324</v>
      </c>
    </row>
    <row r="517" customFormat="false" ht="15" hidden="false" customHeight="false" outlineLevel="0" collapsed="false">
      <c r="D517" s="73" t="s">
        <v>1327</v>
      </c>
      <c r="E517" s="0" t="s">
        <v>35</v>
      </c>
      <c r="F517" s="0" t="s">
        <v>1288</v>
      </c>
    </row>
    <row r="518" customFormat="false" ht="15" hidden="false" customHeight="false" outlineLevel="0" collapsed="false">
      <c r="D518" s="73" t="s">
        <v>1328</v>
      </c>
      <c r="E518" s="0" t="s">
        <v>35</v>
      </c>
      <c r="F518" s="0" t="s">
        <v>1288</v>
      </c>
    </row>
    <row r="519" customFormat="false" ht="15" hidden="false" customHeight="false" outlineLevel="0" collapsed="false">
      <c r="D519" s="73" t="s">
        <v>1329</v>
      </c>
      <c r="E519" s="0" t="s">
        <v>35</v>
      </c>
      <c r="F519" s="0" t="s">
        <v>1288</v>
      </c>
    </row>
    <row r="520" customFormat="false" ht="15" hidden="false" customHeight="false" outlineLevel="0" collapsed="false">
      <c r="D520" s="73" t="s">
        <v>1330</v>
      </c>
      <c r="E520" s="0" t="s">
        <v>35</v>
      </c>
      <c r="F520" s="0" t="s">
        <v>473</v>
      </c>
    </row>
    <row r="521" customFormat="false" ht="15" hidden="false" customHeight="false" outlineLevel="0" collapsed="false">
      <c r="D521" s="73" t="s">
        <v>1331</v>
      </c>
      <c r="E521" s="0" t="s">
        <v>35</v>
      </c>
      <c r="F521" s="0" t="s">
        <v>473</v>
      </c>
    </row>
    <row r="522" customFormat="false" ht="15" hidden="false" customHeight="false" outlineLevel="0" collapsed="false">
      <c r="D522" s="73" t="s">
        <v>1332</v>
      </c>
      <c r="E522" s="0" t="s">
        <v>35</v>
      </c>
      <c r="F522" s="0" t="s">
        <v>473</v>
      </c>
    </row>
    <row r="523" customFormat="false" ht="15" hidden="false" customHeight="false" outlineLevel="0" collapsed="false">
      <c r="D523" s="73" t="s">
        <v>1333</v>
      </c>
      <c r="E523" s="0" t="s">
        <v>35</v>
      </c>
      <c r="F523" s="0" t="s">
        <v>473</v>
      </c>
    </row>
    <row r="524" customFormat="false" ht="15" hidden="false" customHeight="false" outlineLevel="0" collapsed="false">
      <c r="D524" s="73" t="s">
        <v>1334</v>
      </c>
      <c r="E524" s="0" t="s">
        <v>35</v>
      </c>
      <c r="F524" s="0" t="s">
        <v>734</v>
      </c>
    </row>
    <row r="525" customFormat="false" ht="15" hidden="false" customHeight="false" outlineLevel="0" collapsed="false">
      <c r="D525" s="73" t="s">
        <v>1335</v>
      </c>
      <c r="E525" s="0" t="s">
        <v>35</v>
      </c>
      <c r="F525" s="0" t="n">
        <v>6</v>
      </c>
    </row>
    <row r="526" customFormat="false" ht="15" hidden="false" customHeight="false" outlineLevel="0" collapsed="false">
      <c r="D526" s="74" t="s">
        <v>1336</v>
      </c>
      <c r="E526" s="75" t="s">
        <v>35</v>
      </c>
      <c r="F526" s="75" t="s">
        <v>1337</v>
      </c>
    </row>
    <row r="527" customFormat="false" ht="15" hidden="false" customHeight="false" outlineLevel="0" collapsed="false">
      <c r="D527" s="73" t="s">
        <v>1338</v>
      </c>
      <c r="E527" s="0" t="s">
        <v>175</v>
      </c>
      <c r="F527" s="0" t="s">
        <v>1322</v>
      </c>
    </row>
    <row r="528" customFormat="false" ht="15" hidden="false" customHeight="false" outlineLevel="0" collapsed="false">
      <c r="D528" s="73" t="s">
        <v>1339</v>
      </c>
      <c r="E528" s="0" t="s">
        <v>175</v>
      </c>
      <c r="F528" s="0" t="s">
        <v>473</v>
      </c>
    </row>
    <row r="529" customFormat="false" ht="15" hidden="false" customHeight="false" outlineLevel="0" collapsed="false">
      <c r="D529" s="73" t="s">
        <v>1340</v>
      </c>
      <c r="E529" s="0" t="s">
        <v>165</v>
      </c>
      <c r="F529" s="0" t="s">
        <v>473</v>
      </c>
    </row>
    <row r="530" customFormat="false" ht="15" hidden="false" customHeight="false" outlineLevel="0" collapsed="false">
      <c r="D530" s="74" t="s">
        <v>1341</v>
      </c>
      <c r="E530" s="75" t="s">
        <v>165</v>
      </c>
      <c r="F530" s="75" t="s">
        <v>473</v>
      </c>
    </row>
    <row r="531" customFormat="false" ht="15" hidden="false" customHeight="false" outlineLevel="0" collapsed="false">
      <c r="D531" s="73" t="s">
        <v>1342</v>
      </c>
      <c r="E531" s="0" t="s">
        <v>547</v>
      </c>
      <c r="F531" s="0" t="s">
        <v>473</v>
      </c>
    </row>
    <row r="532" customFormat="false" ht="15" hidden="false" customHeight="false" outlineLevel="0" collapsed="false">
      <c r="D532" s="74" t="s">
        <v>1343</v>
      </c>
      <c r="E532" s="75" t="s">
        <v>49</v>
      </c>
      <c r="F532" s="75" t="s">
        <v>473</v>
      </c>
    </row>
    <row r="533" customFormat="false" ht="15" hidden="false" customHeight="false" outlineLevel="0" collapsed="false">
      <c r="D533" s="74" t="s">
        <v>1344</v>
      </c>
      <c r="E533" s="75" t="s">
        <v>49</v>
      </c>
      <c r="F533" s="75" t="s">
        <v>473</v>
      </c>
    </row>
    <row r="534" customFormat="false" ht="15" hidden="false" customHeight="false" outlineLevel="0" collapsed="false">
      <c r="D534" s="74" t="s">
        <v>1345</v>
      </c>
      <c r="E534" s="75" t="s">
        <v>102</v>
      </c>
      <c r="F534" s="75" t="s">
        <v>473</v>
      </c>
    </row>
    <row r="535" customFormat="false" ht="15" hidden="false" customHeight="false" outlineLevel="0" collapsed="false">
      <c r="D535" s="74" t="s">
        <v>1346</v>
      </c>
      <c r="E535" s="75" t="s">
        <v>102</v>
      </c>
      <c r="F535" s="75" t="s">
        <v>473</v>
      </c>
    </row>
    <row r="536" customFormat="false" ht="15" hidden="false" customHeight="false" outlineLevel="0" collapsed="false">
      <c r="D536" s="74" t="s">
        <v>1347</v>
      </c>
      <c r="E536" s="75" t="s">
        <v>102</v>
      </c>
      <c r="F536" s="75" t="s">
        <v>473</v>
      </c>
    </row>
    <row r="537" customFormat="false" ht="15" hidden="false" customHeight="false" outlineLevel="0" collapsed="false">
      <c r="D537" s="74" t="s">
        <v>1348</v>
      </c>
      <c r="E537" s="75" t="s">
        <v>102</v>
      </c>
      <c r="F537" s="75" t="s">
        <v>473</v>
      </c>
    </row>
    <row r="538" customFormat="false" ht="15" hidden="false" customHeight="false" outlineLevel="0" collapsed="false">
      <c r="D538" s="73" t="s">
        <v>1349</v>
      </c>
      <c r="E538" s="0" t="s">
        <v>25</v>
      </c>
      <c r="F538" s="0" t="s">
        <v>1350</v>
      </c>
    </row>
    <row r="539" customFormat="false" ht="15" hidden="false" customHeight="false" outlineLevel="0" collapsed="false">
      <c r="D539" s="73" t="s">
        <v>1351</v>
      </c>
      <c r="E539" s="0" t="s">
        <v>25</v>
      </c>
      <c r="F539" s="0" t="s">
        <v>1352</v>
      </c>
    </row>
    <row r="540" customFormat="false" ht="15" hidden="false" customHeight="false" outlineLevel="0" collapsed="false">
      <c r="D540" s="73" t="s">
        <v>1353</v>
      </c>
      <c r="E540" s="0" t="s">
        <v>25</v>
      </c>
      <c r="F540" s="0" t="s">
        <v>1350</v>
      </c>
    </row>
    <row r="541" customFormat="false" ht="15" hidden="false" customHeight="false" outlineLevel="0" collapsed="false">
      <c r="D541" s="73" t="s">
        <v>1354</v>
      </c>
      <c r="E541" s="0" t="s">
        <v>25</v>
      </c>
      <c r="F541" s="0" t="s">
        <v>855</v>
      </c>
    </row>
    <row r="542" customFormat="false" ht="15" hidden="false" customHeight="false" outlineLevel="0" collapsed="false">
      <c r="D542" s="73" t="s">
        <v>1355</v>
      </c>
      <c r="E542" s="0" t="s">
        <v>25</v>
      </c>
      <c r="F542" s="0" t="s">
        <v>1356</v>
      </c>
    </row>
    <row r="543" customFormat="false" ht="15" hidden="false" customHeight="false" outlineLevel="0" collapsed="false">
      <c r="D543" s="73" t="s">
        <v>1357</v>
      </c>
      <c r="E543" s="0" t="s">
        <v>25</v>
      </c>
      <c r="F543" s="0" t="s">
        <v>1358</v>
      </c>
    </row>
    <row r="544" customFormat="false" ht="15" hidden="false" customHeight="false" outlineLevel="0" collapsed="false">
      <c r="D544" s="73" t="s">
        <v>1359</v>
      </c>
      <c r="E544" s="0" t="s">
        <v>25</v>
      </c>
      <c r="F544" s="0" t="s">
        <v>1360</v>
      </c>
    </row>
    <row r="545" customFormat="false" ht="15" hidden="false" customHeight="false" outlineLevel="0" collapsed="false">
      <c r="D545" s="73" t="s">
        <v>1361</v>
      </c>
      <c r="E545" s="0" t="s">
        <v>25</v>
      </c>
      <c r="F545" s="0" t="s">
        <v>1362</v>
      </c>
    </row>
    <row r="546" customFormat="false" ht="15" hidden="false" customHeight="false" outlineLevel="0" collapsed="false">
      <c r="D546" s="73" t="s">
        <v>1363</v>
      </c>
      <c r="E546" s="0" t="s">
        <v>25</v>
      </c>
      <c r="F546" s="0" t="s">
        <v>855</v>
      </c>
    </row>
    <row r="547" customFormat="false" ht="15" hidden="false" customHeight="false" outlineLevel="0" collapsed="false">
      <c r="D547" s="73" t="s">
        <v>1364</v>
      </c>
      <c r="E547" s="0" t="s">
        <v>25</v>
      </c>
      <c r="F547" s="0" t="s">
        <v>855</v>
      </c>
    </row>
    <row r="548" customFormat="false" ht="15" hidden="false" customHeight="false" outlineLevel="0" collapsed="false">
      <c r="D548" s="73" t="s">
        <v>1365</v>
      </c>
      <c r="E548" s="0" t="s">
        <v>25</v>
      </c>
      <c r="F548" s="0" t="s">
        <v>1106</v>
      </c>
    </row>
    <row r="549" customFormat="false" ht="15" hidden="false" customHeight="false" outlineLevel="0" collapsed="false">
      <c r="D549" s="73" t="s">
        <v>1366</v>
      </c>
      <c r="E549" s="0" t="s">
        <v>25</v>
      </c>
      <c r="F549" s="0" t="s">
        <v>1360</v>
      </c>
    </row>
    <row r="550" customFormat="false" ht="15" hidden="false" customHeight="false" outlineLevel="0" collapsed="false">
      <c r="D550" s="73" t="s">
        <v>1367</v>
      </c>
      <c r="E550" s="0" t="s">
        <v>25</v>
      </c>
      <c r="F550" s="0" t="s">
        <v>1106</v>
      </c>
    </row>
    <row r="551" customFormat="false" ht="15" hidden="false" customHeight="false" outlineLevel="0" collapsed="false">
      <c r="D551" s="73" t="s">
        <v>1368</v>
      </c>
      <c r="E551" s="0" t="s">
        <v>25</v>
      </c>
      <c r="F551" s="0" t="s">
        <v>855</v>
      </c>
    </row>
    <row r="552" customFormat="false" ht="15" hidden="false" customHeight="false" outlineLevel="0" collapsed="false">
      <c r="D552" s="73" t="s">
        <v>1369</v>
      </c>
      <c r="E552" s="0" t="s">
        <v>25</v>
      </c>
      <c r="F552" s="0" t="s">
        <v>1106</v>
      </c>
    </row>
    <row r="553" customFormat="false" ht="15" hidden="false" customHeight="false" outlineLevel="0" collapsed="false">
      <c r="D553" s="73" t="s">
        <v>1370</v>
      </c>
      <c r="E553" s="0" t="s">
        <v>25</v>
      </c>
      <c r="F553" s="0" t="s">
        <v>1371</v>
      </c>
    </row>
    <row r="554" customFormat="false" ht="15" hidden="false" customHeight="false" outlineLevel="0" collapsed="false">
      <c r="D554" s="73" t="s">
        <v>1372</v>
      </c>
      <c r="E554" s="0" t="s">
        <v>25</v>
      </c>
      <c r="F554" s="0" t="s">
        <v>805</v>
      </c>
    </row>
    <row r="555" customFormat="false" ht="15" hidden="false" customHeight="false" outlineLevel="0" collapsed="false">
      <c r="D555" s="73" t="s">
        <v>1373</v>
      </c>
      <c r="E555" s="0" t="s">
        <v>25</v>
      </c>
      <c r="F555" s="0" t="s">
        <v>1362</v>
      </c>
    </row>
    <row r="556" customFormat="false" ht="15" hidden="false" customHeight="false" outlineLevel="0" collapsed="false">
      <c r="D556" s="73" t="s">
        <v>1374</v>
      </c>
      <c r="E556" s="0" t="s">
        <v>25</v>
      </c>
      <c r="F556" s="0" t="s">
        <v>1360</v>
      </c>
    </row>
    <row r="557" customFormat="false" ht="15" hidden="false" customHeight="false" outlineLevel="0" collapsed="false">
      <c r="D557" s="73" t="s">
        <v>1375</v>
      </c>
      <c r="E557" s="0" t="s">
        <v>25</v>
      </c>
      <c r="F557" s="0" t="s">
        <v>805</v>
      </c>
    </row>
    <row r="558" customFormat="false" ht="15" hidden="false" customHeight="false" outlineLevel="0" collapsed="false">
      <c r="D558" s="73" t="s">
        <v>1376</v>
      </c>
      <c r="E558" s="0" t="s">
        <v>25</v>
      </c>
      <c r="F558" s="0" t="s">
        <v>805</v>
      </c>
    </row>
    <row r="559" customFormat="false" ht="15" hidden="false" customHeight="false" outlineLevel="0" collapsed="false">
      <c r="D559" s="73" t="s">
        <v>1377</v>
      </c>
      <c r="E559" s="0" t="s">
        <v>25</v>
      </c>
      <c r="F559" s="0" t="s">
        <v>1106</v>
      </c>
    </row>
    <row r="560" customFormat="false" ht="15" hidden="false" customHeight="false" outlineLevel="0" collapsed="false">
      <c r="D560" s="73" t="s">
        <v>1378</v>
      </c>
      <c r="E560" s="0" t="s">
        <v>25</v>
      </c>
      <c r="F560" s="0" t="s">
        <v>855</v>
      </c>
    </row>
    <row r="561" customFormat="false" ht="15" hidden="false" customHeight="false" outlineLevel="0" collapsed="false">
      <c r="D561" s="73" t="s">
        <v>1379</v>
      </c>
      <c r="E561" s="0" t="s">
        <v>25</v>
      </c>
      <c r="F561" s="0" t="s">
        <v>1380</v>
      </c>
    </row>
    <row r="562" customFormat="false" ht="15" hidden="false" customHeight="false" outlineLevel="0" collapsed="false">
      <c r="D562" s="73" t="s">
        <v>1381</v>
      </c>
      <c r="E562" s="0" t="s">
        <v>25</v>
      </c>
      <c r="F562" s="0" t="s">
        <v>1360</v>
      </c>
    </row>
    <row r="563" customFormat="false" ht="15" hidden="false" customHeight="false" outlineLevel="0" collapsed="false">
      <c r="D563" s="73" t="s">
        <v>1382</v>
      </c>
      <c r="E563" s="0" t="s">
        <v>25</v>
      </c>
      <c r="F563" s="0" t="s">
        <v>1362</v>
      </c>
    </row>
    <row r="564" customFormat="false" ht="15" hidden="false" customHeight="false" outlineLevel="0" collapsed="false">
      <c r="D564" s="73" t="s">
        <v>1383</v>
      </c>
      <c r="E564" s="0" t="s">
        <v>25</v>
      </c>
      <c r="F564" s="0" t="s">
        <v>1106</v>
      </c>
    </row>
    <row r="565" customFormat="false" ht="15" hidden="false" customHeight="false" outlineLevel="0" collapsed="false">
      <c r="D565" s="73" t="s">
        <v>1384</v>
      </c>
      <c r="E565" s="0" t="s">
        <v>25</v>
      </c>
      <c r="F565" s="0" t="s">
        <v>805</v>
      </c>
    </row>
    <row r="566" customFormat="false" ht="15" hidden="false" customHeight="false" outlineLevel="0" collapsed="false">
      <c r="D566" s="73" t="s">
        <v>1385</v>
      </c>
      <c r="E566" s="0" t="s">
        <v>25</v>
      </c>
      <c r="F566" s="0" t="s">
        <v>805</v>
      </c>
    </row>
    <row r="567" customFormat="false" ht="15" hidden="false" customHeight="false" outlineLevel="0" collapsed="false">
      <c r="D567" s="73" t="s">
        <v>1386</v>
      </c>
      <c r="E567" s="0" t="s">
        <v>25</v>
      </c>
      <c r="F567" s="0" t="s">
        <v>855</v>
      </c>
    </row>
    <row r="568" customFormat="false" ht="15" hidden="false" customHeight="false" outlineLevel="0" collapsed="false">
      <c r="D568" s="73" t="s">
        <v>1387</v>
      </c>
      <c r="E568" s="0" t="s">
        <v>25</v>
      </c>
      <c r="F568" s="0" t="s">
        <v>1360</v>
      </c>
    </row>
    <row r="569" customFormat="false" ht="15" hidden="false" customHeight="false" outlineLevel="0" collapsed="false">
      <c r="D569" s="73" t="s">
        <v>1388</v>
      </c>
      <c r="E569" s="6" t="s">
        <v>25</v>
      </c>
      <c r="F569" s="0" t="s">
        <v>855</v>
      </c>
    </row>
    <row r="570" customFormat="false" ht="15" hidden="false" customHeight="false" outlineLevel="0" collapsed="false">
      <c r="D570" s="73" t="s">
        <v>1389</v>
      </c>
      <c r="E570" s="0" t="s">
        <v>25</v>
      </c>
      <c r="F570" s="0" t="s">
        <v>855</v>
      </c>
    </row>
    <row r="571" customFormat="false" ht="15" hidden="false" customHeight="false" outlineLevel="0" collapsed="false">
      <c r="D571" s="73" t="s">
        <v>1390</v>
      </c>
      <c r="E571" s="0" t="s">
        <v>25</v>
      </c>
      <c r="F571" s="0" t="s">
        <v>805</v>
      </c>
    </row>
    <row r="572" customFormat="false" ht="15" hidden="false" customHeight="false" outlineLevel="0" collapsed="false">
      <c r="D572" s="73" t="s">
        <v>1391</v>
      </c>
      <c r="E572" s="0" t="s">
        <v>25</v>
      </c>
      <c r="F572" s="0" t="s">
        <v>805</v>
      </c>
    </row>
    <row r="573" customFormat="false" ht="15" hidden="false" customHeight="false" outlineLevel="0" collapsed="false">
      <c r="D573" s="73" t="s">
        <v>1392</v>
      </c>
      <c r="E573" s="0" t="s">
        <v>25</v>
      </c>
      <c r="F573" s="0" t="s">
        <v>855</v>
      </c>
    </row>
    <row r="574" customFormat="false" ht="15" hidden="false" customHeight="false" outlineLevel="0" collapsed="false">
      <c r="D574" s="73" t="s">
        <v>1393</v>
      </c>
      <c r="E574" s="0" t="s">
        <v>25</v>
      </c>
      <c r="F574" s="0" t="s">
        <v>805</v>
      </c>
    </row>
    <row r="575" customFormat="false" ht="15" hidden="false" customHeight="false" outlineLevel="0" collapsed="false">
      <c r="D575" s="73" t="s">
        <v>1394</v>
      </c>
      <c r="E575" s="0" t="s">
        <v>25</v>
      </c>
      <c r="F575" s="0" t="s">
        <v>805</v>
      </c>
    </row>
    <row r="576" customFormat="false" ht="15" hidden="false" customHeight="false" outlineLevel="0" collapsed="false">
      <c r="D576" s="73" t="s">
        <v>1395</v>
      </c>
      <c r="E576" s="0" t="s">
        <v>25</v>
      </c>
      <c r="F576" s="0" t="s">
        <v>1360</v>
      </c>
    </row>
    <row r="577" customFormat="false" ht="15" hidden="false" customHeight="false" outlineLevel="0" collapsed="false">
      <c r="D577" s="73" t="s">
        <v>1396</v>
      </c>
      <c r="E577" s="0" t="s">
        <v>25</v>
      </c>
      <c r="F577" s="0" t="s">
        <v>1397</v>
      </c>
    </row>
    <row r="578" customFormat="false" ht="15" hidden="false" customHeight="false" outlineLevel="0" collapsed="false">
      <c r="D578" s="73" t="s">
        <v>1398</v>
      </c>
      <c r="E578" s="0" t="s">
        <v>25</v>
      </c>
      <c r="F578" s="0" t="s">
        <v>805</v>
      </c>
    </row>
    <row r="579" customFormat="false" ht="15" hidden="false" customHeight="false" outlineLevel="0" collapsed="false">
      <c r="D579" s="73" t="s">
        <v>1399</v>
      </c>
      <c r="E579" s="0" t="s">
        <v>25</v>
      </c>
      <c r="F579" s="0" t="s">
        <v>805</v>
      </c>
    </row>
    <row r="580" customFormat="false" ht="15" hidden="false" customHeight="false" outlineLevel="0" collapsed="false">
      <c r="D580" s="73" t="s">
        <v>1400</v>
      </c>
      <c r="E580" s="0" t="s">
        <v>25</v>
      </c>
      <c r="F580" s="0" t="s">
        <v>855</v>
      </c>
    </row>
    <row r="581" customFormat="false" ht="15" hidden="false" customHeight="false" outlineLevel="0" collapsed="false">
      <c r="D581" s="73" t="s">
        <v>1401</v>
      </c>
      <c r="E581" s="0" t="s">
        <v>25</v>
      </c>
      <c r="F581" s="0" t="s">
        <v>1397</v>
      </c>
    </row>
    <row r="582" customFormat="false" ht="15" hidden="false" customHeight="false" outlineLevel="0" collapsed="false">
      <c r="D582" s="73" t="s">
        <v>1402</v>
      </c>
      <c r="E582" s="0" t="s">
        <v>25</v>
      </c>
      <c r="F582" s="0" t="s">
        <v>855</v>
      </c>
    </row>
    <row r="583" customFormat="false" ht="15" hidden="false" customHeight="false" outlineLevel="0" collapsed="false">
      <c r="D583" s="73" t="s">
        <v>1403</v>
      </c>
      <c r="E583" s="0" t="s">
        <v>25</v>
      </c>
      <c r="F583" s="0" t="s">
        <v>855</v>
      </c>
    </row>
    <row r="584" customFormat="false" ht="15" hidden="false" customHeight="false" outlineLevel="0" collapsed="false">
      <c r="D584" s="73" t="s">
        <v>1404</v>
      </c>
      <c r="E584" s="0" t="s">
        <v>25</v>
      </c>
      <c r="F584" s="0" t="s">
        <v>855</v>
      </c>
    </row>
    <row r="585" customFormat="false" ht="15" hidden="false" customHeight="false" outlineLevel="0" collapsed="false">
      <c r="D585" s="73" t="s">
        <v>1405</v>
      </c>
      <c r="E585" s="0" t="s">
        <v>25</v>
      </c>
      <c r="F585" s="0" t="s">
        <v>1406</v>
      </c>
    </row>
    <row r="586" customFormat="false" ht="15" hidden="false" customHeight="false" outlineLevel="0" collapsed="false">
      <c r="D586" s="73" t="s">
        <v>1407</v>
      </c>
      <c r="E586" s="0" t="s">
        <v>25</v>
      </c>
      <c r="F586" s="0" t="s">
        <v>1106</v>
      </c>
    </row>
    <row r="587" customFormat="false" ht="15" hidden="false" customHeight="false" outlineLevel="0" collapsed="false">
      <c r="D587" s="73" t="s">
        <v>1408</v>
      </c>
      <c r="E587" s="0" t="s">
        <v>25</v>
      </c>
      <c r="F587" s="0" t="s">
        <v>805</v>
      </c>
    </row>
    <row r="588" customFormat="false" ht="15" hidden="false" customHeight="false" outlineLevel="0" collapsed="false">
      <c r="D588" s="73" t="s">
        <v>1409</v>
      </c>
      <c r="E588" s="0" t="s">
        <v>25</v>
      </c>
      <c r="F588" s="0" t="s">
        <v>1360</v>
      </c>
    </row>
    <row r="589" customFormat="false" ht="15" hidden="false" customHeight="false" outlineLevel="0" collapsed="false">
      <c r="D589" s="73" t="s">
        <v>1410</v>
      </c>
      <c r="E589" s="0" t="s">
        <v>25</v>
      </c>
      <c r="F589" s="0" t="s">
        <v>855</v>
      </c>
    </row>
    <row r="590" customFormat="false" ht="15" hidden="false" customHeight="false" outlineLevel="0" collapsed="false">
      <c r="D590" s="73" t="s">
        <v>1411</v>
      </c>
      <c r="E590" s="0" t="s">
        <v>25</v>
      </c>
      <c r="F590" s="0" t="s">
        <v>473</v>
      </c>
    </row>
    <row r="591" customFormat="false" ht="15" hidden="false" customHeight="false" outlineLevel="0" collapsed="false">
      <c r="D591" s="73" t="s">
        <v>1412</v>
      </c>
      <c r="E591" s="0" t="s">
        <v>25</v>
      </c>
      <c r="F591" s="0" t="s">
        <v>1279</v>
      </c>
    </row>
    <row r="592" customFormat="false" ht="15" hidden="false" customHeight="false" outlineLevel="0" collapsed="false">
      <c r="D592" s="74" t="s">
        <v>1413</v>
      </c>
      <c r="E592" s="75" t="s">
        <v>25</v>
      </c>
      <c r="F592" s="75" t="s">
        <v>473</v>
      </c>
    </row>
    <row r="593" customFormat="false" ht="15" hidden="false" customHeight="false" outlineLevel="0" collapsed="false">
      <c r="D593" s="74" t="s">
        <v>1414</v>
      </c>
      <c r="E593" s="75" t="s">
        <v>25</v>
      </c>
      <c r="F593" s="75" t="s">
        <v>1415</v>
      </c>
    </row>
    <row r="594" customFormat="false" ht="15" hidden="false" customHeight="false" outlineLevel="0" collapsed="false">
      <c r="D594" s="74" t="s">
        <v>1416</v>
      </c>
      <c r="E594" s="75" t="s">
        <v>25</v>
      </c>
      <c r="F594" s="75" t="s">
        <v>473</v>
      </c>
    </row>
    <row r="595" customFormat="false" ht="15" hidden="false" customHeight="false" outlineLevel="0" collapsed="false">
      <c r="D595" s="74" t="s">
        <v>1417</v>
      </c>
      <c r="E595" s="75" t="s">
        <v>25</v>
      </c>
      <c r="F595" s="75" t="s">
        <v>473</v>
      </c>
    </row>
    <row r="596" customFormat="false" ht="15" hidden="false" customHeight="false" outlineLevel="0" collapsed="false">
      <c r="D596" s="74" t="s">
        <v>1418</v>
      </c>
      <c r="E596" s="75" t="s">
        <v>25</v>
      </c>
      <c r="F596" s="75" t="s">
        <v>473</v>
      </c>
    </row>
    <row r="597" customFormat="false" ht="15" hidden="false" customHeight="false" outlineLevel="0" collapsed="false">
      <c r="D597" s="74" t="s">
        <v>1419</v>
      </c>
      <c r="E597" s="75" t="s">
        <v>25</v>
      </c>
      <c r="F597" s="75" t="s">
        <v>473</v>
      </c>
    </row>
    <row r="598" customFormat="false" ht="15" hidden="false" customHeight="false" outlineLevel="0" collapsed="false">
      <c r="D598" s="74" t="s">
        <v>1420</v>
      </c>
      <c r="E598" s="75" t="s">
        <v>25</v>
      </c>
      <c r="F598" s="75" t="s">
        <v>473</v>
      </c>
    </row>
    <row r="599" customFormat="false" ht="15" hidden="false" customHeight="false" outlineLevel="0" collapsed="false">
      <c r="D599" s="74" t="s">
        <v>1421</v>
      </c>
      <c r="E599" s="75" t="s">
        <v>25</v>
      </c>
      <c r="F599" s="75" t="s">
        <v>473</v>
      </c>
    </row>
    <row r="600" customFormat="false" ht="15" hidden="false" customHeight="false" outlineLevel="0" collapsed="false">
      <c r="D600" s="73" t="s">
        <v>1422</v>
      </c>
      <c r="E600" s="0" t="s">
        <v>1423</v>
      </c>
      <c r="F600" s="0" t="s">
        <v>1424</v>
      </c>
    </row>
    <row r="601" customFormat="false" ht="15" hidden="false" customHeight="false" outlineLevel="0" collapsed="false">
      <c r="D601" s="73" t="s">
        <v>1425</v>
      </c>
      <c r="E601" s="0" t="s">
        <v>1423</v>
      </c>
      <c r="F601" s="0" t="s">
        <v>473</v>
      </c>
    </row>
    <row r="602" customFormat="false" ht="15" hidden="false" customHeight="false" outlineLevel="0" collapsed="false">
      <c r="D602" s="73" t="s">
        <v>1426</v>
      </c>
      <c r="E602" s="0" t="s">
        <v>190</v>
      </c>
      <c r="F602" s="0" t="s">
        <v>473</v>
      </c>
    </row>
    <row r="603" customFormat="false" ht="15" hidden="false" customHeight="false" outlineLevel="0" collapsed="false">
      <c r="D603" s="73" t="s">
        <v>1427</v>
      </c>
      <c r="E603" s="0" t="s">
        <v>190</v>
      </c>
      <c r="F603" s="0" t="s">
        <v>473</v>
      </c>
    </row>
    <row r="604" customFormat="false" ht="15" hidden="false" customHeight="false" outlineLevel="0" collapsed="false">
      <c r="D604" s="74" t="s">
        <v>1428</v>
      </c>
      <c r="E604" s="75" t="s">
        <v>132</v>
      </c>
      <c r="F604" s="75" t="s">
        <v>1429</v>
      </c>
    </row>
    <row r="605" customFormat="false" ht="15" hidden="false" customHeight="false" outlineLevel="0" collapsed="false">
      <c r="D605" s="73" t="s">
        <v>1430</v>
      </c>
      <c r="E605" s="0" t="s">
        <v>1431</v>
      </c>
      <c r="F605" s="0" t="s">
        <v>1059</v>
      </c>
    </row>
    <row r="606" customFormat="false" ht="13.8" hidden="false" customHeight="false" outlineLevel="0" collapsed="false">
      <c r="D606" s="73" t="s">
        <v>1432</v>
      </c>
      <c r="E606" s="0" t="s">
        <v>1431</v>
      </c>
      <c r="F606" s="0" t="s">
        <v>473</v>
      </c>
    </row>
    <row r="607" customFormat="false" ht="13.8" hidden="false" customHeight="false" outlineLevel="0" collapsed="false">
      <c r="D607" s="74" t="s">
        <v>1433</v>
      </c>
      <c r="E607" s="0" t="s">
        <v>1431</v>
      </c>
      <c r="F607" s="75" t="s">
        <v>473</v>
      </c>
    </row>
    <row r="608" customFormat="false" ht="15" hidden="false" customHeight="false" outlineLevel="0" collapsed="false">
      <c r="D608" s="74" t="s">
        <v>1434</v>
      </c>
      <c r="E608" s="75" t="s">
        <v>1435</v>
      </c>
      <c r="F608" s="75" t="s">
        <v>1436</v>
      </c>
    </row>
    <row r="609" customFormat="false" ht="15" hidden="false" customHeight="false" outlineLevel="0" collapsed="false">
      <c r="D609" s="74" t="s">
        <v>1437</v>
      </c>
      <c r="E609" s="75" t="s">
        <v>1435</v>
      </c>
      <c r="F609" s="75" t="s">
        <v>473</v>
      </c>
    </row>
    <row r="610" customFormat="false" ht="15" hidden="false" customHeight="false" outlineLevel="0" collapsed="false">
      <c r="D610" s="73" t="s">
        <v>1438</v>
      </c>
      <c r="E610" s="0" t="s">
        <v>176</v>
      </c>
      <c r="F610" s="0" t="s">
        <v>1439</v>
      </c>
    </row>
    <row r="611" customFormat="false" ht="15" hidden="false" customHeight="false" outlineLevel="0" collapsed="false">
      <c r="D611" s="74" t="s">
        <v>1440</v>
      </c>
      <c r="E611" s="75" t="s">
        <v>176</v>
      </c>
      <c r="F611" s="75" t="s">
        <v>473</v>
      </c>
    </row>
    <row r="612" customFormat="false" ht="15" hidden="false" customHeight="false" outlineLevel="0" collapsed="false">
      <c r="D612" s="73" t="s">
        <v>1441</v>
      </c>
      <c r="E612" s="0" t="s">
        <v>1442</v>
      </c>
      <c r="F612" s="0" t="s">
        <v>1443</v>
      </c>
    </row>
    <row r="613" customFormat="false" ht="15" hidden="false" customHeight="false" outlineLevel="0" collapsed="false">
      <c r="D613" s="73" t="s">
        <v>1444</v>
      </c>
      <c r="E613" s="0" t="s">
        <v>1442</v>
      </c>
      <c r="F613" s="0" t="s">
        <v>1057</v>
      </c>
    </row>
    <row r="614" customFormat="false" ht="15" hidden="false" customHeight="false" outlineLevel="0" collapsed="false">
      <c r="D614" s="73" t="s">
        <v>1445</v>
      </c>
      <c r="E614" s="0" t="s">
        <v>1442</v>
      </c>
      <c r="F614" s="0" t="s">
        <v>473</v>
      </c>
    </row>
    <row r="615" customFormat="false" ht="15" hidden="false" customHeight="false" outlineLevel="0" collapsed="false">
      <c r="D615" s="73" t="s">
        <v>1446</v>
      </c>
      <c r="E615" s="0" t="s">
        <v>1442</v>
      </c>
      <c r="F615" s="0" t="s">
        <v>473</v>
      </c>
    </row>
    <row r="616" customFormat="false" ht="15" hidden="false" customHeight="false" outlineLevel="0" collapsed="false">
      <c r="D616" s="73" t="s">
        <v>1447</v>
      </c>
      <c r="E616" s="0" t="s">
        <v>1442</v>
      </c>
      <c r="F616" s="0" t="s">
        <v>473</v>
      </c>
    </row>
    <row r="617" customFormat="false" ht="15" hidden="false" customHeight="false" outlineLevel="0" collapsed="false">
      <c r="D617" s="73" t="s">
        <v>1448</v>
      </c>
      <c r="E617" s="0" t="s">
        <v>108</v>
      </c>
      <c r="F617" s="0" t="s">
        <v>473</v>
      </c>
    </row>
    <row r="618" customFormat="false" ht="15" hidden="false" customHeight="false" outlineLevel="0" collapsed="false">
      <c r="D618" s="73" t="s">
        <v>1449</v>
      </c>
      <c r="E618" s="0" t="s">
        <v>108</v>
      </c>
      <c r="F618" s="0" t="s">
        <v>473</v>
      </c>
    </row>
    <row r="619" customFormat="false" ht="15" hidden="false" customHeight="false" outlineLevel="0" collapsed="false">
      <c r="D619" s="74" t="s">
        <v>1450</v>
      </c>
      <c r="E619" s="75" t="s">
        <v>196</v>
      </c>
      <c r="F619" s="75" t="s">
        <v>473</v>
      </c>
    </row>
    <row r="620" customFormat="false" ht="15" hidden="false" customHeight="false" outlineLevel="0" collapsed="false">
      <c r="D620" s="73" t="s">
        <v>1451</v>
      </c>
      <c r="E620" s="0" t="s">
        <v>28</v>
      </c>
      <c r="F620" s="0" t="s">
        <v>473</v>
      </c>
    </row>
    <row r="621" customFormat="false" ht="15" hidden="false" customHeight="false" outlineLevel="0" collapsed="false">
      <c r="D621" s="73" t="s">
        <v>1452</v>
      </c>
      <c r="E621" s="0" t="s">
        <v>28</v>
      </c>
      <c r="F621" s="0" t="s">
        <v>1453</v>
      </c>
    </row>
    <row r="622" customFormat="false" ht="15" hidden="false" customHeight="false" outlineLevel="0" collapsed="false">
      <c r="D622" s="74" t="s">
        <v>1454</v>
      </c>
      <c r="E622" s="75" t="s">
        <v>28</v>
      </c>
      <c r="F622" s="75" t="s">
        <v>1455</v>
      </c>
    </row>
    <row r="623" customFormat="false" ht="15" hidden="false" customHeight="false" outlineLevel="0" collapsed="false">
      <c r="D623" s="74" t="s">
        <v>1456</v>
      </c>
      <c r="E623" s="75" t="s">
        <v>28</v>
      </c>
      <c r="F623" s="75" t="s">
        <v>473</v>
      </c>
    </row>
    <row r="624" customFormat="false" ht="15" hidden="false" customHeight="false" outlineLevel="0" collapsed="false">
      <c r="D624" s="74" t="s">
        <v>1457</v>
      </c>
      <c r="E624" s="75" t="s">
        <v>28</v>
      </c>
      <c r="F624" s="75" t="s">
        <v>473</v>
      </c>
    </row>
    <row r="625" customFormat="false" ht="15" hidden="false" customHeight="false" outlineLevel="0" collapsed="false">
      <c r="D625" s="74" t="s">
        <v>1458</v>
      </c>
      <c r="E625" s="75" t="s">
        <v>28</v>
      </c>
      <c r="F625" s="75" t="s">
        <v>473</v>
      </c>
    </row>
    <row r="626" customFormat="false" ht="15" hidden="false" customHeight="false" outlineLevel="0" collapsed="false">
      <c r="D626" s="74" t="s">
        <v>1459</v>
      </c>
      <c r="E626" s="75" t="s">
        <v>28</v>
      </c>
      <c r="F626" s="75" t="s">
        <v>473</v>
      </c>
    </row>
    <row r="627" customFormat="false" ht="15" hidden="false" customHeight="false" outlineLevel="0" collapsed="false">
      <c r="D627" s="74" t="s">
        <v>1460</v>
      </c>
      <c r="E627" s="75" t="s">
        <v>28</v>
      </c>
      <c r="F627" s="75" t="s">
        <v>473</v>
      </c>
    </row>
    <row r="628" customFormat="false" ht="15" hidden="false" customHeight="false" outlineLevel="0" collapsed="false">
      <c r="D628" s="74" t="s">
        <v>1461</v>
      </c>
      <c r="E628" s="75" t="s">
        <v>28</v>
      </c>
      <c r="F628" s="75" t="s">
        <v>473</v>
      </c>
    </row>
    <row r="629" customFormat="false" ht="15" hidden="false" customHeight="false" outlineLevel="0" collapsed="false">
      <c r="D629" s="74" t="s">
        <v>1462</v>
      </c>
      <c r="E629" s="75" t="s">
        <v>28</v>
      </c>
      <c r="F629" s="75" t="s">
        <v>473</v>
      </c>
    </row>
    <row r="630" customFormat="false" ht="15" hidden="false" customHeight="false" outlineLevel="0" collapsed="false">
      <c r="D630" s="73" t="s">
        <v>1463</v>
      </c>
      <c r="E630" s="0" t="s">
        <v>1464</v>
      </c>
      <c r="F630" s="0" t="s">
        <v>473</v>
      </c>
    </row>
    <row r="631" customFormat="false" ht="15" hidden="false" customHeight="false" outlineLevel="0" collapsed="false">
      <c r="D631" s="73" t="s">
        <v>1465</v>
      </c>
      <c r="E631" s="0" t="s">
        <v>173</v>
      </c>
      <c r="F631" s="0" t="s">
        <v>1466</v>
      </c>
    </row>
    <row r="632" customFormat="false" ht="15" hidden="false" customHeight="false" outlineLevel="0" collapsed="false">
      <c r="D632" s="74" t="s">
        <v>1467</v>
      </c>
      <c r="E632" s="75" t="s">
        <v>173</v>
      </c>
      <c r="F632" s="75" t="s">
        <v>634</v>
      </c>
    </row>
    <row r="633" customFormat="false" ht="15" hidden="false" customHeight="false" outlineLevel="0" collapsed="false">
      <c r="D633" s="73" t="s">
        <v>1468</v>
      </c>
      <c r="E633" s="0" t="s">
        <v>570</v>
      </c>
      <c r="F633" s="0" t="s">
        <v>473</v>
      </c>
    </row>
    <row r="634" customFormat="false" ht="15" hidden="false" customHeight="false" outlineLevel="0" collapsed="false">
      <c r="D634" s="73" t="s">
        <v>1469</v>
      </c>
      <c r="E634" s="0" t="s">
        <v>41</v>
      </c>
      <c r="F634" s="0" t="s">
        <v>1470</v>
      </c>
    </row>
    <row r="635" customFormat="false" ht="15" hidden="false" customHeight="false" outlineLevel="0" collapsed="false">
      <c r="D635" s="73" t="s">
        <v>1471</v>
      </c>
      <c r="E635" s="0" t="s">
        <v>41</v>
      </c>
      <c r="F635" s="0" t="s">
        <v>1472</v>
      </c>
    </row>
    <row r="636" customFormat="false" ht="15" hidden="false" customHeight="false" outlineLevel="0" collapsed="false">
      <c r="D636" s="73" t="s">
        <v>1473</v>
      </c>
      <c r="E636" s="0" t="s">
        <v>41</v>
      </c>
      <c r="F636" s="0" t="s">
        <v>1474</v>
      </c>
    </row>
    <row r="637" customFormat="false" ht="15" hidden="false" customHeight="false" outlineLevel="0" collapsed="false">
      <c r="D637" s="73" t="s">
        <v>1475</v>
      </c>
      <c r="E637" s="0" t="s">
        <v>41</v>
      </c>
      <c r="F637" s="0" t="s">
        <v>1476</v>
      </c>
    </row>
    <row r="638" customFormat="false" ht="15" hidden="false" customHeight="false" outlineLevel="0" collapsed="false">
      <c r="D638" s="73" t="s">
        <v>1477</v>
      </c>
      <c r="E638" s="0" t="s">
        <v>41</v>
      </c>
      <c r="F638" s="0" t="s">
        <v>473</v>
      </c>
    </row>
    <row r="639" customFormat="false" ht="15" hidden="false" customHeight="false" outlineLevel="0" collapsed="false">
      <c r="D639" s="73" t="s">
        <v>1478</v>
      </c>
      <c r="E639" s="0" t="s">
        <v>41</v>
      </c>
      <c r="F639" s="0" t="s">
        <v>473</v>
      </c>
    </row>
    <row r="640" customFormat="false" ht="15" hidden="false" customHeight="false" outlineLevel="0" collapsed="false">
      <c r="D640" s="73" t="s">
        <v>1479</v>
      </c>
      <c r="E640" s="0" t="s">
        <v>41</v>
      </c>
      <c r="F640" s="0" t="s">
        <v>1480</v>
      </c>
    </row>
    <row r="641" customFormat="false" ht="15" hidden="false" customHeight="false" outlineLevel="0" collapsed="false">
      <c r="D641" s="73" t="s">
        <v>1481</v>
      </c>
      <c r="E641" s="0" t="s">
        <v>41</v>
      </c>
      <c r="F641" s="0" t="s">
        <v>1482</v>
      </c>
    </row>
    <row r="642" customFormat="false" ht="15" hidden="false" customHeight="false" outlineLevel="0" collapsed="false">
      <c r="D642" s="73" t="s">
        <v>1483</v>
      </c>
      <c r="E642" s="0" t="s">
        <v>41</v>
      </c>
      <c r="F642" s="0" t="s">
        <v>473</v>
      </c>
    </row>
    <row r="643" customFormat="false" ht="15" hidden="false" customHeight="false" outlineLevel="0" collapsed="false">
      <c r="D643" s="73" t="s">
        <v>1484</v>
      </c>
      <c r="E643" s="0" t="s">
        <v>41</v>
      </c>
      <c r="F643" s="0" t="s">
        <v>473</v>
      </c>
    </row>
    <row r="644" customFormat="false" ht="15" hidden="false" customHeight="false" outlineLevel="0" collapsed="false">
      <c r="D644" s="73" t="s">
        <v>1485</v>
      </c>
      <c r="E644" s="0" t="s">
        <v>41</v>
      </c>
      <c r="F644" s="0" t="s">
        <v>473</v>
      </c>
    </row>
    <row r="645" customFormat="false" ht="15" hidden="false" customHeight="false" outlineLevel="0" collapsed="false">
      <c r="D645" s="73" t="s">
        <v>1486</v>
      </c>
      <c r="E645" s="0" t="s">
        <v>41</v>
      </c>
      <c r="F645" s="0" t="s">
        <v>473</v>
      </c>
    </row>
    <row r="646" customFormat="false" ht="15" hidden="false" customHeight="false" outlineLevel="0" collapsed="false">
      <c r="D646" s="73" t="s">
        <v>1487</v>
      </c>
      <c r="E646" s="0" t="s">
        <v>41</v>
      </c>
      <c r="F646" s="0" t="s">
        <v>1488</v>
      </c>
    </row>
    <row r="647" customFormat="false" ht="15" hidden="false" customHeight="false" outlineLevel="0" collapsed="false">
      <c r="D647" s="73" t="s">
        <v>1489</v>
      </c>
      <c r="E647" s="0" t="s">
        <v>41</v>
      </c>
      <c r="F647" s="0" t="s">
        <v>1016</v>
      </c>
    </row>
    <row r="648" customFormat="false" ht="15" hidden="false" customHeight="false" outlineLevel="0" collapsed="false">
      <c r="D648" s="73" t="s">
        <v>1490</v>
      </c>
      <c r="E648" s="0" t="s">
        <v>41</v>
      </c>
      <c r="F648" s="0" t="s">
        <v>1491</v>
      </c>
    </row>
    <row r="649" customFormat="false" ht="15" hidden="false" customHeight="false" outlineLevel="0" collapsed="false">
      <c r="D649" s="74" t="s">
        <v>1492</v>
      </c>
      <c r="E649" s="6" t="s">
        <v>41</v>
      </c>
      <c r="F649" s="75" t="s">
        <v>1493</v>
      </c>
    </row>
    <row r="650" customFormat="false" ht="15" hidden="false" customHeight="false" outlineLevel="0" collapsed="false">
      <c r="D650" s="74" t="s">
        <v>1494</v>
      </c>
      <c r="E650" s="75" t="s">
        <v>41</v>
      </c>
      <c r="F650" s="75" t="s">
        <v>1495</v>
      </c>
    </row>
    <row r="651" customFormat="false" ht="15" hidden="false" customHeight="false" outlineLevel="0" collapsed="false">
      <c r="D651" s="74" t="s">
        <v>1496</v>
      </c>
      <c r="E651" s="75" t="s">
        <v>41</v>
      </c>
      <c r="F651" s="75" t="s">
        <v>866</v>
      </c>
    </row>
    <row r="652" customFormat="false" ht="15" hidden="false" customHeight="false" outlineLevel="0" collapsed="false">
      <c r="D652" s="74" t="s">
        <v>1497</v>
      </c>
      <c r="E652" s="75" t="s">
        <v>41</v>
      </c>
      <c r="F652" s="75" t="s">
        <v>473</v>
      </c>
    </row>
    <row r="653" customFormat="false" ht="15" hidden="false" customHeight="false" outlineLevel="0" collapsed="false">
      <c r="D653" s="74" t="s">
        <v>1498</v>
      </c>
      <c r="E653" s="75" t="s">
        <v>41</v>
      </c>
      <c r="F653" s="75" t="s">
        <v>473</v>
      </c>
    </row>
    <row r="654" customFormat="false" ht="15" hidden="false" customHeight="false" outlineLevel="0" collapsed="false">
      <c r="D654" s="73" t="s">
        <v>1499</v>
      </c>
      <c r="E654" s="0" t="s">
        <v>42</v>
      </c>
      <c r="F654" s="0" t="s">
        <v>473</v>
      </c>
    </row>
    <row r="655" customFormat="false" ht="15" hidden="false" customHeight="false" outlineLevel="0" collapsed="false">
      <c r="D655" s="74" t="s">
        <v>1500</v>
      </c>
      <c r="E655" s="75" t="s">
        <v>42</v>
      </c>
      <c r="F655" s="75" t="s">
        <v>473</v>
      </c>
    </row>
    <row r="656" customFormat="false" ht="15" hidden="false" customHeight="false" outlineLevel="0" collapsed="false">
      <c r="D656" s="74" t="s">
        <v>1501</v>
      </c>
      <c r="E656" s="75" t="s">
        <v>42</v>
      </c>
      <c r="F656" s="75" t="s">
        <v>473</v>
      </c>
    </row>
    <row r="657" customFormat="false" ht="15" hidden="false" customHeight="false" outlineLevel="0" collapsed="false">
      <c r="D657" s="74" t="s">
        <v>1502</v>
      </c>
      <c r="E657" s="75" t="s">
        <v>95</v>
      </c>
      <c r="F657" s="75" t="s">
        <v>1503</v>
      </c>
    </row>
    <row r="658" customFormat="false" ht="15" hidden="false" customHeight="false" outlineLevel="0" collapsed="false">
      <c r="D658" s="74" t="s">
        <v>1504</v>
      </c>
      <c r="E658" s="75" t="s">
        <v>191</v>
      </c>
      <c r="F658" s="75" t="s">
        <v>473</v>
      </c>
    </row>
    <row r="659" customFormat="false" ht="15" hidden="false" customHeight="false" outlineLevel="0" collapsed="false">
      <c r="D659" s="74" t="s">
        <v>1505</v>
      </c>
      <c r="E659" s="75" t="s">
        <v>136</v>
      </c>
      <c r="F659" s="75" t="s">
        <v>473</v>
      </c>
    </row>
    <row r="660" customFormat="false" ht="15" hidden="false" customHeight="false" outlineLevel="0" collapsed="false">
      <c r="D660" s="73" t="s">
        <v>1506</v>
      </c>
      <c r="E660" s="0" t="s">
        <v>19</v>
      </c>
      <c r="F660" s="0" t="s">
        <v>1507</v>
      </c>
    </row>
    <row r="661" customFormat="false" ht="15" hidden="false" customHeight="false" outlineLevel="0" collapsed="false">
      <c r="D661" s="73" t="s">
        <v>1508</v>
      </c>
      <c r="E661" s="0" t="s">
        <v>19</v>
      </c>
      <c r="F661" s="0" t="s">
        <v>710</v>
      </c>
    </row>
    <row r="662" customFormat="false" ht="15" hidden="false" customHeight="false" outlineLevel="0" collapsed="false">
      <c r="D662" s="73" t="s">
        <v>1509</v>
      </c>
      <c r="E662" s="0" t="s">
        <v>19</v>
      </c>
      <c r="F662" s="0" t="s">
        <v>712</v>
      </c>
    </row>
    <row r="663" customFormat="false" ht="15" hidden="false" customHeight="false" outlineLevel="0" collapsed="false">
      <c r="D663" s="73" t="s">
        <v>1510</v>
      </c>
      <c r="E663" s="0" t="s">
        <v>19</v>
      </c>
      <c r="F663" s="0" t="s">
        <v>1511</v>
      </c>
    </row>
    <row r="664" customFormat="false" ht="15" hidden="false" customHeight="false" outlineLevel="0" collapsed="false">
      <c r="D664" s="73" t="s">
        <v>1512</v>
      </c>
      <c r="E664" s="0" t="s">
        <v>19</v>
      </c>
      <c r="F664" s="0" t="s">
        <v>1511</v>
      </c>
    </row>
    <row r="665" customFormat="false" ht="15" hidden="false" customHeight="false" outlineLevel="0" collapsed="false">
      <c r="D665" s="73" t="s">
        <v>1513</v>
      </c>
      <c r="E665" s="0" t="s">
        <v>19</v>
      </c>
      <c r="F665" s="0" t="s">
        <v>1514</v>
      </c>
    </row>
    <row r="666" customFormat="false" ht="15" hidden="false" customHeight="false" outlineLevel="0" collapsed="false">
      <c r="D666" s="73" t="s">
        <v>1515</v>
      </c>
      <c r="E666" s="0" t="s">
        <v>19</v>
      </c>
      <c r="F666" s="0" t="s">
        <v>694</v>
      </c>
    </row>
    <row r="667" customFormat="false" ht="15" hidden="false" customHeight="false" outlineLevel="0" collapsed="false">
      <c r="D667" s="73" t="s">
        <v>1516</v>
      </c>
      <c r="E667" s="0" t="s">
        <v>19</v>
      </c>
      <c r="F667" s="0" t="s">
        <v>1514</v>
      </c>
    </row>
    <row r="668" customFormat="false" ht="15" hidden="false" customHeight="false" outlineLevel="0" collapsed="false">
      <c r="D668" s="73" t="s">
        <v>1517</v>
      </c>
      <c r="E668" s="0" t="s">
        <v>19</v>
      </c>
      <c r="F668" s="0" t="s">
        <v>690</v>
      </c>
    </row>
    <row r="669" customFormat="false" ht="15" hidden="false" customHeight="false" outlineLevel="0" collapsed="false">
      <c r="D669" s="73" t="s">
        <v>1518</v>
      </c>
      <c r="E669" s="0" t="s">
        <v>19</v>
      </c>
      <c r="F669" s="0" t="s">
        <v>473</v>
      </c>
    </row>
    <row r="670" customFormat="false" ht="15" hidden="false" customHeight="false" outlineLevel="0" collapsed="false">
      <c r="D670" s="73" t="s">
        <v>1519</v>
      </c>
      <c r="E670" s="0" t="s">
        <v>19</v>
      </c>
      <c r="F670" s="0" t="s">
        <v>473</v>
      </c>
    </row>
    <row r="671" customFormat="false" ht="15" hidden="false" customHeight="false" outlineLevel="0" collapsed="false">
      <c r="D671" s="74" t="s">
        <v>1520</v>
      </c>
      <c r="E671" s="75" t="s">
        <v>19</v>
      </c>
      <c r="F671" s="75" t="n">
        <v>1</v>
      </c>
    </row>
    <row r="672" customFormat="false" ht="15" hidden="false" customHeight="false" outlineLevel="0" collapsed="false">
      <c r="D672" s="74" t="s">
        <v>1521</v>
      </c>
      <c r="E672" s="75" t="s">
        <v>19</v>
      </c>
      <c r="F672" s="75" t="s">
        <v>891</v>
      </c>
    </row>
    <row r="673" customFormat="false" ht="15" hidden="false" customHeight="false" outlineLevel="0" collapsed="false">
      <c r="D673" s="74" t="s">
        <v>1522</v>
      </c>
      <c r="E673" s="75" t="s">
        <v>19</v>
      </c>
      <c r="F673" s="75" t="s">
        <v>473</v>
      </c>
    </row>
    <row r="674" customFormat="false" ht="15" hidden="false" customHeight="false" outlineLevel="0" collapsed="false">
      <c r="D674" s="74" t="s">
        <v>1523</v>
      </c>
      <c r="E674" s="75" t="s">
        <v>19</v>
      </c>
      <c r="F674" s="75" t="s">
        <v>473</v>
      </c>
    </row>
    <row r="675" customFormat="false" ht="15" hidden="false" customHeight="false" outlineLevel="0" collapsed="false">
      <c r="D675" s="74" t="s">
        <v>1524</v>
      </c>
      <c r="E675" s="75" t="s">
        <v>19</v>
      </c>
      <c r="F675" s="75" t="s">
        <v>473</v>
      </c>
    </row>
    <row r="676" customFormat="false" ht="15" hidden="false" customHeight="false" outlineLevel="0" collapsed="false">
      <c r="D676" s="74" t="s">
        <v>1525</v>
      </c>
      <c r="E676" s="75" t="s">
        <v>19</v>
      </c>
      <c r="F676" s="75" t="s">
        <v>985</v>
      </c>
    </row>
    <row r="677" customFormat="false" ht="15" hidden="false" customHeight="false" outlineLevel="0" collapsed="false">
      <c r="D677" s="73" t="s">
        <v>1526</v>
      </c>
      <c r="E677" s="0" t="s">
        <v>531</v>
      </c>
      <c r="F677" s="0" t="s">
        <v>694</v>
      </c>
    </row>
    <row r="678" customFormat="false" ht="15" hidden="false" customHeight="false" outlineLevel="0" collapsed="false">
      <c r="D678" s="73" t="s">
        <v>1527</v>
      </c>
      <c r="E678" s="0" t="s">
        <v>1528</v>
      </c>
      <c r="F678" s="0" t="s">
        <v>712</v>
      </c>
    </row>
    <row r="679" customFormat="false" ht="15" hidden="false" customHeight="false" outlineLevel="0" collapsed="false">
      <c r="D679" s="73" t="s">
        <v>1529</v>
      </c>
      <c r="E679" s="0" t="s">
        <v>26</v>
      </c>
      <c r="F679" s="0" t="s">
        <v>1530</v>
      </c>
    </row>
    <row r="680" customFormat="false" ht="15" hidden="false" customHeight="false" outlineLevel="0" collapsed="false">
      <c r="D680" s="73" t="s">
        <v>1531</v>
      </c>
      <c r="E680" s="0" t="s">
        <v>26</v>
      </c>
      <c r="F680" s="0" t="s">
        <v>1532</v>
      </c>
    </row>
    <row r="681" customFormat="false" ht="15" hidden="false" customHeight="false" outlineLevel="0" collapsed="false">
      <c r="D681" s="73" t="s">
        <v>1533</v>
      </c>
      <c r="E681" s="0" t="s">
        <v>26</v>
      </c>
      <c r="F681" s="0" t="s">
        <v>1534</v>
      </c>
    </row>
    <row r="682" customFormat="false" ht="15" hidden="false" customHeight="false" outlineLevel="0" collapsed="false">
      <c r="D682" s="73" t="s">
        <v>1535</v>
      </c>
      <c r="E682" s="0" t="s">
        <v>26</v>
      </c>
      <c r="F682" s="0" t="s">
        <v>1536</v>
      </c>
    </row>
    <row r="683" customFormat="false" ht="15" hidden="false" customHeight="false" outlineLevel="0" collapsed="false">
      <c r="D683" s="73" t="s">
        <v>1537</v>
      </c>
      <c r="E683" s="0" t="s">
        <v>26</v>
      </c>
      <c r="F683" s="0" t="s">
        <v>1538</v>
      </c>
    </row>
    <row r="684" customFormat="false" ht="15" hidden="false" customHeight="false" outlineLevel="0" collapsed="false">
      <c r="D684" s="73" t="s">
        <v>1539</v>
      </c>
      <c r="E684" s="0" t="s">
        <v>26</v>
      </c>
      <c r="F684" s="0" t="s">
        <v>473</v>
      </c>
    </row>
    <row r="685" customFormat="false" ht="15" hidden="false" customHeight="false" outlineLevel="0" collapsed="false">
      <c r="D685" s="73" t="s">
        <v>1540</v>
      </c>
      <c r="E685" s="0" t="s">
        <v>26</v>
      </c>
      <c r="F685" s="0" t="s">
        <v>473</v>
      </c>
    </row>
    <row r="686" customFormat="false" ht="15" hidden="false" customHeight="false" outlineLevel="0" collapsed="false">
      <c r="D686" s="74" t="s">
        <v>1541</v>
      </c>
      <c r="E686" s="75" t="s">
        <v>26</v>
      </c>
      <c r="F686" s="75" t="s">
        <v>634</v>
      </c>
    </row>
    <row r="687" customFormat="false" ht="15" hidden="false" customHeight="false" outlineLevel="0" collapsed="false">
      <c r="D687" s="74" t="s">
        <v>1542</v>
      </c>
      <c r="E687" s="75" t="s">
        <v>26</v>
      </c>
      <c r="F687" s="75" t="s">
        <v>473</v>
      </c>
    </row>
    <row r="688" customFormat="false" ht="15" hidden="false" customHeight="false" outlineLevel="0" collapsed="false">
      <c r="D688" s="73" t="s">
        <v>1543</v>
      </c>
      <c r="E688" s="0" t="s">
        <v>356</v>
      </c>
      <c r="F688" s="0" t="s">
        <v>1544</v>
      </c>
    </row>
    <row r="689" customFormat="false" ht="15" hidden="false" customHeight="false" outlineLevel="0" collapsed="false">
      <c r="D689" s="73" t="s">
        <v>1545</v>
      </c>
      <c r="E689" s="0" t="s">
        <v>356</v>
      </c>
      <c r="F689" s="0" t="s">
        <v>1546</v>
      </c>
    </row>
    <row r="690" customFormat="false" ht="15" hidden="false" customHeight="false" outlineLevel="0" collapsed="false">
      <c r="D690" s="73" t="s">
        <v>1547</v>
      </c>
      <c r="E690" s="0" t="s">
        <v>1548</v>
      </c>
      <c r="F690" s="0" t="s">
        <v>1549</v>
      </c>
    </row>
    <row r="691" customFormat="false" ht="15" hidden="false" customHeight="false" outlineLevel="0" collapsed="false">
      <c r="D691" s="74" t="s">
        <v>1550</v>
      </c>
      <c r="E691" s="75" t="s">
        <v>142</v>
      </c>
      <c r="F691" s="75" t="s">
        <v>473</v>
      </c>
    </row>
    <row r="692" customFormat="false" ht="15" hidden="false" customHeight="false" outlineLevel="0" collapsed="false">
      <c r="D692" s="74" t="s">
        <v>1551</v>
      </c>
      <c r="E692" s="75" t="s">
        <v>142</v>
      </c>
      <c r="F692" s="75" t="s">
        <v>473</v>
      </c>
    </row>
    <row r="693" customFormat="false" ht="15" hidden="false" customHeight="false" outlineLevel="0" collapsed="false">
      <c r="D693" s="74" t="s">
        <v>1552</v>
      </c>
      <c r="E693" s="75" t="s">
        <v>142</v>
      </c>
      <c r="F693" s="75" t="s">
        <v>473</v>
      </c>
    </row>
    <row r="694" customFormat="false" ht="15" hidden="false" customHeight="false" outlineLevel="0" collapsed="false">
      <c r="D694" s="74" t="s">
        <v>1553</v>
      </c>
      <c r="E694" s="75" t="s">
        <v>201</v>
      </c>
      <c r="F694" s="75" t="s">
        <v>473</v>
      </c>
    </row>
    <row r="695" customFormat="false" ht="15" hidden="false" customHeight="false" outlineLevel="0" collapsed="false">
      <c r="D695" s="73" t="s">
        <v>1554</v>
      </c>
      <c r="E695" s="0" t="s">
        <v>29</v>
      </c>
      <c r="F695" s="0" t="s">
        <v>1555</v>
      </c>
    </row>
    <row r="696" customFormat="false" ht="15" hidden="false" customHeight="false" outlineLevel="0" collapsed="false">
      <c r="D696" s="73" t="s">
        <v>1556</v>
      </c>
      <c r="E696" s="0" t="s">
        <v>29</v>
      </c>
      <c r="F696" s="0" t="s">
        <v>1557</v>
      </c>
    </row>
    <row r="697" customFormat="false" ht="15" hidden="false" customHeight="false" outlineLevel="0" collapsed="false">
      <c r="D697" s="73" t="s">
        <v>1558</v>
      </c>
      <c r="E697" s="0" t="s">
        <v>29</v>
      </c>
      <c r="F697" s="0" t="s">
        <v>1559</v>
      </c>
    </row>
    <row r="698" customFormat="false" ht="15" hidden="false" customHeight="false" outlineLevel="0" collapsed="false">
      <c r="D698" s="73" t="s">
        <v>1560</v>
      </c>
      <c r="E698" s="0" t="s">
        <v>29</v>
      </c>
      <c r="F698" s="0" t="s">
        <v>1561</v>
      </c>
    </row>
    <row r="699" customFormat="false" ht="15" hidden="false" customHeight="false" outlineLevel="0" collapsed="false">
      <c r="D699" s="73" t="s">
        <v>1562</v>
      </c>
      <c r="E699" s="0" t="s">
        <v>29</v>
      </c>
      <c r="F699" s="0" t="s">
        <v>1559</v>
      </c>
    </row>
    <row r="700" customFormat="false" ht="15" hidden="false" customHeight="false" outlineLevel="0" collapsed="false">
      <c r="D700" s="73" t="s">
        <v>1563</v>
      </c>
      <c r="E700" s="0" t="s">
        <v>29</v>
      </c>
      <c r="F700" s="0" t="s">
        <v>1564</v>
      </c>
    </row>
    <row r="701" customFormat="false" ht="15" hidden="false" customHeight="false" outlineLevel="0" collapsed="false">
      <c r="D701" s="73" t="s">
        <v>1565</v>
      </c>
      <c r="E701" s="0" t="s">
        <v>29</v>
      </c>
      <c r="F701" s="0" t="s">
        <v>1559</v>
      </c>
    </row>
    <row r="702" customFormat="false" ht="15" hidden="false" customHeight="false" outlineLevel="0" collapsed="false">
      <c r="D702" s="73" t="s">
        <v>1566</v>
      </c>
      <c r="E702" s="0" t="s">
        <v>29</v>
      </c>
      <c r="F702" s="0" t="s">
        <v>473</v>
      </c>
    </row>
    <row r="703" customFormat="false" ht="15" hidden="false" customHeight="false" outlineLevel="0" collapsed="false">
      <c r="D703" s="73" t="s">
        <v>1567</v>
      </c>
      <c r="E703" s="0" t="s">
        <v>29</v>
      </c>
      <c r="F703" s="0" t="s">
        <v>1199</v>
      </c>
    </row>
    <row r="704" customFormat="false" ht="15" hidden="false" customHeight="false" outlineLevel="0" collapsed="false">
      <c r="D704" s="73" t="s">
        <v>1568</v>
      </c>
      <c r="E704" s="0" t="s">
        <v>29</v>
      </c>
      <c r="F704" s="0" t="s">
        <v>1190</v>
      </c>
    </row>
    <row r="705" customFormat="false" ht="15" hidden="false" customHeight="false" outlineLevel="0" collapsed="false">
      <c r="D705" s="74" t="s">
        <v>1569</v>
      </c>
      <c r="E705" s="75" t="s">
        <v>29</v>
      </c>
      <c r="F705" s="75" t="s">
        <v>1570</v>
      </c>
    </row>
    <row r="706" customFormat="false" ht="15" hidden="false" customHeight="false" outlineLevel="0" collapsed="false">
      <c r="D706" s="74" t="s">
        <v>1571</v>
      </c>
      <c r="E706" s="75" t="s">
        <v>29</v>
      </c>
      <c r="F706" s="75" t="s">
        <v>473</v>
      </c>
    </row>
    <row r="707" customFormat="false" ht="15" hidden="false" customHeight="false" outlineLevel="0" collapsed="false">
      <c r="D707" s="73" t="s">
        <v>1572</v>
      </c>
      <c r="E707" s="0" t="s">
        <v>106</v>
      </c>
      <c r="F707" s="0" t="s">
        <v>1555</v>
      </c>
    </row>
    <row r="708" customFormat="false" ht="15" hidden="false" customHeight="false" outlineLevel="0" collapsed="false">
      <c r="D708" s="73" t="s">
        <v>1573</v>
      </c>
      <c r="E708" s="0" t="s">
        <v>106</v>
      </c>
      <c r="F708" s="0" t="s">
        <v>473</v>
      </c>
    </row>
    <row r="709" customFormat="false" ht="15" hidden="false" customHeight="false" outlineLevel="0" collapsed="false">
      <c r="D709" s="73" t="s">
        <v>1574</v>
      </c>
      <c r="E709" s="0" t="s">
        <v>106</v>
      </c>
      <c r="F709" s="0" t="s">
        <v>1575</v>
      </c>
    </row>
    <row r="710" customFormat="false" ht="15" hidden="false" customHeight="false" outlineLevel="0" collapsed="false">
      <c r="D710" s="73" t="s">
        <v>1576</v>
      </c>
      <c r="E710" s="0" t="s">
        <v>121</v>
      </c>
      <c r="F710" s="0" t="s">
        <v>1559</v>
      </c>
    </row>
    <row r="711" customFormat="false" ht="15" hidden="false" customHeight="false" outlineLevel="0" collapsed="false">
      <c r="D711" s="73" t="s">
        <v>1577</v>
      </c>
      <c r="E711" s="0" t="s">
        <v>121</v>
      </c>
      <c r="F711" s="0" t="s">
        <v>473</v>
      </c>
    </row>
    <row r="712" customFormat="false" ht="15" hidden="false" customHeight="false" outlineLevel="0" collapsed="false">
      <c r="D712" s="73" t="s">
        <v>1578</v>
      </c>
      <c r="E712" s="0" t="s">
        <v>121</v>
      </c>
      <c r="F712" s="0" t="s">
        <v>1579</v>
      </c>
    </row>
    <row r="713" customFormat="false" ht="15" hidden="false" customHeight="false" outlineLevel="0" collapsed="false">
      <c r="D713" s="74" t="s">
        <v>1580</v>
      </c>
      <c r="E713" s="75" t="s">
        <v>121</v>
      </c>
      <c r="F713" s="75" t="s">
        <v>1581</v>
      </c>
    </row>
    <row r="714" customFormat="false" ht="15" hidden="false" customHeight="false" outlineLevel="0" collapsed="false">
      <c r="D714" s="74" t="s">
        <v>1582</v>
      </c>
      <c r="E714" s="75" t="s">
        <v>121</v>
      </c>
      <c r="F714" s="75" t="s">
        <v>634</v>
      </c>
    </row>
    <row r="715" customFormat="false" ht="15" hidden="false" customHeight="false" outlineLevel="0" collapsed="false">
      <c r="D715" s="74" t="s">
        <v>1583</v>
      </c>
      <c r="E715" s="75" t="s">
        <v>121</v>
      </c>
      <c r="F715" s="75" t="s">
        <v>473</v>
      </c>
    </row>
    <row r="716" customFormat="false" ht="15" hidden="false" customHeight="false" outlineLevel="0" collapsed="false">
      <c r="D716" s="74" t="s">
        <v>1584</v>
      </c>
      <c r="E716" s="75" t="s">
        <v>121</v>
      </c>
      <c r="F716" s="75" t="s">
        <v>473</v>
      </c>
    </row>
    <row r="717" customFormat="false" ht="15" hidden="false" customHeight="false" outlineLevel="0" collapsed="false">
      <c r="D717" s="73" t="s">
        <v>1585</v>
      </c>
      <c r="E717" s="0" t="s">
        <v>30</v>
      </c>
      <c r="F717" s="0" t="s">
        <v>1559</v>
      </c>
    </row>
    <row r="718" customFormat="false" ht="15" hidden="false" customHeight="false" outlineLevel="0" collapsed="false">
      <c r="D718" s="74" t="s">
        <v>1586</v>
      </c>
      <c r="E718" s="75" t="s">
        <v>30</v>
      </c>
      <c r="F718" s="75" t="s">
        <v>473</v>
      </c>
    </row>
    <row r="719" customFormat="false" ht="15" hidden="false" customHeight="false" outlineLevel="0" collapsed="false">
      <c r="D719" s="74" t="s">
        <v>1587</v>
      </c>
      <c r="E719" s="75" t="s">
        <v>30</v>
      </c>
      <c r="F719" s="75" t="s">
        <v>473</v>
      </c>
    </row>
    <row r="720" customFormat="false" ht="15" hidden="false" customHeight="false" outlineLevel="0" collapsed="false">
      <c r="D720" s="74" t="s">
        <v>1588</v>
      </c>
      <c r="E720" s="75" t="s">
        <v>30</v>
      </c>
      <c r="F720" s="75" t="s">
        <v>473</v>
      </c>
    </row>
    <row r="721" customFormat="false" ht="15" hidden="false" customHeight="false" outlineLevel="0" collapsed="false">
      <c r="D721" s="74" t="s">
        <v>1589</v>
      </c>
      <c r="E721" s="75" t="s">
        <v>87</v>
      </c>
      <c r="F721" s="75" t="s">
        <v>473</v>
      </c>
    </row>
    <row r="722" customFormat="false" ht="15" hidden="false" customHeight="false" outlineLevel="0" collapsed="false">
      <c r="D722" s="74" t="s">
        <v>1590</v>
      </c>
      <c r="E722" s="75" t="s">
        <v>120</v>
      </c>
      <c r="F722" s="75" t="s">
        <v>473</v>
      </c>
    </row>
    <row r="723" customFormat="false" ht="15" hidden="false" customHeight="false" outlineLevel="0" collapsed="false">
      <c r="D723" s="73" t="s">
        <v>1591</v>
      </c>
      <c r="E723" s="0" t="s">
        <v>535</v>
      </c>
      <c r="F723" s="0" t="s">
        <v>1555</v>
      </c>
    </row>
    <row r="724" customFormat="false" ht="15" hidden="false" customHeight="false" outlineLevel="0" collapsed="false">
      <c r="D724" s="73" t="s">
        <v>1592</v>
      </c>
      <c r="E724" s="0" t="s">
        <v>535</v>
      </c>
      <c r="F724" s="0" t="s">
        <v>985</v>
      </c>
    </row>
    <row r="725" customFormat="false" ht="15" hidden="false" customHeight="false" outlineLevel="0" collapsed="false">
      <c r="D725" s="73" t="s">
        <v>1593</v>
      </c>
      <c r="E725" s="0" t="s">
        <v>129</v>
      </c>
      <c r="F725" s="0" t="s">
        <v>473</v>
      </c>
    </row>
    <row r="726" customFormat="false" ht="15" hidden="false" customHeight="false" outlineLevel="0" collapsed="false">
      <c r="D726" s="73" t="s">
        <v>1594</v>
      </c>
      <c r="E726" s="0" t="s">
        <v>129</v>
      </c>
      <c r="F726" s="0" t="s">
        <v>473</v>
      </c>
    </row>
    <row r="727" customFormat="false" ht="15" hidden="false" customHeight="false" outlineLevel="0" collapsed="false">
      <c r="D727" s="74" t="s">
        <v>1595</v>
      </c>
      <c r="E727" s="75" t="s">
        <v>129</v>
      </c>
      <c r="F727" s="75" t="s">
        <v>473</v>
      </c>
    </row>
    <row r="728" customFormat="false" ht="15" hidden="false" customHeight="false" outlineLevel="0" collapsed="false">
      <c r="D728" s="74" t="s">
        <v>1596</v>
      </c>
      <c r="E728" s="75" t="s">
        <v>1597</v>
      </c>
      <c r="F728" s="75" t="s">
        <v>473</v>
      </c>
    </row>
    <row r="729" customFormat="false" ht="15" hidden="false" customHeight="false" outlineLevel="0" collapsed="false">
      <c r="D729" s="74" t="s">
        <v>1598</v>
      </c>
      <c r="E729" s="75" t="s">
        <v>84</v>
      </c>
      <c r="F729" s="75" t="s">
        <v>473</v>
      </c>
    </row>
    <row r="730" customFormat="false" ht="15" hidden="false" customHeight="false" outlineLevel="0" collapsed="false">
      <c r="D730" s="74" t="s">
        <v>1599</v>
      </c>
      <c r="E730" s="75" t="s">
        <v>84</v>
      </c>
      <c r="F730" s="75" t="s">
        <v>473</v>
      </c>
    </row>
    <row r="731" customFormat="false" ht="15" hidden="false" customHeight="false" outlineLevel="0" collapsed="false">
      <c r="D731" s="73" t="s">
        <v>1600</v>
      </c>
      <c r="E731" s="0" t="s">
        <v>32</v>
      </c>
      <c r="F731" s="0" t="s">
        <v>1601</v>
      </c>
    </row>
    <row r="732" customFormat="false" ht="15" hidden="false" customHeight="false" outlineLevel="0" collapsed="false">
      <c r="D732" s="73" t="s">
        <v>1602</v>
      </c>
      <c r="E732" s="0" t="s">
        <v>32</v>
      </c>
      <c r="F732" s="0" t="s">
        <v>1603</v>
      </c>
    </row>
    <row r="733" customFormat="false" ht="15" hidden="false" customHeight="false" outlineLevel="0" collapsed="false">
      <c r="D733" s="73" t="s">
        <v>1604</v>
      </c>
      <c r="E733" s="0" t="s">
        <v>32</v>
      </c>
      <c r="F733" s="0" t="s">
        <v>1603</v>
      </c>
    </row>
    <row r="734" customFormat="false" ht="15" hidden="false" customHeight="false" outlineLevel="0" collapsed="false">
      <c r="D734" s="73" t="s">
        <v>1605</v>
      </c>
      <c r="E734" s="0" t="s">
        <v>32</v>
      </c>
      <c r="F734" s="0" t="s">
        <v>1601</v>
      </c>
    </row>
    <row r="735" customFormat="false" ht="15" hidden="false" customHeight="false" outlineLevel="0" collapsed="false">
      <c r="D735" s="73" t="s">
        <v>1606</v>
      </c>
      <c r="E735" s="0" t="s">
        <v>32</v>
      </c>
      <c r="F735" s="0" t="s">
        <v>473</v>
      </c>
    </row>
    <row r="736" customFormat="false" ht="15" hidden="false" customHeight="false" outlineLevel="0" collapsed="false">
      <c r="D736" s="73" t="s">
        <v>1607</v>
      </c>
      <c r="E736" s="0" t="s">
        <v>32</v>
      </c>
      <c r="F736" s="0" t="s">
        <v>473</v>
      </c>
    </row>
    <row r="737" customFormat="false" ht="15" hidden="false" customHeight="false" outlineLevel="0" collapsed="false">
      <c r="D737" s="74" t="s">
        <v>1608</v>
      </c>
      <c r="E737" s="75" t="s">
        <v>32</v>
      </c>
      <c r="F737" s="75" t="s">
        <v>473</v>
      </c>
    </row>
    <row r="738" customFormat="false" ht="15" hidden="false" customHeight="false" outlineLevel="0" collapsed="false">
      <c r="D738" s="74" t="s">
        <v>1609</v>
      </c>
      <c r="E738" s="75" t="s">
        <v>32</v>
      </c>
      <c r="F738" s="75" t="s">
        <v>473</v>
      </c>
    </row>
    <row r="739" customFormat="false" ht="15" hidden="false" customHeight="false" outlineLevel="0" collapsed="false">
      <c r="D739" s="74" t="s">
        <v>1610</v>
      </c>
      <c r="E739" s="75" t="s">
        <v>32</v>
      </c>
      <c r="F739" s="75" t="s">
        <v>473</v>
      </c>
    </row>
    <row r="740" customFormat="false" ht="15" hidden="false" customHeight="false" outlineLevel="0" collapsed="false">
      <c r="D740" s="74" t="s">
        <v>1611</v>
      </c>
      <c r="E740" s="75" t="s">
        <v>32</v>
      </c>
      <c r="F740" s="75" t="s">
        <v>473</v>
      </c>
    </row>
    <row r="741" customFormat="false" ht="15" hidden="false" customHeight="false" outlineLevel="0" collapsed="false">
      <c r="D741" s="74" t="s">
        <v>1612</v>
      </c>
      <c r="E741" s="75" t="s">
        <v>1613</v>
      </c>
      <c r="F741" s="75" t="s">
        <v>473</v>
      </c>
    </row>
    <row r="742" customFormat="false" ht="15" hidden="false" customHeight="false" outlineLevel="0" collapsed="false">
      <c r="D742" s="74" t="s">
        <v>1614</v>
      </c>
      <c r="E742" s="75" t="s">
        <v>32</v>
      </c>
      <c r="F742" s="75" t="s">
        <v>473</v>
      </c>
    </row>
    <row r="743" customFormat="false" ht="15" hidden="false" customHeight="false" outlineLevel="0" collapsed="false">
      <c r="D743" s="73" t="s">
        <v>1615</v>
      </c>
      <c r="E743" s="0" t="s">
        <v>57</v>
      </c>
      <c r="F743" s="0" t="s">
        <v>1603</v>
      </c>
    </row>
    <row r="744" customFormat="false" ht="15" hidden="false" customHeight="false" outlineLevel="0" collapsed="false">
      <c r="D744" s="73" t="s">
        <v>1616</v>
      </c>
      <c r="E744" s="0" t="s">
        <v>57</v>
      </c>
      <c r="F744" s="0" t="s">
        <v>1617</v>
      </c>
    </row>
    <row r="745" customFormat="false" ht="15" hidden="false" customHeight="false" outlineLevel="0" collapsed="false">
      <c r="D745" s="73" t="s">
        <v>1618</v>
      </c>
      <c r="E745" s="0" t="s">
        <v>57</v>
      </c>
      <c r="F745" s="0" t="s">
        <v>1601</v>
      </c>
    </row>
    <row r="746" customFormat="false" ht="15" hidden="false" customHeight="false" outlineLevel="0" collapsed="false">
      <c r="D746" s="73" t="s">
        <v>1619</v>
      </c>
      <c r="E746" s="0" t="s">
        <v>57</v>
      </c>
      <c r="F746" s="0" t="s">
        <v>1617</v>
      </c>
    </row>
    <row r="747" customFormat="false" ht="15" hidden="false" customHeight="false" outlineLevel="0" collapsed="false">
      <c r="D747" s="73" t="s">
        <v>1620</v>
      </c>
      <c r="E747" s="0" t="s">
        <v>57</v>
      </c>
      <c r="F747" s="0" t="s">
        <v>1601</v>
      </c>
    </row>
    <row r="748" customFormat="false" ht="15" hidden="false" customHeight="false" outlineLevel="0" collapsed="false">
      <c r="D748" s="73" t="s">
        <v>1621</v>
      </c>
      <c r="E748" s="0" t="s">
        <v>57</v>
      </c>
      <c r="F748" s="0" t="s">
        <v>473</v>
      </c>
    </row>
    <row r="749" customFormat="false" ht="15" hidden="false" customHeight="false" outlineLevel="0" collapsed="false">
      <c r="D749" s="73" t="s">
        <v>1622</v>
      </c>
      <c r="E749" s="0" t="s">
        <v>57</v>
      </c>
      <c r="F749" s="0" t="s">
        <v>473</v>
      </c>
    </row>
    <row r="750" customFormat="false" ht="15" hidden="false" customHeight="false" outlineLevel="0" collapsed="false">
      <c r="D750" s="73" t="s">
        <v>1623</v>
      </c>
      <c r="E750" s="0" t="s">
        <v>57</v>
      </c>
      <c r="F750" s="0" t="s">
        <v>1624</v>
      </c>
    </row>
    <row r="751" customFormat="false" ht="15" hidden="false" customHeight="false" outlineLevel="0" collapsed="false">
      <c r="D751" s="73" t="s">
        <v>1625</v>
      </c>
      <c r="E751" s="0" t="s">
        <v>57</v>
      </c>
      <c r="F751" s="0" t="s">
        <v>473</v>
      </c>
    </row>
    <row r="752" customFormat="false" ht="15" hidden="false" customHeight="false" outlineLevel="0" collapsed="false">
      <c r="D752" s="73" t="s">
        <v>1626</v>
      </c>
      <c r="E752" s="0" t="s">
        <v>57</v>
      </c>
      <c r="F752" s="0" t="s">
        <v>473</v>
      </c>
    </row>
    <row r="753" customFormat="false" ht="15" hidden="false" customHeight="false" outlineLevel="0" collapsed="false">
      <c r="D753" s="73" t="s">
        <v>1627</v>
      </c>
      <c r="E753" s="0" t="s">
        <v>57</v>
      </c>
      <c r="F753" s="0" t="s">
        <v>1549</v>
      </c>
    </row>
    <row r="754" customFormat="false" ht="15" hidden="false" customHeight="false" outlineLevel="0" collapsed="false">
      <c r="D754" s="74" t="s">
        <v>1628</v>
      </c>
      <c r="E754" s="75" t="s">
        <v>57</v>
      </c>
      <c r="F754" s="75" t="s">
        <v>1629</v>
      </c>
    </row>
    <row r="755" customFormat="false" ht="15" hidden="false" customHeight="false" outlineLevel="0" collapsed="false">
      <c r="D755" s="74" t="s">
        <v>1630</v>
      </c>
      <c r="E755" s="75" t="s">
        <v>57</v>
      </c>
      <c r="F755" s="75" t="s">
        <v>1631</v>
      </c>
    </row>
    <row r="756" customFormat="false" ht="15" hidden="false" customHeight="false" outlineLevel="0" collapsed="false">
      <c r="D756" s="74" t="s">
        <v>1632</v>
      </c>
      <c r="E756" s="75" t="s">
        <v>57</v>
      </c>
      <c r="F756" s="75" t="s">
        <v>634</v>
      </c>
    </row>
    <row r="757" customFormat="false" ht="15" hidden="false" customHeight="false" outlineLevel="0" collapsed="false">
      <c r="D757" s="74" t="s">
        <v>1633</v>
      </c>
      <c r="E757" s="75" t="s">
        <v>57</v>
      </c>
      <c r="F757" s="75" t="s">
        <v>473</v>
      </c>
    </row>
    <row r="758" customFormat="false" ht="15" hidden="false" customHeight="false" outlineLevel="0" collapsed="false">
      <c r="D758" s="74" t="s">
        <v>1634</v>
      </c>
      <c r="E758" s="75" t="s">
        <v>57</v>
      </c>
      <c r="F758" s="75" t="s">
        <v>473</v>
      </c>
    </row>
    <row r="759" customFormat="false" ht="15" hidden="false" customHeight="false" outlineLevel="0" collapsed="false">
      <c r="D759" s="74" t="s">
        <v>1635</v>
      </c>
      <c r="E759" s="75" t="s">
        <v>57</v>
      </c>
      <c r="F759" s="75" t="s">
        <v>473</v>
      </c>
    </row>
    <row r="760" customFormat="false" ht="15" hidden="false" customHeight="false" outlineLevel="0" collapsed="false">
      <c r="D760" s="74" t="s">
        <v>1636</v>
      </c>
      <c r="E760" s="75" t="s">
        <v>57</v>
      </c>
      <c r="F760" s="75" t="s">
        <v>473</v>
      </c>
    </row>
    <row r="761" customFormat="false" ht="15" hidden="false" customHeight="false" outlineLevel="0" collapsed="false">
      <c r="D761" s="74" t="s">
        <v>1637</v>
      </c>
      <c r="E761" s="75" t="s">
        <v>1638</v>
      </c>
      <c r="F761" s="75" t="s">
        <v>473</v>
      </c>
    </row>
    <row r="762" customFormat="false" ht="15" hidden="false" customHeight="false" outlineLevel="0" collapsed="false">
      <c r="D762" s="74" t="s">
        <v>1639</v>
      </c>
      <c r="E762" s="75" t="s">
        <v>134</v>
      </c>
      <c r="F762" s="75" t="s">
        <v>473</v>
      </c>
    </row>
    <row r="763" customFormat="false" ht="15" hidden="false" customHeight="false" outlineLevel="0" collapsed="false">
      <c r="D763" s="74" t="s">
        <v>1640</v>
      </c>
      <c r="E763" s="75" t="s">
        <v>60</v>
      </c>
      <c r="F763" s="75" t="s">
        <v>1641</v>
      </c>
    </row>
    <row r="764" customFormat="false" ht="15" hidden="false" customHeight="false" outlineLevel="0" collapsed="false">
      <c r="D764" s="73" t="s">
        <v>1642</v>
      </c>
      <c r="E764" s="0" t="s">
        <v>604</v>
      </c>
      <c r="F764" s="0" t="s">
        <v>473</v>
      </c>
    </row>
    <row r="765" customFormat="false" ht="15" hidden="false" customHeight="false" outlineLevel="0" collapsed="false">
      <c r="D765" s="73" t="s">
        <v>1643</v>
      </c>
      <c r="E765" s="0" t="s">
        <v>604</v>
      </c>
      <c r="F765" s="0" t="s">
        <v>1644</v>
      </c>
    </row>
    <row r="766" customFormat="false" ht="15" hidden="false" customHeight="false" outlineLevel="0" collapsed="false">
      <c r="D766" s="73" t="s">
        <v>1645</v>
      </c>
      <c r="E766" s="0" t="s">
        <v>161</v>
      </c>
      <c r="F766" s="0" t="s">
        <v>694</v>
      </c>
    </row>
    <row r="767" customFormat="false" ht="15" hidden="false" customHeight="false" outlineLevel="0" collapsed="false">
      <c r="D767" s="73" t="s">
        <v>1646</v>
      </c>
      <c r="E767" s="0" t="s">
        <v>161</v>
      </c>
      <c r="F767" s="0" t="s">
        <v>473</v>
      </c>
    </row>
    <row r="768" customFormat="false" ht="15" hidden="false" customHeight="false" outlineLevel="0" collapsed="false">
      <c r="D768" s="73" t="s">
        <v>1647</v>
      </c>
      <c r="E768" s="0" t="s">
        <v>118</v>
      </c>
      <c r="F768" s="0" t="s">
        <v>694</v>
      </c>
    </row>
    <row r="769" customFormat="false" ht="15" hidden="false" customHeight="false" outlineLevel="0" collapsed="false">
      <c r="D769" s="73" t="s">
        <v>1648</v>
      </c>
      <c r="E769" s="0" t="s">
        <v>118</v>
      </c>
      <c r="F769" s="0" t="s">
        <v>1029</v>
      </c>
    </row>
    <row r="770" customFormat="false" ht="15" hidden="false" customHeight="false" outlineLevel="0" collapsed="false">
      <c r="D770" s="73" t="s">
        <v>1649</v>
      </c>
      <c r="E770" s="0" t="s">
        <v>118</v>
      </c>
      <c r="F770" s="0" t="s">
        <v>1650</v>
      </c>
    </row>
    <row r="771" customFormat="false" ht="15" hidden="false" customHeight="false" outlineLevel="0" collapsed="false">
      <c r="D771" s="73" t="s">
        <v>1651</v>
      </c>
      <c r="E771" s="0" t="s">
        <v>12</v>
      </c>
      <c r="F771" s="0" t="s">
        <v>1652</v>
      </c>
    </row>
    <row r="772" customFormat="false" ht="15" hidden="false" customHeight="false" outlineLevel="0" collapsed="false">
      <c r="D772" s="73" t="s">
        <v>1653</v>
      </c>
      <c r="E772" s="0" t="s">
        <v>12</v>
      </c>
      <c r="F772" s="0" t="s">
        <v>1654</v>
      </c>
    </row>
    <row r="773" customFormat="false" ht="15" hidden="false" customHeight="false" outlineLevel="0" collapsed="false">
      <c r="D773" s="73" t="s">
        <v>1655</v>
      </c>
      <c r="E773" s="0" t="s">
        <v>12</v>
      </c>
      <c r="F773" s="0" t="s">
        <v>1652</v>
      </c>
    </row>
    <row r="774" customFormat="false" ht="15" hidden="false" customHeight="false" outlineLevel="0" collapsed="false">
      <c r="D774" s="73" t="s">
        <v>1656</v>
      </c>
      <c r="E774" s="0" t="s">
        <v>12</v>
      </c>
      <c r="F774" s="0" t="s">
        <v>712</v>
      </c>
    </row>
    <row r="775" customFormat="false" ht="15" hidden="false" customHeight="false" outlineLevel="0" collapsed="false">
      <c r="D775" s="73" t="s">
        <v>1657</v>
      </c>
      <c r="E775" s="0" t="s">
        <v>12</v>
      </c>
      <c r="F775" s="0" t="s">
        <v>473</v>
      </c>
    </row>
    <row r="776" customFormat="false" ht="15" hidden="false" customHeight="false" outlineLevel="0" collapsed="false">
      <c r="D776" s="73" t="s">
        <v>1658</v>
      </c>
      <c r="E776" s="0" t="s">
        <v>12</v>
      </c>
      <c r="F776" s="0" t="s">
        <v>473</v>
      </c>
    </row>
    <row r="777" customFormat="false" ht="15" hidden="false" customHeight="false" outlineLevel="0" collapsed="false">
      <c r="D777" s="73" t="s">
        <v>1659</v>
      </c>
      <c r="E777" s="0" t="s">
        <v>12</v>
      </c>
      <c r="F777" s="0" t="s">
        <v>473</v>
      </c>
    </row>
    <row r="778" customFormat="false" ht="15" hidden="false" customHeight="false" outlineLevel="0" collapsed="false">
      <c r="D778" s="74" t="s">
        <v>1660</v>
      </c>
      <c r="E778" s="75" t="s">
        <v>12</v>
      </c>
      <c r="F778" s="75" t="s">
        <v>634</v>
      </c>
    </row>
    <row r="779" customFormat="false" ht="15" hidden="false" customHeight="false" outlineLevel="0" collapsed="false">
      <c r="D779" s="74" t="s">
        <v>1661</v>
      </c>
      <c r="E779" s="75" t="s">
        <v>12</v>
      </c>
      <c r="F779" s="75" t="s">
        <v>1662</v>
      </c>
    </row>
    <row r="780" customFormat="false" ht="15" hidden="false" customHeight="false" outlineLevel="0" collapsed="false">
      <c r="D780" s="74" t="s">
        <v>1663</v>
      </c>
      <c r="E780" s="75" t="s">
        <v>12</v>
      </c>
      <c r="F780" s="75" t="s">
        <v>1664</v>
      </c>
    </row>
    <row r="781" customFormat="false" ht="15" hidden="false" customHeight="false" outlineLevel="0" collapsed="false">
      <c r="D781" s="73" t="s">
        <v>1665</v>
      </c>
      <c r="E781" s="0" t="s">
        <v>208</v>
      </c>
      <c r="F781" s="0" t="s">
        <v>473</v>
      </c>
    </row>
    <row r="782" customFormat="false" ht="15" hidden="false" customHeight="false" outlineLevel="0" collapsed="false">
      <c r="D782" s="74" t="s">
        <v>1666</v>
      </c>
      <c r="E782" s="75" t="s">
        <v>1667</v>
      </c>
      <c r="F782" s="75" t="s">
        <v>473</v>
      </c>
    </row>
    <row r="783" customFormat="false" ht="15" hidden="false" customHeight="false" outlineLevel="0" collapsed="false">
      <c r="D783" s="73" t="s">
        <v>1668</v>
      </c>
      <c r="E783" s="0" t="s">
        <v>117</v>
      </c>
      <c r="F783" s="0" t="s">
        <v>1669</v>
      </c>
    </row>
    <row r="784" customFormat="false" ht="15" hidden="false" customHeight="false" outlineLevel="0" collapsed="false">
      <c r="D784" s="73" t="s">
        <v>1670</v>
      </c>
      <c r="E784" s="0" t="s">
        <v>117</v>
      </c>
      <c r="F784" s="0" t="s">
        <v>1671</v>
      </c>
    </row>
    <row r="785" customFormat="false" ht="15" hidden="false" customHeight="false" outlineLevel="0" collapsed="false">
      <c r="D785" s="73" t="s">
        <v>1672</v>
      </c>
      <c r="E785" s="0" t="s">
        <v>117</v>
      </c>
      <c r="F785" s="0" t="s">
        <v>473</v>
      </c>
    </row>
    <row r="786" customFormat="false" ht="15" hidden="false" customHeight="false" outlineLevel="0" collapsed="false">
      <c r="D786" s="74" t="s">
        <v>1673</v>
      </c>
      <c r="E786" s="75" t="s">
        <v>117</v>
      </c>
      <c r="F786" s="75" t="s">
        <v>473</v>
      </c>
    </row>
    <row r="787" customFormat="false" ht="15" hidden="false" customHeight="false" outlineLevel="0" collapsed="false">
      <c r="D787" s="74" t="s">
        <v>1674</v>
      </c>
      <c r="E787" s="75" t="s">
        <v>117</v>
      </c>
      <c r="F787" s="75" t="s">
        <v>473</v>
      </c>
    </row>
    <row r="788" customFormat="false" ht="15" hidden="false" customHeight="false" outlineLevel="0" collapsed="false">
      <c r="D788" s="74" t="s">
        <v>1675</v>
      </c>
      <c r="E788" s="75" t="s">
        <v>117</v>
      </c>
      <c r="F788" s="75" t="s">
        <v>473</v>
      </c>
    </row>
    <row r="789" customFormat="false" ht="15" hidden="false" customHeight="false" outlineLevel="0" collapsed="false">
      <c r="D789" s="74" t="s">
        <v>1676</v>
      </c>
      <c r="E789" s="75" t="s">
        <v>213</v>
      </c>
      <c r="F789" s="75" t="s">
        <v>473</v>
      </c>
    </row>
    <row r="790" customFormat="false" ht="15" hidden="false" customHeight="false" outlineLevel="0" collapsed="false">
      <c r="D790" s="73" t="s">
        <v>1677</v>
      </c>
      <c r="E790" s="0" t="s">
        <v>151</v>
      </c>
      <c r="F790" s="0" t="s">
        <v>712</v>
      </c>
    </row>
    <row r="791" customFormat="false" ht="15" hidden="false" customHeight="false" outlineLevel="0" collapsed="false">
      <c r="D791" s="74" t="s">
        <v>1678</v>
      </c>
      <c r="E791" s="75" t="s">
        <v>151</v>
      </c>
      <c r="F791" s="75" t="s">
        <v>1679</v>
      </c>
    </row>
    <row r="792" customFormat="false" ht="15" hidden="false" customHeight="false" outlineLevel="0" collapsed="false">
      <c r="D792" s="73" t="s">
        <v>1680</v>
      </c>
      <c r="E792" s="0" t="s">
        <v>62</v>
      </c>
      <c r="F792" s="0" t="s">
        <v>1681</v>
      </c>
    </row>
    <row r="793" customFormat="false" ht="15" hidden="false" customHeight="false" outlineLevel="0" collapsed="false">
      <c r="D793" s="73" t="s">
        <v>1682</v>
      </c>
      <c r="E793" s="0" t="s">
        <v>62</v>
      </c>
      <c r="F793" s="0" t="s">
        <v>1683</v>
      </c>
    </row>
    <row r="794" customFormat="false" ht="15" hidden="false" customHeight="false" outlineLevel="0" collapsed="false">
      <c r="D794" s="73" t="s">
        <v>1684</v>
      </c>
      <c r="E794" s="0" t="s">
        <v>62</v>
      </c>
      <c r="F794" s="0" t="s">
        <v>1683</v>
      </c>
    </row>
    <row r="795" customFormat="false" ht="15" hidden="false" customHeight="false" outlineLevel="0" collapsed="false">
      <c r="D795" s="73" t="s">
        <v>1685</v>
      </c>
      <c r="E795" s="0" t="s">
        <v>62</v>
      </c>
      <c r="F795" s="0" t="s">
        <v>1681</v>
      </c>
    </row>
    <row r="796" customFormat="false" ht="15" hidden="false" customHeight="false" outlineLevel="0" collapsed="false">
      <c r="D796" s="73" t="s">
        <v>1686</v>
      </c>
      <c r="E796" s="0" t="s">
        <v>62</v>
      </c>
      <c r="F796" s="0" t="s">
        <v>473</v>
      </c>
    </row>
    <row r="797" customFormat="false" ht="15" hidden="false" customHeight="false" outlineLevel="0" collapsed="false">
      <c r="D797" s="73" t="s">
        <v>1687</v>
      </c>
      <c r="E797" s="0" t="s">
        <v>62</v>
      </c>
      <c r="F797" s="0" t="s">
        <v>473</v>
      </c>
    </row>
    <row r="798" customFormat="false" ht="15" hidden="false" customHeight="false" outlineLevel="0" collapsed="false">
      <c r="D798" s="73" t="s">
        <v>1688</v>
      </c>
      <c r="E798" s="0" t="s">
        <v>62</v>
      </c>
      <c r="F798" s="0" t="s">
        <v>473</v>
      </c>
    </row>
    <row r="799" customFormat="false" ht="15" hidden="false" customHeight="false" outlineLevel="0" collapsed="false">
      <c r="D799" s="74" t="s">
        <v>1689</v>
      </c>
      <c r="E799" s="75" t="s">
        <v>62</v>
      </c>
      <c r="F799" s="75" t="s">
        <v>634</v>
      </c>
    </row>
    <row r="800" customFormat="false" ht="15" hidden="false" customHeight="false" outlineLevel="0" collapsed="false">
      <c r="D800" s="74" t="s">
        <v>1690</v>
      </c>
      <c r="E800" s="75" t="s">
        <v>62</v>
      </c>
      <c r="F800" s="75" t="s">
        <v>634</v>
      </c>
    </row>
    <row r="801" customFormat="false" ht="15" hidden="false" customHeight="false" outlineLevel="0" collapsed="false">
      <c r="D801" s="74" t="s">
        <v>1691</v>
      </c>
      <c r="E801" s="75" t="s">
        <v>62</v>
      </c>
      <c r="F801" s="75" t="s">
        <v>473</v>
      </c>
    </row>
    <row r="802" customFormat="false" ht="15" hidden="false" customHeight="false" outlineLevel="0" collapsed="false">
      <c r="D802" s="74" t="s">
        <v>1692</v>
      </c>
      <c r="E802" s="75" t="s">
        <v>62</v>
      </c>
      <c r="F802" s="75" t="s">
        <v>473</v>
      </c>
    </row>
    <row r="803" customFormat="false" ht="15" hidden="false" customHeight="false" outlineLevel="0" collapsed="false">
      <c r="D803" s="74" t="s">
        <v>1693</v>
      </c>
      <c r="E803" s="75" t="s">
        <v>62</v>
      </c>
      <c r="F803" s="75" t="s">
        <v>1019</v>
      </c>
    </row>
    <row r="804" customFormat="false" ht="15" hidden="false" customHeight="false" outlineLevel="0" collapsed="false">
      <c r="D804" s="74" t="s">
        <v>1694</v>
      </c>
      <c r="E804" s="75" t="s">
        <v>116</v>
      </c>
      <c r="F804" s="75" t="s">
        <v>473</v>
      </c>
    </row>
    <row r="805" customFormat="false" ht="15" hidden="false" customHeight="false" outlineLevel="0" collapsed="false">
      <c r="D805" s="74" t="s">
        <v>1695</v>
      </c>
      <c r="E805" s="75" t="s">
        <v>116</v>
      </c>
      <c r="F805" s="75" t="s">
        <v>473</v>
      </c>
    </row>
    <row r="806" customFormat="false" ht="15" hidden="false" customHeight="false" outlineLevel="0" collapsed="false">
      <c r="D806" s="74" t="s">
        <v>1696</v>
      </c>
      <c r="E806" s="75" t="s">
        <v>210</v>
      </c>
      <c r="F806" s="75" t="s">
        <v>634</v>
      </c>
    </row>
    <row r="807" customFormat="false" ht="15" hidden="false" customHeight="false" outlineLevel="0" collapsed="false">
      <c r="D807" s="74" t="s">
        <v>1697</v>
      </c>
      <c r="E807" s="75" t="s">
        <v>145</v>
      </c>
      <c r="F807" s="75" t="s">
        <v>473</v>
      </c>
    </row>
    <row r="808" customFormat="false" ht="15" hidden="false" customHeight="false" outlineLevel="0" collapsed="false">
      <c r="D808" s="74" t="s">
        <v>1698</v>
      </c>
      <c r="E808" s="75" t="s">
        <v>145</v>
      </c>
      <c r="F808" s="75" t="s">
        <v>634</v>
      </c>
    </row>
    <row r="809" customFormat="false" ht="15" hidden="false" customHeight="false" outlineLevel="0" collapsed="false">
      <c r="D809" s="74" t="s">
        <v>1699</v>
      </c>
      <c r="E809" s="75" t="s">
        <v>145</v>
      </c>
      <c r="F809" s="75" t="s">
        <v>473</v>
      </c>
    </row>
    <row r="810" customFormat="false" ht="15" hidden="false" customHeight="false" outlineLevel="0" collapsed="false">
      <c r="D810" s="74" t="s">
        <v>1700</v>
      </c>
      <c r="E810" s="75" t="s">
        <v>145</v>
      </c>
      <c r="F810" s="75" t="s">
        <v>473</v>
      </c>
    </row>
    <row r="811" customFormat="false" ht="15" hidden="false" customHeight="false" outlineLevel="0" collapsed="false">
      <c r="D811" s="74" t="s">
        <v>1701</v>
      </c>
      <c r="E811" s="75" t="s">
        <v>144</v>
      </c>
      <c r="F811" s="75" t="s">
        <v>473</v>
      </c>
    </row>
    <row r="812" customFormat="false" ht="15" hidden="false" customHeight="false" outlineLevel="0" collapsed="false">
      <c r="D812" s="74" t="s">
        <v>1702</v>
      </c>
      <c r="E812" s="75" t="s">
        <v>144</v>
      </c>
      <c r="F812" s="75" t="s">
        <v>473</v>
      </c>
    </row>
    <row r="813" customFormat="false" ht="15" hidden="false" customHeight="false" outlineLevel="0" collapsed="false">
      <c r="D813" s="74" t="s">
        <v>1703</v>
      </c>
      <c r="E813" s="75" t="s">
        <v>112</v>
      </c>
      <c r="F813" s="75" t="s">
        <v>473</v>
      </c>
    </row>
    <row r="814" customFormat="false" ht="15" hidden="false" customHeight="false" outlineLevel="0" collapsed="false">
      <c r="D814" s="74" t="s">
        <v>1704</v>
      </c>
      <c r="E814" s="75" t="s">
        <v>112</v>
      </c>
      <c r="F814" s="75" t="s">
        <v>473</v>
      </c>
    </row>
    <row r="815" customFormat="false" ht="15" hidden="false" customHeight="false" outlineLevel="0" collapsed="false">
      <c r="D815" s="74" t="s">
        <v>1705</v>
      </c>
      <c r="E815" s="75" t="s">
        <v>112</v>
      </c>
      <c r="F815" s="75" t="s">
        <v>473</v>
      </c>
    </row>
    <row r="816" customFormat="false" ht="15" hidden="false" customHeight="false" outlineLevel="0" collapsed="false">
      <c r="D816" s="74" t="s">
        <v>1706</v>
      </c>
      <c r="E816" s="75" t="s">
        <v>112</v>
      </c>
      <c r="F816" s="75" t="s">
        <v>473</v>
      </c>
    </row>
    <row r="817" customFormat="false" ht="15" hidden="false" customHeight="false" outlineLevel="0" collapsed="false">
      <c r="D817" s="73" t="s">
        <v>1707</v>
      </c>
      <c r="E817" s="0" t="s">
        <v>31</v>
      </c>
      <c r="F817" s="0" t="s">
        <v>1708</v>
      </c>
    </row>
    <row r="818" customFormat="false" ht="15" hidden="false" customHeight="false" outlineLevel="0" collapsed="false">
      <c r="D818" s="73" t="s">
        <v>1709</v>
      </c>
      <c r="E818" s="0" t="s">
        <v>31</v>
      </c>
      <c r="F818" s="0" t="s">
        <v>1708</v>
      </c>
    </row>
    <row r="819" customFormat="false" ht="15" hidden="false" customHeight="false" outlineLevel="0" collapsed="false">
      <c r="D819" s="73" t="s">
        <v>1710</v>
      </c>
      <c r="E819" s="0" t="s">
        <v>31</v>
      </c>
      <c r="F819" s="0" t="s">
        <v>1711</v>
      </c>
    </row>
    <row r="820" customFormat="false" ht="15" hidden="false" customHeight="false" outlineLevel="0" collapsed="false">
      <c r="D820" s="73" t="s">
        <v>1712</v>
      </c>
      <c r="E820" s="0" t="s">
        <v>31</v>
      </c>
      <c r="F820" s="0" t="s">
        <v>1713</v>
      </c>
    </row>
    <row r="821" customFormat="false" ht="15" hidden="false" customHeight="false" outlineLevel="0" collapsed="false">
      <c r="D821" s="73" t="s">
        <v>1714</v>
      </c>
      <c r="E821" s="0" t="s">
        <v>31</v>
      </c>
      <c r="F821" s="0" t="s">
        <v>1711</v>
      </c>
    </row>
    <row r="822" customFormat="false" ht="15" hidden="false" customHeight="false" outlineLevel="0" collapsed="false">
      <c r="D822" s="73" t="s">
        <v>1715</v>
      </c>
      <c r="E822" s="0" t="s">
        <v>31</v>
      </c>
      <c r="F822" s="0" t="s">
        <v>1716</v>
      </c>
    </row>
    <row r="823" customFormat="false" ht="15" hidden="false" customHeight="false" outlineLevel="0" collapsed="false">
      <c r="D823" s="73" t="s">
        <v>1717</v>
      </c>
      <c r="E823" s="0" t="s">
        <v>31</v>
      </c>
      <c r="F823" s="0" t="s">
        <v>1711</v>
      </c>
    </row>
    <row r="824" customFormat="false" ht="15" hidden="false" customHeight="false" outlineLevel="0" collapsed="false">
      <c r="D824" s="73" t="s">
        <v>1718</v>
      </c>
      <c r="E824" s="0" t="s">
        <v>31</v>
      </c>
      <c r="F824" s="0" t="s">
        <v>1719</v>
      </c>
    </row>
    <row r="825" customFormat="false" ht="15" hidden="false" customHeight="false" outlineLevel="0" collapsed="false">
      <c r="D825" s="73" t="s">
        <v>1720</v>
      </c>
      <c r="E825" s="0" t="s">
        <v>31</v>
      </c>
      <c r="F825" s="0" t="s">
        <v>1719</v>
      </c>
    </row>
    <row r="826" customFormat="false" ht="15" hidden="false" customHeight="false" outlineLevel="0" collapsed="false">
      <c r="D826" s="73" t="s">
        <v>1721</v>
      </c>
      <c r="E826" s="0" t="s">
        <v>31</v>
      </c>
      <c r="F826" s="0" t="s">
        <v>1683</v>
      </c>
    </row>
    <row r="827" customFormat="false" ht="15" hidden="false" customHeight="false" outlineLevel="0" collapsed="false">
      <c r="D827" s="73" t="s">
        <v>1722</v>
      </c>
      <c r="E827" s="0" t="s">
        <v>31</v>
      </c>
      <c r="F827" s="0" t="s">
        <v>1711</v>
      </c>
    </row>
    <row r="828" customFormat="false" ht="15" hidden="false" customHeight="false" outlineLevel="0" collapsed="false">
      <c r="D828" s="73" t="s">
        <v>1723</v>
      </c>
      <c r="E828" s="0" t="s">
        <v>31</v>
      </c>
      <c r="F828" s="0" t="s">
        <v>1683</v>
      </c>
    </row>
    <row r="829" customFormat="false" ht="15" hidden="false" customHeight="false" outlineLevel="0" collapsed="false">
      <c r="D829" s="73" t="s">
        <v>1724</v>
      </c>
      <c r="E829" s="0" t="s">
        <v>31</v>
      </c>
      <c r="F829" s="0" t="s">
        <v>1708</v>
      </c>
    </row>
    <row r="830" customFormat="false" ht="15" hidden="false" customHeight="false" outlineLevel="0" collapsed="false">
      <c r="D830" s="73" t="s">
        <v>1725</v>
      </c>
      <c r="E830" s="0" t="s">
        <v>31</v>
      </c>
      <c r="F830" s="0" t="s">
        <v>1713</v>
      </c>
    </row>
    <row r="831" customFormat="false" ht="15" hidden="false" customHeight="false" outlineLevel="0" collapsed="false">
      <c r="D831" s="73" t="s">
        <v>1726</v>
      </c>
      <c r="E831" s="0" t="s">
        <v>31</v>
      </c>
      <c r="F831" s="0" t="s">
        <v>1711</v>
      </c>
    </row>
    <row r="832" customFormat="false" ht="15" hidden="false" customHeight="false" outlineLevel="0" collapsed="false">
      <c r="D832" s="73" t="s">
        <v>1727</v>
      </c>
      <c r="E832" s="0" t="s">
        <v>31</v>
      </c>
      <c r="F832" s="0" t="s">
        <v>1708</v>
      </c>
    </row>
    <row r="833" customFormat="false" ht="15" hidden="false" customHeight="false" outlineLevel="0" collapsed="false">
      <c r="D833" s="73" t="s">
        <v>1728</v>
      </c>
      <c r="E833" s="0" t="s">
        <v>31</v>
      </c>
      <c r="F833" s="0" t="s">
        <v>1711</v>
      </c>
    </row>
    <row r="834" customFormat="false" ht="15" hidden="false" customHeight="false" outlineLevel="0" collapsed="false">
      <c r="D834" s="73" t="s">
        <v>1729</v>
      </c>
      <c r="E834" s="0" t="s">
        <v>31</v>
      </c>
      <c r="F834" s="0" t="s">
        <v>1711</v>
      </c>
    </row>
    <row r="835" customFormat="false" ht="15" hidden="false" customHeight="false" outlineLevel="0" collapsed="false">
      <c r="D835" s="73" t="s">
        <v>1730</v>
      </c>
      <c r="E835" s="0" t="s">
        <v>31</v>
      </c>
      <c r="F835" s="0" t="s">
        <v>1711</v>
      </c>
    </row>
    <row r="836" customFormat="false" ht="15" hidden="false" customHeight="false" outlineLevel="0" collapsed="false">
      <c r="D836" s="73" t="s">
        <v>1731</v>
      </c>
      <c r="E836" s="0" t="s">
        <v>31</v>
      </c>
      <c r="F836" s="0" t="s">
        <v>1708</v>
      </c>
    </row>
    <row r="837" customFormat="false" ht="15" hidden="false" customHeight="false" outlineLevel="0" collapsed="false">
      <c r="D837" s="73" t="s">
        <v>1732</v>
      </c>
      <c r="E837" s="0" t="s">
        <v>31</v>
      </c>
      <c r="F837" s="0" t="s">
        <v>1708</v>
      </c>
    </row>
    <row r="838" customFormat="false" ht="15" hidden="false" customHeight="false" outlineLevel="0" collapsed="false">
      <c r="D838" s="73" t="s">
        <v>1733</v>
      </c>
      <c r="E838" s="0" t="s">
        <v>31</v>
      </c>
      <c r="F838" s="0" t="s">
        <v>473</v>
      </c>
    </row>
    <row r="839" customFormat="false" ht="15" hidden="false" customHeight="false" outlineLevel="0" collapsed="false">
      <c r="D839" s="73" t="s">
        <v>1734</v>
      </c>
      <c r="E839" s="0" t="s">
        <v>31</v>
      </c>
      <c r="F839" s="0" t="s">
        <v>473</v>
      </c>
    </row>
    <row r="840" customFormat="false" ht="15" hidden="false" customHeight="false" outlineLevel="0" collapsed="false">
      <c r="D840" s="73" t="s">
        <v>1735</v>
      </c>
      <c r="E840" s="0" t="s">
        <v>31</v>
      </c>
      <c r="F840" s="0" t="s">
        <v>473</v>
      </c>
    </row>
    <row r="841" customFormat="false" ht="15" hidden="false" customHeight="false" outlineLevel="0" collapsed="false">
      <c r="D841" s="73" t="s">
        <v>1736</v>
      </c>
      <c r="E841" s="0" t="s">
        <v>31</v>
      </c>
      <c r="F841" s="0" t="s">
        <v>473</v>
      </c>
    </row>
    <row r="842" customFormat="false" ht="15" hidden="false" customHeight="false" outlineLevel="0" collapsed="false">
      <c r="D842" s="73" t="s">
        <v>1737</v>
      </c>
      <c r="E842" s="0" t="s">
        <v>31</v>
      </c>
      <c r="F842" s="0" t="s">
        <v>473</v>
      </c>
    </row>
    <row r="843" customFormat="false" ht="15" hidden="false" customHeight="false" outlineLevel="0" collapsed="false">
      <c r="D843" s="73" t="s">
        <v>1738</v>
      </c>
      <c r="E843" s="0" t="s">
        <v>31</v>
      </c>
      <c r="F843" s="0" t="s">
        <v>473</v>
      </c>
    </row>
    <row r="844" customFormat="false" ht="15" hidden="false" customHeight="false" outlineLevel="0" collapsed="false">
      <c r="D844" s="73" t="s">
        <v>1739</v>
      </c>
      <c r="E844" s="0" t="s">
        <v>31</v>
      </c>
      <c r="F844" s="0" t="s">
        <v>1740</v>
      </c>
    </row>
    <row r="845" customFormat="false" ht="15" hidden="false" customHeight="false" outlineLevel="0" collapsed="false">
      <c r="D845" s="74" t="s">
        <v>1741</v>
      </c>
      <c r="E845" s="75" t="s">
        <v>31</v>
      </c>
      <c r="F845" s="75" t="s">
        <v>473</v>
      </c>
    </row>
    <row r="846" customFormat="false" ht="15" hidden="false" customHeight="false" outlineLevel="0" collapsed="false">
      <c r="D846" s="74" t="s">
        <v>1742</v>
      </c>
      <c r="E846" s="75" t="s">
        <v>63</v>
      </c>
      <c r="F846" s="75" t="s">
        <v>634</v>
      </c>
    </row>
    <row r="847" customFormat="false" ht="15" hidden="false" customHeight="false" outlineLevel="0" collapsed="false">
      <c r="D847" s="74" t="s">
        <v>1743</v>
      </c>
      <c r="E847" s="75" t="s">
        <v>63</v>
      </c>
      <c r="F847" s="75" t="s">
        <v>634</v>
      </c>
    </row>
    <row r="848" customFormat="false" ht="15" hidden="false" customHeight="false" outlineLevel="0" collapsed="false">
      <c r="D848" s="74" t="s">
        <v>1744</v>
      </c>
      <c r="E848" s="75" t="s">
        <v>63</v>
      </c>
      <c r="F848" s="75" t="s">
        <v>473</v>
      </c>
    </row>
    <row r="849" customFormat="false" ht="15" hidden="false" customHeight="false" outlineLevel="0" collapsed="false">
      <c r="D849" s="74" t="s">
        <v>1745</v>
      </c>
      <c r="E849" s="75" t="s">
        <v>63</v>
      </c>
      <c r="F849" s="75" t="s">
        <v>473</v>
      </c>
    </row>
    <row r="850" customFormat="false" ht="15" hidden="false" customHeight="false" outlineLevel="0" collapsed="false">
      <c r="D850" s="74" t="s">
        <v>1746</v>
      </c>
      <c r="E850" s="75" t="s">
        <v>63</v>
      </c>
      <c r="F850" s="75" t="s">
        <v>473</v>
      </c>
    </row>
    <row r="851" customFormat="false" ht="15" hidden="false" customHeight="false" outlineLevel="0" collapsed="false">
      <c r="D851" s="74" t="s">
        <v>1747</v>
      </c>
      <c r="E851" s="75" t="s">
        <v>63</v>
      </c>
      <c r="F851" s="75" t="s">
        <v>473</v>
      </c>
    </row>
    <row r="852" customFormat="false" ht="15" hidden="false" customHeight="false" outlineLevel="0" collapsed="false">
      <c r="D852" s="74" t="s">
        <v>1748</v>
      </c>
      <c r="E852" s="75" t="s">
        <v>63</v>
      </c>
      <c r="F852" s="75" t="s">
        <v>473</v>
      </c>
    </row>
    <row r="853" customFormat="false" ht="15" hidden="false" customHeight="false" outlineLevel="0" collapsed="false">
      <c r="D853" s="74" t="s">
        <v>1749</v>
      </c>
      <c r="E853" s="75" t="s">
        <v>63</v>
      </c>
      <c r="F853" s="75" t="s">
        <v>473</v>
      </c>
    </row>
    <row r="854" customFormat="false" ht="15" hidden="false" customHeight="false" outlineLevel="0" collapsed="false">
      <c r="D854" s="74" t="s">
        <v>1750</v>
      </c>
      <c r="E854" s="75" t="s">
        <v>1751</v>
      </c>
      <c r="F854" s="75" t="s">
        <v>473</v>
      </c>
    </row>
    <row r="855" customFormat="false" ht="15" hidden="false" customHeight="false" outlineLevel="0" collapsed="false">
      <c r="D855" s="74" t="s">
        <v>1752</v>
      </c>
      <c r="E855" s="75" t="s">
        <v>63</v>
      </c>
      <c r="F855" s="75" t="s">
        <v>473</v>
      </c>
    </row>
    <row r="856" customFormat="false" ht="15" hidden="false" customHeight="false" outlineLevel="0" collapsed="false">
      <c r="D856" s="74" t="s">
        <v>1753</v>
      </c>
      <c r="E856" s="75" t="s">
        <v>63</v>
      </c>
      <c r="F856" s="75" t="s">
        <v>1754</v>
      </c>
    </row>
    <row r="857" customFormat="false" ht="15" hidden="false" customHeight="false" outlineLevel="0" collapsed="false">
      <c r="D857" s="74" t="s">
        <v>1755</v>
      </c>
      <c r="E857" s="75" t="s">
        <v>163</v>
      </c>
      <c r="F857" s="75" t="s">
        <v>473</v>
      </c>
    </row>
    <row r="858" customFormat="false" ht="15" hidden="false" customHeight="false" outlineLevel="0" collapsed="false">
      <c r="D858" s="73" t="s">
        <v>1756</v>
      </c>
      <c r="E858" s="0" t="s">
        <v>1757</v>
      </c>
      <c r="F858" s="0" t="s">
        <v>1716</v>
      </c>
    </row>
    <row r="859" customFormat="false" ht="15" hidden="false" customHeight="false" outlineLevel="0" collapsed="false">
      <c r="D859" s="73" t="s">
        <v>1758</v>
      </c>
      <c r="E859" s="0" t="s">
        <v>220</v>
      </c>
      <c r="F859" s="0" t="s">
        <v>1759</v>
      </c>
    </row>
    <row r="860" customFormat="false" ht="15" hidden="false" customHeight="false" outlineLevel="0" collapsed="false">
      <c r="D860" s="74" t="s">
        <v>1760</v>
      </c>
      <c r="E860" s="75" t="s">
        <v>220</v>
      </c>
      <c r="F860" s="75" t="s">
        <v>473</v>
      </c>
    </row>
    <row r="861" customFormat="false" ht="15" hidden="false" customHeight="false" outlineLevel="0" collapsed="false">
      <c r="D861" s="73" t="s">
        <v>1761</v>
      </c>
      <c r="E861" s="0" t="s">
        <v>107</v>
      </c>
      <c r="F861" s="0" t="s">
        <v>1683</v>
      </c>
    </row>
    <row r="862" customFormat="false" ht="15" hidden="false" customHeight="false" outlineLevel="0" collapsed="false">
      <c r="D862" s="73" t="s">
        <v>1762</v>
      </c>
      <c r="E862" s="0" t="s">
        <v>107</v>
      </c>
      <c r="F862" s="0" t="s">
        <v>1683</v>
      </c>
    </row>
    <row r="863" customFormat="false" ht="15" hidden="false" customHeight="false" outlineLevel="0" collapsed="false">
      <c r="D863" s="73" t="s">
        <v>1763</v>
      </c>
      <c r="E863" s="0" t="s">
        <v>107</v>
      </c>
      <c r="F863" s="0" t="n">
        <v>1</v>
      </c>
    </row>
    <row r="864" customFormat="false" ht="15" hidden="false" customHeight="false" outlineLevel="0" collapsed="false">
      <c r="D864" s="73" t="s">
        <v>1764</v>
      </c>
      <c r="E864" s="0" t="s">
        <v>107</v>
      </c>
      <c r="F864" s="0" t="s">
        <v>1765</v>
      </c>
    </row>
    <row r="865" customFormat="false" ht="15" hidden="false" customHeight="false" outlineLevel="0" collapsed="false">
      <c r="D865" s="73" t="s">
        <v>1766</v>
      </c>
      <c r="E865" s="0" t="s">
        <v>107</v>
      </c>
      <c r="F865" s="0" t="s">
        <v>1767</v>
      </c>
    </row>
    <row r="866" customFormat="false" ht="15" hidden="false" customHeight="false" outlineLevel="0" collapsed="false">
      <c r="D866" s="73" t="s">
        <v>1768</v>
      </c>
      <c r="E866" s="0" t="s">
        <v>107</v>
      </c>
      <c r="F866" s="0" t="s">
        <v>473</v>
      </c>
    </row>
    <row r="867" customFormat="false" ht="15" hidden="false" customHeight="false" outlineLevel="0" collapsed="false">
      <c r="D867" s="74" t="s">
        <v>1769</v>
      </c>
      <c r="E867" s="75" t="s">
        <v>107</v>
      </c>
      <c r="F867" s="75" t="s">
        <v>473</v>
      </c>
    </row>
    <row r="868" customFormat="false" ht="15" hidden="false" customHeight="false" outlineLevel="0" collapsed="false">
      <c r="D868" s="74" t="s">
        <v>1770</v>
      </c>
      <c r="E868" s="75" t="s">
        <v>107</v>
      </c>
      <c r="F868" s="75" t="s">
        <v>1771</v>
      </c>
    </row>
    <row r="869" customFormat="false" ht="15" hidden="false" customHeight="false" outlineLevel="0" collapsed="false">
      <c r="D869" s="74" t="s">
        <v>1772</v>
      </c>
      <c r="E869" s="75" t="s">
        <v>107</v>
      </c>
      <c r="F869" s="75" t="s">
        <v>473</v>
      </c>
    </row>
    <row r="870" customFormat="false" ht="15" hidden="false" customHeight="false" outlineLevel="0" collapsed="false">
      <c r="D870" s="74" t="s">
        <v>1773</v>
      </c>
      <c r="E870" s="75" t="s">
        <v>107</v>
      </c>
      <c r="F870" s="75" t="s">
        <v>473</v>
      </c>
    </row>
    <row r="871" customFormat="false" ht="15" hidden="false" customHeight="false" outlineLevel="0" collapsed="false">
      <c r="D871" s="74" t="s">
        <v>1774</v>
      </c>
      <c r="E871" s="75" t="s">
        <v>107</v>
      </c>
      <c r="F871" s="75" t="s">
        <v>473</v>
      </c>
    </row>
    <row r="872" customFormat="false" ht="15" hidden="false" customHeight="false" outlineLevel="0" collapsed="false">
      <c r="D872" s="74" t="s">
        <v>1775</v>
      </c>
      <c r="E872" s="75" t="s">
        <v>107</v>
      </c>
      <c r="F872" s="75" t="s">
        <v>473</v>
      </c>
    </row>
    <row r="873" customFormat="false" ht="15" hidden="false" customHeight="false" outlineLevel="0" collapsed="false">
      <c r="D873" s="74" t="s">
        <v>1776</v>
      </c>
      <c r="E873" s="75" t="s">
        <v>107</v>
      </c>
      <c r="F873" s="75" t="s">
        <v>473</v>
      </c>
    </row>
    <row r="874" customFormat="false" ht="15" hidden="false" customHeight="false" outlineLevel="0" collapsed="false">
      <c r="D874" s="74" t="s">
        <v>1777</v>
      </c>
      <c r="E874" s="75" t="s">
        <v>107</v>
      </c>
      <c r="F874" s="75" t="n">
        <v>4</v>
      </c>
    </row>
    <row r="875" customFormat="false" ht="13.8" hidden="false" customHeight="false" outlineLevel="0" collapsed="false">
      <c r="D875" s="74" t="s">
        <v>1778</v>
      </c>
      <c r="E875" s="75" t="s">
        <v>1779</v>
      </c>
      <c r="F875" s="75" t="s">
        <v>473</v>
      </c>
    </row>
    <row r="876" customFormat="false" ht="15" hidden="false" customHeight="false" outlineLevel="0" collapsed="false">
      <c r="D876" s="73" t="s">
        <v>1780</v>
      </c>
      <c r="E876" s="0" t="s">
        <v>105</v>
      </c>
      <c r="F876" s="0" t="s">
        <v>473</v>
      </c>
    </row>
    <row r="877" customFormat="false" ht="15" hidden="false" customHeight="false" outlineLevel="0" collapsed="false">
      <c r="D877" s="74" t="s">
        <v>1781</v>
      </c>
      <c r="E877" s="75" t="s">
        <v>105</v>
      </c>
      <c r="F877" s="75" t="s">
        <v>1782</v>
      </c>
    </row>
    <row r="878" customFormat="false" ht="15" hidden="false" customHeight="false" outlineLevel="0" collapsed="false">
      <c r="D878" s="74" t="s">
        <v>1783</v>
      </c>
      <c r="E878" s="75" t="s">
        <v>1784</v>
      </c>
      <c r="F878" s="75" t="s">
        <v>473</v>
      </c>
    </row>
    <row r="879" customFormat="false" ht="15" hidden="false" customHeight="false" outlineLevel="0" collapsed="false">
      <c r="D879" s="74" t="s">
        <v>1785</v>
      </c>
      <c r="E879" s="75" t="s">
        <v>1784</v>
      </c>
      <c r="F879" s="75" t="s">
        <v>473</v>
      </c>
    </row>
    <row r="880" customFormat="false" ht="14.9" hidden="false" customHeight="false" outlineLevel="0" collapsed="false">
      <c r="D880" s="74" t="s">
        <v>1786</v>
      </c>
      <c r="E880" s="75" t="s">
        <v>1784</v>
      </c>
      <c r="F880" s="75" t="s">
        <v>473</v>
      </c>
    </row>
    <row r="881" customFormat="false" ht="14.9" hidden="false" customHeight="false" outlineLevel="0" collapsed="false">
      <c r="D881" s="74" t="s">
        <v>1787</v>
      </c>
      <c r="E881" s="75" t="s">
        <v>1784</v>
      </c>
      <c r="F881" s="75" t="s">
        <v>473</v>
      </c>
    </row>
    <row r="882" customFormat="false" ht="14.9" hidden="false" customHeight="false" outlineLevel="0" collapsed="false">
      <c r="D882" s="74" t="s">
        <v>1788</v>
      </c>
      <c r="E882" s="75" t="s">
        <v>1784</v>
      </c>
      <c r="F882" s="75" t="s">
        <v>473</v>
      </c>
    </row>
    <row r="883" customFormat="false" ht="15" hidden="false" customHeight="false" outlineLevel="0" collapsed="false">
      <c r="D883" s="74" t="s">
        <v>1789</v>
      </c>
      <c r="E883" s="75" t="s">
        <v>1790</v>
      </c>
      <c r="F883" s="75" t="s">
        <v>473</v>
      </c>
    </row>
    <row r="884" customFormat="false" ht="15" hidden="false" customHeight="false" outlineLevel="0" collapsed="false">
      <c r="D884" s="74" t="s">
        <v>1791</v>
      </c>
      <c r="E884" s="75" t="s">
        <v>1790</v>
      </c>
      <c r="F884" s="75" t="s">
        <v>473</v>
      </c>
    </row>
    <row r="885" customFormat="false" ht="13.8" hidden="false" customHeight="false" outlineLevel="0" collapsed="false">
      <c r="D885" s="74" t="s">
        <v>1792</v>
      </c>
      <c r="E885" s="75" t="s">
        <v>1790</v>
      </c>
      <c r="F885" s="75" t="s">
        <v>644</v>
      </c>
    </row>
    <row r="886" customFormat="false" ht="15" hidden="false" customHeight="false" outlineLevel="0" collapsed="false">
      <c r="D886" s="73" t="s">
        <v>1793</v>
      </c>
      <c r="E886" s="0" t="s">
        <v>18</v>
      </c>
      <c r="F886" s="0" t="s">
        <v>1794</v>
      </c>
    </row>
    <row r="887" customFormat="false" ht="15" hidden="false" customHeight="false" outlineLevel="0" collapsed="false">
      <c r="D887" s="73" t="s">
        <v>1795</v>
      </c>
      <c r="E887" s="0" t="s">
        <v>18</v>
      </c>
      <c r="F887" s="0" t="s">
        <v>1796</v>
      </c>
    </row>
    <row r="888" customFormat="false" ht="15" hidden="false" customHeight="false" outlineLevel="0" collapsed="false">
      <c r="D888" s="73" t="s">
        <v>1797</v>
      </c>
      <c r="E888" s="0" t="s">
        <v>18</v>
      </c>
      <c r="F888" s="0" t="s">
        <v>473</v>
      </c>
    </row>
    <row r="889" customFormat="false" ht="15" hidden="false" customHeight="false" outlineLevel="0" collapsed="false">
      <c r="D889" s="73" t="s">
        <v>1798</v>
      </c>
      <c r="E889" s="0" t="s">
        <v>18</v>
      </c>
      <c r="F889" s="0" t="s">
        <v>473</v>
      </c>
    </row>
    <row r="890" customFormat="false" ht="15" hidden="false" customHeight="false" outlineLevel="0" collapsed="false">
      <c r="D890" s="73" t="s">
        <v>1799</v>
      </c>
      <c r="E890" s="0" t="s">
        <v>18</v>
      </c>
      <c r="F890" s="0" t="s">
        <v>360</v>
      </c>
    </row>
    <row r="891" customFormat="false" ht="15" hidden="false" customHeight="false" outlineLevel="0" collapsed="false">
      <c r="D891" s="74" t="s">
        <v>1800</v>
      </c>
      <c r="E891" s="75" t="s">
        <v>1801</v>
      </c>
      <c r="F891" s="75" t="s">
        <v>473</v>
      </c>
    </row>
    <row r="892" customFormat="false" ht="15" hidden="false" customHeight="false" outlineLevel="0" collapsed="false">
      <c r="D892" s="73" t="s">
        <v>1802</v>
      </c>
      <c r="E892" s="0" t="s">
        <v>125</v>
      </c>
      <c r="F892" s="0" t="s">
        <v>473</v>
      </c>
    </row>
    <row r="893" customFormat="false" ht="15" hidden="false" customHeight="false" outlineLevel="0" collapsed="false">
      <c r="D893" s="73" t="s">
        <v>1803</v>
      </c>
      <c r="E893" s="0" t="s">
        <v>125</v>
      </c>
      <c r="F893" s="0" t="s">
        <v>473</v>
      </c>
    </row>
    <row r="894" customFormat="false" ht="15" hidden="false" customHeight="false" outlineLevel="0" collapsed="false">
      <c r="D894" s="73" t="s">
        <v>1804</v>
      </c>
      <c r="E894" s="0" t="s">
        <v>125</v>
      </c>
      <c r="F894" s="0" t="s">
        <v>473</v>
      </c>
    </row>
    <row r="895" customFormat="false" ht="15" hidden="false" customHeight="false" outlineLevel="0" collapsed="false">
      <c r="D895" s="73" t="s">
        <v>1805</v>
      </c>
      <c r="E895" s="0" t="s">
        <v>125</v>
      </c>
      <c r="F895" s="0" t="s">
        <v>1806</v>
      </c>
    </row>
    <row r="896" customFormat="false" ht="15" hidden="false" customHeight="false" outlineLevel="0" collapsed="false">
      <c r="D896" s="74" t="s">
        <v>1807</v>
      </c>
      <c r="E896" s="75" t="s">
        <v>45</v>
      </c>
      <c r="F896" s="75" t="s">
        <v>634</v>
      </c>
    </row>
    <row r="897" customFormat="false" ht="15" hidden="false" customHeight="false" outlineLevel="0" collapsed="false">
      <c r="D897" s="74" t="s">
        <v>1808</v>
      </c>
      <c r="E897" s="75" t="s">
        <v>45</v>
      </c>
      <c r="F897" s="75" t="s">
        <v>1809</v>
      </c>
    </row>
    <row r="898" customFormat="false" ht="15" hidden="false" customHeight="false" outlineLevel="0" collapsed="false">
      <c r="D898" s="74" t="s">
        <v>1810</v>
      </c>
      <c r="E898" s="75" t="s">
        <v>45</v>
      </c>
      <c r="F898" s="75" t="s">
        <v>473</v>
      </c>
    </row>
    <row r="899" customFormat="false" ht="15" hidden="false" customHeight="false" outlineLevel="0" collapsed="false">
      <c r="D899" s="74" t="s">
        <v>1811</v>
      </c>
      <c r="E899" s="75" t="s">
        <v>45</v>
      </c>
      <c r="F899" s="75" t="s">
        <v>473</v>
      </c>
    </row>
    <row r="900" customFormat="false" ht="15" hidden="false" customHeight="false" outlineLevel="0" collapsed="false">
      <c r="D900" s="74" t="s">
        <v>1812</v>
      </c>
      <c r="E900" s="75" t="s">
        <v>45</v>
      </c>
      <c r="F900" s="75" t="s">
        <v>473</v>
      </c>
    </row>
    <row r="901" customFormat="false" ht="15" hidden="false" customHeight="false" outlineLevel="0" collapsed="false">
      <c r="D901" s="74" t="s">
        <v>1813</v>
      </c>
      <c r="E901" s="75" t="s">
        <v>138</v>
      </c>
      <c r="F901" s="75" t="s">
        <v>834</v>
      </c>
    </row>
    <row r="902" customFormat="false" ht="15" hidden="false" customHeight="false" outlineLevel="0" collapsed="false">
      <c r="D902" s="74" t="s">
        <v>1814</v>
      </c>
      <c r="E902" s="75" t="s">
        <v>138</v>
      </c>
      <c r="F902" s="75" t="s">
        <v>707</v>
      </c>
    </row>
    <row r="903" customFormat="false" ht="15" hidden="false" customHeight="false" outlineLevel="0" collapsed="false">
      <c r="D903" s="74" t="s">
        <v>1815</v>
      </c>
      <c r="E903" s="75" t="s">
        <v>58</v>
      </c>
      <c r="F903" s="75" t="s">
        <v>473</v>
      </c>
    </row>
    <row r="904" customFormat="false" ht="15" hidden="false" customHeight="false" outlineLevel="0" collapsed="false">
      <c r="D904" s="74" t="s">
        <v>1816</v>
      </c>
      <c r="E904" s="75" t="s">
        <v>137</v>
      </c>
      <c r="F904" s="75" t="s">
        <v>1817</v>
      </c>
    </row>
    <row r="905" customFormat="false" ht="15" hidden="false" customHeight="false" outlineLevel="0" collapsed="false">
      <c r="D905" s="74" t="s">
        <v>1818</v>
      </c>
      <c r="E905" s="75" t="s">
        <v>214</v>
      </c>
      <c r="F905" s="75" t="s">
        <v>473</v>
      </c>
    </row>
    <row r="906" customFormat="false" ht="15" hidden="false" customHeight="false" outlineLevel="0" collapsed="false">
      <c r="D906" s="73" t="s">
        <v>1819</v>
      </c>
      <c r="E906" s="0" t="s">
        <v>349</v>
      </c>
      <c r="F906" s="0" t="s">
        <v>1820</v>
      </c>
    </row>
    <row r="907" customFormat="false" ht="15" hidden="false" customHeight="false" outlineLevel="0" collapsed="false">
      <c r="D907" s="73" t="s">
        <v>1821</v>
      </c>
      <c r="E907" s="0" t="s">
        <v>206</v>
      </c>
      <c r="F907" s="0" t="s">
        <v>1822</v>
      </c>
    </row>
    <row r="908" customFormat="false" ht="15" hidden="false" customHeight="false" outlineLevel="0" collapsed="false">
      <c r="D908" s="73" t="s">
        <v>1823</v>
      </c>
      <c r="E908" s="0" t="s">
        <v>82</v>
      </c>
      <c r="F908" s="0" t="s">
        <v>1549</v>
      </c>
    </row>
    <row r="909" customFormat="false" ht="15" hidden="false" customHeight="false" outlineLevel="0" collapsed="false">
      <c r="D909" s="74" t="s">
        <v>1824</v>
      </c>
      <c r="E909" s="75" t="s">
        <v>82</v>
      </c>
      <c r="F909" s="75" t="s">
        <v>473</v>
      </c>
    </row>
    <row r="910" customFormat="false" ht="15" hidden="false" customHeight="false" outlineLevel="0" collapsed="false">
      <c r="D910" s="74" t="s">
        <v>1825</v>
      </c>
      <c r="E910" s="75" t="s">
        <v>82</v>
      </c>
      <c r="F910" s="75" t="s">
        <v>473</v>
      </c>
    </row>
    <row r="911" customFormat="false" ht="15" hidden="false" customHeight="false" outlineLevel="0" collapsed="false">
      <c r="D911" s="74" t="s">
        <v>1826</v>
      </c>
      <c r="E911" s="75" t="s">
        <v>158</v>
      </c>
      <c r="F911" s="75" t="s">
        <v>473</v>
      </c>
    </row>
    <row r="912" customFormat="false" ht="15" hidden="false" customHeight="false" outlineLevel="0" collapsed="false">
      <c r="D912" s="74" t="s">
        <v>1827</v>
      </c>
      <c r="E912" s="75" t="s">
        <v>133</v>
      </c>
      <c r="F912" s="75" t="s">
        <v>473</v>
      </c>
    </row>
    <row r="913" customFormat="false" ht="15" hidden="false" customHeight="false" outlineLevel="0" collapsed="false">
      <c r="D913" s="73" t="s">
        <v>1828</v>
      </c>
      <c r="E913" s="0" t="s">
        <v>147</v>
      </c>
      <c r="F913" s="0" t="s">
        <v>473</v>
      </c>
    </row>
    <row r="914" customFormat="false" ht="15" hidden="false" customHeight="false" outlineLevel="0" collapsed="false">
      <c r="D914" s="74" t="s">
        <v>1829</v>
      </c>
      <c r="E914" s="75" t="s">
        <v>147</v>
      </c>
      <c r="F914" s="75" t="s">
        <v>707</v>
      </c>
    </row>
    <row r="915" customFormat="false" ht="15" hidden="false" customHeight="false" outlineLevel="0" collapsed="false">
      <c r="D915" s="74" t="s">
        <v>1830</v>
      </c>
      <c r="E915" s="75" t="s">
        <v>147</v>
      </c>
      <c r="F915" s="75" t="s">
        <v>1831</v>
      </c>
    </row>
    <row r="916" customFormat="false" ht="15" hidden="false" customHeight="false" outlineLevel="0" collapsed="false">
      <c r="D916" s="73" t="s">
        <v>1832</v>
      </c>
      <c r="E916" s="0" t="s">
        <v>177</v>
      </c>
      <c r="F916" s="0" t="s">
        <v>1833</v>
      </c>
    </row>
    <row r="917" customFormat="false" ht="15" hidden="false" customHeight="false" outlineLevel="0" collapsed="false">
      <c r="D917" s="73" t="s">
        <v>1834</v>
      </c>
      <c r="E917" s="0" t="s">
        <v>177</v>
      </c>
      <c r="F917" s="0" t="s">
        <v>1835</v>
      </c>
    </row>
    <row r="918" customFormat="false" ht="15" hidden="false" customHeight="false" outlineLevel="0" collapsed="false">
      <c r="D918" s="73" t="s">
        <v>1836</v>
      </c>
      <c r="E918" s="0" t="s">
        <v>177</v>
      </c>
      <c r="F918" s="0" t="s">
        <v>1835</v>
      </c>
    </row>
    <row r="919" customFormat="false" ht="15" hidden="false" customHeight="false" outlineLevel="0" collapsed="false">
      <c r="D919" s="73" t="s">
        <v>1837</v>
      </c>
      <c r="E919" s="0" t="s">
        <v>177</v>
      </c>
      <c r="F919" s="0" t="s">
        <v>1835</v>
      </c>
    </row>
    <row r="920" customFormat="false" ht="15" hidden="false" customHeight="false" outlineLevel="0" collapsed="false">
      <c r="D920" s="73" t="s">
        <v>1838</v>
      </c>
      <c r="E920" s="0" t="s">
        <v>177</v>
      </c>
      <c r="F920" s="0" t="s">
        <v>1835</v>
      </c>
    </row>
    <row r="921" customFormat="false" ht="15" hidden="false" customHeight="false" outlineLevel="0" collapsed="false">
      <c r="D921" s="73" t="s">
        <v>1839</v>
      </c>
      <c r="E921" s="0" t="s">
        <v>177</v>
      </c>
      <c r="F921" s="0" t="s">
        <v>1835</v>
      </c>
    </row>
    <row r="922" customFormat="false" ht="15" hidden="false" customHeight="false" outlineLevel="0" collapsed="false">
      <c r="D922" s="73" t="s">
        <v>1840</v>
      </c>
      <c r="E922" s="0" t="s">
        <v>177</v>
      </c>
      <c r="F922" s="0" t="s">
        <v>1841</v>
      </c>
    </row>
    <row r="923" customFormat="false" ht="15" hidden="false" customHeight="false" outlineLevel="0" collapsed="false">
      <c r="D923" s="73" t="s">
        <v>1842</v>
      </c>
      <c r="E923" s="0" t="s">
        <v>177</v>
      </c>
      <c r="F923" s="0" t="s">
        <v>1841</v>
      </c>
    </row>
    <row r="924" customFormat="false" ht="15" hidden="false" customHeight="false" outlineLevel="0" collapsed="false">
      <c r="D924" s="73" t="s">
        <v>1843</v>
      </c>
      <c r="E924" s="0" t="s">
        <v>177</v>
      </c>
      <c r="F924" s="0" t="s">
        <v>1841</v>
      </c>
    </row>
    <row r="925" customFormat="false" ht="15" hidden="false" customHeight="false" outlineLevel="0" collapsed="false">
      <c r="D925" s="73" t="s">
        <v>1844</v>
      </c>
      <c r="E925" s="0" t="s">
        <v>177</v>
      </c>
      <c r="F925" s="0" t="s">
        <v>1841</v>
      </c>
    </row>
    <row r="926" customFormat="false" ht="15" hidden="false" customHeight="false" outlineLevel="0" collapsed="false">
      <c r="D926" s="73" t="s">
        <v>1845</v>
      </c>
      <c r="E926" s="0" t="s">
        <v>177</v>
      </c>
      <c r="F926" s="0" t="s">
        <v>473</v>
      </c>
    </row>
    <row r="927" customFormat="false" ht="15" hidden="false" customHeight="false" outlineLevel="0" collapsed="false">
      <c r="D927" s="73" t="s">
        <v>1846</v>
      </c>
      <c r="E927" s="0" t="s">
        <v>177</v>
      </c>
      <c r="F927" s="0" t="s">
        <v>1847</v>
      </c>
    </row>
    <row r="928" customFormat="false" ht="15" hidden="false" customHeight="false" outlineLevel="0" collapsed="false">
      <c r="D928" s="74" t="s">
        <v>1848</v>
      </c>
      <c r="E928" s="75" t="s">
        <v>177</v>
      </c>
      <c r="F928" s="75" t="s">
        <v>1849</v>
      </c>
    </row>
    <row r="929" customFormat="false" ht="15" hidden="false" customHeight="false" outlineLevel="0" collapsed="false">
      <c r="D929" s="74" t="s">
        <v>1850</v>
      </c>
      <c r="E929" s="75" t="s">
        <v>177</v>
      </c>
      <c r="F929" s="75" t="s">
        <v>1851</v>
      </c>
    </row>
    <row r="930" customFormat="false" ht="15" hidden="false" customHeight="false" outlineLevel="0" collapsed="false">
      <c r="D930" s="74" t="s">
        <v>1852</v>
      </c>
      <c r="E930" s="75" t="s">
        <v>177</v>
      </c>
      <c r="F930" s="75" t="s">
        <v>1853</v>
      </c>
    </row>
    <row r="931" customFormat="false" ht="15" hidden="false" customHeight="false" outlineLevel="0" collapsed="false">
      <c r="D931" s="74" t="s">
        <v>1854</v>
      </c>
      <c r="E931" s="75" t="s">
        <v>177</v>
      </c>
      <c r="F931" s="75" t="s">
        <v>473</v>
      </c>
    </row>
    <row r="932" customFormat="false" ht="15" hidden="false" customHeight="false" outlineLevel="0" collapsed="false">
      <c r="D932" s="73" t="s">
        <v>1855</v>
      </c>
      <c r="E932" s="0" t="s">
        <v>617</v>
      </c>
      <c r="F932" s="0" t="s">
        <v>473</v>
      </c>
    </row>
    <row r="933" customFormat="false" ht="15" hidden="false" customHeight="false" outlineLevel="0" collapsed="false">
      <c r="D933" s="73" t="s">
        <v>1856</v>
      </c>
      <c r="E933" s="0" t="s">
        <v>617</v>
      </c>
      <c r="F933" s="0" t="s">
        <v>866</v>
      </c>
    </row>
    <row r="934" customFormat="false" ht="15" hidden="false" customHeight="false" outlineLevel="0" collapsed="false">
      <c r="D934" s="73" t="s">
        <v>1857</v>
      </c>
      <c r="E934" s="0" t="s">
        <v>589</v>
      </c>
      <c r="F934" s="0" t="s">
        <v>473</v>
      </c>
    </row>
    <row r="935" customFormat="false" ht="15" hidden="false" customHeight="false" outlineLevel="0" collapsed="false">
      <c r="D935" s="73" t="s">
        <v>1858</v>
      </c>
      <c r="E935" s="0" t="s">
        <v>590</v>
      </c>
      <c r="F935" s="0" t="s">
        <v>1859</v>
      </c>
    </row>
    <row r="936" customFormat="false" ht="15" hidden="false" customHeight="false" outlineLevel="0" collapsed="false">
      <c r="D936" s="73" t="s">
        <v>1860</v>
      </c>
      <c r="E936" s="0" t="s">
        <v>1861</v>
      </c>
      <c r="F936" s="0" t="s">
        <v>1862</v>
      </c>
    </row>
    <row r="937" customFormat="false" ht="15" hidden="false" customHeight="false" outlineLevel="0" collapsed="false">
      <c r="D937" s="73" t="s">
        <v>1863</v>
      </c>
      <c r="E937" s="0" t="s">
        <v>372</v>
      </c>
      <c r="F937" s="0" t="s">
        <v>473</v>
      </c>
    </row>
    <row r="938" customFormat="false" ht="15" hidden="false" customHeight="false" outlineLevel="0" collapsed="false">
      <c r="D938" s="73" t="s">
        <v>1864</v>
      </c>
      <c r="E938" s="0" t="s">
        <v>372</v>
      </c>
      <c r="F938" s="0" t="s">
        <v>1865</v>
      </c>
    </row>
    <row r="939" customFormat="false" ht="15" hidden="false" customHeight="false" outlineLevel="0" collapsed="false">
      <c r="D939" s="74" t="s">
        <v>1866</v>
      </c>
      <c r="E939" s="75" t="s">
        <v>100</v>
      </c>
      <c r="F939" s="75" t="s">
        <v>473</v>
      </c>
    </row>
    <row r="940" customFormat="false" ht="15" hidden="false" customHeight="false" outlineLevel="0" collapsed="false">
      <c r="D940" s="74" t="s">
        <v>1867</v>
      </c>
      <c r="E940" s="75" t="s">
        <v>164</v>
      </c>
      <c r="F940" s="75" t="s">
        <v>473</v>
      </c>
    </row>
    <row r="941" customFormat="false" ht="15" hidden="false" customHeight="false" outlineLevel="0" collapsed="false">
      <c r="D941" s="73" t="s">
        <v>1868</v>
      </c>
      <c r="E941" s="0" t="s">
        <v>81</v>
      </c>
      <c r="F941" s="0" t="s">
        <v>1869</v>
      </c>
    </row>
    <row r="942" customFormat="false" ht="15" hidden="false" customHeight="false" outlineLevel="0" collapsed="false">
      <c r="D942" s="74" t="s">
        <v>1870</v>
      </c>
      <c r="E942" s="75" t="s">
        <v>81</v>
      </c>
      <c r="F942" s="75" t="s">
        <v>473</v>
      </c>
    </row>
    <row r="943" customFormat="false" ht="15" hidden="false" customHeight="false" outlineLevel="0" collapsed="false">
      <c r="D943" s="74" t="s">
        <v>1871</v>
      </c>
      <c r="E943" s="75" t="s">
        <v>81</v>
      </c>
      <c r="F943" s="75" t="s">
        <v>473</v>
      </c>
    </row>
  </sheetData>
  <mergeCells count="3">
    <mergeCell ref="A3:B3"/>
    <mergeCell ref="A6:B6"/>
    <mergeCell ref="A9:B9"/>
  </mergeCells>
  <conditionalFormatting sqref="E569">
    <cfRule type="expression" priority="2" aboveAverage="0" equalAverage="0" bottom="0" percent="0" rank="0" text="" dxfId="0">
      <formula>COUNTIF(lista,E569)=0</formula>
    </cfRule>
  </conditionalFormatting>
  <hyperlinks>
    <hyperlink ref="D1" location="topo_basedados" display="Topo"/>
    <hyperlink ref="A3" location="topocategorias" display="Categorias"/>
    <hyperlink ref="A6" location="topo_cb" display="CadastroCB"/>
    <hyperlink ref="A9" location="'Resumo total'!A1" display="Resumo"/>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tableParts>
    <tablePart r:id="rId2"/>
  </tableParts>
</worksheet>
</file>

<file path=docProps/app.xml><?xml version="1.0" encoding="utf-8"?>
<Properties xmlns="http://schemas.openxmlformats.org/officeDocument/2006/extended-properties" xmlns:vt="http://schemas.openxmlformats.org/officeDocument/2006/docPropsVTypes">
  <Template/>
  <TotalTime>59</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2017-09-18T00:33:26Z</dcterms:created>
  <dc:creator>natori</dc:creator>
  <dc:description/>
  <dc:language>en-US</dc:language>
  <cp:lastModifiedBy/>
  <dcterms:modified xsi:type="dcterms:W3CDTF">2019-05-07T01:03:56Z</dcterms:modified>
  <cp:revision>13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